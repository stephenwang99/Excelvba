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8800" windowHeight="12435"/>
  </bookViews>
  <sheets>
    <sheet name="Main" sheetId="2" r:id="rId1"/>
    <sheet name="Data" sheetId="1" r:id="rId2"/>
  </sheets>
  <definedNames>
    <definedName name="db1_backend.accdb" localSheetId="1" hidden="1">Data!$A$1:$G$128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C1" i="2"/>
  <c r="B1" i="2" l="1"/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J23" i="2" l="1"/>
  <c r="I23" i="2"/>
  <c r="C38" i="2"/>
  <c r="C35" i="2"/>
  <c r="C21" i="2"/>
  <c r="C17" i="2"/>
  <c r="C29" i="2"/>
  <c r="C10" i="2"/>
  <c r="C6" i="2"/>
  <c r="C7" i="2" l="1"/>
  <c r="C11" i="2"/>
  <c r="C30" i="2"/>
  <c r="C18" i="2"/>
  <c r="C22" i="2"/>
  <c r="C36" i="2"/>
  <c r="C4" i="2"/>
  <c r="C12" i="2"/>
  <c r="C31" i="2"/>
  <c r="C19" i="2"/>
  <c r="C23" i="2"/>
  <c r="C37" i="2"/>
  <c r="C8" i="2"/>
  <c r="C5" i="2"/>
  <c r="C9" i="2"/>
  <c r="C28" i="2"/>
  <c r="C16" i="2"/>
  <c r="C20" i="2"/>
  <c r="C24" i="2"/>
  <c r="C32" i="2" l="1"/>
  <c r="C39" i="2"/>
  <c r="C25" i="2"/>
  <c r="C13" i="2"/>
  <c r="G11" i="2" l="1"/>
  <c r="G10" i="2"/>
</calcChain>
</file>

<file path=xl/connections.xml><?xml version="1.0" encoding="utf-8"?>
<connections xmlns="http://schemas.openxmlformats.org/spreadsheetml/2006/main">
  <connection id="1" sourceFile="S:\db1_backend.accdb" keepAlive="1" name="db1_backend" type="5" refreshedVersion="5" background="1" saveData="1">
    <dbPr connection="Provider=Microsoft.ACE.OLEDB.12.0;User ID=Admin;Data Source=S:\db1_backend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left(Store,3) as Shop, TradingDate    , Sum(SOH) AS TSOH, Sum([Units Sold]) AS [TUnitsSold], Sum([Net Sales$]) AS [TNetSales], Sum([GP$]) AS [TGP], Cat   FROM WeeklyItemmovement  where Tradingdate = 1731 GROUP BY Store, TradingDate, Cat"/>
  </connection>
</connections>
</file>

<file path=xl/sharedStrings.xml><?xml version="1.0" encoding="utf-8"?>
<sst xmlns="http://schemas.openxmlformats.org/spreadsheetml/2006/main" count="2255" uniqueCount="89">
  <si>
    <t>UNIT</t>
  </si>
  <si>
    <t>TOP</t>
  </si>
  <si>
    <t>PANT</t>
  </si>
  <si>
    <t>LEGGING</t>
  </si>
  <si>
    <t>SH&amp;BL</t>
  </si>
  <si>
    <t>OUTER</t>
  </si>
  <si>
    <t>KNIT</t>
  </si>
  <si>
    <t>SKIRT</t>
  </si>
  <si>
    <t>DRESS</t>
  </si>
  <si>
    <t>etcGar</t>
  </si>
  <si>
    <t>AMOUNT</t>
  </si>
  <si>
    <t>SHOES</t>
  </si>
  <si>
    <t>SCARF</t>
  </si>
  <si>
    <t>ACCESSORY</t>
  </si>
  <si>
    <t>etcAcc</t>
  </si>
  <si>
    <t>TOTAL</t>
  </si>
  <si>
    <t>WK No.</t>
  </si>
  <si>
    <t>Total</t>
  </si>
  <si>
    <t>BLANKET</t>
  </si>
  <si>
    <t>BOOTS</t>
  </si>
  <si>
    <t>BRACELET</t>
  </si>
  <si>
    <t>CLOSED TOE SHOE FLAT</t>
  </si>
  <si>
    <t>CLOSED TOE SHOE HEEL</t>
  </si>
  <si>
    <t>ELASTIC BELT</t>
  </si>
  <si>
    <t>HANDBAG</t>
  </si>
  <si>
    <t>NECKLACE</t>
  </si>
  <si>
    <t>OPEN TOE SHOE FLAT</t>
  </si>
  <si>
    <t>OPEN TOE SHOE HEEL</t>
  </si>
  <si>
    <t>PURSE</t>
  </si>
  <si>
    <t>RING</t>
  </si>
  <si>
    <t>Shop</t>
  </si>
  <si>
    <t>TradingDate</t>
  </si>
  <si>
    <t>TSOH</t>
  </si>
  <si>
    <t>TUnitsSold</t>
  </si>
  <si>
    <t>TNetSales</t>
  </si>
  <si>
    <t>TGP</t>
  </si>
  <si>
    <t>Cat</t>
  </si>
  <si>
    <t>CAT</t>
  </si>
  <si>
    <t>CAT1</t>
  </si>
  <si>
    <t>CAT3</t>
  </si>
  <si>
    <t>APPAREL</t>
  </si>
  <si>
    <t>N.APPAREL</t>
  </si>
  <si>
    <t>NON-ELASTIC BELT</t>
  </si>
  <si>
    <t>EARRING</t>
  </si>
  <si>
    <t>HAIRWEAR</t>
  </si>
  <si>
    <t>UMBRELLA</t>
  </si>
  <si>
    <t>Cat 2</t>
  </si>
  <si>
    <t>001</t>
  </si>
  <si>
    <t>dress</t>
  </si>
  <si>
    <t>knit</t>
  </si>
  <si>
    <t>Legging</t>
  </si>
  <si>
    <t>outer</t>
  </si>
  <si>
    <t>pant</t>
  </si>
  <si>
    <t>sh&amp;bl</t>
  </si>
  <si>
    <t>skirt</t>
  </si>
  <si>
    <t>top</t>
  </si>
  <si>
    <t>016</t>
  </si>
  <si>
    <t>029</t>
  </si>
  <si>
    <t>035</t>
  </si>
  <si>
    <t>037</t>
  </si>
  <si>
    <t>038</t>
  </si>
  <si>
    <t>041</t>
  </si>
  <si>
    <t>042</t>
  </si>
  <si>
    <t>043</t>
  </si>
  <si>
    <t>044</t>
  </si>
  <si>
    <t>045</t>
  </si>
  <si>
    <t>101</t>
  </si>
  <si>
    <t>102</t>
  </si>
  <si>
    <t>103</t>
  </si>
  <si>
    <t>104</t>
  </si>
  <si>
    <t>201</t>
  </si>
  <si>
    <t>304</t>
  </si>
  <si>
    <t>401</t>
  </si>
  <si>
    <t>501</t>
  </si>
  <si>
    <t>017</t>
  </si>
  <si>
    <t>Amount</t>
  </si>
  <si>
    <t>Qty</t>
  </si>
  <si>
    <t>Date</t>
  </si>
  <si>
    <t>Day</t>
  </si>
  <si>
    <t>Week Start date</t>
  </si>
  <si>
    <t>WeeK No</t>
  </si>
  <si>
    <t>Year</t>
  </si>
  <si>
    <t>SUN</t>
  </si>
  <si>
    <t>MON</t>
  </si>
  <si>
    <t>TUE</t>
  </si>
  <si>
    <t>WED</t>
  </si>
  <si>
    <t>THU</t>
  </si>
  <si>
    <t>FRI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</si>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</sst>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theme="0" tint="-0.14999847407452621"/>
      <name val="Calibri"/>
      <family val="2"/>
    </font>
    <font>
      <b/>
      <sz val="8"/>
      <color theme="1"/>
      <name val="Calibri"/>
      <family val="2"/>
      <scheme val="minor"/>
    </font>
    <font>
      <sz val="9"/>
      <color theme="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8">
    <xf numFmtId="0" fontId="0" fillId="0" borderId="0" xfId="0"/>
    <xf numFmtId="0" fontId="2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3" borderId="6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" fontId="3" fillId="3" borderId="6" xfId="0" applyNumberFormat="1" applyFont="1" applyFill="1" applyBorder="1" applyAlignment="1">
      <alignment horizontal="center" vertical="center"/>
    </xf>
    <xf numFmtId="1" fontId="3" fillId="3" borderId="8" xfId="0" applyNumberFormat="1" applyFont="1" applyFill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 vertical="center"/>
    </xf>
    <xf numFmtId="0" fontId="6" fillId="3" borderId="0" xfId="0" applyNumberFormat="1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/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3" borderId="0" xfId="0" applyFont="1" applyFill="1" applyBorder="1"/>
    <xf numFmtId="0" fontId="3" fillId="3" borderId="17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0" fillId="3" borderId="8" xfId="0" applyFill="1" applyBorder="1"/>
    <xf numFmtId="0" fontId="0" fillId="3" borderId="0" xfId="0" applyFill="1" applyBorder="1"/>
    <xf numFmtId="0" fontId="2" fillId="3" borderId="0" xfId="0" applyFont="1" applyFill="1" applyBorder="1" applyAlignment="1">
      <alignment horizontal="center" vertical="center"/>
    </xf>
    <xf numFmtId="14" fontId="0" fillId="3" borderId="18" xfId="0" applyNumberFormat="1" applyFill="1" applyBorder="1" applyAlignment="1">
      <alignment horizontal="center" vertical="center"/>
    </xf>
    <xf numFmtId="14" fontId="0" fillId="3" borderId="19" xfId="0" applyNumberForma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 vertical="center"/>
    </xf>
    <xf numFmtId="14" fontId="0" fillId="3" borderId="14" xfId="0" applyNumberForma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14" fontId="8" fillId="3" borderId="0" xfId="0" applyNumberFormat="1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295275</xdr:colOff>
      <xdr:row>1</xdr:row>
      <xdr:rowOff>38100</xdr:rowOff>
    </xdr:from>
    <xdr:to>
      <xdr:col>6</xdr:col>
      <xdr:colOff>9525</xdr:colOff>
      <xdr:row>3</xdr:row>
      <xdr:rowOff>19050</xdr:rowOff>
    </xdr:to>
    <xdr:sp macro="[0]!WeeklyData" textlink="">
      <xdr:nvSpPr>
        <xdr:cNvPr id="2" name="Rectangle 1"/>
        <xdr:cNvSpPr/>
      </xdr:nvSpPr>
      <xdr:spPr>
        <a:xfrm>
          <a:off x="2981325" y="228600"/>
          <a:ext cx="10858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b1_backend.accdb" connectionId="1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shop" tableColumnId="1"/>
      <queryTableField id="2" name="tradingdate" tableColumnId="2"/>
      <queryTableField id="3" name="tsoh" tableColumnId="3"/>
      <queryTableField id="4" name="tunitssold" tableColumnId="4"/>
      <queryTableField id="5" name="tnetsales" tableColumnId="5"/>
      <queryTableField id="6" name="tgp" tableColumnId="6"/>
      <queryTableField id="7" name="cat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b1_backend.accdb" displayName="Table_db1_backend.accdb" ref="A1:H128" tableType="queryTable" totalsRowShown="0">
  <autoFilter ref="A1:H128"/>
  <tableColumns count="8">
    <tableColumn id="1" uniqueName="1" name="Shop" queryTableFieldId="1"/>
    <tableColumn id="2" uniqueName="2" name="TradingDate" queryTableFieldId="2"/>
    <tableColumn id="3" uniqueName="3" name="TSOH" queryTableFieldId="3"/>
    <tableColumn id="4" uniqueName="4" name="TUnitsSold" queryTableFieldId="4"/>
    <tableColumn id="5" uniqueName="5" name="TNetSales" queryTableFieldId="5"/>
    <tableColumn id="6" uniqueName="6" name="TGP" queryTableFieldId="6"/>
    <tableColumn id="7" uniqueName="7" name="Cat" queryTableFieldId="7"/>
    <tableColumn id="8" uniqueName="8" name="Cat 2" queryTableFieldId="8">
      <calculatedColumnFormula>VLOOKUP(Table_db1_backend.accdb[[#This Row],[Cat]],$P$3:$Q$27,2,0)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6"/>
  <sheetViews>
    <sheetView tabSelected="1" topLeftCell="B1" zoomScale="115" zoomScaleNormal="115" workbookViewId="0">
      <selection activeCell="U5" sqref="U5"/>
    </sheetView>
  </sheetViews>
  <sheetFormatPr defaultColWidth="9" defaultRowHeight="15" x14ac:dyDescent="0.25"/>
  <cols>
    <col min="1" max="1" width="8.28515625" style="29" bestFit="1" customWidth="1"/>
    <col min="2" max="2" width="9" style="29"/>
    <col min="3" max="3" width="10.7109375" style="29" bestFit="1" customWidth="1"/>
    <col min="4" max="16384" width="9" style="29"/>
  </cols>
  <sheetData>
    <row r="1" spans="1:10" x14ac:dyDescent="0.25">
      <c r="A1" s="29" t="s">
        <v>16</v>
      </c>
      <c r="B1" s="29" t="str">
        <f ca="1">VLOOKUP(C1,Data!T:Z,2,0)</f>
        <v>1731</v>
      </c>
      <c r="C1" s="47">
        <f ca="1">TODAY()-1</f>
        <v>42952</v>
      </c>
    </row>
    <row r="2" spans="1:10" ht="10.5" customHeight="1" thickBot="1" x14ac:dyDescent="0.3">
      <c r="H2" s="31"/>
      <c r="I2" s="31" t="s">
        <v>75</v>
      </c>
      <c r="J2" s="31" t="s">
        <v>76</v>
      </c>
    </row>
    <row r="3" spans="1:10" ht="10.5" customHeight="1" x14ac:dyDescent="0.25">
      <c r="A3" s="1" t="s">
        <v>0</v>
      </c>
      <c r="B3" s="2"/>
      <c r="C3" s="2" t="s">
        <v>17</v>
      </c>
      <c r="D3" s="30"/>
      <c r="H3" s="31" t="s">
        <v>47</v>
      </c>
      <c r="I3" s="31">
        <f>SUMIF(Data!$A:$A,Main!$H3,Data!$E:$E)</f>
        <v>0</v>
      </c>
      <c r="J3" s="31">
        <f>SUMIF(Data!$A:$A,Main!$H3,Data!$D:$D)</f>
        <v>0</v>
      </c>
    </row>
    <row r="4" spans="1:10" ht="10.5" customHeight="1" x14ac:dyDescent="0.25">
      <c r="A4" s="3" t="s">
        <v>1</v>
      </c>
      <c r="B4" s="4"/>
      <c r="C4" s="17">
        <f>SUMIF(Data!H:H,Main!A4,Data!D:D)</f>
        <v>1218</v>
      </c>
      <c r="D4" s="30"/>
      <c r="H4" s="31" t="s">
        <v>56</v>
      </c>
      <c r="I4" s="31">
        <f>SUMIF(Data!$A:$A,Main!H4,Data!$E:$E)</f>
        <v>0</v>
      </c>
      <c r="J4" s="31">
        <f>SUMIF(Data!$A:$A,Main!$H4,Data!$D:$D)</f>
        <v>0</v>
      </c>
    </row>
    <row r="5" spans="1:10" ht="10.5" customHeight="1" x14ac:dyDescent="0.25">
      <c r="A5" s="3" t="s">
        <v>2</v>
      </c>
      <c r="B5" s="4"/>
      <c r="C5" s="17">
        <f>SUMIF(Data!H:H,Main!A5,Data!D:D)</f>
        <v>254</v>
      </c>
      <c r="D5" s="30"/>
      <c r="E5" s="17"/>
      <c r="H5" s="31" t="s">
        <v>74</v>
      </c>
      <c r="I5" s="31">
        <f>SUMIF(Data!$A:$A,Main!H5,Data!$E:$E)</f>
        <v>0</v>
      </c>
      <c r="J5" s="31">
        <f>SUMIF(Data!$A:$A,Main!$H5,Data!$D:$D)</f>
        <v>0</v>
      </c>
    </row>
    <row r="6" spans="1:10" ht="10.5" customHeight="1" x14ac:dyDescent="0.25">
      <c r="A6" s="5" t="s">
        <v>3</v>
      </c>
      <c r="B6" s="6"/>
      <c r="C6" s="18">
        <f>SUMIF(Data!H:H,Main!A6,Data!D:D)</f>
        <v>241</v>
      </c>
      <c r="D6" s="30"/>
      <c r="E6" s="37"/>
      <c r="H6" s="31" t="s">
        <v>57</v>
      </c>
      <c r="I6" s="31">
        <f>SUMIF(Data!$A:$A,Main!H6,Data!$E:$E)</f>
        <v>0</v>
      </c>
      <c r="J6" s="31">
        <f>SUMIF(Data!$A:$A,Main!$H6,Data!$D:$D)</f>
        <v>0</v>
      </c>
    </row>
    <row r="7" spans="1:10" ht="10.5" customHeight="1" x14ac:dyDescent="0.25">
      <c r="A7" s="3" t="s">
        <v>4</v>
      </c>
      <c r="B7" s="4"/>
      <c r="C7" s="17">
        <f>SUMIF(Data!H:H,Main!A7,Data!D:D)</f>
        <v>196</v>
      </c>
      <c r="D7" s="33"/>
      <c r="H7" s="31" t="s">
        <v>58</v>
      </c>
      <c r="I7" s="31">
        <f>SUMIF(Data!$A:$A,Main!H7,Data!$E:$E)</f>
        <v>10137.09</v>
      </c>
      <c r="J7" s="31">
        <f>SUMIF(Data!$A:$A,Main!$H7,Data!$D:$D)</f>
        <v>918</v>
      </c>
    </row>
    <row r="8" spans="1:10" ht="10.5" customHeight="1" thickBot="1" x14ac:dyDescent="0.3">
      <c r="A8" s="3" t="s">
        <v>5</v>
      </c>
      <c r="B8" s="4"/>
      <c r="C8" s="17">
        <f>SUMIF(Data!H:H,Main!A8,Data!D:D)</f>
        <v>728</v>
      </c>
      <c r="D8" s="33"/>
      <c r="E8" s="36"/>
      <c r="H8" s="31" t="s">
        <v>59</v>
      </c>
      <c r="I8" s="31">
        <f>SUMIF(Data!$A:$A,Main!H8,Data!$E:$E)</f>
        <v>8473.32</v>
      </c>
      <c r="J8" s="31">
        <f>SUMIF(Data!$A:$A,Main!$H8,Data!$D:$D)</f>
        <v>977</v>
      </c>
    </row>
    <row r="9" spans="1:10" ht="10.5" customHeight="1" x14ac:dyDescent="0.25">
      <c r="A9" s="5" t="s">
        <v>6</v>
      </c>
      <c r="B9" s="6"/>
      <c r="C9" s="18">
        <f>SUMIF(Data!H:H,Main!A9,Data!D:D)</f>
        <v>3122</v>
      </c>
      <c r="D9" s="33"/>
      <c r="E9" s="38" t="s">
        <v>15</v>
      </c>
      <c r="F9" s="11"/>
      <c r="G9" s="2" t="s">
        <v>17</v>
      </c>
      <c r="H9" s="31" t="s">
        <v>60</v>
      </c>
      <c r="I9" s="31">
        <f>SUMIF(Data!$A:$A,Main!H9,Data!$E:$E)</f>
        <v>0</v>
      </c>
      <c r="J9" s="31">
        <f>SUMIF(Data!$A:$A,Main!$H9,Data!$D:$D)</f>
        <v>0</v>
      </c>
    </row>
    <row r="10" spans="1:10" ht="10.5" customHeight="1" x14ac:dyDescent="0.25">
      <c r="A10" s="3" t="s">
        <v>7</v>
      </c>
      <c r="B10" s="4"/>
      <c r="C10" s="17">
        <f>SUMIF(Data!H:H,Main!A10,Data!D:D)</f>
        <v>184</v>
      </c>
      <c r="D10" s="30"/>
      <c r="E10" s="17" t="s">
        <v>0</v>
      </c>
      <c r="F10" s="17"/>
      <c r="G10" s="32">
        <f>C13+C32</f>
        <v>6871</v>
      </c>
      <c r="H10" s="31" t="s">
        <v>61</v>
      </c>
      <c r="I10" s="31">
        <f>SUMIF(Data!$A:$A,Main!H10,Data!$E:$E)</f>
        <v>7906.55</v>
      </c>
      <c r="J10" s="31">
        <f>SUMIF(Data!$A:$A,Main!$H10,Data!$D:$D)</f>
        <v>824</v>
      </c>
    </row>
    <row r="11" spans="1:10" ht="10.5" customHeight="1" thickBot="1" x14ac:dyDescent="0.3">
      <c r="A11" s="3" t="s">
        <v>8</v>
      </c>
      <c r="B11" s="4"/>
      <c r="C11" s="17">
        <f>SUMIF(Data!H:H,Main!A11,Data!D:D)</f>
        <v>492</v>
      </c>
      <c r="D11" s="30"/>
      <c r="E11" s="8" t="s">
        <v>10</v>
      </c>
      <c r="F11" s="8"/>
      <c r="G11" s="19">
        <f>C25+C39</f>
        <v>63871.079999999987</v>
      </c>
      <c r="H11" s="31" t="s">
        <v>62</v>
      </c>
      <c r="I11" s="31">
        <f>SUMIF(Data!$A:$A,Main!H11,Data!$E:$E)</f>
        <v>0</v>
      </c>
      <c r="J11" s="31">
        <f>SUMIF(Data!$A:$A,Main!$H11,Data!$D:$D)</f>
        <v>0</v>
      </c>
    </row>
    <row r="12" spans="1:10" ht="10.5" customHeight="1" x14ac:dyDescent="0.25">
      <c r="A12" s="3" t="s">
        <v>9</v>
      </c>
      <c r="B12" s="4"/>
      <c r="C12" s="17">
        <f>SUMIF(Data!H:H,Main!A12,Data!D:D)</f>
        <v>0</v>
      </c>
      <c r="D12" s="30"/>
      <c r="H12" s="31" t="s">
        <v>63</v>
      </c>
      <c r="I12" s="31">
        <f>SUMIF(Data!$A:$A,Main!H12,Data!$E:$E)</f>
        <v>9510.7699999999986</v>
      </c>
      <c r="J12" s="31">
        <f>SUMIF(Data!$A:$A,Main!$H12,Data!$D:$D)</f>
        <v>941</v>
      </c>
    </row>
    <row r="13" spans="1:10" ht="10.5" customHeight="1" thickBot="1" x14ac:dyDescent="0.3">
      <c r="A13" s="7"/>
      <c r="B13" s="8"/>
      <c r="C13" s="19">
        <f>SUM(C4:C12)</f>
        <v>6435</v>
      </c>
      <c r="D13" s="30"/>
      <c r="H13" s="31" t="s">
        <v>64</v>
      </c>
      <c r="I13" s="31">
        <f>SUMIF(Data!$A:$A,Main!H13,Data!$E:$E)</f>
        <v>6185.43</v>
      </c>
      <c r="J13" s="31">
        <f>SUMIF(Data!$A:$A,Main!$H13,Data!$D:$D)</f>
        <v>685</v>
      </c>
    </row>
    <row r="14" spans="1:10" ht="10.5" customHeight="1" thickBot="1" x14ac:dyDescent="0.3">
      <c r="A14" s="9"/>
      <c r="B14" s="9"/>
      <c r="C14" s="10"/>
      <c r="D14" s="30"/>
      <c r="H14" s="31" t="s">
        <v>65</v>
      </c>
      <c r="I14" s="31">
        <f>SUMIF(Data!$A:$A,Main!H14,Data!$E:$E)</f>
        <v>0</v>
      </c>
      <c r="J14" s="31">
        <f>SUMIF(Data!$A:$A,Main!$H14,Data!$D:$D)</f>
        <v>0</v>
      </c>
    </row>
    <row r="15" spans="1:10" ht="10.5" customHeight="1" x14ac:dyDescent="0.25">
      <c r="A15" s="1" t="s">
        <v>10</v>
      </c>
      <c r="B15" s="11"/>
      <c r="C15" s="2" t="s">
        <v>17</v>
      </c>
      <c r="D15" s="30"/>
      <c r="H15" s="31" t="s">
        <v>66</v>
      </c>
      <c r="I15" s="31">
        <f>SUMIF(Data!$A:$A,Main!H15,Data!$E:$E)</f>
        <v>0</v>
      </c>
      <c r="J15" s="31">
        <f>SUMIF(Data!$A:$A,Main!$H15,Data!$D:$D)</f>
        <v>0</v>
      </c>
    </row>
    <row r="16" spans="1:10" ht="10.5" customHeight="1" x14ac:dyDescent="0.25">
      <c r="A16" s="3" t="s">
        <v>1</v>
      </c>
      <c r="B16" s="4"/>
      <c r="C16" s="17">
        <f>SUMIF(Data!H:H,Main!A16,Data!E:E)</f>
        <v>9278.889999999994</v>
      </c>
      <c r="D16" s="30"/>
      <c r="H16" s="31" t="s">
        <v>67</v>
      </c>
      <c r="I16" s="31">
        <f>SUMIF(Data!$A:$A,Main!H16,Data!$E:$E)</f>
        <v>0</v>
      </c>
      <c r="J16" s="31">
        <f>SUMIF(Data!$A:$A,Main!$H16,Data!$D:$D)</f>
        <v>0</v>
      </c>
    </row>
    <row r="17" spans="1:10" ht="10.5" customHeight="1" x14ac:dyDescent="0.25">
      <c r="A17" s="3" t="s">
        <v>2</v>
      </c>
      <c r="B17" s="4"/>
      <c r="C17" s="17">
        <f>SUMIF(Data!H:H,Main!A17,Data!E:E)</f>
        <v>2064.17</v>
      </c>
      <c r="D17" s="30"/>
      <c r="H17" s="31" t="s">
        <v>68</v>
      </c>
      <c r="I17" s="31">
        <f>SUMIF(Data!$A:$A,Main!H17,Data!$E:$E)</f>
        <v>12953.35</v>
      </c>
      <c r="J17" s="31">
        <f>SUMIF(Data!$A:$A,Main!$H17,Data!$D:$D)</f>
        <v>1554</v>
      </c>
    </row>
    <row r="18" spans="1:10" ht="10.5" customHeight="1" x14ac:dyDescent="0.25">
      <c r="A18" s="5" t="s">
        <v>3</v>
      </c>
      <c r="B18" s="6"/>
      <c r="C18" s="18">
        <f>SUMIF(Data!H:H,Main!A18,Data!E:E)</f>
        <v>2520.9499999999998</v>
      </c>
      <c r="D18" s="30"/>
      <c r="H18" s="31" t="s">
        <v>69</v>
      </c>
      <c r="I18" s="31">
        <f>SUMIF(Data!$A:$A,Main!H18,Data!$E:$E)</f>
        <v>0</v>
      </c>
      <c r="J18" s="31">
        <f>SUMIF(Data!$A:$A,Main!$H18,Data!$D:$D)</f>
        <v>0</v>
      </c>
    </row>
    <row r="19" spans="1:10" ht="10.5" customHeight="1" x14ac:dyDescent="0.25">
      <c r="A19" s="3" t="s">
        <v>4</v>
      </c>
      <c r="B19" s="4"/>
      <c r="C19" s="17">
        <f>SUMIF(Data!H:H,Main!A19,Data!E:E)</f>
        <v>1940.0100000000002</v>
      </c>
      <c r="D19" s="30"/>
      <c r="H19" s="31" t="s">
        <v>70</v>
      </c>
      <c r="I19" s="31">
        <f>SUMIF(Data!$A:$A,Main!H19,Data!$E:$E)</f>
        <v>8704.5699999999979</v>
      </c>
      <c r="J19" s="31">
        <f>SUMIF(Data!$A:$A,Main!$H19,Data!$D:$D)</f>
        <v>972</v>
      </c>
    </row>
    <row r="20" spans="1:10" ht="10.5" customHeight="1" x14ac:dyDescent="0.25">
      <c r="A20" s="3" t="s">
        <v>5</v>
      </c>
      <c r="B20" s="4"/>
      <c r="C20" s="17">
        <f>SUMIF(Data!H:H,Main!A20,Data!E:E)</f>
        <v>9664</v>
      </c>
      <c r="D20" s="30"/>
      <c r="H20" s="31" t="s">
        <v>71</v>
      </c>
      <c r="I20" s="31">
        <f>SUMIF(Data!$A:$A,Main!H20,Data!$E:$E)</f>
        <v>0</v>
      </c>
      <c r="J20" s="31">
        <f>SUMIF(Data!$A:$A,Main!$H20,Data!$D:$D)</f>
        <v>0</v>
      </c>
    </row>
    <row r="21" spans="1:10" ht="10.5" customHeight="1" x14ac:dyDescent="0.25">
      <c r="A21" s="5" t="s">
        <v>6</v>
      </c>
      <c r="B21" s="6"/>
      <c r="C21" s="18">
        <f>SUMIF(Data!H:H,Main!A21,Data!E:E)</f>
        <v>28008.639999999996</v>
      </c>
      <c r="D21" s="30"/>
      <c r="H21" s="31" t="s">
        <v>72</v>
      </c>
      <c r="I21" s="31">
        <f>SUMIF(Data!$A:$A,Main!H21,Data!$E:$E)</f>
        <v>0</v>
      </c>
      <c r="J21" s="31">
        <f>SUMIF(Data!$A:$A,Main!$H21,Data!$D:$D)</f>
        <v>0</v>
      </c>
    </row>
    <row r="22" spans="1:10" ht="10.5" customHeight="1" x14ac:dyDescent="0.25">
      <c r="A22" s="3" t="s">
        <v>7</v>
      </c>
      <c r="B22" s="4"/>
      <c r="C22" s="17">
        <f>SUMIF(Data!H:H,Main!A22,Data!E:E)</f>
        <v>1958.76</v>
      </c>
      <c r="D22" s="30"/>
      <c r="H22" s="31" t="s">
        <v>73</v>
      </c>
      <c r="I22" s="31">
        <f>SUMIF(Data!$A:$A,Main!H22,Data!$E:$E)</f>
        <v>0</v>
      </c>
      <c r="J22" s="31">
        <f>SUMIF(Data!$A:$A,Main!$H22,Data!$D:$D)</f>
        <v>0</v>
      </c>
    </row>
    <row r="23" spans="1:10" ht="10.5" customHeight="1" thickBot="1" x14ac:dyDescent="0.3">
      <c r="A23" s="3" t="s">
        <v>8</v>
      </c>
      <c r="B23" s="4"/>
      <c r="C23" s="17">
        <f>SUMIF(Data!H:H,Main!A23,Data!E:E)</f>
        <v>6082.9599999999991</v>
      </c>
      <c r="D23" s="30"/>
      <c r="H23" s="34" t="s">
        <v>17</v>
      </c>
      <c r="I23" s="35">
        <f>SUM(I3:I22)</f>
        <v>63871.079999999994</v>
      </c>
      <c r="J23" s="35">
        <f>SUM(J3:J22)</f>
        <v>6871</v>
      </c>
    </row>
    <row r="24" spans="1:10" ht="10.5" customHeight="1" x14ac:dyDescent="0.25">
      <c r="A24" s="3" t="s">
        <v>9</v>
      </c>
      <c r="B24" s="4"/>
      <c r="C24" s="17">
        <f>SUMIF(Data!H:H,Main!A24,Data!E:E)</f>
        <v>0</v>
      </c>
      <c r="D24" s="30"/>
    </row>
    <row r="25" spans="1:10" ht="10.5" customHeight="1" thickBot="1" x14ac:dyDescent="0.3">
      <c r="A25" s="7"/>
      <c r="B25" s="8"/>
      <c r="C25" s="19">
        <f>SUM(C16:C24)</f>
        <v>61518.37999999999</v>
      </c>
      <c r="D25" s="30"/>
      <c r="H25" s="37"/>
    </row>
    <row r="26" spans="1:10" ht="10.5" customHeight="1" thickBot="1" x14ac:dyDescent="0.3">
      <c r="A26" s="10"/>
      <c r="B26" s="10"/>
      <c r="C26" s="10"/>
      <c r="D26" s="30"/>
      <c r="H26" s="37"/>
    </row>
    <row r="27" spans="1:10" ht="10.5" customHeight="1" x14ac:dyDescent="0.25">
      <c r="A27" s="1" t="s">
        <v>0</v>
      </c>
      <c r="B27" s="2"/>
      <c r="C27" s="2" t="s">
        <v>17</v>
      </c>
      <c r="D27" s="30"/>
    </row>
    <row r="28" spans="1:10" ht="10.5" customHeight="1" x14ac:dyDescent="0.25">
      <c r="A28" s="3" t="s">
        <v>11</v>
      </c>
      <c r="B28" s="12"/>
      <c r="C28" s="17">
        <f>SUMIF(Data!H:H,Main!A28,Data!D:D)</f>
        <v>0</v>
      </c>
      <c r="D28" s="30"/>
    </row>
    <row r="29" spans="1:10" ht="10.5" customHeight="1" x14ac:dyDescent="0.25">
      <c r="A29" s="3" t="s">
        <v>12</v>
      </c>
      <c r="B29" s="12"/>
      <c r="C29" s="17">
        <f>SUMIF(Data!H:H,Main!A29,Data!D:D)</f>
        <v>432</v>
      </c>
      <c r="D29" s="30"/>
    </row>
    <row r="30" spans="1:10" ht="10.5" customHeight="1" x14ac:dyDescent="0.25">
      <c r="A30" s="5" t="s">
        <v>13</v>
      </c>
      <c r="B30" s="13"/>
      <c r="C30" s="18">
        <f>SUMIF(Data!H:H,Main!A30,Data!D:D)</f>
        <v>4</v>
      </c>
      <c r="D30" s="30"/>
    </row>
    <row r="31" spans="1:10" ht="10.5" customHeight="1" x14ac:dyDescent="0.25">
      <c r="A31" s="3" t="s">
        <v>14</v>
      </c>
      <c r="B31" s="12"/>
      <c r="C31" s="17">
        <f>SUMIF(Data!H:H,Main!A31,Data!D:D)</f>
        <v>0</v>
      </c>
      <c r="D31" s="30"/>
    </row>
    <row r="32" spans="1:10" ht="10.5" customHeight="1" thickBot="1" x14ac:dyDescent="0.3">
      <c r="A32" s="7"/>
      <c r="B32" s="14"/>
      <c r="C32" s="19">
        <f>SUM(C28:C31)</f>
        <v>436</v>
      </c>
      <c r="D32" s="30"/>
    </row>
    <row r="33" spans="1:4" ht="10.5" customHeight="1" thickBot="1" x14ac:dyDescent="0.3">
      <c r="A33" s="15"/>
      <c r="B33" s="15"/>
      <c r="C33" s="16"/>
      <c r="D33" s="30"/>
    </row>
    <row r="34" spans="1:4" ht="10.5" customHeight="1" x14ac:dyDescent="0.25">
      <c r="A34" s="1" t="s">
        <v>10</v>
      </c>
      <c r="B34" s="11"/>
      <c r="C34" s="2" t="s">
        <v>17</v>
      </c>
      <c r="D34" s="30"/>
    </row>
    <row r="35" spans="1:4" ht="10.5" customHeight="1" x14ac:dyDescent="0.25">
      <c r="A35" s="3" t="s">
        <v>11</v>
      </c>
      <c r="B35" s="17"/>
      <c r="C35" s="17">
        <f>SUMIF(Data!H:H,Main!A35,Data!E:E)</f>
        <v>0</v>
      </c>
      <c r="D35" s="30"/>
    </row>
    <row r="36" spans="1:4" ht="10.5" customHeight="1" x14ac:dyDescent="0.25">
      <c r="A36" s="3" t="s">
        <v>12</v>
      </c>
      <c r="B36" s="17"/>
      <c r="C36" s="17">
        <f>SUMIF(Data!H:H,Main!A36,Data!E:E)</f>
        <v>2334.5200000000009</v>
      </c>
      <c r="D36" s="30"/>
    </row>
    <row r="37" spans="1:4" ht="10.5" customHeight="1" x14ac:dyDescent="0.25">
      <c r="A37" s="5" t="s">
        <v>13</v>
      </c>
      <c r="B37" s="18"/>
      <c r="C37" s="18">
        <f>SUMIF(Data!H:H,Main!A37,Data!E:E)</f>
        <v>18.18</v>
      </c>
      <c r="D37" s="30"/>
    </row>
    <row r="38" spans="1:4" ht="10.5" customHeight="1" x14ac:dyDescent="0.25">
      <c r="A38" s="3" t="s">
        <v>14</v>
      </c>
      <c r="B38" s="17"/>
      <c r="C38" s="17">
        <f>SUMIF(Data!H:H,Main!A38,Data!E:E)</f>
        <v>0</v>
      </c>
      <c r="D38" s="30"/>
    </row>
    <row r="39" spans="1:4" ht="10.5" customHeight="1" thickBot="1" x14ac:dyDescent="0.3">
      <c r="A39" s="7"/>
      <c r="B39" s="8"/>
      <c r="C39" s="19">
        <f>SUM(C35:C38)</f>
        <v>2352.7000000000007</v>
      </c>
      <c r="D39" s="30"/>
    </row>
    <row r="40" spans="1:4" ht="10.5" customHeight="1" x14ac:dyDescent="0.25">
      <c r="A40" s="10"/>
      <c r="B40" s="10"/>
      <c r="C40" s="10"/>
      <c r="D40" s="30"/>
    </row>
    <row r="41" spans="1:4" x14ac:dyDescent="0.25">
      <c r="D41" s="30"/>
    </row>
    <row r="42" spans="1:4" x14ac:dyDescent="0.25">
      <c r="D42" s="30"/>
    </row>
    <row r="43" spans="1:4" x14ac:dyDescent="0.25">
      <c r="D43" s="30"/>
    </row>
    <row r="44" spans="1:4" x14ac:dyDescent="0.25">
      <c r="B44" s="30"/>
      <c r="C44" s="30"/>
      <c r="D44" s="30"/>
    </row>
    <row r="45" spans="1:4" x14ac:dyDescent="0.25">
      <c r="B45" s="30"/>
      <c r="C45" s="30"/>
      <c r="D45" s="30"/>
    </row>
    <row r="46" spans="1:4" x14ac:dyDescent="0.25">
      <c r="B46" s="30"/>
      <c r="C46" s="30"/>
      <c r="D46" s="30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ignoredErrors>
    <ignoredError sqref="H3 H4:H22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849"/>
  <sheetViews>
    <sheetView workbookViewId="0"/>
  </sheetViews>
  <sheetFormatPr defaultRowHeight="15" x14ac:dyDescent="0.25"/>
  <cols>
    <col min="1" max="1" width="7.7109375" bestFit="1" customWidth="1"/>
    <col min="2" max="2" width="14" bestFit="1" customWidth="1"/>
    <col min="3" max="3" width="8" bestFit="1" customWidth="1"/>
    <col min="4" max="4" width="12.85546875" bestFit="1" customWidth="1"/>
    <col min="5" max="5" width="12.140625" bestFit="1" customWidth="1"/>
    <col min="6" max="6" width="7" customWidth="1"/>
    <col min="7" max="7" width="21.7109375" customWidth="1"/>
    <col min="8" max="8" width="11.140625" customWidth="1"/>
    <col min="9" max="9" width="12.28515625" bestFit="1" customWidth="1"/>
    <col min="10" max="11" width="11.42578125" bestFit="1" customWidth="1"/>
    <col min="12" max="12" width="6.140625" bestFit="1" customWidth="1"/>
    <col min="13" max="13" width="9.140625" bestFit="1" customWidth="1"/>
    <col min="14" max="15" width="10" bestFit="1" customWidth="1"/>
    <col min="16" max="16" width="10.42578125" bestFit="1" customWidth="1"/>
    <col min="17" max="17" width="10.28515625" bestFit="1" customWidth="1"/>
    <col min="18" max="18" width="11.85546875" bestFit="1" customWidth="1"/>
    <col min="19" max="19" width="19.42578125" bestFit="1" customWidth="1"/>
    <col min="20" max="20" width="10.7109375" bestFit="1" customWidth="1"/>
    <col min="23" max="23" width="12" bestFit="1" customWidth="1"/>
    <col min="24" max="24" width="7.140625" bestFit="1" customWidth="1"/>
    <col min="25" max="25" width="5" bestFit="1" customWidth="1"/>
    <col min="26" max="26" width="7" bestFit="1" customWidth="1"/>
    <col min="27" max="27" width="18.85546875" bestFit="1" customWidth="1"/>
  </cols>
  <sheetData>
    <row r="1" spans="1:26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46</v>
      </c>
      <c r="T1" t="s">
        <v>77</v>
      </c>
      <c r="V1" t="s">
        <v>78</v>
      </c>
      <c r="W1" t="s">
        <v>79</v>
      </c>
      <c r="X1" t="s">
        <v>80</v>
      </c>
      <c r="Y1" t="s">
        <v>81</v>
      </c>
    </row>
    <row r="2" spans="1:26" x14ac:dyDescent="0.25">
      <c r="A2" t="s">
        <v>47</v>
      </c>
      <c r="B2">
        <v>1731</v>
      </c>
      <c r="C2">
        <v>0</v>
      </c>
      <c r="D2">
        <v>0</v>
      </c>
      <c r="E2">
        <v>0</v>
      </c>
      <c r="F2">
        <v>0</v>
      </c>
      <c r="G2" t="s">
        <v>18</v>
      </c>
      <c r="H2" t="str">
        <f>VLOOKUP(Table_db1_backend.accdb[[#This Row],[Cat]],$P$3:$Q$27,2,0)</f>
        <v>ACCESSORY</v>
      </c>
      <c r="P2" s="20" t="s">
        <v>37</v>
      </c>
      <c r="Q2" s="21" t="s">
        <v>38</v>
      </c>
      <c r="R2" s="22" t="s">
        <v>39</v>
      </c>
      <c r="T2" s="39">
        <v>42001</v>
      </c>
      <c r="U2" t="str">
        <f t="shared" ref="U2:U65" si="0">RIGHT(Z2,4)</f>
        <v>1501</v>
      </c>
      <c r="V2" s="40" t="s">
        <v>82</v>
      </c>
      <c r="W2" s="40">
        <v>42001</v>
      </c>
      <c r="X2" s="41">
        <v>1</v>
      </c>
      <c r="Y2" s="41">
        <v>2015</v>
      </c>
      <c r="Z2" s="42">
        <v>201501</v>
      </c>
    </row>
    <row r="3" spans="1:26" x14ac:dyDescent="0.25">
      <c r="A3" t="s">
        <v>47</v>
      </c>
      <c r="B3">
        <v>1731</v>
      </c>
      <c r="C3">
        <v>0</v>
      </c>
      <c r="D3">
        <v>0</v>
      </c>
      <c r="E3">
        <v>0</v>
      </c>
      <c r="F3">
        <v>0</v>
      </c>
      <c r="G3" t="s">
        <v>20</v>
      </c>
      <c r="H3" t="str">
        <f>VLOOKUP(Table_db1_backend.accdb[[#This Row],[Cat]],$P$3:$Q$27,2,0)</f>
        <v>ACCESSORY</v>
      </c>
      <c r="P3" s="23" t="s">
        <v>1</v>
      </c>
      <c r="Q3" s="24" t="s">
        <v>1</v>
      </c>
      <c r="R3" s="25" t="s">
        <v>40</v>
      </c>
      <c r="T3" s="43">
        <v>42002</v>
      </c>
      <c r="U3" t="str">
        <f t="shared" si="0"/>
        <v>1501</v>
      </c>
      <c r="V3" s="44" t="s">
        <v>83</v>
      </c>
      <c r="W3" s="44">
        <v>42001</v>
      </c>
      <c r="X3" s="24">
        <v>1</v>
      </c>
      <c r="Y3" s="24">
        <v>2015</v>
      </c>
      <c r="Z3" s="25">
        <v>201501</v>
      </c>
    </row>
    <row r="4" spans="1:26" x14ac:dyDescent="0.25">
      <c r="A4" t="s">
        <v>47</v>
      </c>
      <c r="B4">
        <v>1731</v>
      </c>
      <c r="C4">
        <v>-6</v>
      </c>
      <c r="D4">
        <v>0</v>
      </c>
      <c r="E4">
        <v>0</v>
      </c>
      <c r="F4">
        <v>0</v>
      </c>
      <c r="G4" t="s">
        <v>21</v>
      </c>
      <c r="H4" t="str">
        <f>VLOOKUP(Table_db1_backend.accdb[[#This Row],[Cat]],$P$3:$Q$27,2,0)</f>
        <v>SHOES</v>
      </c>
      <c r="P4" s="23" t="s">
        <v>2</v>
      </c>
      <c r="Q4" s="24" t="s">
        <v>2</v>
      </c>
      <c r="R4" s="25" t="s">
        <v>40</v>
      </c>
      <c r="T4" s="43">
        <v>42003</v>
      </c>
      <c r="U4" t="str">
        <f t="shared" si="0"/>
        <v>1501</v>
      </c>
      <c r="V4" s="44" t="s">
        <v>84</v>
      </c>
      <c r="W4" s="44">
        <v>42001</v>
      </c>
      <c r="X4" s="24">
        <v>1</v>
      </c>
      <c r="Y4" s="24">
        <v>2015</v>
      </c>
      <c r="Z4" s="25">
        <v>201501</v>
      </c>
    </row>
    <row r="5" spans="1:26" x14ac:dyDescent="0.25">
      <c r="A5" t="s">
        <v>47</v>
      </c>
      <c r="B5">
        <v>1731</v>
      </c>
      <c r="C5">
        <v>6</v>
      </c>
      <c r="D5">
        <v>0</v>
      </c>
      <c r="E5">
        <v>0</v>
      </c>
      <c r="F5">
        <v>0</v>
      </c>
      <c r="G5" t="s">
        <v>22</v>
      </c>
      <c r="H5" t="str">
        <f>VLOOKUP(Table_db1_backend.accdb[[#This Row],[Cat]],$P$3:$Q$27,2,0)</f>
        <v>SHOES</v>
      </c>
      <c r="P5" s="23" t="s">
        <v>3</v>
      </c>
      <c r="Q5" s="24" t="s">
        <v>3</v>
      </c>
      <c r="R5" s="25" t="s">
        <v>40</v>
      </c>
      <c r="T5" s="43">
        <v>42004</v>
      </c>
      <c r="U5" t="str">
        <f t="shared" si="0"/>
        <v>1501</v>
      </c>
      <c r="V5" s="44" t="s">
        <v>85</v>
      </c>
      <c r="W5" s="44">
        <v>42001</v>
      </c>
      <c r="X5" s="24">
        <v>1</v>
      </c>
      <c r="Y5" s="24">
        <v>2015</v>
      </c>
      <c r="Z5" s="25">
        <v>201501</v>
      </c>
    </row>
    <row r="6" spans="1:26" x14ac:dyDescent="0.25">
      <c r="A6" t="s">
        <v>47</v>
      </c>
      <c r="B6">
        <v>1731</v>
      </c>
      <c r="C6">
        <v>3898</v>
      </c>
      <c r="D6">
        <v>0</v>
      </c>
      <c r="E6">
        <v>0</v>
      </c>
      <c r="F6">
        <v>0</v>
      </c>
      <c r="G6" t="s">
        <v>48</v>
      </c>
      <c r="H6" t="str">
        <f>VLOOKUP(Table_db1_backend.accdb[[#This Row],[Cat]],$P$3:$Q$27,2,0)</f>
        <v>DRESS</v>
      </c>
      <c r="P6" s="23" t="s">
        <v>4</v>
      </c>
      <c r="Q6" s="24" t="s">
        <v>4</v>
      </c>
      <c r="R6" s="25" t="s">
        <v>40</v>
      </c>
      <c r="T6" s="43">
        <v>42005</v>
      </c>
      <c r="U6" t="str">
        <f t="shared" si="0"/>
        <v>1501</v>
      </c>
      <c r="V6" s="44" t="s">
        <v>86</v>
      </c>
      <c r="W6" s="44">
        <v>42001</v>
      </c>
      <c r="X6" s="24">
        <v>1</v>
      </c>
      <c r="Y6" s="24">
        <v>2015</v>
      </c>
      <c r="Z6" s="25">
        <v>201501</v>
      </c>
    </row>
    <row r="7" spans="1:26" x14ac:dyDescent="0.25">
      <c r="A7" t="s">
        <v>47</v>
      </c>
      <c r="B7">
        <v>1731</v>
      </c>
      <c r="C7">
        <v>1</v>
      </c>
      <c r="D7">
        <v>0</v>
      </c>
      <c r="E7">
        <v>0</v>
      </c>
      <c r="F7">
        <v>0</v>
      </c>
      <c r="G7" t="s">
        <v>23</v>
      </c>
      <c r="H7" t="str">
        <f>VLOOKUP(Table_db1_backend.accdb[[#This Row],[Cat]],$P$3:$Q$27,2,0)</f>
        <v>ACCESSORY</v>
      </c>
      <c r="P7" s="23" t="s">
        <v>5</v>
      </c>
      <c r="Q7" s="24" t="s">
        <v>5</v>
      </c>
      <c r="R7" s="25" t="s">
        <v>40</v>
      </c>
      <c r="T7" s="43">
        <v>42006</v>
      </c>
      <c r="U7" t="str">
        <f t="shared" si="0"/>
        <v>1501</v>
      </c>
      <c r="V7" s="44" t="s">
        <v>87</v>
      </c>
      <c r="W7" s="44">
        <v>42001</v>
      </c>
      <c r="X7" s="24">
        <v>1</v>
      </c>
      <c r="Y7" s="24">
        <v>2015</v>
      </c>
      <c r="Z7" s="25">
        <v>201501</v>
      </c>
    </row>
    <row r="8" spans="1:26" x14ac:dyDescent="0.25">
      <c r="A8" t="s">
        <v>47</v>
      </c>
      <c r="B8">
        <v>1731</v>
      </c>
      <c r="C8">
        <v>215</v>
      </c>
      <c r="D8">
        <v>0</v>
      </c>
      <c r="E8">
        <v>0</v>
      </c>
      <c r="F8">
        <v>0</v>
      </c>
      <c r="G8" t="s">
        <v>24</v>
      </c>
      <c r="H8" t="str">
        <f>VLOOKUP(Table_db1_backend.accdb[[#This Row],[Cat]],$P$3:$Q$27,2,0)</f>
        <v>ACCESSORY</v>
      </c>
      <c r="P8" s="23" t="s">
        <v>6</v>
      </c>
      <c r="Q8" s="24" t="s">
        <v>6</v>
      </c>
      <c r="R8" s="25" t="s">
        <v>40</v>
      </c>
      <c r="T8" s="43">
        <v>42007</v>
      </c>
      <c r="U8" t="str">
        <f t="shared" si="0"/>
        <v>1501</v>
      </c>
      <c r="V8" s="44" t="s">
        <v>88</v>
      </c>
      <c r="W8" s="44">
        <v>42001</v>
      </c>
      <c r="X8" s="24">
        <v>1</v>
      </c>
      <c r="Y8" s="24">
        <v>2015</v>
      </c>
      <c r="Z8" s="25">
        <v>201501</v>
      </c>
    </row>
    <row r="9" spans="1:26" x14ac:dyDescent="0.25">
      <c r="A9" t="s">
        <v>47</v>
      </c>
      <c r="B9">
        <v>1731</v>
      </c>
      <c r="C9">
        <v>9541</v>
      </c>
      <c r="D9">
        <v>0</v>
      </c>
      <c r="E9">
        <v>0</v>
      </c>
      <c r="F9">
        <v>0</v>
      </c>
      <c r="G9" t="s">
        <v>49</v>
      </c>
      <c r="H9" t="str">
        <f>VLOOKUP(Table_db1_backend.accdb[[#This Row],[Cat]],$P$3:$Q$27,2,0)</f>
        <v>KNIT</v>
      </c>
      <c r="P9" s="23" t="s">
        <v>7</v>
      </c>
      <c r="Q9" s="24" t="s">
        <v>7</v>
      </c>
      <c r="R9" s="25" t="s">
        <v>40</v>
      </c>
      <c r="T9" s="43">
        <v>42008</v>
      </c>
      <c r="U9" t="str">
        <f t="shared" si="0"/>
        <v>1502</v>
      </c>
      <c r="V9" s="44" t="s">
        <v>82</v>
      </c>
      <c r="W9" s="44">
        <v>42008</v>
      </c>
      <c r="X9" s="24">
        <v>2</v>
      </c>
      <c r="Y9" s="24">
        <v>2015</v>
      </c>
      <c r="Z9" s="25">
        <v>201502</v>
      </c>
    </row>
    <row r="10" spans="1:26" x14ac:dyDescent="0.25">
      <c r="A10" t="s">
        <v>47</v>
      </c>
      <c r="B10">
        <v>1731</v>
      </c>
      <c r="C10">
        <v>4173</v>
      </c>
      <c r="D10">
        <v>0</v>
      </c>
      <c r="E10">
        <v>0</v>
      </c>
      <c r="F10">
        <v>0</v>
      </c>
      <c r="G10" t="s">
        <v>50</v>
      </c>
      <c r="H10" t="str">
        <f>VLOOKUP(Table_db1_backend.accdb[[#This Row],[Cat]],$P$3:$Q$27,2,0)</f>
        <v>LEGGING</v>
      </c>
      <c r="P10" s="23" t="s">
        <v>8</v>
      </c>
      <c r="Q10" s="24" t="s">
        <v>8</v>
      </c>
      <c r="R10" s="25" t="s">
        <v>40</v>
      </c>
      <c r="T10" s="43">
        <v>42009</v>
      </c>
      <c r="U10" t="str">
        <f t="shared" si="0"/>
        <v>1502</v>
      </c>
      <c r="V10" s="44" t="s">
        <v>83</v>
      </c>
      <c r="W10" s="44">
        <v>42008</v>
      </c>
      <c r="X10" s="24">
        <v>2</v>
      </c>
      <c r="Y10" s="24">
        <v>2015</v>
      </c>
      <c r="Z10" s="25">
        <v>201502</v>
      </c>
    </row>
    <row r="11" spans="1:26" x14ac:dyDescent="0.25">
      <c r="A11" t="s">
        <v>47</v>
      </c>
      <c r="B11">
        <v>1731</v>
      </c>
      <c r="C11">
        <v>0</v>
      </c>
      <c r="D11">
        <v>0</v>
      </c>
      <c r="E11">
        <v>0</v>
      </c>
      <c r="F11">
        <v>0</v>
      </c>
      <c r="G11" t="s">
        <v>25</v>
      </c>
      <c r="H11" t="str">
        <f>VLOOKUP(Table_db1_backend.accdb[[#This Row],[Cat]],$P$3:$Q$27,2,0)</f>
        <v>ACCESSORY</v>
      </c>
      <c r="P11" s="23" t="s">
        <v>19</v>
      </c>
      <c r="Q11" s="24" t="s">
        <v>11</v>
      </c>
      <c r="R11" s="25" t="s">
        <v>41</v>
      </c>
      <c r="T11" s="43">
        <v>42010</v>
      </c>
      <c r="U11" t="str">
        <f t="shared" si="0"/>
        <v>1502</v>
      </c>
      <c r="V11" s="44" t="s">
        <v>84</v>
      </c>
      <c r="W11" s="44">
        <v>42008</v>
      </c>
      <c r="X11" s="24">
        <v>2</v>
      </c>
      <c r="Y11" s="24">
        <v>2015</v>
      </c>
      <c r="Z11" s="25">
        <v>201502</v>
      </c>
    </row>
    <row r="12" spans="1:26" x14ac:dyDescent="0.25">
      <c r="A12" t="s">
        <v>47</v>
      </c>
      <c r="B12">
        <v>1731</v>
      </c>
      <c r="C12">
        <v>13</v>
      </c>
      <c r="D12">
        <v>0</v>
      </c>
      <c r="E12">
        <v>0</v>
      </c>
      <c r="F12">
        <v>0</v>
      </c>
      <c r="G12" t="s">
        <v>26</v>
      </c>
      <c r="H12" t="str">
        <f>VLOOKUP(Table_db1_backend.accdb[[#This Row],[Cat]],$P$3:$Q$27,2,0)</f>
        <v>SHOES</v>
      </c>
      <c r="P12" s="23" t="s">
        <v>20</v>
      </c>
      <c r="Q12" s="24" t="s">
        <v>13</v>
      </c>
      <c r="R12" s="25" t="s">
        <v>41</v>
      </c>
      <c r="T12" s="43">
        <v>42011</v>
      </c>
      <c r="U12" t="str">
        <f t="shared" si="0"/>
        <v>1502</v>
      </c>
      <c r="V12" s="44" t="s">
        <v>85</v>
      </c>
      <c r="W12" s="44">
        <v>42008</v>
      </c>
      <c r="X12" s="24">
        <v>2</v>
      </c>
      <c r="Y12" s="24">
        <v>2015</v>
      </c>
      <c r="Z12" s="25">
        <v>201502</v>
      </c>
    </row>
    <row r="13" spans="1:26" x14ac:dyDescent="0.25">
      <c r="A13" t="s">
        <v>47</v>
      </c>
      <c r="B13">
        <v>1731</v>
      </c>
      <c r="C13">
        <v>-1</v>
      </c>
      <c r="D13">
        <v>0</v>
      </c>
      <c r="E13">
        <v>0</v>
      </c>
      <c r="F13">
        <v>0</v>
      </c>
      <c r="G13" t="s">
        <v>27</v>
      </c>
      <c r="H13" t="str">
        <f>VLOOKUP(Table_db1_backend.accdb[[#This Row],[Cat]],$P$3:$Q$27,2,0)</f>
        <v>SHOES</v>
      </c>
      <c r="P13" s="23" t="s">
        <v>21</v>
      </c>
      <c r="Q13" s="24" t="s">
        <v>11</v>
      </c>
      <c r="R13" s="25" t="s">
        <v>41</v>
      </c>
      <c r="T13" s="43">
        <v>42012</v>
      </c>
      <c r="U13" t="str">
        <f t="shared" si="0"/>
        <v>1502</v>
      </c>
      <c r="V13" s="44" t="s">
        <v>86</v>
      </c>
      <c r="W13" s="44">
        <v>42008</v>
      </c>
      <c r="X13" s="24">
        <v>2</v>
      </c>
      <c r="Y13" s="24">
        <v>2015</v>
      </c>
      <c r="Z13" s="25">
        <v>201502</v>
      </c>
    </row>
    <row r="14" spans="1:26" x14ac:dyDescent="0.25">
      <c r="A14" t="s">
        <v>47</v>
      </c>
      <c r="B14">
        <v>1731</v>
      </c>
      <c r="C14">
        <v>3162</v>
      </c>
      <c r="D14">
        <v>0</v>
      </c>
      <c r="E14">
        <v>0</v>
      </c>
      <c r="F14">
        <v>0</v>
      </c>
      <c r="G14" t="s">
        <v>51</v>
      </c>
      <c r="H14" t="str">
        <f>VLOOKUP(Table_db1_backend.accdb[[#This Row],[Cat]],$P$3:$Q$27,2,0)</f>
        <v>OUTER</v>
      </c>
      <c r="P14" s="23" t="s">
        <v>22</v>
      </c>
      <c r="Q14" s="24" t="s">
        <v>11</v>
      </c>
      <c r="R14" s="25" t="s">
        <v>41</v>
      </c>
      <c r="T14" s="43">
        <v>42013</v>
      </c>
      <c r="U14" t="str">
        <f t="shared" si="0"/>
        <v>1502</v>
      </c>
      <c r="V14" s="44" t="s">
        <v>87</v>
      </c>
      <c r="W14" s="44">
        <v>42008</v>
      </c>
      <c r="X14" s="24">
        <v>2</v>
      </c>
      <c r="Y14" s="24">
        <v>2015</v>
      </c>
      <c r="Z14" s="25">
        <v>201502</v>
      </c>
    </row>
    <row r="15" spans="1:26" x14ac:dyDescent="0.25">
      <c r="A15" t="s">
        <v>47</v>
      </c>
      <c r="B15">
        <v>1731</v>
      </c>
      <c r="C15">
        <v>1295</v>
      </c>
      <c r="D15">
        <v>0</v>
      </c>
      <c r="E15">
        <v>0</v>
      </c>
      <c r="F15">
        <v>0</v>
      </c>
      <c r="G15" t="s">
        <v>52</v>
      </c>
      <c r="H15" t="str">
        <f>VLOOKUP(Table_db1_backend.accdb[[#This Row],[Cat]],$P$3:$Q$27,2,0)</f>
        <v>PANT</v>
      </c>
      <c r="P15" s="23" t="s">
        <v>23</v>
      </c>
      <c r="Q15" s="24" t="s">
        <v>13</v>
      </c>
      <c r="R15" s="25" t="s">
        <v>41</v>
      </c>
      <c r="T15" s="43">
        <v>42014</v>
      </c>
      <c r="U15" t="str">
        <f t="shared" si="0"/>
        <v>1502</v>
      </c>
      <c r="V15" s="44" t="s">
        <v>88</v>
      </c>
      <c r="W15" s="44">
        <v>42008</v>
      </c>
      <c r="X15" s="24">
        <v>2</v>
      </c>
      <c r="Y15" s="24">
        <v>2015</v>
      </c>
      <c r="Z15" s="25">
        <v>201502</v>
      </c>
    </row>
    <row r="16" spans="1:26" x14ac:dyDescent="0.25">
      <c r="A16" t="s">
        <v>47</v>
      </c>
      <c r="B16">
        <v>1731</v>
      </c>
      <c r="C16">
        <v>49</v>
      </c>
      <c r="D16">
        <v>0</v>
      </c>
      <c r="E16">
        <v>0</v>
      </c>
      <c r="F16">
        <v>0</v>
      </c>
      <c r="G16" t="s">
        <v>28</v>
      </c>
      <c r="H16" t="str">
        <f>VLOOKUP(Table_db1_backend.accdb[[#This Row],[Cat]],$P$3:$Q$27,2,0)</f>
        <v>ACCESSORY</v>
      </c>
      <c r="P16" s="23" t="s">
        <v>24</v>
      </c>
      <c r="Q16" s="24" t="s">
        <v>13</v>
      </c>
      <c r="R16" s="25" t="s">
        <v>41</v>
      </c>
      <c r="T16" s="43">
        <v>42015</v>
      </c>
      <c r="U16" t="str">
        <f t="shared" si="0"/>
        <v>1503</v>
      </c>
      <c r="V16" s="44" t="s">
        <v>82</v>
      </c>
      <c r="W16" s="44">
        <v>42015</v>
      </c>
      <c r="X16" s="24">
        <v>3</v>
      </c>
      <c r="Y16" s="24">
        <v>2015</v>
      </c>
      <c r="Z16" s="25">
        <v>201503</v>
      </c>
    </row>
    <row r="17" spans="1:26" x14ac:dyDescent="0.25">
      <c r="A17" t="s">
        <v>47</v>
      </c>
      <c r="B17">
        <v>1731</v>
      </c>
      <c r="C17">
        <v>2121</v>
      </c>
      <c r="D17">
        <v>0</v>
      </c>
      <c r="E17">
        <v>0</v>
      </c>
      <c r="F17">
        <v>0</v>
      </c>
      <c r="G17" t="s">
        <v>12</v>
      </c>
      <c r="H17" t="str">
        <f>VLOOKUP(Table_db1_backend.accdb[[#This Row],[Cat]],$P$3:$Q$27,2,0)</f>
        <v>SCARF</v>
      </c>
      <c r="P17" s="23" t="s">
        <v>42</v>
      </c>
      <c r="Q17" s="24" t="s">
        <v>13</v>
      </c>
      <c r="R17" s="25" t="s">
        <v>41</v>
      </c>
      <c r="T17" s="43">
        <v>42016</v>
      </c>
      <c r="U17" t="str">
        <f t="shared" si="0"/>
        <v>1503</v>
      </c>
      <c r="V17" s="44" t="s">
        <v>83</v>
      </c>
      <c r="W17" s="44">
        <v>42015</v>
      </c>
      <c r="X17" s="24">
        <v>3</v>
      </c>
      <c r="Y17" s="24">
        <v>2015</v>
      </c>
      <c r="Z17" s="25">
        <v>201503</v>
      </c>
    </row>
    <row r="18" spans="1:26" x14ac:dyDescent="0.25">
      <c r="A18" t="s">
        <v>47</v>
      </c>
      <c r="B18">
        <v>1731</v>
      </c>
      <c r="C18">
        <v>772</v>
      </c>
      <c r="D18">
        <v>0</v>
      </c>
      <c r="E18">
        <v>0</v>
      </c>
      <c r="F18">
        <v>0</v>
      </c>
      <c r="G18" t="s">
        <v>53</v>
      </c>
      <c r="H18" t="str">
        <f>VLOOKUP(Table_db1_backend.accdb[[#This Row],[Cat]],$P$3:$Q$27,2,0)</f>
        <v>SH&amp;BL</v>
      </c>
      <c r="P18" s="23" t="s">
        <v>25</v>
      </c>
      <c r="Q18" s="24" t="s">
        <v>13</v>
      </c>
      <c r="R18" s="25" t="s">
        <v>41</v>
      </c>
      <c r="T18" s="43">
        <v>42017</v>
      </c>
      <c r="U18" t="str">
        <f t="shared" si="0"/>
        <v>1503</v>
      </c>
      <c r="V18" s="44" t="s">
        <v>84</v>
      </c>
      <c r="W18" s="44">
        <v>42015</v>
      </c>
      <c r="X18" s="24">
        <v>3</v>
      </c>
      <c r="Y18" s="24">
        <v>2015</v>
      </c>
      <c r="Z18" s="25">
        <v>201503</v>
      </c>
    </row>
    <row r="19" spans="1:26" x14ac:dyDescent="0.25">
      <c r="A19" t="s">
        <v>47</v>
      </c>
      <c r="B19">
        <v>1731</v>
      </c>
      <c r="C19">
        <v>856</v>
      </c>
      <c r="D19">
        <v>0</v>
      </c>
      <c r="E19">
        <v>0</v>
      </c>
      <c r="F19">
        <v>0</v>
      </c>
      <c r="G19" t="s">
        <v>54</v>
      </c>
      <c r="H19" t="str">
        <f>VLOOKUP(Table_db1_backend.accdb[[#This Row],[Cat]],$P$3:$Q$27,2,0)</f>
        <v>SKIRT</v>
      </c>
      <c r="P19" s="23" t="s">
        <v>26</v>
      </c>
      <c r="Q19" s="24" t="s">
        <v>11</v>
      </c>
      <c r="R19" s="25" t="s">
        <v>41</v>
      </c>
      <c r="T19" s="43">
        <v>42018</v>
      </c>
      <c r="U19" t="str">
        <f t="shared" si="0"/>
        <v>1503</v>
      </c>
      <c r="V19" s="44" t="s">
        <v>85</v>
      </c>
      <c r="W19" s="44">
        <v>42015</v>
      </c>
      <c r="X19" s="24">
        <v>3</v>
      </c>
      <c r="Y19" s="24">
        <v>2015</v>
      </c>
      <c r="Z19" s="25">
        <v>201503</v>
      </c>
    </row>
    <row r="20" spans="1:26" x14ac:dyDescent="0.25">
      <c r="A20" t="s">
        <v>47</v>
      </c>
      <c r="B20">
        <v>1731</v>
      </c>
      <c r="C20">
        <v>8342</v>
      </c>
      <c r="D20">
        <v>0</v>
      </c>
      <c r="E20">
        <v>0</v>
      </c>
      <c r="F20">
        <v>0</v>
      </c>
      <c r="G20" t="s">
        <v>55</v>
      </c>
      <c r="H20" t="str">
        <f>VLOOKUP(Table_db1_backend.accdb[[#This Row],[Cat]],$P$3:$Q$27,2,0)</f>
        <v>TOP</v>
      </c>
      <c r="P20" s="23" t="s">
        <v>27</v>
      </c>
      <c r="Q20" s="24" t="s">
        <v>11</v>
      </c>
      <c r="R20" s="25" t="s">
        <v>41</v>
      </c>
      <c r="T20" s="43">
        <v>42019</v>
      </c>
      <c r="U20" t="str">
        <f t="shared" si="0"/>
        <v>1503</v>
      </c>
      <c r="V20" s="44" t="s">
        <v>86</v>
      </c>
      <c r="W20" s="44">
        <v>42015</v>
      </c>
      <c r="X20" s="24">
        <v>3</v>
      </c>
      <c r="Y20" s="24">
        <v>2015</v>
      </c>
      <c r="Z20" s="25">
        <v>201503</v>
      </c>
    </row>
    <row r="21" spans="1:26" x14ac:dyDescent="0.25">
      <c r="A21" t="s">
        <v>58</v>
      </c>
      <c r="B21">
        <v>1731</v>
      </c>
      <c r="C21">
        <v>4</v>
      </c>
      <c r="D21">
        <v>0</v>
      </c>
      <c r="E21">
        <v>0</v>
      </c>
      <c r="F21">
        <v>0</v>
      </c>
      <c r="G21" t="s">
        <v>18</v>
      </c>
      <c r="H21" t="str">
        <f>VLOOKUP(Table_db1_backend.accdb[[#This Row],[Cat]],$P$3:$Q$27,2,0)</f>
        <v>ACCESSORY</v>
      </c>
      <c r="P21" s="23" t="s">
        <v>28</v>
      </c>
      <c r="Q21" s="24" t="s">
        <v>13</v>
      </c>
      <c r="R21" s="25" t="s">
        <v>41</v>
      </c>
      <c r="T21" s="43">
        <v>42020</v>
      </c>
      <c r="U21" t="str">
        <f t="shared" si="0"/>
        <v>1503</v>
      </c>
      <c r="V21" s="44" t="s">
        <v>87</v>
      </c>
      <c r="W21" s="44">
        <v>42015</v>
      </c>
      <c r="X21" s="24">
        <v>3</v>
      </c>
      <c r="Y21" s="24">
        <v>2015</v>
      </c>
      <c r="Z21" s="25">
        <v>201503</v>
      </c>
    </row>
    <row r="22" spans="1:26" x14ac:dyDescent="0.25">
      <c r="A22" t="s">
        <v>58</v>
      </c>
      <c r="B22">
        <v>1731</v>
      </c>
      <c r="C22">
        <v>4</v>
      </c>
      <c r="D22">
        <v>0</v>
      </c>
      <c r="E22">
        <v>0</v>
      </c>
      <c r="F22">
        <v>0</v>
      </c>
      <c r="G22" t="s">
        <v>21</v>
      </c>
      <c r="H22" t="str">
        <f>VLOOKUP(Table_db1_backend.accdb[[#This Row],[Cat]],$P$3:$Q$27,2,0)</f>
        <v>SHOES</v>
      </c>
      <c r="P22" s="23" t="s">
        <v>29</v>
      </c>
      <c r="Q22" s="24" t="s">
        <v>13</v>
      </c>
      <c r="R22" s="25" t="s">
        <v>41</v>
      </c>
      <c r="T22" s="43">
        <v>42021</v>
      </c>
      <c r="U22" t="str">
        <f t="shared" si="0"/>
        <v>1503</v>
      </c>
      <c r="V22" s="44" t="s">
        <v>88</v>
      </c>
      <c r="W22" s="44">
        <v>42015</v>
      </c>
      <c r="X22" s="24">
        <v>3</v>
      </c>
      <c r="Y22" s="24">
        <v>2015</v>
      </c>
      <c r="Z22" s="25">
        <v>201503</v>
      </c>
    </row>
    <row r="23" spans="1:26" x14ac:dyDescent="0.25">
      <c r="A23" t="s">
        <v>58</v>
      </c>
      <c r="B23">
        <v>1731</v>
      </c>
      <c r="C23">
        <v>2</v>
      </c>
      <c r="D23">
        <v>0</v>
      </c>
      <c r="E23">
        <v>0</v>
      </c>
      <c r="F23">
        <v>0</v>
      </c>
      <c r="G23" t="s">
        <v>22</v>
      </c>
      <c r="H23" t="str">
        <f>VLOOKUP(Table_db1_backend.accdb[[#This Row],[Cat]],$P$3:$Q$27,2,0)</f>
        <v>SHOES</v>
      </c>
      <c r="P23" s="23" t="s">
        <v>12</v>
      </c>
      <c r="Q23" s="24" t="s">
        <v>12</v>
      </c>
      <c r="R23" s="25" t="s">
        <v>41</v>
      </c>
      <c r="T23" s="43">
        <v>42022</v>
      </c>
      <c r="U23" t="str">
        <f t="shared" si="0"/>
        <v>1504</v>
      </c>
      <c r="V23" s="44" t="s">
        <v>82</v>
      </c>
      <c r="W23" s="44">
        <v>42022</v>
      </c>
      <c r="X23" s="24">
        <v>4</v>
      </c>
      <c r="Y23" s="24">
        <v>2015</v>
      </c>
      <c r="Z23" s="25">
        <v>201504</v>
      </c>
    </row>
    <row r="24" spans="1:26" x14ac:dyDescent="0.25">
      <c r="A24" t="s">
        <v>58</v>
      </c>
      <c r="B24">
        <v>1731</v>
      </c>
      <c r="C24">
        <v>388</v>
      </c>
      <c r="D24">
        <v>83</v>
      </c>
      <c r="E24">
        <v>1003.7199999999998</v>
      </c>
      <c r="F24">
        <v>350.00000000000006</v>
      </c>
      <c r="G24" t="s">
        <v>48</v>
      </c>
      <c r="H24" t="str">
        <f>VLOOKUP(Table_db1_backend.accdb[[#This Row],[Cat]],$P$3:$Q$27,2,0)</f>
        <v>DRESS</v>
      </c>
      <c r="P24" s="23" t="s">
        <v>43</v>
      </c>
      <c r="Q24" s="24" t="s">
        <v>13</v>
      </c>
      <c r="R24" s="25" t="s">
        <v>41</v>
      </c>
      <c r="T24" s="43">
        <v>42023</v>
      </c>
      <c r="U24" t="str">
        <f t="shared" si="0"/>
        <v>1504</v>
      </c>
      <c r="V24" s="44" t="s">
        <v>83</v>
      </c>
      <c r="W24" s="44">
        <v>42022</v>
      </c>
      <c r="X24" s="24">
        <v>4</v>
      </c>
      <c r="Y24" s="24">
        <v>2015</v>
      </c>
      <c r="Z24" s="25">
        <v>201504</v>
      </c>
    </row>
    <row r="25" spans="1:26" x14ac:dyDescent="0.25">
      <c r="A25" t="s">
        <v>58</v>
      </c>
      <c r="B25">
        <v>1731</v>
      </c>
      <c r="C25">
        <v>6</v>
      </c>
      <c r="D25">
        <v>0</v>
      </c>
      <c r="E25">
        <v>0</v>
      </c>
      <c r="F25">
        <v>0</v>
      </c>
      <c r="G25" t="s">
        <v>23</v>
      </c>
      <c r="H25" t="str">
        <f>VLOOKUP(Table_db1_backend.accdb[[#This Row],[Cat]],$P$3:$Q$27,2,0)</f>
        <v>ACCESSORY</v>
      </c>
      <c r="P25" s="23" t="s">
        <v>44</v>
      </c>
      <c r="Q25" s="24" t="s">
        <v>13</v>
      </c>
      <c r="R25" s="25" t="s">
        <v>41</v>
      </c>
      <c r="T25" s="43">
        <v>42024</v>
      </c>
      <c r="U25" t="str">
        <f t="shared" si="0"/>
        <v>1504</v>
      </c>
      <c r="V25" s="44" t="s">
        <v>84</v>
      </c>
      <c r="W25" s="44">
        <v>42022</v>
      </c>
      <c r="X25" s="24">
        <v>4</v>
      </c>
      <c r="Y25" s="24">
        <v>2015</v>
      </c>
      <c r="Z25" s="25">
        <v>201504</v>
      </c>
    </row>
    <row r="26" spans="1:26" x14ac:dyDescent="0.25">
      <c r="A26" t="s">
        <v>58</v>
      </c>
      <c r="B26">
        <v>1731</v>
      </c>
      <c r="C26">
        <v>-17</v>
      </c>
      <c r="D26">
        <v>0</v>
      </c>
      <c r="E26">
        <v>0</v>
      </c>
      <c r="F26">
        <v>0</v>
      </c>
      <c r="G26" t="s">
        <v>24</v>
      </c>
      <c r="H26" t="str">
        <f>VLOOKUP(Table_db1_backend.accdb[[#This Row],[Cat]],$P$3:$Q$27,2,0)</f>
        <v>ACCESSORY</v>
      </c>
      <c r="P26" s="23" t="s">
        <v>45</v>
      </c>
      <c r="Q26" s="24" t="s">
        <v>13</v>
      </c>
      <c r="R26" s="25" t="s">
        <v>41</v>
      </c>
      <c r="T26" s="43">
        <v>42025</v>
      </c>
      <c r="U26" t="str">
        <f t="shared" si="0"/>
        <v>1504</v>
      </c>
      <c r="V26" s="44" t="s">
        <v>85</v>
      </c>
      <c r="W26" s="44">
        <v>42022</v>
      </c>
      <c r="X26" s="24">
        <v>4</v>
      </c>
      <c r="Y26" s="24">
        <v>2015</v>
      </c>
      <c r="Z26" s="25">
        <v>201504</v>
      </c>
    </row>
    <row r="27" spans="1:26" x14ac:dyDescent="0.25">
      <c r="A27" t="s">
        <v>58</v>
      </c>
      <c r="B27">
        <v>1731</v>
      </c>
      <c r="C27">
        <v>868</v>
      </c>
      <c r="D27">
        <v>393</v>
      </c>
      <c r="E27">
        <v>4087.7499999999991</v>
      </c>
      <c r="F27">
        <v>931.22999999999979</v>
      </c>
      <c r="G27" t="s">
        <v>49</v>
      </c>
      <c r="H27" t="str">
        <f>VLOOKUP(Table_db1_backend.accdb[[#This Row],[Cat]],$P$3:$Q$27,2,0)</f>
        <v>KNIT</v>
      </c>
      <c r="P27" s="26" t="s">
        <v>18</v>
      </c>
      <c r="Q27" s="27" t="s">
        <v>13</v>
      </c>
      <c r="R27" s="28" t="s">
        <v>41</v>
      </c>
      <c r="T27" s="43">
        <v>42026</v>
      </c>
      <c r="U27" t="str">
        <f t="shared" si="0"/>
        <v>1504</v>
      </c>
      <c r="V27" s="44" t="s">
        <v>86</v>
      </c>
      <c r="W27" s="44">
        <v>42022</v>
      </c>
      <c r="X27" s="24">
        <v>4</v>
      </c>
      <c r="Y27" s="24">
        <v>2015</v>
      </c>
      <c r="Z27" s="25">
        <v>201504</v>
      </c>
    </row>
    <row r="28" spans="1:26" x14ac:dyDescent="0.25">
      <c r="A28" t="s">
        <v>58</v>
      </c>
      <c r="B28">
        <v>1731</v>
      </c>
      <c r="C28">
        <v>223</v>
      </c>
      <c r="D28">
        <v>43</v>
      </c>
      <c r="E28">
        <v>531.46</v>
      </c>
      <c r="F28">
        <v>249.77999999999997</v>
      </c>
      <c r="G28" t="s">
        <v>50</v>
      </c>
      <c r="H28" t="str">
        <f>VLOOKUP(Table_db1_backend.accdb[[#This Row],[Cat]],$P$3:$Q$27,2,0)</f>
        <v>LEGGING</v>
      </c>
      <c r="T28" s="43">
        <v>42027</v>
      </c>
      <c r="U28" t="str">
        <f t="shared" si="0"/>
        <v>1504</v>
      </c>
      <c r="V28" s="44" t="s">
        <v>87</v>
      </c>
      <c r="W28" s="44">
        <v>42022</v>
      </c>
      <c r="X28" s="24">
        <v>4</v>
      </c>
      <c r="Y28" s="24">
        <v>2015</v>
      </c>
      <c r="Z28" s="25">
        <v>201504</v>
      </c>
    </row>
    <row r="29" spans="1:26" x14ac:dyDescent="0.25">
      <c r="A29" t="s">
        <v>58</v>
      </c>
      <c r="B29">
        <v>1731</v>
      </c>
      <c r="C29">
        <v>1</v>
      </c>
      <c r="D29">
        <v>0</v>
      </c>
      <c r="E29">
        <v>0</v>
      </c>
      <c r="F29">
        <v>0</v>
      </c>
      <c r="G29" t="s">
        <v>26</v>
      </c>
      <c r="H29" t="str">
        <f>VLOOKUP(Table_db1_backend.accdb[[#This Row],[Cat]],$P$3:$Q$27,2,0)</f>
        <v>SHOES</v>
      </c>
      <c r="T29" s="43">
        <v>42028</v>
      </c>
      <c r="U29" t="str">
        <f t="shared" si="0"/>
        <v>1504</v>
      </c>
      <c r="V29" s="44" t="s">
        <v>88</v>
      </c>
      <c r="W29" s="44">
        <v>42022</v>
      </c>
      <c r="X29" s="24">
        <v>4</v>
      </c>
      <c r="Y29" s="24">
        <v>2015</v>
      </c>
      <c r="Z29" s="25">
        <v>201504</v>
      </c>
    </row>
    <row r="30" spans="1:26" x14ac:dyDescent="0.25">
      <c r="A30" t="s">
        <v>58</v>
      </c>
      <c r="B30">
        <v>1731</v>
      </c>
      <c r="C30">
        <v>499</v>
      </c>
      <c r="D30">
        <v>127</v>
      </c>
      <c r="E30">
        <v>1895.2100000000005</v>
      </c>
      <c r="F30">
        <v>742.00999999999988</v>
      </c>
      <c r="G30" t="s">
        <v>51</v>
      </c>
      <c r="H30" t="str">
        <f>VLOOKUP(Table_db1_backend.accdb[[#This Row],[Cat]],$P$3:$Q$27,2,0)</f>
        <v>OUTER</v>
      </c>
      <c r="T30" s="43">
        <v>42029</v>
      </c>
      <c r="U30" t="str">
        <f t="shared" si="0"/>
        <v>1505</v>
      </c>
      <c r="V30" s="44" t="s">
        <v>82</v>
      </c>
      <c r="W30" s="44">
        <v>42029</v>
      </c>
      <c r="X30" s="24">
        <v>5</v>
      </c>
      <c r="Y30" s="24">
        <v>2015</v>
      </c>
      <c r="Z30" s="25">
        <v>201505</v>
      </c>
    </row>
    <row r="31" spans="1:26" x14ac:dyDescent="0.25">
      <c r="A31" t="s">
        <v>58</v>
      </c>
      <c r="B31">
        <v>1731</v>
      </c>
      <c r="C31">
        <v>328</v>
      </c>
      <c r="D31">
        <v>31</v>
      </c>
      <c r="E31">
        <v>254.57</v>
      </c>
      <c r="F31">
        <v>40.33</v>
      </c>
      <c r="G31" t="s">
        <v>52</v>
      </c>
      <c r="H31" t="str">
        <f>VLOOKUP(Table_db1_backend.accdb[[#This Row],[Cat]],$P$3:$Q$27,2,0)</f>
        <v>PANT</v>
      </c>
      <c r="T31" s="43">
        <v>42030</v>
      </c>
      <c r="U31" t="str">
        <f t="shared" si="0"/>
        <v>1505</v>
      </c>
      <c r="V31" s="44" t="s">
        <v>83</v>
      </c>
      <c r="W31" s="44">
        <v>42029</v>
      </c>
      <c r="X31" s="24">
        <v>5</v>
      </c>
      <c r="Y31" s="24">
        <v>2015</v>
      </c>
      <c r="Z31" s="25">
        <v>201505</v>
      </c>
    </row>
    <row r="32" spans="1:26" x14ac:dyDescent="0.25">
      <c r="A32" t="s">
        <v>58</v>
      </c>
      <c r="B32">
        <v>1731</v>
      </c>
      <c r="C32">
        <v>32</v>
      </c>
      <c r="D32">
        <v>0</v>
      </c>
      <c r="E32">
        <v>0</v>
      </c>
      <c r="F32">
        <v>0</v>
      </c>
      <c r="G32" t="s">
        <v>28</v>
      </c>
      <c r="H32" t="str">
        <f>VLOOKUP(Table_db1_backend.accdb[[#This Row],[Cat]],$P$3:$Q$27,2,0)</f>
        <v>ACCESSORY</v>
      </c>
      <c r="T32" s="43">
        <v>42031</v>
      </c>
      <c r="U32" t="str">
        <f t="shared" si="0"/>
        <v>1505</v>
      </c>
      <c r="V32" s="44" t="s">
        <v>84</v>
      </c>
      <c r="W32" s="44">
        <v>42029</v>
      </c>
      <c r="X32" s="24">
        <v>5</v>
      </c>
      <c r="Y32" s="24">
        <v>2015</v>
      </c>
      <c r="Z32" s="25">
        <v>201505</v>
      </c>
    </row>
    <row r="33" spans="1:26" x14ac:dyDescent="0.25">
      <c r="A33" t="s">
        <v>58</v>
      </c>
      <c r="B33">
        <v>1731</v>
      </c>
      <c r="C33">
        <v>746</v>
      </c>
      <c r="D33">
        <v>53</v>
      </c>
      <c r="E33">
        <v>342.93</v>
      </c>
      <c r="F33">
        <v>261.54999999999995</v>
      </c>
      <c r="G33" t="s">
        <v>12</v>
      </c>
      <c r="H33" t="str">
        <f>VLOOKUP(Table_db1_backend.accdb[[#This Row],[Cat]],$P$3:$Q$27,2,0)</f>
        <v>SCARF</v>
      </c>
      <c r="T33" s="43">
        <v>42032</v>
      </c>
      <c r="U33" t="str">
        <f t="shared" si="0"/>
        <v>1505</v>
      </c>
      <c r="V33" s="44" t="s">
        <v>85</v>
      </c>
      <c r="W33" s="44">
        <v>42029</v>
      </c>
      <c r="X33" s="24">
        <v>5</v>
      </c>
      <c r="Y33" s="24">
        <v>2015</v>
      </c>
      <c r="Z33" s="25">
        <v>201505</v>
      </c>
    </row>
    <row r="34" spans="1:26" x14ac:dyDescent="0.25">
      <c r="A34" t="s">
        <v>58</v>
      </c>
      <c r="B34">
        <v>1731</v>
      </c>
      <c r="C34">
        <v>138</v>
      </c>
      <c r="D34">
        <v>30</v>
      </c>
      <c r="E34">
        <v>318.11</v>
      </c>
      <c r="F34">
        <v>80.669999999999987</v>
      </c>
      <c r="G34" t="s">
        <v>53</v>
      </c>
      <c r="H34" t="str">
        <f>VLOOKUP(Table_db1_backend.accdb[[#This Row],[Cat]],$P$3:$Q$27,2,0)</f>
        <v>SH&amp;BL</v>
      </c>
      <c r="T34" s="43">
        <v>42033</v>
      </c>
      <c r="U34" t="str">
        <f t="shared" si="0"/>
        <v>1505</v>
      </c>
      <c r="V34" s="44" t="s">
        <v>86</v>
      </c>
      <c r="W34" s="44">
        <v>42029</v>
      </c>
      <c r="X34" s="24">
        <v>5</v>
      </c>
      <c r="Y34" s="24">
        <v>2015</v>
      </c>
      <c r="Z34" s="25">
        <v>201505</v>
      </c>
    </row>
    <row r="35" spans="1:26" x14ac:dyDescent="0.25">
      <c r="A35" t="s">
        <v>58</v>
      </c>
      <c r="B35">
        <v>1731</v>
      </c>
      <c r="C35">
        <v>298</v>
      </c>
      <c r="D35">
        <v>36</v>
      </c>
      <c r="E35">
        <v>381.49000000000007</v>
      </c>
      <c r="F35">
        <v>179.15999999999997</v>
      </c>
      <c r="G35" t="s">
        <v>54</v>
      </c>
      <c r="H35" t="str">
        <f>VLOOKUP(Table_db1_backend.accdb[[#This Row],[Cat]],$P$3:$Q$27,2,0)</f>
        <v>SKIRT</v>
      </c>
      <c r="T35" s="43">
        <v>42034</v>
      </c>
      <c r="U35" t="str">
        <f t="shared" si="0"/>
        <v>1505</v>
      </c>
      <c r="V35" s="44" t="s">
        <v>87</v>
      </c>
      <c r="W35" s="44">
        <v>42029</v>
      </c>
      <c r="X35" s="24">
        <v>5</v>
      </c>
      <c r="Y35" s="24">
        <v>2015</v>
      </c>
      <c r="Z35" s="25">
        <v>201505</v>
      </c>
    </row>
    <row r="36" spans="1:26" x14ac:dyDescent="0.25">
      <c r="A36" t="s">
        <v>58</v>
      </c>
      <c r="B36">
        <v>1731</v>
      </c>
      <c r="C36">
        <v>820</v>
      </c>
      <c r="D36">
        <v>122</v>
      </c>
      <c r="E36">
        <v>1321.8499999999995</v>
      </c>
      <c r="F36">
        <v>664.54000000000019</v>
      </c>
      <c r="G36" t="s">
        <v>55</v>
      </c>
      <c r="H36" t="str">
        <f>VLOOKUP(Table_db1_backend.accdb[[#This Row],[Cat]],$P$3:$Q$27,2,0)</f>
        <v>TOP</v>
      </c>
      <c r="T36" s="43">
        <v>42035</v>
      </c>
      <c r="U36" t="str">
        <f t="shared" si="0"/>
        <v>1505</v>
      </c>
      <c r="V36" s="44" t="s">
        <v>88</v>
      </c>
      <c r="W36" s="44">
        <v>42029</v>
      </c>
      <c r="X36" s="24">
        <v>5</v>
      </c>
      <c r="Y36" s="24">
        <v>2015</v>
      </c>
      <c r="Z36" s="25">
        <v>201505</v>
      </c>
    </row>
    <row r="37" spans="1:26" x14ac:dyDescent="0.25">
      <c r="A37" t="s">
        <v>59</v>
      </c>
      <c r="B37">
        <v>1731</v>
      </c>
      <c r="C37">
        <v>4</v>
      </c>
      <c r="D37">
        <v>0</v>
      </c>
      <c r="E37">
        <v>0</v>
      </c>
      <c r="F37">
        <v>0</v>
      </c>
      <c r="G37" t="s">
        <v>18</v>
      </c>
      <c r="H37" t="str">
        <f>VLOOKUP(Table_db1_backend.accdb[[#This Row],[Cat]],$P$3:$Q$27,2,0)</f>
        <v>ACCESSORY</v>
      </c>
      <c r="T37" s="43">
        <v>42036</v>
      </c>
      <c r="U37" t="str">
        <f t="shared" si="0"/>
        <v>1506</v>
      </c>
      <c r="V37" s="44" t="s">
        <v>82</v>
      </c>
      <c r="W37" s="44">
        <v>42036</v>
      </c>
      <c r="X37" s="24">
        <v>6</v>
      </c>
      <c r="Y37" s="24">
        <v>2015</v>
      </c>
      <c r="Z37" s="25">
        <v>201506</v>
      </c>
    </row>
    <row r="38" spans="1:26" x14ac:dyDescent="0.25">
      <c r="A38" t="s">
        <v>59</v>
      </c>
      <c r="B38">
        <v>1731</v>
      </c>
      <c r="C38">
        <v>26</v>
      </c>
      <c r="D38">
        <v>0</v>
      </c>
      <c r="E38">
        <v>0</v>
      </c>
      <c r="F38">
        <v>0</v>
      </c>
      <c r="G38" t="s">
        <v>21</v>
      </c>
      <c r="H38" t="str">
        <f>VLOOKUP(Table_db1_backend.accdb[[#This Row],[Cat]],$P$3:$Q$27,2,0)</f>
        <v>SHOES</v>
      </c>
      <c r="T38" s="43">
        <v>42037</v>
      </c>
      <c r="U38" t="str">
        <f t="shared" si="0"/>
        <v>1506</v>
      </c>
      <c r="V38" s="44" t="s">
        <v>83</v>
      </c>
      <c r="W38" s="44">
        <v>42036</v>
      </c>
      <c r="X38" s="24">
        <v>6</v>
      </c>
      <c r="Y38" s="24">
        <v>2015</v>
      </c>
      <c r="Z38" s="25">
        <v>201506</v>
      </c>
    </row>
    <row r="39" spans="1:26" x14ac:dyDescent="0.25">
      <c r="A39" t="s">
        <v>59</v>
      </c>
      <c r="B39">
        <v>1731</v>
      </c>
      <c r="C39">
        <v>3</v>
      </c>
      <c r="D39">
        <v>0</v>
      </c>
      <c r="E39">
        <v>0</v>
      </c>
      <c r="F39">
        <v>0</v>
      </c>
      <c r="G39" t="s">
        <v>22</v>
      </c>
      <c r="H39" t="str">
        <f>VLOOKUP(Table_db1_backend.accdb[[#This Row],[Cat]],$P$3:$Q$27,2,0)</f>
        <v>SHOES</v>
      </c>
      <c r="T39" s="43">
        <v>42038</v>
      </c>
      <c r="U39" t="str">
        <f t="shared" si="0"/>
        <v>1506</v>
      </c>
      <c r="V39" s="44" t="s">
        <v>84</v>
      </c>
      <c r="W39" s="44">
        <v>42036</v>
      </c>
      <c r="X39" s="24">
        <v>6</v>
      </c>
      <c r="Y39" s="24">
        <v>2015</v>
      </c>
      <c r="Z39" s="25">
        <v>201506</v>
      </c>
    </row>
    <row r="40" spans="1:26" x14ac:dyDescent="0.25">
      <c r="A40" t="s">
        <v>59</v>
      </c>
      <c r="B40">
        <v>1731</v>
      </c>
      <c r="C40">
        <v>716</v>
      </c>
      <c r="D40">
        <v>54</v>
      </c>
      <c r="E40">
        <v>633.61999999999989</v>
      </c>
      <c r="F40">
        <v>200.61999999999998</v>
      </c>
      <c r="G40" t="s">
        <v>48</v>
      </c>
      <c r="H40" t="str">
        <f>VLOOKUP(Table_db1_backend.accdb[[#This Row],[Cat]],$P$3:$Q$27,2,0)</f>
        <v>DRESS</v>
      </c>
      <c r="T40" s="43">
        <v>42039</v>
      </c>
      <c r="U40" t="str">
        <f t="shared" si="0"/>
        <v>1506</v>
      </c>
      <c r="V40" s="44" t="s">
        <v>85</v>
      </c>
      <c r="W40" s="44">
        <v>42036</v>
      </c>
      <c r="X40" s="24">
        <v>6</v>
      </c>
      <c r="Y40" s="24">
        <v>2015</v>
      </c>
      <c r="Z40" s="25">
        <v>201506</v>
      </c>
    </row>
    <row r="41" spans="1:26" x14ac:dyDescent="0.25">
      <c r="A41" t="s">
        <v>59</v>
      </c>
      <c r="B41">
        <v>1731</v>
      </c>
      <c r="C41">
        <v>39</v>
      </c>
      <c r="D41">
        <v>0</v>
      </c>
      <c r="E41">
        <v>0</v>
      </c>
      <c r="F41">
        <v>0</v>
      </c>
      <c r="G41" t="s">
        <v>23</v>
      </c>
      <c r="H41" t="str">
        <f>VLOOKUP(Table_db1_backend.accdb[[#This Row],[Cat]],$P$3:$Q$27,2,0)</f>
        <v>ACCESSORY</v>
      </c>
      <c r="T41" s="43">
        <v>42040</v>
      </c>
      <c r="U41" t="str">
        <f t="shared" si="0"/>
        <v>1506</v>
      </c>
      <c r="V41" s="44" t="s">
        <v>86</v>
      </c>
      <c r="W41" s="44">
        <v>42036</v>
      </c>
      <c r="X41" s="24">
        <v>6</v>
      </c>
      <c r="Y41" s="24">
        <v>2015</v>
      </c>
      <c r="Z41" s="25">
        <v>201506</v>
      </c>
    </row>
    <row r="42" spans="1:26" x14ac:dyDescent="0.25">
      <c r="A42" t="s">
        <v>59</v>
      </c>
      <c r="B42">
        <v>1731</v>
      </c>
      <c r="C42">
        <v>2</v>
      </c>
      <c r="D42">
        <v>0</v>
      </c>
      <c r="E42">
        <v>0</v>
      </c>
      <c r="F42">
        <v>0</v>
      </c>
      <c r="G42" t="s">
        <v>24</v>
      </c>
      <c r="H42" t="str">
        <f>VLOOKUP(Table_db1_backend.accdb[[#This Row],[Cat]],$P$3:$Q$27,2,0)</f>
        <v>ACCESSORY</v>
      </c>
      <c r="T42" s="43">
        <v>42041</v>
      </c>
      <c r="U42" t="str">
        <f t="shared" si="0"/>
        <v>1506</v>
      </c>
      <c r="V42" s="44" t="s">
        <v>87</v>
      </c>
      <c r="W42" s="44">
        <v>42036</v>
      </c>
      <c r="X42" s="24">
        <v>6</v>
      </c>
      <c r="Y42" s="24">
        <v>2015</v>
      </c>
      <c r="Z42" s="25">
        <v>201506</v>
      </c>
    </row>
    <row r="43" spans="1:26" x14ac:dyDescent="0.25">
      <c r="A43" t="s">
        <v>59</v>
      </c>
      <c r="B43">
        <v>1731</v>
      </c>
      <c r="C43">
        <v>918</v>
      </c>
      <c r="D43">
        <v>406</v>
      </c>
      <c r="E43">
        <v>3404.5299999999993</v>
      </c>
      <c r="F43">
        <v>194</v>
      </c>
      <c r="G43" t="s">
        <v>49</v>
      </c>
      <c r="H43" t="str">
        <f>VLOOKUP(Table_db1_backend.accdb[[#This Row],[Cat]],$P$3:$Q$27,2,0)</f>
        <v>KNIT</v>
      </c>
      <c r="T43" s="43">
        <v>42042</v>
      </c>
      <c r="U43" t="str">
        <f t="shared" si="0"/>
        <v>1506</v>
      </c>
      <c r="V43" s="44" t="s">
        <v>88</v>
      </c>
      <c r="W43" s="44">
        <v>42036</v>
      </c>
      <c r="X43" s="24">
        <v>6</v>
      </c>
      <c r="Y43" s="24">
        <v>2015</v>
      </c>
      <c r="Z43" s="25">
        <v>201506</v>
      </c>
    </row>
    <row r="44" spans="1:26" x14ac:dyDescent="0.25">
      <c r="A44" t="s">
        <v>59</v>
      </c>
      <c r="B44">
        <v>1731</v>
      </c>
      <c r="C44">
        <v>477</v>
      </c>
      <c r="D44">
        <v>57</v>
      </c>
      <c r="E44">
        <v>438.12000000000012</v>
      </c>
      <c r="F44">
        <v>69.75</v>
      </c>
      <c r="G44" t="s">
        <v>50</v>
      </c>
      <c r="H44" t="str">
        <f>VLOOKUP(Table_db1_backend.accdb[[#This Row],[Cat]],$P$3:$Q$27,2,0)</f>
        <v>LEGGING</v>
      </c>
      <c r="T44" s="43">
        <v>42043</v>
      </c>
      <c r="U44" t="str">
        <f t="shared" si="0"/>
        <v>1507</v>
      </c>
      <c r="V44" s="44" t="s">
        <v>82</v>
      </c>
      <c r="W44" s="44">
        <v>42043</v>
      </c>
      <c r="X44" s="24">
        <v>7</v>
      </c>
      <c r="Y44" s="24">
        <v>2015</v>
      </c>
      <c r="Z44" s="25">
        <v>201507</v>
      </c>
    </row>
    <row r="45" spans="1:26" x14ac:dyDescent="0.25">
      <c r="A45" t="s">
        <v>59</v>
      </c>
      <c r="B45">
        <v>1731</v>
      </c>
      <c r="C45">
        <v>-43</v>
      </c>
      <c r="D45">
        <v>0</v>
      </c>
      <c r="E45">
        <v>0</v>
      </c>
      <c r="F45">
        <v>0</v>
      </c>
      <c r="G45" t="s">
        <v>26</v>
      </c>
      <c r="H45" t="str">
        <f>VLOOKUP(Table_db1_backend.accdb[[#This Row],[Cat]],$P$3:$Q$27,2,0)</f>
        <v>SHOES</v>
      </c>
      <c r="T45" s="43">
        <v>42044</v>
      </c>
      <c r="U45" t="str">
        <f t="shared" si="0"/>
        <v>1507</v>
      </c>
      <c r="V45" s="44" t="s">
        <v>83</v>
      </c>
      <c r="W45" s="44">
        <v>42043</v>
      </c>
      <c r="X45" s="24">
        <v>7</v>
      </c>
      <c r="Y45" s="24">
        <v>2015</v>
      </c>
      <c r="Z45" s="25">
        <v>201507</v>
      </c>
    </row>
    <row r="46" spans="1:26" x14ac:dyDescent="0.25">
      <c r="A46" t="s">
        <v>59</v>
      </c>
      <c r="B46">
        <v>1731</v>
      </c>
      <c r="C46">
        <v>17</v>
      </c>
      <c r="D46">
        <v>0</v>
      </c>
      <c r="E46">
        <v>0</v>
      </c>
      <c r="F46">
        <v>0</v>
      </c>
      <c r="G46" t="s">
        <v>27</v>
      </c>
      <c r="H46" t="str">
        <f>VLOOKUP(Table_db1_backend.accdb[[#This Row],[Cat]],$P$3:$Q$27,2,0)</f>
        <v>SHOES</v>
      </c>
      <c r="T46" s="43">
        <v>42045</v>
      </c>
      <c r="U46" t="str">
        <f t="shared" si="0"/>
        <v>1507</v>
      </c>
      <c r="V46" s="44" t="s">
        <v>84</v>
      </c>
      <c r="W46" s="44">
        <v>42043</v>
      </c>
      <c r="X46" s="24">
        <v>7</v>
      </c>
      <c r="Y46" s="24">
        <v>2015</v>
      </c>
      <c r="Z46" s="25">
        <v>201507</v>
      </c>
    </row>
    <row r="47" spans="1:26" x14ac:dyDescent="0.25">
      <c r="A47" t="s">
        <v>59</v>
      </c>
      <c r="B47">
        <v>1731</v>
      </c>
      <c r="C47">
        <v>333</v>
      </c>
      <c r="D47">
        <v>108</v>
      </c>
      <c r="E47">
        <v>1404.01</v>
      </c>
      <c r="F47">
        <v>330.93000000000006</v>
      </c>
      <c r="G47" t="s">
        <v>51</v>
      </c>
      <c r="H47" t="str">
        <f>VLOOKUP(Table_db1_backend.accdb[[#This Row],[Cat]],$P$3:$Q$27,2,0)</f>
        <v>OUTER</v>
      </c>
      <c r="T47" s="43">
        <v>42046</v>
      </c>
      <c r="U47" t="str">
        <f t="shared" si="0"/>
        <v>1507</v>
      </c>
      <c r="V47" s="44" t="s">
        <v>85</v>
      </c>
      <c r="W47" s="44">
        <v>42043</v>
      </c>
      <c r="X47" s="24">
        <v>7</v>
      </c>
      <c r="Y47" s="24">
        <v>2015</v>
      </c>
      <c r="Z47" s="25">
        <v>201507</v>
      </c>
    </row>
    <row r="48" spans="1:26" x14ac:dyDescent="0.25">
      <c r="A48" t="s">
        <v>59</v>
      </c>
      <c r="B48">
        <v>1731</v>
      </c>
      <c r="C48">
        <v>234</v>
      </c>
      <c r="D48">
        <v>34</v>
      </c>
      <c r="E48">
        <v>336.20000000000005</v>
      </c>
      <c r="F48">
        <v>122.31999999999996</v>
      </c>
      <c r="G48" t="s">
        <v>52</v>
      </c>
      <c r="H48" t="str">
        <f>VLOOKUP(Table_db1_backend.accdb[[#This Row],[Cat]],$P$3:$Q$27,2,0)</f>
        <v>PANT</v>
      </c>
      <c r="T48" s="43">
        <v>42047</v>
      </c>
      <c r="U48" t="str">
        <f t="shared" si="0"/>
        <v>1507</v>
      </c>
      <c r="V48" s="44" t="s">
        <v>86</v>
      </c>
      <c r="W48" s="44">
        <v>42043</v>
      </c>
      <c r="X48" s="24">
        <v>7</v>
      </c>
      <c r="Y48" s="24">
        <v>2015</v>
      </c>
      <c r="Z48" s="25">
        <v>201507</v>
      </c>
    </row>
    <row r="49" spans="1:26" x14ac:dyDescent="0.25">
      <c r="A49" t="s">
        <v>59</v>
      </c>
      <c r="B49">
        <v>1731</v>
      </c>
      <c r="C49">
        <v>33</v>
      </c>
      <c r="D49">
        <v>0</v>
      </c>
      <c r="E49">
        <v>0</v>
      </c>
      <c r="F49">
        <v>0</v>
      </c>
      <c r="G49" t="s">
        <v>28</v>
      </c>
      <c r="H49" t="str">
        <f>VLOOKUP(Table_db1_backend.accdb[[#This Row],[Cat]],$P$3:$Q$27,2,0)</f>
        <v>ACCESSORY</v>
      </c>
      <c r="T49" s="43">
        <v>42048</v>
      </c>
      <c r="U49" t="str">
        <f t="shared" si="0"/>
        <v>1507</v>
      </c>
      <c r="V49" s="44" t="s">
        <v>87</v>
      </c>
      <c r="W49" s="44">
        <v>42043</v>
      </c>
      <c r="X49" s="24">
        <v>7</v>
      </c>
      <c r="Y49" s="24">
        <v>2015</v>
      </c>
      <c r="Z49" s="25">
        <v>201507</v>
      </c>
    </row>
    <row r="50" spans="1:26" x14ac:dyDescent="0.25">
      <c r="A50" t="s">
        <v>59</v>
      </c>
      <c r="B50">
        <v>1731</v>
      </c>
      <c r="C50">
        <v>929</v>
      </c>
      <c r="D50">
        <v>70</v>
      </c>
      <c r="E50">
        <v>314.63000000000028</v>
      </c>
      <c r="F50">
        <v>209.37000000000006</v>
      </c>
      <c r="G50" t="s">
        <v>12</v>
      </c>
      <c r="H50" t="str">
        <f>VLOOKUP(Table_db1_backend.accdb[[#This Row],[Cat]],$P$3:$Q$27,2,0)</f>
        <v>SCARF</v>
      </c>
      <c r="T50" s="43">
        <v>42049</v>
      </c>
      <c r="U50" t="str">
        <f t="shared" si="0"/>
        <v>1507</v>
      </c>
      <c r="V50" s="44" t="s">
        <v>88</v>
      </c>
      <c r="W50" s="44">
        <v>42043</v>
      </c>
      <c r="X50" s="24">
        <v>7</v>
      </c>
      <c r="Y50" s="24">
        <v>2015</v>
      </c>
      <c r="Z50" s="25">
        <v>201507</v>
      </c>
    </row>
    <row r="51" spans="1:26" x14ac:dyDescent="0.25">
      <c r="A51" t="s">
        <v>59</v>
      </c>
      <c r="B51">
        <v>1731</v>
      </c>
      <c r="C51">
        <v>169</v>
      </c>
      <c r="D51">
        <v>36</v>
      </c>
      <c r="E51">
        <v>364.83000000000004</v>
      </c>
      <c r="F51">
        <v>75.430000000000007</v>
      </c>
      <c r="G51" t="s">
        <v>53</v>
      </c>
      <c r="H51" t="str">
        <f>VLOOKUP(Table_db1_backend.accdb[[#This Row],[Cat]],$P$3:$Q$27,2,0)</f>
        <v>SH&amp;BL</v>
      </c>
      <c r="T51" s="43">
        <v>42050</v>
      </c>
      <c r="U51" t="str">
        <f t="shared" si="0"/>
        <v>1508</v>
      </c>
      <c r="V51" s="44" t="s">
        <v>82</v>
      </c>
      <c r="W51" s="44">
        <v>42050</v>
      </c>
      <c r="X51" s="24">
        <v>8</v>
      </c>
      <c r="Y51" s="24">
        <v>2015</v>
      </c>
      <c r="Z51" s="25">
        <v>201508</v>
      </c>
    </row>
    <row r="52" spans="1:26" x14ac:dyDescent="0.25">
      <c r="A52" t="s">
        <v>59</v>
      </c>
      <c r="B52">
        <v>1731</v>
      </c>
      <c r="C52">
        <v>446</v>
      </c>
      <c r="D52">
        <v>21</v>
      </c>
      <c r="E52">
        <v>169.97000000000003</v>
      </c>
      <c r="F52">
        <v>24.470000000000006</v>
      </c>
      <c r="G52" t="s">
        <v>54</v>
      </c>
      <c r="H52" t="str">
        <f>VLOOKUP(Table_db1_backend.accdb[[#This Row],[Cat]],$P$3:$Q$27,2,0)</f>
        <v>SKIRT</v>
      </c>
      <c r="T52" s="43">
        <v>42051</v>
      </c>
      <c r="U52" t="str">
        <f t="shared" si="0"/>
        <v>1508</v>
      </c>
      <c r="V52" s="44" t="s">
        <v>83</v>
      </c>
      <c r="W52" s="44">
        <v>42050</v>
      </c>
      <c r="X52" s="24">
        <v>8</v>
      </c>
      <c r="Y52" s="24">
        <v>2015</v>
      </c>
      <c r="Z52" s="25">
        <v>201508</v>
      </c>
    </row>
    <row r="53" spans="1:26" x14ac:dyDescent="0.25">
      <c r="A53" t="s">
        <v>59</v>
      </c>
      <c r="B53">
        <v>1731</v>
      </c>
      <c r="C53">
        <v>1201</v>
      </c>
      <c r="D53">
        <v>191</v>
      </c>
      <c r="E53">
        <v>1407.4099999999994</v>
      </c>
      <c r="F53">
        <v>322.89999999999992</v>
      </c>
      <c r="G53" t="s">
        <v>55</v>
      </c>
      <c r="H53" t="str">
        <f>VLOOKUP(Table_db1_backend.accdb[[#This Row],[Cat]],$P$3:$Q$27,2,0)</f>
        <v>TOP</v>
      </c>
      <c r="T53" s="43">
        <v>42052</v>
      </c>
      <c r="U53" t="str">
        <f t="shared" si="0"/>
        <v>1508</v>
      </c>
      <c r="V53" s="44" t="s">
        <v>84</v>
      </c>
      <c r="W53" s="44">
        <v>42050</v>
      </c>
      <c r="X53" s="24">
        <v>8</v>
      </c>
      <c r="Y53" s="24">
        <v>2015</v>
      </c>
      <c r="Z53" s="25">
        <v>201508</v>
      </c>
    </row>
    <row r="54" spans="1:26" x14ac:dyDescent="0.25">
      <c r="A54" t="s">
        <v>61</v>
      </c>
      <c r="B54">
        <v>1731</v>
      </c>
      <c r="C54">
        <v>-2</v>
      </c>
      <c r="D54">
        <v>0</v>
      </c>
      <c r="E54">
        <v>0</v>
      </c>
      <c r="F54">
        <v>0</v>
      </c>
      <c r="G54" t="s">
        <v>21</v>
      </c>
      <c r="H54" t="str">
        <f>VLOOKUP(Table_db1_backend.accdb[[#This Row],[Cat]],$P$3:$Q$27,2,0)</f>
        <v>SHOES</v>
      </c>
      <c r="T54" s="43">
        <v>42053</v>
      </c>
      <c r="U54" t="str">
        <f t="shared" si="0"/>
        <v>1508</v>
      </c>
      <c r="V54" s="44" t="s">
        <v>85</v>
      </c>
      <c r="W54" s="44">
        <v>42050</v>
      </c>
      <c r="X54" s="24">
        <v>8</v>
      </c>
      <c r="Y54" s="24">
        <v>2015</v>
      </c>
      <c r="Z54" s="25">
        <v>201508</v>
      </c>
    </row>
    <row r="55" spans="1:26" x14ac:dyDescent="0.25">
      <c r="A55" t="s">
        <v>61</v>
      </c>
      <c r="B55">
        <v>1731</v>
      </c>
      <c r="C55">
        <v>584</v>
      </c>
      <c r="D55">
        <v>50</v>
      </c>
      <c r="E55">
        <v>599.33999999999969</v>
      </c>
      <c r="F55">
        <v>199.72</v>
      </c>
      <c r="G55" t="s">
        <v>48</v>
      </c>
      <c r="H55" t="str">
        <f>VLOOKUP(Table_db1_backend.accdb[[#This Row],[Cat]],$P$3:$Q$27,2,0)</f>
        <v>DRESS</v>
      </c>
      <c r="T55" s="43">
        <v>42054</v>
      </c>
      <c r="U55" t="str">
        <f t="shared" si="0"/>
        <v>1508</v>
      </c>
      <c r="V55" s="44" t="s">
        <v>86</v>
      </c>
      <c r="W55" s="44">
        <v>42050</v>
      </c>
      <c r="X55" s="24">
        <v>8</v>
      </c>
      <c r="Y55" s="24">
        <v>2015</v>
      </c>
      <c r="Z55" s="25">
        <v>201508</v>
      </c>
    </row>
    <row r="56" spans="1:26" x14ac:dyDescent="0.25">
      <c r="A56" t="s">
        <v>61</v>
      </c>
      <c r="B56">
        <v>1731</v>
      </c>
      <c r="C56">
        <v>-107</v>
      </c>
      <c r="D56">
        <v>0</v>
      </c>
      <c r="E56">
        <v>0</v>
      </c>
      <c r="F56">
        <v>0</v>
      </c>
      <c r="G56" t="s">
        <v>23</v>
      </c>
      <c r="H56" t="str">
        <f>VLOOKUP(Table_db1_backend.accdb[[#This Row],[Cat]],$P$3:$Q$27,2,0)</f>
        <v>ACCESSORY</v>
      </c>
      <c r="T56" s="43">
        <v>42055</v>
      </c>
      <c r="U56" t="str">
        <f t="shared" si="0"/>
        <v>1508</v>
      </c>
      <c r="V56" s="44" t="s">
        <v>87</v>
      </c>
      <c r="W56" s="44">
        <v>42050</v>
      </c>
      <c r="X56" s="24">
        <v>8</v>
      </c>
      <c r="Y56" s="24">
        <v>2015</v>
      </c>
      <c r="Z56" s="25">
        <v>201508</v>
      </c>
    </row>
    <row r="57" spans="1:26" x14ac:dyDescent="0.25">
      <c r="A57" t="s">
        <v>61</v>
      </c>
      <c r="B57">
        <v>1731</v>
      </c>
      <c r="C57">
        <v>691</v>
      </c>
      <c r="D57">
        <v>386</v>
      </c>
      <c r="E57">
        <v>3547.5800000000004</v>
      </c>
      <c r="F57">
        <v>519.12000000000012</v>
      </c>
      <c r="G57" t="s">
        <v>49</v>
      </c>
      <c r="H57" t="str">
        <f>VLOOKUP(Table_db1_backend.accdb[[#This Row],[Cat]],$P$3:$Q$27,2,0)</f>
        <v>KNIT</v>
      </c>
      <c r="T57" s="43">
        <v>42056</v>
      </c>
      <c r="U57" t="str">
        <f t="shared" si="0"/>
        <v>1508</v>
      </c>
      <c r="V57" s="44" t="s">
        <v>88</v>
      </c>
      <c r="W57" s="44">
        <v>42050</v>
      </c>
      <c r="X57" s="24">
        <v>8</v>
      </c>
      <c r="Y57" s="24">
        <v>2015</v>
      </c>
      <c r="Z57" s="25">
        <v>201508</v>
      </c>
    </row>
    <row r="58" spans="1:26" x14ac:dyDescent="0.25">
      <c r="A58" t="s">
        <v>61</v>
      </c>
      <c r="B58">
        <v>1731</v>
      </c>
      <c r="C58">
        <v>371</v>
      </c>
      <c r="D58">
        <v>26</v>
      </c>
      <c r="E58">
        <v>254.52</v>
      </c>
      <c r="F58">
        <v>75.44</v>
      </c>
      <c r="G58" t="s">
        <v>50</v>
      </c>
      <c r="H58" t="str">
        <f>VLOOKUP(Table_db1_backend.accdb[[#This Row],[Cat]],$P$3:$Q$27,2,0)</f>
        <v>LEGGING</v>
      </c>
      <c r="T58" s="43">
        <v>42057</v>
      </c>
      <c r="U58" t="str">
        <f t="shared" si="0"/>
        <v>1509</v>
      </c>
      <c r="V58" s="44" t="s">
        <v>82</v>
      </c>
      <c r="W58" s="44">
        <v>42057</v>
      </c>
      <c r="X58" s="24">
        <v>9</v>
      </c>
      <c r="Y58" s="24">
        <v>2015</v>
      </c>
      <c r="Z58" s="25">
        <v>201509</v>
      </c>
    </row>
    <row r="59" spans="1:26" x14ac:dyDescent="0.25">
      <c r="A59" t="s">
        <v>61</v>
      </c>
      <c r="B59">
        <v>1731</v>
      </c>
      <c r="C59">
        <v>-91</v>
      </c>
      <c r="D59">
        <v>0</v>
      </c>
      <c r="E59">
        <v>0</v>
      </c>
      <c r="F59">
        <v>0</v>
      </c>
      <c r="G59" t="s">
        <v>26</v>
      </c>
      <c r="H59" t="str">
        <f>VLOOKUP(Table_db1_backend.accdb[[#This Row],[Cat]],$P$3:$Q$27,2,0)</f>
        <v>SHOES</v>
      </c>
      <c r="T59" s="43">
        <v>42058</v>
      </c>
      <c r="U59" t="str">
        <f t="shared" si="0"/>
        <v>1509</v>
      </c>
      <c r="V59" s="44" t="s">
        <v>83</v>
      </c>
      <c r="W59" s="44">
        <v>42057</v>
      </c>
      <c r="X59" s="24">
        <v>9</v>
      </c>
      <c r="Y59" s="24">
        <v>2015</v>
      </c>
      <c r="Z59" s="25">
        <v>201509</v>
      </c>
    </row>
    <row r="60" spans="1:26" x14ac:dyDescent="0.25">
      <c r="A60" t="s">
        <v>61</v>
      </c>
      <c r="B60">
        <v>1731</v>
      </c>
      <c r="C60">
        <v>-3</v>
      </c>
      <c r="D60">
        <v>0</v>
      </c>
      <c r="E60">
        <v>0</v>
      </c>
      <c r="F60">
        <v>0</v>
      </c>
      <c r="G60" t="s">
        <v>27</v>
      </c>
      <c r="H60" t="str">
        <f>VLOOKUP(Table_db1_backend.accdb[[#This Row],[Cat]],$P$3:$Q$27,2,0)</f>
        <v>SHOES</v>
      </c>
      <c r="T60" s="43">
        <v>42059</v>
      </c>
      <c r="U60" t="str">
        <f t="shared" si="0"/>
        <v>1509</v>
      </c>
      <c r="V60" s="44" t="s">
        <v>84</v>
      </c>
      <c r="W60" s="44">
        <v>42057</v>
      </c>
      <c r="X60" s="24">
        <v>9</v>
      </c>
      <c r="Y60" s="24">
        <v>2015</v>
      </c>
      <c r="Z60" s="25">
        <v>201509</v>
      </c>
    </row>
    <row r="61" spans="1:26" x14ac:dyDescent="0.25">
      <c r="A61" t="s">
        <v>61</v>
      </c>
      <c r="B61">
        <v>1731</v>
      </c>
      <c r="C61">
        <v>345</v>
      </c>
      <c r="D61">
        <v>96</v>
      </c>
      <c r="E61">
        <v>1445.1399999999996</v>
      </c>
      <c r="F61">
        <v>558.99</v>
      </c>
      <c r="G61" t="s">
        <v>51</v>
      </c>
      <c r="H61" t="str">
        <f>VLOOKUP(Table_db1_backend.accdb[[#This Row],[Cat]],$P$3:$Q$27,2,0)</f>
        <v>OUTER</v>
      </c>
      <c r="T61" s="43">
        <v>42060</v>
      </c>
      <c r="U61" t="str">
        <f t="shared" si="0"/>
        <v>1509</v>
      </c>
      <c r="V61" s="44" t="s">
        <v>85</v>
      </c>
      <c r="W61" s="44">
        <v>42057</v>
      </c>
      <c r="X61" s="24">
        <v>9</v>
      </c>
      <c r="Y61" s="24">
        <v>2015</v>
      </c>
      <c r="Z61" s="25">
        <v>201509</v>
      </c>
    </row>
    <row r="62" spans="1:26" x14ac:dyDescent="0.25">
      <c r="A62" t="s">
        <v>61</v>
      </c>
      <c r="B62">
        <v>1731</v>
      </c>
      <c r="C62">
        <v>349</v>
      </c>
      <c r="D62">
        <v>41</v>
      </c>
      <c r="E62">
        <v>340.89</v>
      </c>
      <c r="F62">
        <v>83.65</v>
      </c>
      <c r="G62" t="s">
        <v>52</v>
      </c>
      <c r="H62" t="str">
        <f>VLOOKUP(Table_db1_backend.accdb[[#This Row],[Cat]],$P$3:$Q$27,2,0)</f>
        <v>PANT</v>
      </c>
      <c r="T62" s="43">
        <v>42061</v>
      </c>
      <c r="U62" t="str">
        <f t="shared" si="0"/>
        <v>1509</v>
      </c>
      <c r="V62" s="44" t="s">
        <v>86</v>
      </c>
      <c r="W62" s="44">
        <v>42057</v>
      </c>
      <c r="X62" s="24">
        <v>9</v>
      </c>
      <c r="Y62" s="24">
        <v>2015</v>
      </c>
      <c r="Z62" s="25">
        <v>201509</v>
      </c>
    </row>
    <row r="63" spans="1:26" x14ac:dyDescent="0.25">
      <c r="A63" t="s">
        <v>61</v>
      </c>
      <c r="B63">
        <v>1731</v>
      </c>
      <c r="C63">
        <v>0</v>
      </c>
      <c r="D63">
        <v>0</v>
      </c>
      <c r="E63">
        <v>0</v>
      </c>
      <c r="F63">
        <v>0</v>
      </c>
      <c r="G63" t="s">
        <v>28</v>
      </c>
      <c r="H63" t="str">
        <f>VLOOKUP(Table_db1_backend.accdb[[#This Row],[Cat]],$P$3:$Q$27,2,0)</f>
        <v>ACCESSORY</v>
      </c>
      <c r="T63" s="43">
        <v>42062</v>
      </c>
      <c r="U63" t="str">
        <f t="shared" si="0"/>
        <v>1509</v>
      </c>
      <c r="V63" s="44" t="s">
        <v>87</v>
      </c>
      <c r="W63" s="44">
        <v>42057</v>
      </c>
      <c r="X63" s="24">
        <v>9</v>
      </c>
      <c r="Y63" s="24">
        <v>2015</v>
      </c>
      <c r="Z63" s="25">
        <v>201509</v>
      </c>
    </row>
    <row r="64" spans="1:26" x14ac:dyDescent="0.25">
      <c r="A64" t="s">
        <v>61</v>
      </c>
      <c r="B64">
        <v>1731</v>
      </c>
      <c r="C64">
        <v>-144</v>
      </c>
      <c r="D64">
        <v>92</v>
      </c>
      <c r="E64">
        <v>483.58000000000021</v>
      </c>
      <c r="F64">
        <v>327.47999999999996</v>
      </c>
      <c r="G64" t="s">
        <v>12</v>
      </c>
      <c r="H64" t="str">
        <f>VLOOKUP(Table_db1_backend.accdb[[#This Row],[Cat]],$P$3:$Q$27,2,0)</f>
        <v>SCARF</v>
      </c>
      <c r="T64" s="43">
        <v>42063</v>
      </c>
      <c r="U64" t="str">
        <f t="shared" si="0"/>
        <v>1509</v>
      </c>
      <c r="V64" s="44" t="s">
        <v>88</v>
      </c>
      <c r="W64" s="44">
        <v>42057</v>
      </c>
      <c r="X64" s="24">
        <v>9</v>
      </c>
      <c r="Y64" s="24">
        <v>2015</v>
      </c>
      <c r="Z64" s="25">
        <v>201509</v>
      </c>
    </row>
    <row r="65" spans="1:26" x14ac:dyDescent="0.25">
      <c r="A65" t="s">
        <v>61</v>
      </c>
      <c r="B65">
        <v>1731</v>
      </c>
      <c r="C65">
        <v>232</v>
      </c>
      <c r="D65">
        <v>7</v>
      </c>
      <c r="E65">
        <v>77.22</v>
      </c>
      <c r="F65">
        <v>19.600000000000005</v>
      </c>
      <c r="G65" t="s">
        <v>53</v>
      </c>
      <c r="H65" t="str">
        <f>VLOOKUP(Table_db1_backend.accdb[[#This Row],[Cat]],$P$3:$Q$27,2,0)</f>
        <v>SH&amp;BL</v>
      </c>
      <c r="T65" s="43">
        <v>42064</v>
      </c>
      <c r="U65" t="str">
        <f t="shared" si="0"/>
        <v>1510</v>
      </c>
      <c r="V65" s="44" t="s">
        <v>82</v>
      </c>
      <c r="W65" s="44">
        <v>42064</v>
      </c>
      <c r="X65" s="24">
        <v>10</v>
      </c>
      <c r="Y65" s="24">
        <v>2015</v>
      </c>
      <c r="Z65" s="25">
        <v>201510</v>
      </c>
    </row>
    <row r="66" spans="1:26" x14ac:dyDescent="0.25">
      <c r="A66" t="s">
        <v>61</v>
      </c>
      <c r="B66">
        <v>1731</v>
      </c>
      <c r="C66">
        <v>328</v>
      </c>
      <c r="D66">
        <v>14</v>
      </c>
      <c r="E66">
        <v>208.94000000000003</v>
      </c>
      <c r="F66">
        <v>125.13000000000002</v>
      </c>
      <c r="G66" t="s">
        <v>54</v>
      </c>
      <c r="H66" t="str">
        <f>VLOOKUP(Table_db1_backend.accdb[[#This Row],[Cat]],$P$3:$Q$27,2,0)</f>
        <v>SKIRT</v>
      </c>
      <c r="T66" s="43">
        <v>42065</v>
      </c>
      <c r="U66" t="str">
        <f t="shared" ref="U66:U129" si="1">RIGHT(Z66,4)</f>
        <v>1510</v>
      </c>
      <c r="V66" s="44" t="s">
        <v>83</v>
      </c>
      <c r="W66" s="44">
        <v>42064</v>
      </c>
      <c r="X66" s="24">
        <v>10</v>
      </c>
      <c r="Y66" s="24">
        <v>2015</v>
      </c>
      <c r="Z66" s="25">
        <v>201510</v>
      </c>
    </row>
    <row r="67" spans="1:26" x14ac:dyDescent="0.25">
      <c r="A67" t="s">
        <v>61</v>
      </c>
      <c r="B67">
        <v>1731</v>
      </c>
      <c r="C67">
        <v>935</v>
      </c>
      <c r="D67">
        <v>112</v>
      </c>
      <c r="E67">
        <v>949.3399999999998</v>
      </c>
      <c r="F67">
        <v>389.63000000000017</v>
      </c>
      <c r="G67" t="s">
        <v>55</v>
      </c>
      <c r="H67" t="str">
        <f>VLOOKUP(Table_db1_backend.accdb[[#This Row],[Cat]],$P$3:$Q$27,2,0)</f>
        <v>TOP</v>
      </c>
      <c r="T67" s="43">
        <v>42066</v>
      </c>
      <c r="U67" t="str">
        <f t="shared" si="1"/>
        <v>1510</v>
      </c>
      <c r="V67" s="44" t="s">
        <v>84</v>
      </c>
      <c r="W67" s="44">
        <v>42064</v>
      </c>
      <c r="X67" s="24">
        <v>10</v>
      </c>
      <c r="Y67" s="24">
        <v>2015</v>
      </c>
      <c r="Z67" s="25">
        <v>201510</v>
      </c>
    </row>
    <row r="68" spans="1:26" x14ac:dyDescent="0.25">
      <c r="A68" t="s">
        <v>63</v>
      </c>
      <c r="B68">
        <v>1731</v>
      </c>
      <c r="C68">
        <v>10</v>
      </c>
      <c r="D68">
        <v>0</v>
      </c>
      <c r="E68">
        <v>0</v>
      </c>
      <c r="F68">
        <v>0</v>
      </c>
      <c r="G68" t="s">
        <v>18</v>
      </c>
      <c r="H68" t="str">
        <f>VLOOKUP(Table_db1_backend.accdb[[#This Row],[Cat]],$P$3:$Q$27,2,0)</f>
        <v>ACCESSORY</v>
      </c>
      <c r="T68" s="43">
        <v>42067</v>
      </c>
      <c r="U68" t="str">
        <f t="shared" si="1"/>
        <v>1510</v>
      </c>
      <c r="V68" s="44" t="s">
        <v>85</v>
      </c>
      <c r="W68" s="44">
        <v>42064</v>
      </c>
      <c r="X68" s="24">
        <v>10</v>
      </c>
      <c r="Y68" s="24">
        <v>2015</v>
      </c>
      <c r="Z68" s="25">
        <v>201510</v>
      </c>
    </row>
    <row r="69" spans="1:26" x14ac:dyDescent="0.25">
      <c r="A69" t="s">
        <v>63</v>
      </c>
      <c r="B69">
        <v>1731</v>
      </c>
      <c r="C69">
        <v>4</v>
      </c>
      <c r="D69">
        <v>0</v>
      </c>
      <c r="E69">
        <v>0</v>
      </c>
      <c r="F69">
        <v>0</v>
      </c>
      <c r="G69" t="s">
        <v>21</v>
      </c>
      <c r="H69" t="str">
        <f>VLOOKUP(Table_db1_backend.accdb[[#This Row],[Cat]],$P$3:$Q$27,2,0)</f>
        <v>SHOES</v>
      </c>
      <c r="T69" s="43">
        <v>42068</v>
      </c>
      <c r="U69" t="str">
        <f t="shared" si="1"/>
        <v>1510</v>
      </c>
      <c r="V69" s="44" t="s">
        <v>86</v>
      </c>
      <c r="W69" s="44">
        <v>42064</v>
      </c>
      <c r="X69" s="24">
        <v>10</v>
      </c>
      <c r="Y69" s="24">
        <v>2015</v>
      </c>
      <c r="Z69" s="25">
        <v>201510</v>
      </c>
    </row>
    <row r="70" spans="1:26" x14ac:dyDescent="0.25">
      <c r="A70" t="s">
        <v>63</v>
      </c>
      <c r="B70">
        <v>1731</v>
      </c>
      <c r="C70">
        <v>0</v>
      </c>
      <c r="D70">
        <v>0</v>
      </c>
      <c r="E70">
        <v>0</v>
      </c>
      <c r="F70">
        <v>0</v>
      </c>
      <c r="G70" t="s">
        <v>22</v>
      </c>
      <c r="H70" t="str">
        <f>VLOOKUP(Table_db1_backend.accdb[[#This Row],[Cat]],$P$3:$Q$27,2,0)</f>
        <v>SHOES</v>
      </c>
      <c r="T70" s="43">
        <v>42069</v>
      </c>
      <c r="U70" t="str">
        <f t="shared" si="1"/>
        <v>1510</v>
      </c>
      <c r="V70" s="44" t="s">
        <v>87</v>
      </c>
      <c r="W70" s="44">
        <v>42064</v>
      </c>
      <c r="X70" s="24">
        <v>10</v>
      </c>
      <c r="Y70" s="24">
        <v>2015</v>
      </c>
      <c r="Z70" s="25">
        <v>201510</v>
      </c>
    </row>
    <row r="71" spans="1:26" x14ac:dyDescent="0.25">
      <c r="A71" t="s">
        <v>63</v>
      </c>
      <c r="B71">
        <v>1731</v>
      </c>
      <c r="C71">
        <v>590</v>
      </c>
      <c r="D71">
        <v>73</v>
      </c>
      <c r="E71">
        <v>962.65999999999974</v>
      </c>
      <c r="F71">
        <v>366.18999999999983</v>
      </c>
      <c r="G71" t="s">
        <v>48</v>
      </c>
      <c r="H71" t="str">
        <f>VLOOKUP(Table_db1_backend.accdb[[#This Row],[Cat]],$P$3:$Q$27,2,0)</f>
        <v>DRESS</v>
      </c>
      <c r="T71" s="43">
        <v>42070</v>
      </c>
      <c r="U71" t="str">
        <f t="shared" si="1"/>
        <v>1510</v>
      </c>
      <c r="V71" s="44" t="s">
        <v>88</v>
      </c>
      <c r="W71" s="44">
        <v>42064</v>
      </c>
      <c r="X71" s="24">
        <v>10</v>
      </c>
      <c r="Y71" s="24">
        <v>2015</v>
      </c>
      <c r="Z71" s="25">
        <v>201510</v>
      </c>
    </row>
    <row r="72" spans="1:26" x14ac:dyDescent="0.25">
      <c r="A72" t="s">
        <v>63</v>
      </c>
      <c r="B72">
        <v>1731</v>
      </c>
      <c r="C72">
        <v>-11</v>
      </c>
      <c r="D72">
        <v>0</v>
      </c>
      <c r="E72">
        <v>0</v>
      </c>
      <c r="F72">
        <v>0</v>
      </c>
      <c r="G72" t="s">
        <v>23</v>
      </c>
      <c r="H72" t="str">
        <f>VLOOKUP(Table_db1_backend.accdb[[#This Row],[Cat]],$P$3:$Q$27,2,0)</f>
        <v>ACCESSORY</v>
      </c>
      <c r="T72" s="43">
        <v>42071</v>
      </c>
      <c r="U72" t="str">
        <f t="shared" si="1"/>
        <v>1511</v>
      </c>
      <c r="V72" s="44" t="s">
        <v>82</v>
      </c>
      <c r="W72" s="44">
        <v>42071</v>
      </c>
      <c r="X72" s="24">
        <v>11</v>
      </c>
      <c r="Y72" s="24">
        <v>2015</v>
      </c>
      <c r="Z72" s="25">
        <v>201511</v>
      </c>
    </row>
    <row r="73" spans="1:26" x14ac:dyDescent="0.25">
      <c r="A73" t="s">
        <v>63</v>
      </c>
      <c r="B73">
        <v>1731</v>
      </c>
      <c r="C73">
        <v>8</v>
      </c>
      <c r="D73">
        <v>0</v>
      </c>
      <c r="E73">
        <v>0</v>
      </c>
      <c r="F73">
        <v>0</v>
      </c>
      <c r="G73" t="s">
        <v>24</v>
      </c>
      <c r="H73" t="str">
        <f>VLOOKUP(Table_db1_backend.accdb[[#This Row],[Cat]],$P$3:$Q$27,2,0)</f>
        <v>ACCESSORY</v>
      </c>
      <c r="T73" s="43">
        <v>42072</v>
      </c>
      <c r="U73" t="str">
        <f t="shared" si="1"/>
        <v>1511</v>
      </c>
      <c r="V73" s="44" t="s">
        <v>83</v>
      </c>
      <c r="W73" s="44">
        <v>42071</v>
      </c>
      <c r="X73" s="24">
        <v>11</v>
      </c>
      <c r="Y73" s="24">
        <v>2015</v>
      </c>
      <c r="Z73" s="25">
        <v>201511</v>
      </c>
    </row>
    <row r="74" spans="1:26" x14ac:dyDescent="0.25">
      <c r="A74" t="s">
        <v>63</v>
      </c>
      <c r="B74">
        <v>1731</v>
      </c>
      <c r="C74">
        <v>1268</v>
      </c>
      <c r="D74">
        <v>468</v>
      </c>
      <c r="E74">
        <v>4601.45</v>
      </c>
      <c r="F74">
        <v>904.11000000000013</v>
      </c>
      <c r="G74" t="s">
        <v>49</v>
      </c>
      <c r="H74" t="str">
        <f>VLOOKUP(Table_db1_backend.accdb[[#This Row],[Cat]],$P$3:$Q$27,2,0)</f>
        <v>KNIT</v>
      </c>
      <c r="T74" s="43">
        <v>42073</v>
      </c>
      <c r="U74" t="str">
        <f t="shared" si="1"/>
        <v>1511</v>
      </c>
      <c r="V74" s="44" t="s">
        <v>84</v>
      </c>
      <c r="W74" s="44">
        <v>42071</v>
      </c>
      <c r="X74" s="24">
        <v>11</v>
      </c>
      <c r="Y74" s="24">
        <v>2015</v>
      </c>
      <c r="Z74" s="25">
        <v>201511</v>
      </c>
    </row>
    <row r="75" spans="1:26" x14ac:dyDescent="0.25">
      <c r="A75" t="s">
        <v>63</v>
      </c>
      <c r="B75">
        <v>1731</v>
      </c>
      <c r="C75">
        <v>115</v>
      </c>
      <c r="D75">
        <v>22</v>
      </c>
      <c r="E75">
        <v>327.01000000000005</v>
      </c>
      <c r="F75">
        <v>177.7</v>
      </c>
      <c r="G75" t="s">
        <v>50</v>
      </c>
      <c r="H75" t="str">
        <f>VLOOKUP(Table_db1_backend.accdb[[#This Row],[Cat]],$P$3:$Q$27,2,0)</f>
        <v>LEGGING</v>
      </c>
      <c r="T75" s="43">
        <v>42074</v>
      </c>
      <c r="U75" t="str">
        <f t="shared" si="1"/>
        <v>1511</v>
      </c>
      <c r="V75" s="44" t="s">
        <v>85</v>
      </c>
      <c r="W75" s="44">
        <v>42071</v>
      </c>
      <c r="X75" s="24">
        <v>11</v>
      </c>
      <c r="Y75" s="24">
        <v>2015</v>
      </c>
      <c r="Z75" s="25">
        <v>201511</v>
      </c>
    </row>
    <row r="76" spans="1:26" x14ac:dyDescent="0.25">
      <c r="A76" t="s">
        <v>63</v>
      </c>
      <c r="B76">
        <v>1731</v>
      </c>
      <c r="C76">
        <v>61</v>
      </c>
      <c r="D76">
        <v>0</v>
      </c>
      <c r="E76">
        <v>0</v>
      </c>
      <c r="F76">
        <v>0</v>
      </c>
      <c r="G76" t="s">
        <v>26</v>
      </c>
      <c r="H76" t="str">
        <f>VLOOKUP(Table_db1_backend.accdb[[#This Row],[Cat]],$P$3:$Q$27,2,0)</f>
        <v>SHOES</v>
      </c>
      <c r="T76" s="43">
        <v>42075</v>
      </c>
      <c r="U76" t="str">
        <f t="shared" si="1"/>
        <v>1511</v>
      </c>
      <c r="V76" s="44" t="s">
        <v>86</v>
      </c>
      <c r="W76" s="44">
        <v>42071</v>
      </c>
      <c r="X76" s="24">
        <v>11</v>
      </c>
      <c r="Y76" s="24">
        <v>2015</v>
      </c>
      <c r="Z76" s="25">
        <v>201511</v>
      </c>
    </row>
    <row r="77" spans="1:26" x14ac:dyDescent="0.25">
      <c r="A77" t="s">
        <v>63</v>
      </c>
      <c r="B77">
        <v>1731</v>
      </c>
      <c r="C77">
        <v>61</v>
      </c>
      <c r="D77">
        <v>0</v>
      </c>
      <c r="E77">
        <v>0</v>
      </c>
      <c r="F77">
        <v>0</v>
      </c>
      <c r="G77" t="s">
        <v>27</v>
      </c>
      <c r="H77" t="str">
        <f>VLOOKUP(Table_db1_backend.accdb[[#This Row],[Cat]],$P$3:$Q$27,2,0)</f>
        <v>SHOES</v>
      </c>
      <c r="T77" s="43">
        <v>42076</v>
      </c>
      <c r="U77" t="str">
        <f t="shared" si="1"/>
        <v>1511</v>
      </c>
      <c r="V77" s="44" t="s">
        <v>87</v>
      </c>
      <c r="W77" s="44">
        <v>42071</v>
      </c>
      <c r="X77" s="24">
        <v>11</v>
      </c>
      <c r="Y77" s="24">
        <v>2015</v>
      </c>
      <c r="Z77" s="25">
        <v>201511</v>
      </c>
    </row>
    <row r="78" spans="1:26" x14ac:dyDescent="0.25">
      <c r="A78" t="s">
        <v>63</v>
      </c>
      <c r="B78">
        <v>1731</v>
      </c>
      <c r="C78">
        <v>454</v>
      </c>
      <c r="D78">
        <v>101</v>
      </c>
      <c r="E78">
        <v>1199.7899999999995</v>
      </c>
      <c r="F78">
        <v>300.83999999999997</v>
      </c>
      <c r="G78" t="s">
        <v>51</v>
      </c>
      <c r="H78" t="str">
        <f>VLOOKUP(Table_db1_backend.accdb[[#This Row],[Cat]],$P$3:$Q$27,2,0)</f>
        <v>OUTER</v>
      </c>
      <c r="T78" s="43">
        <v>42077</v>
      </c>
      <c r="U78" t="str">
        <f t="shared" si="1"/>
        <v>1511</v>
      </c>
      <c r="V78" s="44" t="s">
        <v>88</v>
      </c>
      <c r="W78" s="44">
        <v>42071</v>
      </c>
      <c r="X78" s="24">
        <v>11</v>
      </c>
      <c r="Y78" s="24">
        <v>2015</v>
      </c>
      <c r="Z78" s="25">
        <v>201511</v>
      </c>
    </row>
    <row r="79" spans="1:26" x14ac:dyDescent="0.25">
      <c r="A79" t="s">
        <v>63</v>
      </c>
      <c r="B79">
        <v>1731</v>
      </c>
      <c r="C79">
        <v>185</v>
      </c>
      <c r="D79">
        <v>24</v>
      </c>
      <c r="E79">
        <v>231.78</v>
      </c>
      <c r="F79">
        <v>79.390000000000015</v>
      </c>
      <c r="G79" t="s">
        <v>52</v>
      </c>
      <c r="H79" t="str">
        <f>VLOOKUP(Table_db1_backend.accdb[[#This Row],[Cat]],$P$3:$Q$27,2,0)</f>
        <v>PANT</v>
      </c>
      <c r="T79" s="43">
        <v>42078</v>
      </c>
      <c r="U79" t="str">
        <f t="shared" si="1"/>
        <v>1512</v>
      </c>
      <c r="V79" s="44" t="s">
        <v>82</v>
      </c>
      <c r="W79" s="44">
        <v>42078</v>
      </c>
      <c r="X79" s="24">
        <v>12</v>
      </c>
      <c r="Y79" s="24">
        <v>2015</v>
      </c>
      <c r="Z79" s="25">
        <v>201512</v>
      </c>
    </row>
    <row r="80" spans="1:26" x14ac:dyDescent="0.25">
      <c r="A80" t="s">
        <v>63</v>
      </c>
      <c r="B80">
        <v>1731</v>
      </c>
      <c r="C80">
        <v>64</v>
      </c>
      <c r="D80">
        <v>0</v>
      </c>
      <c r="E80">
        <v>0</v>
      </c>
      <c r="F80">
        <v>0</v>
      </c>
      <c r="G80" t="s">
        <v>28</v>
      </c>
      <c r="H80" t="str">
        <f>VLOOKUP(Table_db1_backend.accdb[[#This Row],[Cat]],$P$3:$Q$27,2,0)</f>
        <v>ACCESSORY</v>
      </c>
      <c r="T80" s="43">
        <v>42079</v>
      </c>
      <c r="U80" t="str">
        <f t="shared" si="1"/>
        <v>1512</v>
      </c>
      <c r="V80" s="44" t="s">
        <v>83</v>
      </c>
      <c r="W80" s="44">
        <v>42078</v>
      </c>
      <c r="X80" s="24">
        <v>12</v>
      </c>
      <c r="Y80" s="24">
        <v>2015</v>
      </c>
      <c r="Z80" s="25">
        <v>201512</v>
      </c>
    </row>
    <row r="81" spans="1:26" x14ac:dyDescent="0.25">
      <c r="A81" t="s">
        <v>63</v>
      </c>
      <c r="B81">
        <v>1731</v>
      </c>
      <c r="C81">
        <v>902</v>
      </c>
      <c r="D81">
        <v>29</v>
      </c>
      <c r="E81">
        <v>153.35</v>
      </c>
      <c r="F81">
        <v>108.80000000000001</v>
      </c>
      <c r="G81" t="s">
        <v>12</v>
      </c>
      <c r="H81" t="str">
        <f>VLOOKUP(Table_db1_backend.accdb[[#This Row],[Cat]],$P$3:$Q$27,2,0)</f>
        <v>SCARF</v>
      </c>
      <c r="T81" s="43">
        <v>42080</v>
      </c>
      <c r="U81" t="str">
        <f t="shared" si="1"/>
        <v>1512</v>
      </c>
      <c r="V81" s="44" t="s">
        <v>84</v>
      </c>
      <c r="W81" s="44">
        <v>42078</v>
      </c>
      <c r="X81" s="24">
        <v>12</v>
      </c>
      <c r="Y81" s="24">
        <v>2015</v>
      </c>
      <c r="Z81" s="25">
        <v>201512</v>
      </c>
    </row>
    <row r="82" spans="1:26" x14ac:dyDescent="0.25">
      <c r="A82" t="s">
        <v>63</v>
      </c>
      <c r="B82">
        <v>1731</v>
      </c>
      <c r="C82">
        <v>128</v>
      </c>
      <c r="D82">
        <v>42</v>
      </c>
      <c r="E82">
        <v>427.12000000000006</v>
      </c>
      <c r="F82">
        <v>111.89</v>
      </c>
      <c r="G82" t="s">
        <v>53</v>
      </c>
      <c r="H82" t="str">
        <f>VLOOKUP(Table_db1_backend.accdb[[#This Row],[Cat]],$P$3:$Q$27,2,0)</f>
        <v>SH&amp;BL</v>
      </c>
      <c r="T82" s="43">
        <v>42081</v>
      </c>
      <c r="U82" t="str">
        <f t="shared" si="1"/>
        <v>1512</v>
      </c>
      <c r="V82" s="44" t="s">
        <v>85</v>
      </c>
      <c r="W82" s="44">
        <v>42078</v>
      </c>
      <c r="X82" s="24">
        <v>12</v>
      </c>
      <c r="Y82" s="24">
        <v>2015</v>
      </c>
      <c r="Z82" s="25">
        <v>201512</v>
      </c>
    </row>
    <row r="83" spans="1:26" x14ac:dyDescent="0.25">
      <c r="A83" t="s">
        <v>63</v>
      </c>
      <c r="B83">
        <v>1731</v>
      </c>
      <c r="C83">
        <v>-10</v>
      </c>
      <c r="D83">
        <v>25</v>
      </c>
      <c r="E83">
        <v>335.95999999999992</v>
      </c>
      <c r="F83">
        <v>193.57</v>
      </c>
      <c r="G83" t="s">
        <v>54</v>
      </c>
      <c r="H83" t="str">
        <f>VLOOKUP(Table_db1_backend.accdb[[#This Row],[Cat]],$P$3:$Q$27,2,0)</f>
        <v>SKIRT</v>
      </c>
      <c r="T83" s="43">
        <v>42082</v>
      </c>
      <c r="U83" t="str">
        <f t="shared" si="1"/>
        <v>1512</v>
      </c>
      <c r="V83" s="44" t="s">
        <v>86</v>
      </c>
      <c r="W83" s="44">
        <v>42078</v>
      </c>
      <c r="X83" s="24">
        <v>12</v>
      </c>
      <c r="Y83" s="24">
        <v>2015</v>
      </c>
      <c r="Z83" s="25">
        <v>201512</v>
      </c>
    </row>
    <row r="84" spans="1:26" x14ac:dyDescent="0.25">
      <c r="A84" t="s">
        <v>63</v>
      </c>
      <c r="B84">
        <v>1731</v>
      </c>
      <c r="C84">
        <v>608</v>
      </c>
      <c r="D84">
        <v>157</v>
      </c>
      <c r="E84">
        <v>1271.6500000000001</v>
      </c>
      <c r="F84">
        <v>445.76000000000016</v>
      </c>
      <c r="G84" t="s">
        <v>55</v>
      </c>
      <c r="H84" t="str">
        <f>VLOOKUP(Table_db1_backend.accdb[[#This Row],[Cat]],$P$3:$Q$27,2,0)</f>
        <v>TOP</v>
      </c>
      <c r="T84" s="43">
        <v>42083</v>
      </c>
      <c r="U84" t="str">
        <f t="shared" si="1"/>
        <v>1512</v>
      </c>
      <c r="V84" s="44" t="s">
        <v>87</v>
      </c>
      <c r="W84" s="44">
        <v>42078</v>
      </c>
      <c r="X84" s="24">
        <v>12</v>
      </c>
      <c r="Y84" s="24">
        <v>2015</v>
      </c>
      <c r="Z84" s="25">
        <v>201512</v>
      </c>
    </row>
    <row r="85" spans="1:26" x14ac:dyDescent="0.25">
      <c r="A85" t="s">
        <v>64</v>
      </c>
      <c r="B85">
        <v>1731</v>
      </c>
      <c r="C85">
        <v>33</v>
      </c>
      <c r="D85">
        <v>0</v>
      </c>
      <c r="E85">
        <v>0</v>
      </c>
      <c r="F85">
        <v>0</v>
      </c>
      <c r="G85" t="s">
        <v>21</v>
      </c>
      <c r="H85" t="str">
        <f>VLOOKUP(Table_db1_backend.accdb[[#This Row],[Cat]],$P$3:$Q$27,2,0)</f>
        <v>SHOES</v>
      </c>
      <c r="T85" s="43">
        <v>42084</v>
      </c>
      <c r="U85" t="str">
        <f t="shared" si="1"/>
        <v>1512</v>
      </c>
      <c r="V85" s="44" t="s">
        <v>88</v>
      </c>
      <c r="W85" s="44">
        <v>42078</v>
      </c>
      <c r="X85" s="24">
        <v>12</v>
      </c>
      <c r="Y85" s="24">
        <v>2015</v>
      </c>
      <c r="Z85" s="25">
        <v>201512</v>
      </c>
    </row>
    <row r="86" spans="1:26" x14ac:dyDescent="0.25">
      <c r="A86" t="s">
        <v>64</v>
      </c>
      <c r="B86">
        <v>1731</v>
      </c>
      <c r="C86">
        <v>2</v>
      </c>
      <c r="D86">
        <v>0</v>
      </c>
      <c r="E86">
        <v>0</v>
      </c>
      <c r="F86">
        <v>0</v>
      </c>
      <c r="G86" t="s">
        <v>22</v>
      </c>
      <c r="H86" t="str">
        <f>VLOOKUP(Table_db1_backend.accdb[[#This Row],[Cat]],$P$3:$Q$27,2,0)</f>
        <v>SHOES</v>
      </c>
      <c r="T86" s="43">
        <v>42085</v>
      </c>
      <c r="U86" t="str">
        <f t="shared" si="1"/>
        <v>1513</v>
      </c>
      <c r="V86" s="44" t="s">
        <v>82</v>
      </c>
      <c r="W86" s="44">
        <v>42085</v>
      </c>
      <c r="X86" s="24">
        <v>13</v>
      </c>
      <c r="Y86" s="24">
        <v>2015</v>
      </c>
      <c r="Z86" s="25">
        <v>201513</v>
      </c>
    </row>
    <row r="87" spans="1:26" x14ac:dyDescent="0.25">
      <c r="A87" t="s">
        <v>64</v>
      </c>
      <c r="B87">
        <v>1731</v>
      </c>
      <c r="C87">
        <v>562</v>
      </c>
      <c r="D87">
        <v>46</v>
      </c>
      <c r="E87">
        <v>648.45999999999992</v>
      </c>
      <c r="F87">
        <v>284.41000000000003</v>
      </c>
      <c r="G87" t="s">
        <v>48</v>
      </c>
      <c r="H87" t="str">
        <f>VLOOKUP(Table_db1_backend.accdb[[#This Row],[Cat]],$P$3:$Q$27,2,0)</f>
        <v>DRESS</v>
      </c>
      <c r="T87" s="43">
        <v>42086</v>
      </c>
      <c r="U87" t="str">
        <f t="shared" si="1"/>
        <v>1513</v>
      </c>
      <c r="V87" s="44" t="s">
        <v>83</v>
      </c>
      <c r="W87" s="44">
        <v>42085</v>
      </c>
      <c r="X87" s="24">
        <v>13</v>
      </c>
      <c r="Y87" s="24">
        <v>2015</v>
      </c>
      <c r="Z87" s="25">
        <v>201513</v>
      </c>
    </row>
    <row r="88" spans="1:26" x14ac:dyDescent="0.25">
      <c r="A88" t="s">
        <v>64</v>
      </c>
      <c r="B88">
        <v>1731</v>
      </c>
      <c r="C88">
        <v>34</v>
      </c>
      <c r="D88">
        <v>0</v>
      </c>
      <c r="E88">
        <v>0</v>
      </c>
      <c r="F88">
        <v>0</v>
      </c>
      <c r="G88" t="s">
        <v>23</v>
      </c>
      <c r="H88" t="str">
        <f>VLOOKUP(Table_db1_backend.accdb[[#This Row],[Cat]],$P$3:$Q$27,2,0)</f>
        <v>ACCESSORY</v>
      </c>
      <c r="T88" s="43">
        <v>42087</v>
      </c>
      <c r="U88" t="str">
        <f t="shared" si="1"/>
        <v>1513</v>
      </c>
      <c r="V88" s="44" t="s">
        <v>84</v>
      </c>
      <c r="W88" s="44">
        <v>42085</v>
      </c>
      <c r="X88" s="24">
        <v>13</v>
      </c>
      <c r="Y88" s="24">
        <v>2015</v>
      </c>
      <c r="Z88" s="25">
        <v>201513</v>
      </c>
    </row>
    <row r="89" spans="1:26" x14ac:dyDescent="0.25">
      <c r="A89" t="s">
        <v>64</v>
      </c>
      <c r="B89">
        <v>1731</v>
      </c>
      <c r="C89">
        <v>2</v>
      </c>
      <c r="D89">
        <v>0</v>
      </c>
      <c r="E89">
        <v>0</v>
      </c>
      <c r="F89">
        <v>0</v>
      </c>
      <c r="G89" t="s">
        <v>24</v>
      </c>
      <c r="H89" t="str">
        <f>VLOOKUP(Table_db1_backend.accdb[[#This Row],[Cat]],$P$3:$Q$27,2,0)</f>
        <v>ACCESSORY</v>
      </c>
      <c r="T89" s="43">
        <v>42088</v>
      </c>
      <c r="U89" t="str">
        <f t="shared" si="1"/>
        <v>1513</v>
      </c>
      <c r="V89" s="44" t="s">
        <v>85</v>
      </c>
      <c r="W89" s="44">
        <v>42085</v>
      </c>
      <c r="X89" s="24">
        <v>13</v>
      </c>
      <c r="Y89" s="24">
        <v>2015</v>
      </c>
      <c r="Z89" s="25">
        <v>201513</v>
      </c>
    </row>
    <row r="90" spans="1:26" x14ac:dyDescent="0.25">
      <c r="A90" t="s">
        <v>64</v>
      </c>
      <c r="B90">
        <v>1731</v>
      </c>
      <c r="C90">
        <v>1486</v>
      </c>
      <c r="D90">
        <v>338</v>
      </c>
      <c r="E90">
        <v>2690.62</v>
      </c>
      <c r="F90">
        <v>39.819999999999972</v>
      </c>
      <c r="G90" t="s">
        <v>49</v>
      </c>
      <c r="H90" t="str">
        <f>VLOOKUP(Table_db1_backend.accdb[[#This Row],[Cat]],$P$3:$Q$27,2,0)</f>
        <v>KNIT</v>
      </c>
      <c r="T90" s="43">
        <v>42089</v>
      </c>
      <c r="U90" t="str">
        <f t="shared" si="1"/>
        <v>1513</v>
      </c>
      <c r="V90" s="44" t="s">
        <v>86</v>
      </c>
      <c r="W90" s="44">
        <v>42085</v>
      </c>
      <c r="X90" s="24">
        <v>13</v>
      </c>
      <c r="Y90" s="24">
        <v>2015</v>
      </c>
      <c r="Z90" s="25">
        <v>201513</v>
      </c>
    </row>
    <row r="91" spans="1:26" x14ac:dyDescent="0.25">
      <c r="A91" t="s">
        <v>64</v>
      </c>
      <c r="B91">
        <v>1731</v>
      </c>
      <c r="C91">
        <v>474</v>
      </c>
      <c r="D91">
        <v>17</v>
      </c>
      <c r="E91">
        <v>138.49</v>
      </c>
      <c r="F91">
        <v>19.979999999999997</v>
      </c>
      <c r="G91" t="s">
        <v>50</v>
      </c>
      <c r="H91" t="str">
        <f>VLOOKUP(Table_db1_backend.accdb[[#This Row],[Cat]],$P$3:$Q$27,2,0)</f>
        <v>LEGGING</v>
      </c>
      <c r="T91" s="43">
        <v>42090</v>
      </c>
      <c r="U91" t="str">
        <f t="shared" si="1"/>
        <v>1513</v>
      </c>
      <c r="V91" s="44" t="s">
        <v>87</v>
      </c>
      <c r="W91" s="44">
        <v>42085</v>
      </c>
      <c r="X91" s="24">
        <v>13</v>
      </c>
      <c r="Y91" s="24">
        <v>2015</v>
      </c>
      <c r="Z91" s="25">
        <v>201513</v>
      </c>
    </row>
    <row r="92" spans="1:26" x14ac:dyDescent="0.25">
      <c r="A92" t="s">
        <v>64</v>
      </c>
      <c r="B92">
        <v>1731</v>
      </c>
      <c r="C92">
        <v>23</v>
      </c>
      <c r="D92">
        <v>0</v>
      </c>
      <c r="E92">
        <v>0</v>
      </c>
      <c r="F92">
        <v>0</v>
      </c>
      <c r="G92" t="s">
        <v>26</v>
      </c>
      <c r="H92" t="str">
        <f>VLOOKUP(Table_db1_backend.accdb[[#This Row],[Cat]],$P$3:$Q$27,2,0)</f>
        <v>SHOES</v>
      </c>
      <c r="T92" s="43">
        <v>42091</v>
      </c>
      <c r="U92" t="str">
        <f t="shared" si="1"/>
        <v>1513</v>
      </c>
      <c r="V92" s="44" t="s">
        <v>88</v>
      </c>
      <c r="W92" s="44">
        <v>42085</v>
      </c>
      <c r="X92" s="24">
        <v>13</v>
      </c>
      <c r="Y92" s="24">
        <v>2015</v>
      </c>
      <c r="Z92" s="25">
        <v>201513</v>
      </c>
    </row>
    <row r="93" spans="1:26" x14ac:dyDescent="0.25">
      <c r="A93" t="s">
        <v>64</v>
      </c>
      <c r="B93">
        <v>1731</v>
      </c>
      <c r="C93">
        <v>65</v>
      </c>
      <c r="D93">
        <v>0</v>
      </c>
      <c r="E93">
        <v>0</v>
      </c>
      <c r="F93">
        <v>0</v>
      </c>
      <c r="G93" t="s">
        <v>27</v>
      </c>
      <c r="H93" t="str">
        <f>VLOOKUP(Table_db1_backend.accdb[[#This Row],[Cat]],$P$3:$Q$27,2,0)</f>
        <v>SHOES</v>
      </c>
      <c r="T93" s="43">
        <v>42092</v>
      </c>
      <c r="U93" t="str">
        <f t="shared" si="1"/>
        <v>1514</v>
      </c>
      <c r="V93" s="44" t="s">
        <v>82</v>
      </c>
      <c r="W93" s="44">
        <v>42092</v>
      </c>
      <c r="X93" s="24">
        <v>14</v>
      </c>
      <c r="Y93" s="24">
        <v>2015</v>
      </c>
      <c r="Z93" s="25">
        <v>201514</v>
      </c>
    </row>
    <row r="94" spans="1:26" x14ac:dyDescent="0.25">
      <c r="A94" t="s">
        <v>64</v>
      </c>
      <c r="B94">
        <v>1731</v>
      </c>
      <c r="C94">
        <v>630</v>
      </c>
      <c r="D94">
        <v>54</v>
      </c>
      <c r="E94">
        <v>729.80000000000018</v>
      </c>
      <c r="F94">
        <v>202.35999999999999</v>
      </c>
      <c r="G94" t="s">
        <v>51</v>
      </c>
      <c r="H94" t="str">
        <f>VLOOKUP(Table_db1_backend.accdb[[#This Row],[Cat]],$P$3:$Q$27,2,0)</f>
        <v>OUTER</v>
      </c>
      <c r="T94" s="43">
        <v>42093</v>
      </c>
      <c r="U94" t="str">
        <f t="shared" si="1"/>
        <v>1514</v>
      </c>
      <c r="V94" s="44" t="s">
        <v>83</v>
      </c>
      <c r="W94" s="44">
        <v>42092</v>
      </c>
      <c r="X94" s="24">
        <v>14</v>
      </c>
      <c r="Y94" s="24">
        <v>2015</v>
      </c>
      <c r="Z94" s="25">
        <v>201514</v>
      </c>
    </row>
    <row r="95" spans="1:26" x14ac:dyDescent="0.25">
      <c r="A95" t="s">
        <v>64</v>
      </c>
      <c r="B95">
        <v>1731</v>
      </c>
      <c r="C95">
        <v>356</v>
      </c>
      <c r="D95">
        <v>23</v>
      </c>
      <c r="E95">
        <v>196.2</v>
      </c>
      <c r="F95">
        <v>45.300000000000004</v>
      </c>
      <c r="G95" t="s">
        <v>52</v>
      </c>
      <c r="H95" t="str">
        <f>VLOOKUP(Table_db1_backend.accdb[[#This Row],[Cat]],$P$3:$Q$27,2,0)</f>
        <v>PANT</v>
      </c>
      <c r="T95" s="43">
        <v>42094</v>
      </c>
      <c r="U95" t="str">
        <f t="shared" si="1"/>
        <v>1514</v>
      </c>
      <c r="V95" s="44" t="s">
        <v>84</v>
      </c>
      <c r="W95" s="44">
        <v>42092</v>
      </c>
      <c r="X95" s="24">
        <v>14</v>
      </c>
      <c r="Y95" s="24">
        <v>2015</v>
      </c>
      <c r="Z95" s="25">
        <v>201514</v>
      </c>
    </row>
    <row r="96" spans="1:26" x14ac:dyDescent="0.25">
      <c r="A96" t="s">
        <v>64</v>
      </c>
      <c r="B96">
        <v>1731</v>
      </c>
      <c r="C96">
        <v>78</v>
      </c>
      <c r="D96">
        <v>0</v>
      </c>
      <c r="E96">
        <v>0</v>
      </c>
      <c r="F96">
        <v>0</v>
      </c>
      <c r="G96" t="s">
        <v>28</v>
      </c>
      <c r="H96" t="str">
        <f>VLOOKUP(Table_db1_backend.accdb[[#This Row],[Cat]],$P$3:$Q$27,2,0)</f>
        <v>ACCESSORY</v>
      </c>
      <c r="T96" s="43">
        <v>42095</v>
      </c>
      <c r="U96" t="str">
        <f t="shared" si="1"/>
        <v>1514</v>
      </c>
      <c r="V96" s="44" t="s">
        <v>85</v>
      </c>
      <c r="W96" s="44">
        <v>42092</v>
      </c>
      <c r="X96" s="24">
        <v>14</v>
      </c>
      <c r="Y96" s="24">
        <v>2015</v>
      </c>
      <c r="Z96" s="25">
        <v>201514</v>
      </c>
    </row>
    <row r="97" spans="1:26" x14ac:dyDescent="0.25">
      <c r="A97" t="s">
        <v>64</v>
      </c>
      <c r="B97">
        <v>1731</v>
      </c>
      <c r="C97">
        <v>1217</v>
      </c>
      <c r="D97">
        <v>34</v>
      </c>
      <c r="E97">
        <v>237.73999999999992</v>
      </c>
      <c r="F97">
        <v>180.64999999999998</v>
      </c>
      <c r="G97" t="s">
        <v>12</v>
      </c>
      <c r="H97" t="str">
        <f>VLOOKUP(Table_db1_backend.accdb[[#This Row],[Cat]],$P$3:$Q$27,2,0)</f>
        <v>SCARF</v>
      </c>
      <c r="T97" s="43">
        <v>42096</v>
      </c>
      <c r="U97" t="str">
        <f t="shared" si="1"/>
        <v>1514</v>
      </c>
      <c r="V97" s="44" t="s">
        <v>86</v>
      </c>
      <c r="W97" s="44">
        <v>42092</v>
      </c>
      <c r="X97" s="24">
        <v>14</v>
      </c>
      <c r="Y97" s="24">
        <v>2015</v>
      </c>
      <c r="Z97" s="25">
        <v>201514</v>
      </c>
    </row>
    <row r="98" spans="1:26" x14ac:dyDescent="0.25">
      <c r="A98" t="s">
        <v>64</v>
      </c>
      <c r="B98">
        <v>1731</v>
      </c>
      <c r="C98">
        <v>233</v>
      </c>
      <c r="D98">
        <v>19</v>
      </c>
      <c r="E98">
        <v>202.93</v>
      </c>
      <c r="F98">
        <v>66.72</v>
      </c>
      <c r="G98" t="s">
        <v>53</v>
      </c>
      <c r="H98" t="str">
        <f>VLOOKUP(Table_db1_backend.accdb[[#This Row],[Cat]],$P$3:$Q$27,2,0)</f>
        <v>SH&amp;BL</v>
      </c>
      <c r="T98" s="43">
        <v>42097</v>
      </c>
      <c r="U98" t="str">
        <f t="shared" si="1"/>
        <v>1514</v>
      </c>
      <c r="V98" s="44" t="s">
        <v>87</v>
      </c>
      <c r="W98" s="44">
        <v>42092</v>
      </c>
      <c r="X98" s="24">
        <v>14</v>
      </c>
      <c r="Y98" s="24">
        <v>2015</v>
      </c>
      <c r="Z98" s="25">
        <v>201514</v>
      </c>
    </row>
    <row r="99" spans="1:26" x14ac:dyDescent="0.25">
      <c r="A99" t="s">
        <v>64</v>
      </c>
      <c r="B99">
        <v>1731</v>
      </c>
      <c r="C99">
        <v>479</v>
      </c>
      <c r="D99">
        <v>23</v>
      </c>
      <c r="E99">
        <v>312.54999999999995</v>
      </c>
      <c r="F99">
        <v>189.05</v>
      </c>
      <c r="G99" t="s">
        <v>54</v>
      </c>
      <c r="H99" t="str">
        <f>VLOOKUP(Table_db1_backend.accdb[[#This Row],[Cat]],$P$3:$Q$27,2,0)</f>
        <v>SKIRT</v>
      </c>
      <c r="T99" s="43">
        <v>42098</v>
      </c>
      <c r="U99" t="str">
        <f t="shared" si="1"/>
        <v>1514</v>
      </c>
      <c r="V99" s="44" t="s">
        <v>88</v>
      </c>
      <c r="W99" s="44">
        <v>42092</v>
      </c>
      <c r="X99" s="24">
        <v>14</v>
      </c>
      <c r="Y99" s="24">
        <v>2015</v>
      </c>
      <c r="Z99" s="25">
        <v>201514</v>
      </c>
    </row>
    <row r="100" spans="1:26" x14ac:dyDescent="0.25">
      <c r="A100" t="s">
        <v>64</v>
      </c>
      <c r="B100">
        <v>1731</v>
      </c>
      <c r="C100">
        <v>1478</v>
      </c>
      <c r="D100">
        <v>131</v>
      </c>
      <c r="E100">
        <v>1028.6399999999999</v>
      </c>
      <c r="F100">
        <v>318.89</v>
      </c>
      <c r="G100" t="s">
        <v>55</v>
      </c>
      <c r="H100" t="str">
        <f>VLOOKUP(Table_db1_backend.accdb[[#This Row],[Cat]],$P$3:$Q$27,2,0)</f>
        <v>TOP</v>
      </c>
      <c r="T100" s="43">
        <v>42099</v>
      </c>
      <c r="U100" t="str">
        <f t="shared" si="1"/>
        <v>1515</v>
      </c>
      <c r="V100" s="44" t="s">
        <v>82</v>
      </c>
      <c r="W100" s="44">
        <v>42099</v>
      </c>
      <c r="X100" s="24">
        <v>15</v>
      </c>
      <c r="Y100" s="24">
        <v>2015</v>
      </c>
      <c r="Z100" s="25">
        <v>201515</v>
      </c>
    </row>
    <row r="101" spans="1:26" x14ac:dyDescent="0.25">
      <c r="A101" t="s">
        <v>68</v>
      </c>
      <c r="B101">
        <v>1731</v>
      </c>
      <c r="C101">
        <v>-35</v>
      </c>
      <c r="D101">
        <v>0</v>
      </c>
      <c r="E101">
        <v>0</v>
      </c>
      <c r="F101">
        <v>0</v>
      </c>
      <c r="G101" t="s">
        <v>21</v>
      </c>
      <c r="H101" t="str">
        <f>VLOOKUP(Table_db1_backend.accdb[[#This Row],[Cat]],$P$3:$Q$27,2,0)</f>
        <v>SHOES</v>
      </c>
      <c r="T101" s="43">
        <v>42100</v>
      </c>
      <c r="U101" t="str">
        <f t="shared" si="1"/>
        <v>1515</v>
      </c>
      <c r="V101" s="44" t="s">
        <v>83</v>
      </c>
      <c r="W101" s="44">
        <v>42099</v>
      </c>
      <c r="X101" s="24">
        <v>15</v>
      </c>
      <c r="Y101" s="24">
        <v>2015</v>
      </c>
      <c r="Z101" s="25">
        <v>201515</v>
      </c>
    </row>
    <row r="102" spans="1:26" x14ac:dyDescent="0.25">
      <c r="A102" t="s">
        <v>68</v>
      </c>
      <c r="B102">
        <v>1731</v>
      </c>
      <c r="C102">
        <v>569</v>
      </c>
      <c r="D102">
        <v>89</v>
      </c>
      <c r="E102">
        <v>1072.0999999999999</v>
      </c>
      <c r="F102">
        <v>381.80999999999989</v>
      </c>
      <c r="G102" t="s">
        <v>48</v>
      </c>
      <c r="H102" t="str">
        <f>VLOOKUP(Table_db1_backend.accdb[[#This Row],[Cat]],$P$3:$Q$27,2,0)</f>
        <v>DRESS</v>
      </c>
      <c r="T102" s="43">
        <v>42101</v>
      </c>
      <c r="U102" t="str">
        <f t="shared" si="1"/>
        <v>1515</v>
      </c>
      <c r="V102" s="44" t="s">
        <v>84</v>
      </c>
      <c r="W102" s="44">
        <v>42099</v>
      </c>
      <c r="X102" s="24">
        <v>15</v>
      </c>
      <c r="Y102" s="24">
        <v>2015</v>
      </c>
      <c r="Z102" s="25">
        <v>201515</v>
      </c>
    </row>
    <row r="103" spans="1:26" x14ac:dyDescent="0.25">
      <c r="A103" t="s">
        <v>68</v>
      </c>
      <c r="B103">
        <v>1731</v>
      </c>
      <c r="C103">
        <v>5</v>
      </c>
      <c r="D103">
        <v>0</v>
      </c>
      <c r="E103">
        <v>0</v>
      </c>
      <c r="F103">
        <v>0</v>
      </c>
      <c r="G103" t="s">
        <v>23</v>
      </c>
      <c r="H103" t="str">
        <f>VLOOKUP(Table_db1_backend.accdb[[#This Row],[Cat]],$P$3:$Q$27,2,0)</f>
        <v>ACCESSORY</v>
      </c>
      <c r="T103" s="43">
        <v>42102</v>
      </c>
      <c r="U103" t="str">
        <f t="shared" si="1"/>
        <v>1515</v>
      </c>
      <c r="V103" s="44" t="s">
        <v>85</v>
      </c>
      <c r="W103" s="44">
        <v>42099</v>
      </c>
      <c r="X103" s="24">
        <v>15</v>
      </c>
      <c r="Y103" s="24">
        <v>2015</v>
      </c>
      <c r="Z103" s="25">
        <v>201515</v>
      </c>
    </row>
    <row r="104" spans="1:26" x14ac:dyDescent="0.25">
      <c r="A104" t="s">
        <v>68</v>
      </c>
      <c r="B104">
        <v>1731</v>
      </c>
      <c r="C104">
        <v>1104</v>
      </c>
      <c r="D104">
        <v>626</v>
      </c>
      <c r="E104">
        <v>5283</v>
      </c>
      <c r="F104">
        <v>229.09999999999991</v>
      </c>
      <c r="G104" t="s">
        <v>49</v>
      </c>
      <c r="H104" t="str">
        <f>VLOOKUP(Table_db1_backend.accdb[[#This Row],[Cat]],$P$3:$Q$27,2,0)</f>
        <v>KNIT</v>
      </c>
      <c r="T104" s="43">
        <v>42103</v>
      </c>
      <c r="U104" t="str">
        <f t="shared" si="1"/>
        <v>1515</v>
      </c>
      <c r="V104" s="44" t="s">
        <v>86</v>
      </c>
      <c r="W104" s="44">
        <v>42099</v>
      </c>
      <c r="X104" s="24">
        <v>15</v>
      </c>
      <c r="Y104" s="24">
        <v>2015</v>
      </c>
      <c r="Z104" s="25">
        <v>201515</v>
      </c>
    </row>
    <row r="105" spans="1:26" x14ac:dyDescent="0.25">
      <c r="A105" t="s">
        <v>68</v>
      </c>
      <c r="B105">
        <v>1731</v>
      </c>
      <c r="C105">
        <v>271</v>
      </c>
      <c r="D105">
        <v>54</v>
      </c>
      <c r="E105">
        <v>567.76999999999987</v>
      </c>
      <c r="F105">
        <v>199.10000000000002</v>
      </c>
      <c r="G105" t="s">
        <v>50</v>
      </c>
      <c r="H105" t="str">
        <f>VLOOKUP(Table_db1_backend.accdb[[#This Row],[Cat]],$P$3:$Q$27,2,0)</f>
        <v>LEGGING</v>
      </c>
      <c r="T105" s="43">
        <v>42104</v>
      </c>
      <c r="U105" t="str">
        <f t="shared" si="1"/>
        <v>1515</v>
      </c>
      <c r="V105" s="44" t="s">
        <v>87</v>
      </c>
      <c r="W105" s="44">
        <v>42099</v>
      </c>
      <c r="X105" s="24">
        <v>15</v>
      </c>
      <c r="Y105" s="24">
        <v>2015</v>
      </c>
      <c r="Z105" s="25">
        <v>201515</v>
      </c>
    </row>
    <row r="106" spans="1:26" x14ac:dyDescent="0.25">
      <c r="A106" t="s">
        <v>68</v>
      </c>
      <c r="B106">
        <v>1731</v>
      </c>
      <c r="C106">
        <v>-116</v>
      </c>
      <c r="D106">
        <v>0</v>
      </c>
      <c r="E106">
        <v>0</v>
      </c>
      <c r="F106">
        <v>0</v>
      </c>
      <c r="G106" t="s">
        <v>26</v>
      </c>
      <c r="H106" t="str">
        <f>VLOOKUP(Table_db1_backend.accdb[[#This Row],[Cat]],$P$3:$Q$27,2,0)</f>
        <v>SHOES</v>
      </c>
      <c r="T106" s="43">
        <v>42105</v>
      </c>
      <c r="U106" t="str">
        <f t="shared" si="1"/>
        <v>1515</v>
      </c>
      <c r="V106" s="44" t="s">
        <v>88</v>
      </c>
      <c r="W106" s="44">
        <v>42099</v>
      </c>
      <c r="X106" s="24">
        <v>15</v>
      </c>
      <c r="Y106" s="24">
        <v>2015</v>
      </c>
      <c r="Z106" s="25">
        <v>201515</v>
      </c>
    </row>
    <row r="107" spans="1:26" x14ac:dyDescent="0.25">
      <c r="A107" t="s">
        <v>68</v>
      </c>
      <c r="B107">
        <v>1731</v>
      </c>
      <c r="C107">
        <v>-1</v>
      </c>
      <c r="D107">
        <v>0</v>
      </c>
      <c r="E107">
        <v>0</v>
      </c>
      <c r="F107">
        <v>0</v>
      </c>
      <c r="G107" t="s">
        <v>27</v>
      </c>
      <c r="H107" t="str">
        <f>VLOOKUP(Table_db1_backend.accdb[[#This Row],[Cat]],$P$3:$Q$27,2,0)</f>
        <v>SHOES</v>
      </c>
      <c r="T107" s="43">
        <v>42106</v>
      </c>
      <c r="U107" t="str">
        <f t="shared" si="1"/>
        <v>1516</v>
      </c>
      <c r="V107" s="44" t="s">
        <v>82</v>
      </c>
      <c r="W107" s="44">
        <v>42106</v>
      </c>
      <c r="X107" s="24">
        <v>16</v>
      </c>
      <c r="Y107" s="24">
        <v>2015</v>
      </c>
      <c r="Z107" s="25">
        <v>201516</v>
      </c>
    </row>
    <row r="108" spans="1:26" x14ac:dyDescent="0.25">
      <c r="A108" t="s">
        <v>68</v>
      </c>
      <c r="B108">
        <v>1731</v>
      </c>
      <c r="C108">
        <v>469</v>
      </c>
      <c r="D108">
        <v>168</v>
      </c>
      <c r="E108">
        <v>2008.5599999999997</v>
      </c>
      <c r="F108">
        <v>359.91000000000008</v>
      </c>
      <c r="G108" t="s">
        <v>51</v>
      </c>
      <c r="H108" t="str">
        <f>VLOOKUP(Table_db1_backend.accdb[[#This Row],[Cat]],$P$3:$Q$27,2,0)</f>
        <v>OUTER</v>
      </c>
      <c r="T108" s="43">
        <v>42107</v>
      </c>
      <c r="U108" t="str">
        <f t="shared" si="1"/>
        <v>1516</v>
      </c>
      <c r="V108" s="44" t="s">
        <v>83</v>
      </c>
      <c r="W108" s="44">
        <v>42106</v>
      </c>
      <c r="X108" s="24">
        <v>16</v>
      </c>
      <c r="Y108" s="24">
        <v>2015</v>
      </c>
      <c r="Z108" s="25">
        <v>201516</v>
      </c>
    </row>
    <row r="109" spans="1:26" x14ac:dyDescent="0.25">
      <c r="A109" t="s">
        <v>68</v>
      </c>
      <c r="B109">
        <v>1731</v>
      </c>
      <c r="C109">
        <v>195</v>
      </c>
      <c r="D109">
        <v>64</v>
      </c>
      <c r="E109">
        <v>368.25000000000006</v>
      </c>
      <c r="F109">
        <v>-49.319999999999993</v>
      </c>
      <c r="G109" t="s">
        <v>52</v>
      </c>
      <c r="H109" t="str">
        <f>VLOOKUP(Table_db1_backend.accdb[[#This Row],[Cat]],$P$3:$Q$27,2,0)</f>
        <v>PANT</v>
      </c>
      <c r="T109" s="43">
        <v>42108</v>
      </c>
      <c r="U109" t="str">
        <f t="shared" si="1"/>
        <v>1516</v>
      </c>
      <c r="V109" s="44" t="s">
        <v>84</v>
      </c>
      <c r="W109" s="44">
        <v>42106</v>
      </c>
      <c r="X109" s="24">
        <v>16</v>
      </c>
      <c r="Y109" s="24">
        <v>2015</v>
      </c>
      <c r="Z109" s="25">
        <v>201516</v>
      </c>
    </row>
    <row r="110" spans="1:26" x14ac:dyDescent="0.25">
      <c r="A110" t="s">
        <v>68</v>
      </c>
      <c r="B110">
        <v>1731</v>
      </c>
      <c r="C110">
        <v>-1094</v>
      </c>
      <c r="D110">
        <v>100</v>
      </c>
      <c r="E110">
        <v>553.97000000000037</v>
      </c>
      <c r="F110">
        <v>380.48000000000008</v>
      </c>
      <c r="G110" t="s">
        <v>12</v>
      </c>
      <c r="H110" t="str">
        <f>VLOOKUP(Table_db1_backend.accdb[[#This Row],[Cat]],$P$3:$Q$27,2,0)</f>
        <v>SCARF</v>
      </c>
      <c r="T110" s="43">
        <v>42109</v>
      </c>
      <c r="U110" t="str">
        <f t="shared" si="1"/>
        <v>1516</v>
      </c>
      <c r="V110" s="44" t="s">
        <v>85</v>
      </c>
      <c r="W110" s="44">
        <v>42106</v>
      </c>
      <c r="X110" s="24">
        <v>16</v>
      </c>
      <c r="Y110" s="24">
        <v>2015</v>
      </c>
      <c r="Z110" s="25">
        <v>201516</v>
      </c>
    </row>
    <row r="111" spans="1:26" x14ac:dyDescent="0.25">
      <c r="A111" t="s">
        <v>68</v>
      </c>
      <c r="B111">
        <v>1731</v>
      </c>
      <c r="C111">
        <v>162</v>
      </c>
      <c r="D111">
        <v>48</v>
      </c>
      <c r="E111">
        <v>408.96000000000009</v>
      </c>
      <c r="F111">
        <v>74.28</v>
      </c>
      <c r="G111" t="s">
        <v>53</v>
      </c>
      <c r="H111" t="str">
        <f>VLOOKUP(Table_db1_backend.accdb[[#This Row],[Cat]],$P$3:$Q$27,2,0)</f>
        <v>SH&amp;BL</v>
      </c>
      <c r="T111" s="43">
        <v>42110</v>
      </c>
      <c r="U111" t="str">
        <f t="shared" si="1"/>
        <v>1516</v>
      </c>
      <c r="V111" s="44" t="s">
        <v>86</v>
      </c>
      <c r="W111" s="44">
        <v>42106</v>
      </c>
      <c r="X111" s="24">
        <v>16</v>
      </c>
      <c r="Y111" s="24">
        <v>2015</v>
      </c>
      <c r="Z111" s="25">
        <v>201516</v>
      </c>
    </row>
    <row r="112" spans="1:26" x14ac:dyDescent="0.25">
      <c r="A112" t="s">
        <v>68</v>
      </c>
      <c r="B112">
        <v>1731</v>
      </c>
      <c r="C112">
        <v>221</v>
      </c>
      <c r="D112">
        <v>39</v>
      </c>
      <c r="E112">
        <v>322.61999999999995</v>
      </c>
      <c r="F112">
        <v>89.470000000000013</v>
      </c>
      <c r="G112" t="s">
        <v>54</v>
      </c>
      <c r="H112" t="str">
        <f>VLOOKUP(Table_db1_backend.accdb[[#This Row],[Cat]],$P$3:$Q$27,2,0)</f>
        <v>SKIRT</v>
      </c>
      <c r="T112" s="43">
        <v>42111</v>
      </c>
      <c r="U112" t="str">
        <f t="shared" si="1"/>
        <v>1516</v>
      </c>
      <c r="V112" s="44" t="s">
        <v>87</v>
      </c>
      <c r="W112" s="44">
        <v>42106</v>
      </c>
      <c r="X112" s="24">
        <v>16</v>
      </c>
      <c r="Y112" s="24">
        <v>2015</v>
      </c>
      <c r="Z112" s="25">
        <v>201516</v>
      </c>
    </row>
    <row r="113" spans="1:26" x14ac:dyDescent="0.25">
      <c r="A113" t="s">
        <v>68</v>
      </c>
      <c r="B113">
        <v>1731</v>
      </c>
      <c r="C113">
        <v>1360</v>
      </c>
      <c r="D113">
        <v>366</v>
      </c>
      <c r="E113">
        <v>2368.1199999999972</v>
      </c>
      <c r="F113">
        <v>436.1400000000001</v>
      </c>
      <c r="G113" t="s">
        <v>55</v>
      </c>
      <c r="H113" t="str">
        <f>VLOOKUP(Table_db1_backend.accdb[[#This Row],[Cat]],$P$3:$Q$27,2,0)</f>
        <v>TOP</v>
      </c>
      <c r="T113" s="43">
        <v>42112</v>
      </c>
      <c r="U113" t="str">
        <f t="shared" si="1"/>
        <v>1516</v>
      </c>
      <c r="V113" s="44" t="s">
        <v>88</v>
      </c>
      <c r="W113" s="44">
        <v>42106</v>
      </c>
      <c r="X113" s="24">
        <v>16</v>
      </c>
      <c r="Y113" s="24">
        <v>2015</v>
      </c>
      <c r="Z113" s="25">
        <v>201516</v>
      </c>
    </row>
    <row r="114" spans="1:26" x14ac:dyDescent="0.25">
      <c r="A114" t="s">
        <v>70</v>
      </c>
      <c r="B114">
        <v>1731</v>
      </c>
      <c r="C114">
        <v>-75</v>
      </c>
      <c r="D114">
        <v>4</v>
      </c>
      <c r="E114">
        <v>18.18</v>
      </c>
      <c r="F114">
        <v>6.6199999999999992</v>
      </c>
      <c r="G114" t="s">
        <v>18</v>
      </c>
      <c r="H114" t="str">
        <f>VLOOKUP(Table_db1_backend.accdb[[#This Row],[Cat]],$P$3:$Q$27,2,0)</f>
        <v>ACCESSORY</v>
      </c>
      <c r="T114" s="43">
        <v>42113</v>
      </c>
      <c r="U114" t="str">
        <f t="shared" si="1"/>
        <v>1517</v>
      </c>
      <c r="V114" s="44" t="s">
        <v>82</v>
      </c>
      <c r="W114" s="44">
        <v>42113</v>
      </c>
      <c r="X114" s="24">
        <v>17</v>
      </c>
      <c r="Y114" s="24">
        <v>2015</v>
      </c>
      <c r="Z114" s="25">
        <v>201517</v>
      </c>
    </row>
    <row r="115" spans="1:26" x14ac:dyDescent="0.25">
      <c r="A115" t="s">
        <v>70</v>
      </c>
      <c r="B115">
        <v>1731</v>
      </c>
      <c r="C115">
        <v>-189</v>
      </c>
      <c r="D115">
        <v>0</v>
      </c>
      <c r="E115">
        <v>0</v>
      </c>
      <c r="F115">
        <v>0</v>
      </c>
      <c r="G115" t="s">
        <v>21</v>
      </c>
      <c r="H115" t="str">
        <f>VLOOKUP(Table_db1_backend.accdb[[#This Row],[Cat]],$P$3:$Q$27,2,0)</f>
        <v>SHOES</v>
      </c>
      <c r="T115" s="43">
        <v>42114</v>
      </c>
      <c r="U115" t="str">
        <f t="shared" si="1"/>
        <v>1517</v>
      </c>
      <c r="V115" s="44" t="s">
        <v>83</v>
      </c>
      <c r="W115" s="44">
        <v>42113</v>
      </c>
      <c r="X115" s="24">
        <v>17</v>
      </c>
      <c r="Y115" s="24">
        <v>2015</v>
      </c>
      <c r="Z115" s="25">
        <v>201517</v>
      </c>
    </row>
    <row r="116" spans="1:26" x14ac:dyDescent="0.25">
      <c r="A116" t="s">
        <v>70</v>
      </c>
      <c r="B116">
        <v>1731</v>
      </c>
      <c r="C116">
        <v>-36</v>
      </c>
      <c r="D116">
        <v>0</v>
      </c>
      <c r="E116">
        <v>0</v>
      </c>
      <c r="F116">
        <v>0</v>
      </c>
      <c r="G116" t="s">
        <v>22</v>
      </c>
      <c r="H116" t="str">
        <f>VLOOKUP(Table_db1_backend.accdb[[#This Row],[Cat]],$P$3:$Q$27,2,0)</f>
        <v>SHOES</v>
      </c>
      <c r="T116" s="43">
        <v>42115</v>
      </c>
      <c r="U116" t="str">
        <f t="shared" si="1"/>
        <v>1517</v>
      </c>
      <c r="V116" s="44" t="s">
        <v>84</v>
      </c>
      <c r="W116" s="44">
        <v>42113</v>
      </c>
      <c r="X116" s="24">
        <v>17</v>
      </c>
      <c r="Y116" s="24">
        <v>2015</v>
      </c>
      <c r="Z116" s="25">
        <v>201517</v>
      </c>
    </row>
    <row r="117" spans="1:26" x14ac:dyDescent="0.25">
      <c r="A117" t="s">
        <v>70</v>
      </c>
      <c r="B117">
        <v>1731</v>
      </c>
      <c r="C117">
        <v>368</v>
      </c>
      <c r="D117">
        <v>97</v>
      </c>
      <c r="E117">
        <v>1163.06</v>
      </c>
      <c r="F117">
        <v>424.7999999999999</v>
      </c>
      <c r="G117" t="s">
        <v>48</v>
      </c>
      <c r="H117" t="str">
        <f>VLOOKUP(Table_db1_backend.accdb[[#This Row],[Cat]],$P$3:$Q$27,2,0)</f>
        <v>DRESS</v>
      </c>
      <c r="T117" s="43">
        <v>42116</v>
      </c>
      <c r="U117" t="str">
        <f t="shared" si="1"/>
        <v>1517</v>
      </c>
      <c r="V117" s="44" t="s">
        <v>85</v>
      </c>
      <c r="W117" s="44">
        <v>42113</v>
      </c>
      <c r="X117" s="24">
        <v>17</v>
      </c>
      <c r="Y117" s="24">
        <v>2015</v>
      </c>
      <c r="Z117" s="25">
        <v>201517</v>
      </c>
    </row>
    <row r="118" spans="1:26" x14ac:dyDescent="0.25">
      <c r="A118" t="s">
        <v>70</v>
      </c>
      <c r="B118">
        <v>1731</v>
      </c>
      <c r="C118">
        <v>42</v>
      </c>
      <c r="D118">
        <v>0</v>
      </c>
      <c r="E118">
        <v>0</v>
      </c>
      <c r="F118">
        <v>0</v>
      </c>
      <c r="G118" t="s">
        <v>23</v>
      </c>
      <c r="H118" t="str">
        <f>VLOOKUP(Table_db1_backend.accdb[[#This Row],[Cat]],$P$3:$Q$27,2,0)</f>
        <v>ACCESSORY</v>
      </c>
      <c r="T118" s="43">
        <v>42117</v>
      </c>
      <c r="U118" t="str">
        <f t="shared" si="1"/>
        <v>1517</v>
      </c>
      <c r="V118" s="44" t="s">
        <v>86</v>
      </c>
      <c r="W118" s="44">
        <v>42113</v>
      </c>
      <c r="X118" s="24">
        <v>17</v>
      </c>
      <c r="Y118" s="24">
        <v>2015</v>
      </c>
      <c r="Z118" s="25">
        <v>201517</v>
      </c>
    </row>
    <row r="119" spans="1:26" x14ac:dyDescent="0.25">
      <c r="A119" t="s">
        <v>70</v>
      </c>
      <c r="B119">
        <v>1731</v>
      </c>
      <c r="C119">
        <v>1256</v>
      </c>
      <c r="D119">
        <v>505</v>
      </c>
      <c r="E119">
        <v>4393.71</v>
      </c>
      <c r="F119">
        <v>613.77000000000021</v>
      </c>
      <c r="G119" t="s">
        <v>49</v>
      </c>
      <c r="H119" t="str">
        <f>VLOOKUP(Table_db1_backend.accdb[[#This Row],[Cat]],$P$3:$Q$27,2,0)</f>
        <v>KNIT</v>
      </c>
      <c r="T119" s="43">
        <v>42118</v>
      </c>
      <c r="U119" t="str">
        <f t="shared" si="1"/>
        <v>1517</v>
      </c>
      <c r="V119" s="44" t="s">
        <v>87</v>
      </c>
      <c r="W119" s="44">
        <v>42113</v>
      </c>
      <c r="X119" s="24">
        <v>17</v>
      </c>
      <c r="Y119" s="24">
        <v>2015</v>
      </c>
      <c r="Z119" s="25">
        <v>201517</v>
      </c>
    </row>
    <row r="120" spans="1:26" x14ac:dyDescent="0.25">
      <c r="A120" t="s">
        <v>70</v>
      </c>
      <c r="B120">
        <v>1731</v>
      </c>
      <c r="C120">
        <v>338</v>
      </c>
      <c r="D120">
        <v>22</v>
      </c>
      <c r="E120">
        <v>263.58000000000004</v>
      </c>
      <c r="F120">
        <v>114.36</v>
      </c>
      <c r="G120" t="s">
        <v>50</v>
      </c>
      <c r="H120" t="str">
        <f>VLOOKUP(Table_db1_backend.accdb[[#This Row],[Cat]],$P$3:$Q$27,2,0)</f>
        <v>LEGGING</v>
      </c>
      <c r="T120" s="43">
        <v>42119</v>
      </c>
      <c r="U120" t="str">
        <f t="shared" si="1"/>
        <v>1517</v>
      </c>
      <c r="V120" s="44" t="s">
        <v>88</v>
      </c>
      <c r="W120" s="44">
        <v>42113</v>
      </c>
      <c r="X120" s="24">
        <v>17</v>
      </c>
      <c r="Y120" s="24">
        <v>2015</v>
      </c>
      <c r="Z120" s="25">
        <v>201517</v>
      </c>
    </row>
    <row r="121" spans="1:26" x14ac:dyDescent="0.25">
      <c r="A121" t="s">
        <v>70</v>
      </c>
      <c r="B121">
        <v>1731</v>
      </c>
      <c r="C121">
        <v>-4</v>
      </c>
      <c r="D121">
        <v>0</v>
      </c>
      <c r="E121">
        <v>0</v>
      </c>
      <c r="F121">
        <v>0</v>
      </c>
      <c r="G121" t="s">
        <v>26</v>
      </c>
      <c r="H121" t="str">
        <f>VLOOKUP(Table_db1_backend.accdb[[#This Row],[Cat]],$P$3:$Q$27,2,0)</f>
        <v>SHOES</v>
      </c>
      <c r="T121" s="43">
        <v>42120</v>
      </c>
      <c r="U121" t="str">
        <f t="shared" si="1"/>
        <v>1518</v>
      </c>
      <c r="V121" s="44" t="s">
        <v>82</v>
      </c>
      <c r="W121" s="44">
        <v>42120</v>
      </c>
      <c r="X121" s="24">
        <v>18</v>
      </c>
      <c r="Y121" s="24">
        <v>2015</v>
      </c>
      <c r="Z121" s="25">
        <v>201518</v>
      </c>
    </row>
    <row r="122" spans="1:26" x14ac:dyDescent="0.25">
      <c r="A122" t="s">
        <v>70</v>
      </c>
      <c r="B122">
        <v>1731</v>
      </c>
      <c r="C122">
        <v>-35</v>
      </c>
      <c r="D122">
        <v>0</v>
      </c>
      <c r="E122">
        <v>0</v>
      </c>
      <c r="F122">
        <v>0</v>
      </c>
      <c r="G122" t="s">
        <v>27</v>
      </c>
      <c r="H122" t="str">
        <f>VLOOKUP(Table_db1_backend.accdb[[#This Row],[Cat]],$P$3:$Q$27,2,0)</f>
        <v>SHOES</v>
      </c>
      <c r="T122" s="43">
        <v>42121</v>
      </c>
      <c r="U122" t="str">
        <f t="shared" si="1"/>
        <v>1518</v>
      </c>
      <c r="V122" s="44" t="s">
        <v>83</v>
      </c>
      <c r="W122" s="44">
        <v>42120</v>
      </c>
      <c r="X122" s="24">
        <v>18</v>
      </c>
      <c r="Y122" s="24">
        <v>2015</v>
      </c>
      <c r="Z122" s="25">
        <v>201518</v>
      </c>
    </row>
    <row r="123" spans="1:26" x14ac:dyDescent="0.25">
      <c r="A123" t="s">
        <v>70</v>
      </c>
      <c r="B123">
        <v>1731</v>
      </c>
      <c r="C123">
        <v>444</v>
      </c>
      <c r="D123">
        <v>74</v>
      </c>
      <c r="E123">
        <v>981.49</v>
      </c>
      <c r="F123">
        <v>262.58</v>
      </c>
      <c r="G123" t="s">
        <v>51</v>
      </c>
      <c r="H123" t="str">
        <f>VLOOKUP(Table_db1_backend.accdb[[#This Row],[Cat]],$P$3:$Q$27,2,0)</f>
        <v>OUTER</v>
      </c>
      <c r="T123" s="43">
        <v>42122</v>
      </c>
      <c r="U123" t="str">
        <f t="shared" si="1"/>
        <v>1518</v>
      </c>
      <c r="V123" s="44" t="s">
        <v>84</v>
      </c>
      <c r="W123" s="44">
        <v>42120</v>
      </c>
      <c r="X123" s="24">
        <v>18</v>
      </c>
      <c r="Y123" s="24">
        <v>2015</v>
      </c>
      <c r="Z123" s="25">
        <v>201518</v>
      </c>
    </row>
    <row r="124" spans="1:26" x14ac:dyDescent="0.25">
      <c r="A124" t="s">
        <v>70</v>
      </c>
      <c r="B124">
        <v>1731</v>
      </c>
      <c r="C124">
        <v>330</v>
      </c>
      <c r="D124">
        <v>37</v>
      </c>
      <c r="E124">
        <v>336.27999999999992</v>
      </c>
      <c r="F124">
        <v>96.549999999999983</v>
      </c>
      <c r="G124" t="s">
        <v>52</v>
      </c>
      <c r="H124" t="str">
        <f>VLOOKUP(Table_db1_backend.accdb[[#This Row],[Cat]],$P$3:$Q$27,2,0)</f>
        <v>PANT</v>
      </c>
      <c r="T124" s="43">
        <v>42123</v>
      </c>
      <c r="U124" t="str">
        <f t="shared" si="1"/>
        <v>1518</v>
      </c>
      <c r="V124" s="44" t="s">
        <v>85</v>
      </c>
      <c r="W124" s="44">
        <v>42120</v>
      </c>
      <c r="X124" s="24">
        <v>18</v>
      </c>
      <c r="Y124" s="24">
        <v>2015</v>
      </c>
      <c r="Z124" s="25">
        <v>201518</v>
      </c>
    </row>
    <row r="125" spans="1:26" x14ac:dyDescent="0.25">
      <c r="A125" t="s">
        <v>70</v>
      </c>
      <c r="B125">
        <v>1731</v>
      </c>
      <c r="C125">
        <v>452</v>
      </c>
      <c r="D125">
        <v>54</v>
      </c>
      <c r="E125">
        <v>248.32</v>
      </c>
      <c r="F125">
        <v>155.01000000000002</v>
      </c>
      <c r="G125" t="s">
        <v>12</v>
      </c>
      <c r="H125" t="str">
        <f>VLOOKUP(Table_db1_backend.accdb[[#This Row],[Cat]],$P$3:$Q$27,2,0)</f>
        <v>SCARF</v>
      </c>
      <c r="T125" s="43">
        <v>42124</v>
      </c>
      <c r="U125" t="str">
        <f t="shared" si="1"/>
        <v>1518</v>
      </c>
      <c r="V125" s="44" t="s">
        <v>86</v>
      </c>
      <c r="W125" s="44">
        <v>42120</v>
      </c>
      <c r="X125" s="24">
        <v>18</v>
      </c>
      <c r="Y125" s="24">
        <v>2015</v>
      </c>
      <c r="Z125" s="25">
        <v>201518</v>
      </c>
    </row>
    <row r="126" spans="1:26" x14ac:dyDescent="0.25">
      <c r="A126" t="s">
        <v>70</v>
      </c>
      <c r="B126">
        <v>1731</v>
      </c>
      <c r="C126">
        <v>327</v>
      </c>
      <c r="D126">
        <v>14</v>
      </c>
      <c r="E126">
        <v>140.84000000000003</v>
      </c>
      <c r="F126">
        <v>30.27</v>
      </c>
      <c r="G126" t="s">
        <v>53</v>
      </c>
      <c r="H126" t="str">
        <f>VLOOKUP(Table_db1_backend.accdb[[#This Row],[Cat]],$P$3:$Q$27,2,0)</f>
        <v>SH&amp;BL</v>
      </c>
      <c r="T126" s="43">
        <v>42125</v>
      </c>
      <c r="U126" t="str">
        <f t="shared" si="1"/>
        <v>1518</v>
      </c>
      <c r="V126" s="44" t="s">
        <v>87</v>
      </c>
      <c r="W126" s="44">
        <v>42120</v>
      </c>
      <c r="X126" s="24">
        <v>18</v>
      </c>
      <c r="Y126" s="24">
        <v>2015</v>
      </c>
      <c r="Z126" s="25">
        <v>201518</v>
      </c>
    </row>
    <row r="127" spans="1:26" x14ac:dyDescent="0.25">
      <c r="A127" t="s">
        <v>70</v>
      </c>
      <c r="B127">
        <v>1731</v>
      </c>
      <c r="C127">
        <v>344</v>
      </c>
      <c r="D127">
        <v>26</v>
      </c>
      <c r="E127">
        <v>227.23</v>
      </c>
      <c r="F127">
        <v>87.560000000000016</v>
      </c>
      <c r="G127" t="s">
        <v>54</v>
      </c>
      <c r="H127" t="str">
        <f>VLOOKUP(Table_db1_backend.accdb[[#This Row],[Cat]],$P$3:$Q$27,2,0)</f>
        <v>SKIRT</v>
      </c>
      <c r="T127" s="43">
        <v>42126</v>
      </c>
      <c r="U127" t="str">
        <f t="shared" si="1"/>
        <v>1518</v>
      </c>
      <c r="V127" s="44" t="s">
        <v>88</v>
      </c>
      <c r="W127" s="44">
        <v>42120</v>
      </c>
      <c r="X127" s="24">
        <v>18</v>
      </c>
      <c r="Y127" s="24">
        <v>2015</v>
      </c>
      <c r="Z127" s="25">
        <v>201518</v>
      </c>
    </row>
    <row r="128" spans="1:26" x14ac:dyDescent="0.25">
      <c r="A128" t="s">
        <v>70</v>
      </c>
      <c r="B128">
        <v>1731</v>
      </c>
      <c r="C128">
        <v>1402</v>
      </c>
      <c r="D128">
        <v>139</v>
      </c>
      <c r="E128">
        <v>931.88</v>
      </c>
      <c r="F128">
        <v>179.39999999999998</v>
      </c>
      <c r="G128" t="s">
        <v>55</v>
      </c>
      <c r="H128" t="str">
        <f>VLOOKUP(Table_db1_backend.accdb[[#This Row],[Cat]],$P$3:$Q$27,2,0)</f>
        <v>TOP</v>
      </c>
      <c r="T128" s="43">
        <v>42127</v>
      </c>
      <c r="U128" t="str">
        <f t="shared" si="1"/>
        <v>1519</v>
      </c>
      <c r="V128" s="44" t="s">
        <v>82</v>
      </c>
      <c r="W128" s="44">
        <v>42127</v>
      </c>
      <c r="X128" s="24">
        <v>19</v>
      </c>
      <c r="Y128" s="24">
        <v>2015</v>
      </c>
      <c r="Z128" s="25">
        <v>201519</v>
      </c>
    </row>
    <row r="129" spans="20:26" x14ac:dyDescent="0.25">
      <c r="T129" s="43">
        <v>42128</v>
      </c>
      <c r="U129" t="str">
        <f t="shared" si="1"/>
        <v>1519</v>
      </c>
      <c r="V129" s="44" t="s">
        <v>83</v>
      </c>
      <c r="W129" s="44">
        <v>42127</v>
      </c>
      <c r="X129" s="24">
        <v>19</v>
      </c>
      <c r="Y129" s="24">
        <v>2015</v>
      </c>
      <c r="Z129" s="25">
        <v>201519</v>
      </c>
    </row>
    <row r="130" spans="20:26" x14ac:dyDescent="0.25">
      <c r="T130" s="43">
        <v>42129</v>
      </c>
      <c r="U130" t="str">
        <f t="shared" ref="U130:U193" si="2">RIGHT(Z130,4)</f>
        <v>1519</v>
      </c>
      <c r="V130" s="44" t="s">
        <v>84</v>
      </c>
      <c r="W130" s="44">
        <v>42127</v>
      </c>
      <c r="X130" s="24">
        <v>19</v>
      </c>
      <c r="Y130" s="24">
        <v>2015</v>
      </c>
      <c r="Z130" s="25">
        <v>201519</v>
      </c>
    </row>
    <row r="131" spans="20:26" x14ac:dyDescent="0.25">
      <c r="T131" s="43">
        <v>42130</v>
      </c>
      <c r="U131" t="str">
        <f t="shared" si="2"/>
        <v>1519</v>
      </c>
      <c r="V131" s="44" t="s">
        <v>85</v>
      </c>
      <c r="W131" s="44">
        <v>42127</v>
      </c>
      <c r="X131" s="24">
        <v>19</v>
      </c>
      <c r="Y131" s="24">
        <v>2015</v>
      </c>
      <c r="Z131" s="25">
        <v>201519</v>
      </c>
    </row>
    <row r="132" spans="20:26" x14ac:dyDescent="0.25">
      <c r="T132" s="43">
        <v>42131</v>
      </c>
      <c r="U132" t="str">
        <f t="shared" si="2"/>
        <v>1519</v>
      </c>
      <c r="V132" s="44" t="s">
        <v>86</v>
      </c>
      <c r="W132" s="44">
        <v>42127</v>
      </c>
      <c r="X132" s="24">
        <v>19</v>
      </c>
      <c r="Y132" s="24">
        <v>2015</v>
      </c>
      <c r="Z132" s="25">
        <v>201519</v>
      </c>
    </row>
    <row r="133" spans="20:26" x14ac:dyDescent="0.25">
      <c r="T133" s="43">
        <v>42132</v>
      </c>
      <c r="U133" t="str">
        <f t="shared" si="2"/>
        <v>1519</v>
      </c>
      <c r="V133" s="44" t="s">
        <v>87</v>
      </c>
      <c r="W133" s="44">
        <v>42127</v>
      </c>
      <c r="X133" s="24">
        <v>19</v>
      </c>
      <c r="Y133" s="24">
        <v>2015</v>
      </c>
      <c r="Z133" s="25">
        <v>201519</v>
      </c>
    </row>
    <row r="134" spans="20:26" x14ac:dyDescent="0.25">
      <c r="T134" s="43">
        <v>42133</v>
      </c>
      <c r="U134" t="str">
        <f t="shared" si="2"/>
        <v>1519</v>
      </c>
      <c r="V134" s="44" t="s">
        <v>88</v>
      </c>
      <c r="W134" s="44">
        <v>42127</v>
      </c>
      <c r="X134" s="24">
        <v>19</v>
      </c>
      <c r="Y134" s="24">
        <v>2015</v>
      </c>
      <c r="Z134" s="25">
        <v>201519</v>
      </c>
    </row>
    <row r="135" spans="20:26" x14ac:dyDescent="0.25">
      <c r="T135" s="43">
        <v>42134</v>
      </c>
      <c r="U135" t="str">
        <f t="shared" si="2"/>
        <v>1520</v>
      </c>
      <c r="V135" s="44" t="s">
        <v>82</v>
      </c>
      <c r="W135" s="44">
        <v>42134</v>
      </c>
      <c r="X135" s="24">
        <v>20</v>
      </c>
      <c r="Y135" s="24">
        <v>2015</v>
      </c>
      <c r="Z135" s="25">
        <v>201520</v>
      </c>
    </row>
    <row r="136" spans="20:26" x14ac:dyDescent="0.25">
      <c r="T136" s="43">
        <v>42135</v>
      </c>
      <c r="U136" t="str">
        <f t="shared" si="2"/>
        <v>1520</v>
      </c>
      <c r="V136" s="44" t="s">
        <v>83</v>
      </c>
      <c r="W136" s="44">
        <v>42134</v>
      </c>
      <c r="X136" s="24">
        <v>20</v>
      </c>
      <c r="Y136" s="24">
        <v>2015</v>
      </c>
      <c r="Z136" s="25">
        <v>201520</v>
      </c>
    </row>
    <row r="137" spans="20:26" x14ac:dyDescent="0.25">
      <c r="T137" s="43">
        <v>42136</v>
      </c>
      <c r="U137" t="str">
        <f t="shared" si="2"/>
        <v>1520</v>
      </c>
      <c r="V137" s="44" t="s">
        <v>84</v>
      </c>
      <c r="W137" s="44">
        <v>42134</v>
      </c>
      <c r="X137" s="24">
        <v>20</v>
      </c>
      <c r="Y137" s="24">
        <v>2015</v>
      </c>
      <c r="Z137" s="25">
        <v>201520</v>
      </c>
    </row>
    <row r="138" spans="20:26" x14ac:dyDescent="0.25">
      <c r="T138" s="43">
        <v>42137</v>
      </c>
      <c r="U138" t="str">
        <f t="shared" si="2"/>
        <v>1520</v>
      </c>
      <c r="V138" s="44" t="s">
        <v>85</v>
      </c>
      <c r="W138" s="44">
        <v>42134</v>
      </c>
      <c r="X138" s="24">
        <v>20</v>
      </c>
      <c r="Y138" s="24">
        <v>2015</v>
      </c>
      <c r="Z138" s="25">
        <v>201520</v>
      </c>
    </row>
    <row r="139" spans="20:26" x14ac:dyDescent="0.25">
      <c r="T139" s="43">
        <v>42138</v>
      </c>
      <c r="U139" t="str">
        <f t="shared" si="2"/>
        <v>1520</v>
      </c>
      <c r="V139" s="44" t="s">
        <v>86</v>
      </c>
      <c r="W139" s="44">
        <v>42134</v>
      </c>
      <c r="X139" s="24">
        <v>20</v>
      </c>
      <c r="Y139" s="24">
        <v>2015</v>
      </c>
      <c r="Z139" s="25">
        <v>201520</v>
      </c>
    </row>
    <row r="140" spans="20:26" x14ac:dyDescent="0.25">
      <c r="T140" s="43">
        <v>42139</v>
      </c>
      <c r="U140" t="str">
        <f t="shared" si="2"/>
        <v>1520</v>
      </c>
      <c r="V140" s="44" t="s">
        <v>87</v>
      </c>
      <c r="W140" s="44">
        <v>42134</v>
      </c>
      <c r="X140" s="24">
        <v>20</v>
      </c>
      <c r="Y140" s="24">
        <v>2015</v>
      </c>
      <c r="Z140" s="25">
        <v>201520</v>
      </c>
    </row>
    <row r="141" spans="20:26" x14ac:dyDescent="0.25">
      <c r="T141" s="43">
        <v>42140</v>
      </c>
      <c r="U141" t="str">
        <f t="shared" si="2"/>
        <v>1520</v>
      </c>
      <c r="V141" s="44" t="s">
        <v>88</v>
      </c>
      <c r="W141" s="44">
        <v>42134</v>
      </c>
      <c r="X141" s="24">
        <v>20</v>
      </c>
      <c r="Y141" s="24">
        <v>2015</v>
      </c>
      <c r="Z141" s="25">
        <v>201520</v>
      </c>
    </row>
    <row r="142" spans="20:26" x14ac:dyDescent="0.25">
      <c r="T142" s="43">
        <v>42141</v>
      </c>
      <c r="U142" t="str">
        <f t="shared" si="2"/>
        <v>1521</v>
      </c>
      <c r="V142" s="44" t="s">
        <v>82</v>
      </c>
      <c r="W142" s="44">
        <v>42141</v>
      </c>
      <c r="X142" s="24">
        <v>21</v>
      </c>
      <c r="Y142" s="24">
        <v>2015</v>
      </c>
      <c r="Z142" s="25">
        <v>201521</v>
      </c>
    </row>
    <row r="143" spans="20:26" x14ac:dyDescent="0.25">
      <c r="T143" s="43">
        <v>42142</v>
      </c>
      <c r="U143" t="str">
        <f t="shared" si="2"/>
        <v>1521</v>
      </c>
      <c r="V143" s="44" t="s">
        <v>83</v>
      </c>
      <c r="W143" s="44">
        <v>42141</v>
      </c>
      <c r="X143" s="24">
        <v>21</v>
      </c>
      <c r="Y143" s="24">
        <v>2015</v>
      </c>
      <c r="Z143" s="25">
        <v>201521</v>
      </c>
    </row>
    <row r="144" spans="20:26" x14ac:dyDescent="0.25">
      <c r="T144" s="43">
        <v>42143</v>
      </c>
      <c r="U144" t="str">
        <f t="shared" si="2"/>
        <v>1521</v>
      </c>
      <c r="V144" s="44" t="s">
        <v>84</v>
      </c>
      <c r="W144" s="44">
        <v>42141</v>
      </c>
      <c r="X144" s="24">
        <v>21</v>
      </c>
      <c r="Y144" s="24">
        <v>2015</v>
      </c>
      <c r="Z144" s="25">
        <v>201521</v>
      </c>
    </row>
    <row r="145" spans="20:26" x14ac:dyDescent="0.25">
      <c r="T145" s="43">
        <v>42144</v>
      </c>
      <c r="U145" t="str">
        <f t="shared" si="2"/>
        <v>1521</v>
      </c>
      <c r="V145" s="44" t="s">
        <v>85</v>
      </c>
      <c r="W145" s="44">
        <v>42141</v>
      </c>
      <c r="X145" s="24">
        <v>21</v>
      </c>
      <c r="Y145" s="24">
        <v>2015</v>
      </c>
      <c r="Z145" s="25">
        <v>201521</v>
      </c>
    </row>
    <row r="146" spans="20:26" x14ac:dyDescent="0.25">
      <c r="T146" s="43">
        <v>42145</v>
      </c>
      <c r="U146" t="str">
        <f t="shared" si="2"/>
        <v>1521</v>
      </c>
      <c r="V146" s="44" t="s">
        <v>86</v>
      </c>
      <c r="W146" s="44">
        <v>42141</v>
      </c>
      <c r="X146" s="24">
        <v>21</v>
      </c>
      <c r="Y146" s="24">
        <v>2015</v>
      </c>
      <c r="Z146" s="25">
        <v>201521</v>
      </c>
    </row>
    <row r="147" spans="20:26" x14ac:dyDescent="0.25">
      <c r="T147" s="43">
        <v>42146</v>
      </c>
      <c r="U147" t="str">
        <f t="shared" si="2"/>
        <v>1521</v>
      </c>
      <c r="V147" s="44" t="s">
        <v>87</v>
      </c>
      <c r="W147" s="44">
        <v>42141</v>
      </c>
      <c r="X147" s="24">
        <v>21</v>
      </c>
      <c r="Y147" s="24">
        <v>2015</v>
      </c>
      <c r="Z147" s="25">
        <v>201521</v>
      </c>
    </row>
    <row r="148" spans="20:26" x14ac:dyDescent="0.25">
      <c r="T148" s="43">
        <v>42147</v>
      </c>
      <c r="U148" t="str">
        <f t="shared" si="2"/>
        <v>1521</v>
      </c>
      <c r="V148" s="44" t="s">
        <v>88</v>
      </c>
      <c r="W148" s="44">
        <v>42141</v>
      </c>
      <c r="X148" s="24">
        <v>21</v>
      </c>
      <c r="Y148" s="24">
        <v>2015</v>
      </c>
      <c r="Z148" s="25">
        <v>201521</v>
      </c>
    </row>
    <row r="149" spans="20:26" x14ac:dyDescent="0.25">
      <c r="T149" s="43">
        <v>42148</v>
      </c>
      <c r="U149" t="str">
        <f t="shared" si="2"/>
        <v>1522</v>
      </c>
      <c r="V149" s="44" t="s">
        <v>82</v>
      </c>
      <c r="W149" s="44">
        <v>42148</v>
      </c>
      <c r="X149" s="24">
        <v>22</v>
      </c>
      <c r="Y149" s="24">
        <v>2015</v>
      </c>
      <c r="Z149" s="25">
        <v>201522</v>
      </c>
    </row>
    <row r="150" spans="20:26" x14ac:dyDescent="0.25">
      <c r="T150" s="43">
        <v>42149</v>
      </c>
      <c r="U150" t="str">
        <f t="shared" si="2"/>
        <v>1522</v>
      </c>
      <c r="V150" s="44" t="s">
        <v>83</v>
      </c>
      <c r="W150" s="44">
        <v>42148</v>
      </c>
      <c r="X150" s="24">
        <v>22</v>
      </c>
      <c r="Y150" s="24">
        <v>2015</v>
      </c>
      <c r="Z150" s="25">
        <v>201522</v>
      </c>
    </row>
    <row r="151" spans="20:26" x14ac:dyDescent="0.25">
      <c r="T151" s="43">
        <v>42150</v>
      </c>
      <c r="U151" t="str">
        <f t="shared" si="2"/>
        <v>1522</v>
      </c>
      <c r="V151" s="44" t="s">
        <v>84</v>
      </c>
      <c r="W151" s="44">
        <v>42148</v>
      </c>
      <c r="X151" s="24">
        <v>22</v>
      </c>
      <c r="Y151" s="24">
        <v>2015</v>
      </c>
      <c r="Z151" s="25">
        <v>201522</v>
      </c>
    </row>
    <row r="152" spans="20:26" x14ac:dyDescent="0.25">
      <c r="T152" s="43">
        <v>42151</v>
      </c>
      <c r="U152" t="str">
        <f t="shared" si="2"/>
        <v>1522</v>
      </c>
      <c r="V152" s="44" t="s">
        <v>85</v>
      </c>
      <c r="W152" s="44">
        <v>42148</v>
      </c>
      <c r="X152" s="24">
        <v>22</v>
      </c>
      <c r="Y152" s="24">
        <v>2015</v>
      </c>
      <c r="Z152" s="25">
        <v>201522</v>
      </c>
    </row>
    <row r="153" spans="20:26" x14ac:dyDescent="0.25">
      <c r="T153" s="43">
        <v>42152</v>
      </c>
      <c r="U153" t="str">
        <f t="shared" si="2"/>
        <v>1522</v>
      </c>
      <c r="V153" s="44" t="s">
        <v>86</v>
      </c>
      <c r="W153" s="44">
        <v>42148</v>
      </c>
      <c r="X153" s="24">
        <v>22</v>
      </c>
      <c r="Y153" s="24">
        <v>2015</v>
      </c>
      <c r="Z153" s="25">
        <v>201522</v>
      </c>
    </row>
    <row r="154" spans="20:26" x14ac:dyDescent="0.25">
      <c r="T154" s="43">
        <v>42153</v>
      </c>
      <c r="U154" t="str">
        <f t="shared" si="2"/>
        <v>1522</v>
      </c>
      <c r="V154" s="44" t="s">
        <v>87</v>
      </c>
      <c r="W154" s="44">
        <v>42148</v>
      </c>
      <c r="X154" s="24">
        <v>22</v>
      </c>
      <c r="Y154" s="24">
        <v>2015</v>
      </c>
      <c r="Z154" s="25">
        <v>201522</v>
      </c>
    </row>
    <row r="155" spans="20:26" x14ac:dyDescent="0.25">
      <c r="T155" s="43">
        <v>42154</v>
      </c>
      <c r="U155" t="str">
        <f t="shared" si="2"/>
        <v>1522</v>
      </c>
      <c r="V155" s="44" t="s">
        <v>88</v>
      </c>
      <c r="W155" s="44">
        <v>42148</v>
      </c>
      <c r="X155" s="24">
        <v>22</v>
      </c>
      <c r="Y155" s="24">
        <v>2015</v>
      </c>
      <c r="Z155" s="25">
        <v>201522</v>
      </c>
    </row>
    <row r="156" spans="20:26" x14ac:dyDescent="0.25">
      <c r="T156" s="43">
        <v>42155</v>
      </c>
      <c r="U156" t="str">
        <f t="shared" si="2"/>
        <v>1523</v>
      </c>
      <c r="V156" s="44" t="s">
        <v>82</v>
      </c>
      <c r="W156" s="44">
        <v>42155</v>
      </c>
      <c r="X156" s="24">
        <v>23</v>
      </c>
      <c r="Y156" s="24">
        <v>2015</v>
      </c>
      <c r="Z156" s="25">
        <v>201523</v>
      </c>
    </row>
    <row r="157" spans="20:26" x14ac:dyDescent="0.25">
      <c r="T157" s="43">
        <v>42156</v>
      </c>
      <c r="U157" t="str">
        <f t="shared" si="2"/>
        <v>1523</v>
      </c>
      <c r="V157" s="44" t="s">
        <v>83</v>
      </c>
      <c r="W157" s="44">
        <v>42155</v>
      </c>
      <c r="X157" s="24">
        <v>23</v>
      </c>
      <c r="Y157" s="24">
        <v>2015</v>
      </c>
      <c r="Z157" s="25">
        <v>201523</v>
      </c>
    </row>
    <row r="158" spans="20:26" x14ac:dyDescent="0.25">
      <c r="T158" s="43">
        <v>42157</v>
      </c>
      <c r="U158" t="str">
        <f t="shared" si="2"/>
        <v>1523</v>
      </c>
      <c r="V158" s="44" t="s">
        <v>84</v>
      </c>
      <c r="W158" s="44">
        <v>42155</v>
      </c>
      <c r="X158" s="24">
        <v>23</v>
      </c>
      <c r="Y158" s="24">
        <v>2015</v>
      </c>
      <c r="Z158" s="25">
        <v>201523</v>
      </c>
    </row>
    <row r="159" spans="20:26" x14ac:dyDescent="0.25">
      <c r="T159" s="43">
        <v>42158</v>
      </c>
      <c r="U159" t="str">
        <f t="shared" si="2"/>
        <v>1523</v>
      </c>
      <c r="V159" s="44" t="s">
        <v>85</v>
      </c>
      <c r="W159" s="44">
        <v>42155</v>
      </c>
      <c r="X159" s="24">
        <v>23</v>
      </c>
      <c r="Y159" s="24">
        <v>2015</v>
      </c>
      <c r="Z159" s="25">
        <v>201523</v>
      </c>
    </row>
    <row r="160" spans="20:26" x14ac:dyDescent="0.25">
      <c r="T160" s="43">
        <v>42159</v>
      </c>
      <c r="U160" t="str">
        <f t="shared" si="2"/>
        <v>1523</v>
      </c>
      <c r="V160" s="44" t="s">
        <v>86</v>
      </c>
      <c r="W160" s="44">
        <v>42155</v>
      </c>
      <c r="X160" s="24">
        <v>23</v>
      </c>
      <c r="Y160" s="24">
        <v>2015</v>
      </c>
      <c r="Z160" s="25">
        <v>201523</v>
      </c>
    </row>
    <row r="161" spans="20:26" x14ac:dyDescent="0.25">
      <c r="T161" s="43">
        <v>42160</v>
      </c>
      <c r="U161" t="str">
        <f t="shared" si="2"/>
        <v>1523</v>
      </c>
      <c r="V161" s="44" t="s">
        <v>87</v>
      </c>
      <c r="W161" s="44">
        <v>42155</v>
      </c>
      <c r="X161" s="24">
        <v>23</v>
      </c>
      <c r="Y161" s="24">
        <v>2015</v>
      </c>
      <c r="Z161" s="25">
        <v>201523</v>
      </c>
    </row>
    <row r="162" spans="20:26" x14ac:dyDescent="0.25">
      <c r="T162" s="43">
        <v>42161</v>
      </c>
      <c r="U162" t="str">
        <f t="shared" si="2"/>
        <v>1523</v>
      </c>
      <c r="V162" s="44" t="s">
        <v>88</v>
      </c>
      <c r="W162" s="44">
        <v>42155</v>
      </c>
      <c r="X162" s="24">
        <v>23</v>
      </c>
      <c r="Y162" s="24">
        <v>2015</v>
      </c>
      <c r="Z162" s="25">
        <v>201523</v>
      </c>
    </row>
    <row r="163" spans="20:26" x14ac:dyDescent="0.25">
      <c r="T163" s="43">
        <v>42162</v>
      </c>
      <c r="U163" t="str">
        <f t="shared" si="2"/>
        <v>1524</v>
      </c>
      <c r="V163" s="44" t="s">
        <v>82</v>
      </c>
      <c r="W163" s="44">
        <v>42162</v>
      </c>
      <c r="X163" s="24">
        <v>24</v>
      </c>
      <c r="Y163" s="24">
        <v>2015</v>
      </c>
      <c r="Z163" s="25">
        <v>201524</v>
      </c>
    </row>
    <row r="164" spans="20:26" x14ac:dyDescent="0.25">
      <c r="T164" s="43">
        <v>42163</v>
      </c>
      <c r="U164" t="str">
        <f t="shared" si="2"/>
        <v>1524</v>
      </c>
      <c r="V164" s="44" t="s">
        <v>83</v>
      </c>
      <c r="W164" s="44">
        <v>42162</v>
      </c>
      <c r="X164" s="24">
        <v>24</v>
      </c>
      <c r="Y164" s="24">
        <v>2015</v>
      </c>
      <c r="Z164" s="25">
        <v>201524</v>
      </c>
    </row>
    <row r="165" spans="20:26" x14ac:dyDescent="0.25">
      <c r="T165" s="43">
        <v>42164</v>
      </c>
      <c r="U165" t="str">
        <f t="shared" si="2"/>
        <v>1524</v>
      </c>
      <c r="V165" s="44" t="s">
        <v>84</v>
      </c>
      <c r="W165" s="44">
        <v>42162</v>
      </c>
      <c r="X165" s="24">
        <v>24</v>
      </c>
      <c r="Y165" s="24">
        <v>2015</v>
      </c>
      <c r="Z165" s="25">
        <v>201524</v>
      </c>
    </row>
    <row r="166" spans="20:26" x14ac:dyDescent="0.25">
      <c r="T166" s="43">
        <v>42165</v>
      </c>
      <c r="U166" t="str">
        <f t="shared" si="2"/>
        <v>1524</v>
      </c>
      <c r="V166" s="44" t="s">
        <v>85</v>
      </c>
      <c r="W166" s="44">
        <v>42162</v>
      </c>
      <c r="X166" s="24">
        <v>24</v>
      </c>
      <c r="Y166" s="24">
        <v>2015</v>
      </c>
      <c r="Z166" s="25">
        <v>201524</v>
      </c>
    </row>
    <row r="167" spans="20:26" x14ac:dyDescent="0.25">
      <c r="T167" s="43">
        <v>42166</v>
      </c>
      <c r="U167" t="str">
        <f t="shared" si="2"/>
        <v>1524</v>
      </c>
      <c r="V167" s="44" t="s">
        <v>86</v>
      </c>
      <c r="W167" s="44">
        <v>42162</v>
      </c>
      <c r="X167" s="24">
        <v>24</v>
      </c>
      <c r="Y167" s="24">
        <v>2015</v>
      </c>
      <c r="Z167" s="25">
        <v>201524</v>
      </c>
    </row>
    <row r="168" spans="20:26" x14ac:dyDescent="0.25">
      <c r="T168" s="43">
        <v>42167</v>
      </c>
      <c r="U168" t="str">
        <f t="shared" si="2"/>
        <v>1524</v>
      </c>
      <c r="V168" s="44" t="s">
        <v>87</v>
      </c>
      <c r="W168" s="44">
        <v>42162</v>
      </c>
      <c r="X168" s="24">
        <v>24</v>
      </c>
      <c r="Y168" s="24">
        <v>2015</v>
      </c>
      <c r="Z168" s="25">
        <v>201524</v>
      </c>
    </row>
    <row r="169" spans="20:26" x14ac:dyDescent="0.25">
      <c r="T169" s="43">
        <v>42168</v>
      </c>
      <c r="U169" t="str">
        <f t="shared" si="2"/>
        <v>1524</v>
      </c>
      <c r="V169" s="44" t="s">
        <v>88</v>
      </c>
      <c r="W169" s="44">
        <v>42162</v>
      </c>
      <c r="X169" s="24">
        <v>24</v>
      </c>
      <c r="Y169" s="24">
        <v>2015</v>
      </c>
      <c r="Z169" s="25">
        <v>201524</v>
      </c>
    </row>
    <row r="170" spans="20:26" x14ac:dyDescent="0.25">
      <c r="T170" s="43">
        <v>42169</v>
      </c>
      <c r="U170" t="str">
        <f t="shared" si="2"/>
        <v>1525</v>
      </c>
      <c r="V170" s="44" t="s">
        <v>82</v>
      </c>
      <c r="W170" s="44">
        <v>42169</v>
      </c>
      <c r="X170" s="24">
        <v>25</v>
      </c>
      <c r="Y170" s="24">
        <v>2015</v>
      </c>
      <c r="Z170" s="25">
        <v>201525</v>
      </c>
    </row>
    <row r="171" spans="20:26" x14ac:dyDescent="0.25">
      <c r="T171" s="43">
        <v>42170</v>
      </c>
      <c r="U171" t="str">
        <f t="shared" si="2"/>
        <v>1525</v>
      </c>
      <c r="V171" s="44" t="s">
        <v>83</v>
      </c>
      <c r="W171" s="44">
        <v>42169</v>
      </c>
      <c r="X171" s="24">
        <v>25</v>
      </c>
      <c r="Y171" s="24">
        <v>2015</v>
      </c>
      <c r="Z171" s="25">
        <v>201525</v>
      </c>
    </row>
    <row r="172" spans="20:26" x14ac:dyDescent="0.25">
      <c r="T172" s="43">
        <v>42171</v>
      </c>
      <c r="U172" t="str">
        <f t="shared" si="2"/>
        <v>1525</v>
      </c>
      <c r="V172" s="44" t="s">
        <v>84</v>
      </c>
      <c r="W172" s="44">
        <v>42169</v>
      </c>
      <c r="X172" s="24">
        <v>25</v>
      </c>
      <c r="Y172" s="24">
        <v>2015</v>
      </c>
      <c r="Z172" s="25">
        <v>201525</v>
      </c>
    </row>
    <row r="173" spans="20:26" x14ac:dyDescent="0.25">
      <c r="T173" s="43">
        <v>42172</v>
      </c>
      <c r="U173" t="str">
        <f t="shared" si="2"/>
        <v>1525</v>
      </c>
      <c r="V173" s="44" t="s">
        <v>85</v>
      </c>
      <c r="W173" s="44">
        <v>42169</v>
      </c>
      <c r="X173" s="24">
        <v>25</v>
      </c>
      <c r="Y173" s="24">
        <v>2015</v>
      </c>
      <c r="Z173" s="25">
        <v>201525</v>
      </c>
    </row>
    <row r="174" spans="20:26" x14ac:dyDescent="0.25">
      <c r="T174" s="43">
        <v>42173</v>
      </c>
      <c r="U174" t="str">
        <f t="shared" si="2"/>
        <v>1525</v>
      </c>
      <c r="V174" s="44" t="s">
        <v>86</v>
      </c>
      <c r="W174" s="44">
        <v>42169</v>
      </c>
      <c r="X174" s="24">
        <v>25</v>
      </c>
      <c r="Y174" s="24">
        <v>2015</v>
      </c>
      <c r="Z174" s="25">
        <v>201525</v>
      </c>
    </row>
    <row r="175" spans="20:26" x14ac:dyDescent="0.25">
      <c r="T175" s="43">
        <v>42174</v>
      </c>
      <c r="U175" t="str">
        <f t="shared" si="2"/>
        <v>1525</v>
      </c>
      <c r="V175" s="44" t="s">
        <v>87</v>
      </c>
      <c r="W175" s="44">
        <v>42169</v>
      </c>
      <c r="X175" s="24">
        <v>25</v>
      </c>
      <c r="Y175" s="24">
        <v>2015</v>
      </c>
      <c r="Z175" s="25">
        <v>201525</v>
      </c>
    </row>
    <row r="176" spans="20:26" x14ac:dyDescent="0.25">
      <c r="T176" s="43">
        <v>42175</v>
      </c>
      <c r="U176" t="str">
        <f t="shared" si="2"/>
        <v>1525</v>
      </c>
      <c r="V176" s="44" t="s">
        <v>88</v>
      </c>
      <c r="W176" s="44">
        <v>42169</v>
      </c>
      <c r="X176" s="24">
        <v>25</v>
      </c>
      <c r="Y176" s="24">
        <v>2015</v>
      </c>
      <c r="Z176" s="25">
        <v>201525</v>
      </c>
    </row>
    <row r="177" spans="20:26" x14ac:dyDescent="0.25">
      <c r="T177" s="43">
        <v>42176</v>
      </c>
      <c r="U177" t="str">
        <f t="shared" si="2"/>
        <v>1526</v>
      </c>
      <c r="V177" s="44" t="s">
        <v>82</v>
      </c>
      <c r="W177" s="44">
        <v>42176</v>
      </c>
      <c r="X177" s="24">
        <v>26</v>
      </c>
      <c r="Y177" s="24">
        <v>2015</v>
      </c>
      <c r="Z177" s="25">
        <v>201526</v>
      </c>
    </row>
    <row r="178" spans="20:26" x14ac:dyDescent="0.25">
      <c r="T178" s="43">
        <v>42177</v>
      </c>
      <c r="U178" t="str">
        <f t="shared" si="2"/>
        <v>1526</v>
      </c>
      <c r="V178" s="44" t="s">
        <v>83</v>
      </c>
      <c r="W178" s="44">
        <v>42176</v>
      </c>
      <c r="X178" s="24">
        <v>26</v>
      </c>
      <c r="Y178" s="24">
        <v>2015</v>
      </c>
      <c r="Z178" s="25">
        <v>201526</v>
      </c>
    </row>
    <row r="179" spans="20:26" x14ac:dyDescent="0.25">
      <c r="T179" s="43">
        <v>42178</v>
      </c>
      <c r="U179" t="str">
        <f t="shared" si="2"/>
        <v>1526</v>
      </c>
      <c r="V179" s="44" t="s">
        <v>84</v>
      </c>
      <c r="W179" s="44">
        <v>42176</v>
      </c>
      <c r="X179" s="24">
        <v>26</v>
      </c>
      <c r="Y179" s="24">
        <v>2015</v>
      </c>
      <c r="Z179" s="25">
        <v>201526</v>
      </c>
    </row>
    <row r="180" spans="20:26" x14ac:dyDescent="0.25">
      <c r="T180" s="43">
        <v>42179</v>
      </c>
      <c r="U180" t="str">
        <f t="shared" si="2"/>
        <v>1526</v>
      </c>
      <c r="V180" s="44" t="s">
        <v>85</v>
      </c>
      <c r="W180" s="44">
        <v>42176</v>
      </c>
      <c r="X180" s="24">
        <v>26</v>
      </c>
      <c r="Y180" s="24">
        <v>2015</v>
      </c>
      <c r="Z180" s="25">
        <v>201526</v>
      </c>
    </row>
    <row r="181" spans="20:26" x14ac:dyDescent="0.25">
      <c r="T181" s="43">
        <v>42180</v>
      </c>
      <c r="U181" t="str">
        <f t="shared" si="2"/>
        <v>1526</v>
      </c>
      <c r="V181" s="44" t="s">
        <v>86</v>
      </c>
      <c r="W181" s="44">
        <v>42176</v>
      </c>
      <c r="X181" s="24">
        <v>26</v>
      </c>
      <c r="Y181" s="24">
        <v>2015</v>
      </c>
      <c r="Z181" s="25">
        <v>201526</v>
      </c>
    </row>
    <row r="182" spans="20:26" x14ac:dyDescent="0.25">
      <c r="T182" s="43">
        <v>42181</v>
      </c>
      <c r="U182" t="str">
        <f t="shared" si="2"/>
        <v>1526</v>
      </c>
      <c r="V182" s="44" t="s">
        <v>87</v>
      </c>
      <c r="W182" s="44">
        <v>42176</v>
      </c>
      <c r="X182" s="24">
        <v>26</v>
      </c>
      <c r="Y182" s="24">
        <v>2015</v>
      </c>
      <c r="Z182" s="25">
        <v>201526</v>
      </c>
    </row>
    <row r="183" spans="20:26" x14ac:dyDescent="0.25">
      <c r="T183" s="43">
        <v>42182</v>
      </c>
      <c r="U183" t="str">
        <f t="shared" si="2"/>
        <v>1526</v>
      </c>
      <c r="V183" s="44" t="s">
        <v>88</v>
      </c>
      <c r="W183" s="44">
        <v>42176</v>
      </c>
      <c r="X183" s="24">
        <v>26</v>
      </c>
      <c r="Y183" s="24">
        <v>2015</v>
      </c>
      <c r="Z183" s="25">
        <v>201526</v>
      </c>
    </row>
    <row r="184" spans="20:26" x14ac:dyDescent="0.25">
      <c r="T184" s="43">
        <v>42183</v>
      </c>
      <c r="U184" t="str">
        <f t="shared" si="2"/>
        <v>1527</v>
      </c>
      <c r="V184" s="44" t="s">
        <v>82</v>
      </c>
      <c r="W184" s="44">
        <v>42183</v>
      </c>
      <c r="X184" s="24">
        <v>27</v>
      </c>
      <c r="Y184" s="24">
        <v>2015</v>
      </c>
      <c r="Z184" s="25">
        <v>201527</v>
      </c>
    </row>
    <row r="185" spans="20:26" x14ac:dyDescent="0.25">
      <c r="T185" s="43">
        <v>42184</v>
      </c>
      <c r="U185" t="str">
        <f t="shared" si="2"/>
        <v>1527</v>
      </c>
      <c r="V185" s="44" t="s">
        <v>83</v>
      </c>
      <c r="W185" s="44">
        <v>42183</v>
      </c>
      <c r="X185" s="24">
        <v>27</v>
      </c>
      <c r="Y185" s="24">
        <v>2015</v>
      </c>
      <c r="Z185" s="25">
        <v>201527</v>
      </c>
    </row>
    <row r="186" spans="20:26" x14ac:dyDescent="0.25">
      <c r="T186" s="43">
        <v>42185</v>
      </c>
      <c r="U186" t="str">
        <f t="shared" si="2"/>
        <v>1527</v>
      </c>
      <c r="V186" s="44" t="s">
        <v>84</v>
      </c>
      <c r="W186" s="44">
        <v>42183</v>
      </c>
      <c r="X186" s="24">
        <v>27</v>
      </c>
      <c r="Y186" s="24">
        <v>2015</v>
      </c>
      <c r="Z186" s="25">
        <v>201527</v>
      </c>
    </row>
    <row r="187" spans="20:26" x14ac:dyDescent="0.25">
      <c r="T187" s="43">
        <v>42186</v>
      </c>
      <c r="U187" t="str">
        <f t="shared" si="2"/>
        <v>1527</v>
      </c>
      <c r="V187" s="44" t="s">
        <v>85</v>
      </c>
      <c r="W187" s="44">
        <v>42183</v>
      </c>
      <c r="X187" s="24">
        <v>27</v>
      </c>
      <c r="Y187" s="24">
        <v>2015</v>
      </c>
      <c r="Z187" s="25">
        <v>201527</v>
      </c>
    </row>
    <row r="188" spans="20:26" x14ac:dyDescent="0.25">
      <c r="T188" s="43">
        <v>42187</v>
      </c>
      <c r="U188" t="str">
        <f t="shared" si="2"/>
        <v>1527</v>
      </c>
      <c r="V188" s="44" t="s">
        <v>86</v>
      </c>
      <c r="W188" s="44">
        <v>42183</v>
      </c>
      <c r="X188" s="24">
        <v>27</v>
      </c>
      <c r="Y188" s="24">
        <v>2015</v>
      </c>
      <c r="Z188" s="25">
        <v>201527</v>
      </c>
    </row>
    <row r="189" spans="20:26" x14ac:dyDescent="0.25">
      <c r="T189" s="43">
        <v>42188</v>
      </c>
      <c r="U189" t="str">
        <f t="shared" si="2"/>
        <v>1527</v>
      </c>
      <c r="V189" s="44" t="s">
        <v>87</v>
      </c>
      <c r="W189" s="44">
        <v>42183</v>
      </c>
      <c r="X189" s="24">
        <v>27</v>
      </c>
      <c r="Y189" s="24">
        <v>2015</v>
      </c>
      <c r="Z189" s="25">
        <v>201527</v>
      </c>
    </row>
    <row r="190" spans="20:26" x14ac:dyDescent="0.25">
      <c r="T190" s="43">
        <v>42189</v>
      </c>
      <c r="U190" t="str">
        <f t="shared" si="2"/>
        <v>1527</v>
      </c>
      <c r="V190" s="44" t="s">
        <v>88</v>
      </c>
      <c r="W190" s="44">
        <v>42183</v>
      </c>
      <c r="X190" s="24">
        <v>27</v>
      </c>
      <c r="Y190" s="24">
        <v>2015</v>
      </c>
      <c r="Z190" s="25">
        <v>201527</v>
      </c>
    </row>
    <row r="191" spans="20:26" x14ac:dyDescent="0.25">
      <c r="T191" s="43">
        <v>42190</v>
      </c>
      <c r="U191" t="str">
        <f t="shared" si="2"/>
        <v>1528</v>
      </c>
      <c r="V191" s="44" t="s">
        <v>82</v>
      </c>
      <c r="W191" s="44">
        <v>42190</v>
      </c>
      <c r="X191" s="24">
        <v>28</v>
      </c>
      <c r="Y191" s="24">
        <v>2015</v>
      </c>
      <c r="Z191" s="25">
        <v>201528</v>
      </c>
    </row>
    <row r="192" spans="20:26" x14ac:dyDescent="0.25">
      <c r="T192" s="43">
        <v>42191</v>
      </c>
      <c r="U192" t="str">
        <f t="shared" si="2"/>
        <v>1528</v>
      </c>
      <c r="V192" s="44" t="s">
        <v>83</v>
      </c>
      <c r="W192" s="44">
        <v>42190</v>
      </c>
      <c r="X192" s="24">
        <v>28</v>
      </c>
      <c r="Y192" s="24">
        <v>2015</v>
      </c>
      <c r="Z192" s="25">
        <v>201528</v>
      </c>
    </row>
    <row r="193" spans="20:26" x14ac:dyDescent="0.25">
      <c r="T193" s="43">
        <v>42192</v>
      </c>
      <c r="U193" t="str">
        <f t="shared" si="2"/>
        <v>1528</v>
      </c>
      <c r="V193" s="44" t="s">
        <v>84</v>
      </c>
      <c r="W193" s="44">
        <v>42190</v>
      </c>
      <c r="X193" s="24">
        <v>28</v>
      </c>
      <c r="Y193" s="24">
        <v>2015</v>
      </c>
      <c r="Z193" s="25">
        <v>201528</v>
      </c>
    </row>
    <row r="194" spans="20:26" x14ac:dyDescent="0.25">
      <c r="T194" s="43">
        <v>42193</v>
      </c>
      <c r="U194" t="str">
        <f t="shared" ref="U194:U257" si="3">RIGHT(Z194,4)</f>
        <v>1528</v>
      </c>
      <c r="V194" s="44" t="s">
        <v>85</v>
      </c>
      <c r="W194" s="44">
        <v>42190</v>
      </c>
      <c r="X194" s="24">
        <v>28</v>
      </c>
      <c r="Y194" s="24">
        <v>2015</v>
      </c>
      <c r="Z194" s="25">
        <v>201528</v>
      </c>
    </row>
    <row r="195" spans="20:26" x14ac:dyDescent="0.25">
      <c r="T195" s="43">
        <v>42194</v>
      </c>
      <c r="U195" t="str">
        <f t="shared" si="3"/>
        <v>1528</v>
      </c>
      <c r="V195" s="44" t="s">
        <v>86</v>
      </c>
      <c r="W195" s="44">
        <v>42190</v>
      </c>
      <c r="X195" s="24">
        <v>28</v>
      </c>
      <c r="Y195" s="24">
        <v>2015</v>
      </c>
      <c r="Z195" s="25">
        <v>201528</v>
      </c>
    </row>
    <row r="196" spans="20:26" x14ac:dyDescent="0.25">
      <c r="T196" s="43">
        <v>42195</v>
      </c>
      <c r="U196" t="str">
        <f t="shared" si="3"/>
        <v>1528</v>
      </c>
      <c r="V196" s="44" t="s">
        <v>87</v>
      </c>
      <c r="W196" s="44">
        <v>42190</v>
      </c>
      <c r="X196" s="24">
        <v>28</v>
      </c>
      <c r="Y196" s="24">
        <v>2015</v>
      </c>
      <c r="Z196" s="25">
        <v>201528</v>
      </c>
    </row>
    <row r="197" spans="20:26" x14ac:dyDescent="0.25">
      <c r="T197" s="43">
        <v>42196</v>
      </c>
      <c r="U197" t="str">
        <f t="shared" si="3"/>
        <v>1528</v>
      </c>
      <c r="V197" s="44" t="s">
        <v>88</v>
      </c>
      <c r="W197" s="44">
        <v>42190</v>
      </c>
      <c r="X197" s="24">
        <v>28</v>
      </c>
      <c r="Y197" s="24">
        <v>2015</v>
      </c>
      <c r="Z197" s="25">
        <v>201528</v>
      </c>
    </row>
    <row r="198" spans="20:26" x14ac:dyDescent="0.25">
      <c r="T198" s="43">
        <v>42197</v>
      </c>
      <c r="U198" t="str">
        <f t="shared" si="3"/>
        <v>1529</v>
      </c>
      <c r="V198" s="44" t="s">
        <v>82</v>
      </c>
      <c r="W198" s="44">
        <v>42197</v>
      </c>
      <c r="X198" s="24">
        <v>29</v>
      </c>
      <c r="Y198" s="24">
        <v>2015</v>
      </c>
      <c r="Z198" s="25">
        <v>201529</v>
      </c>
    </row>
    <row r="199" spans="20:26" x14ac:dyDescent="0.25">
      <c r="T199" s="43">
        <v>42198</v>
      </c>
      <c r="U199" t="str">
        <f t="shared" si="3"/>
        <v>1529</v>
      </c>
      <c r="V199" s="44" t="s">
        <v>83</v>
      </c>
      <c r="W199" s="44">
        <v>42197</v>
      </c>
      <c r="X199" s="24">
        <v>29</v>
      </c>
      <c r="Y199" s="24">
        <v>2015</v>
      </c>
      <c r="Z199" s="25">
        <v>201529</v>
      </c>
    </row>
    <row r="200" spans="20:26" x14ac:dyDescent="0.25">
      <c r="T200" s="43">
        <v>42199</v>
      </c>
      <c r="U200" t="str">
        <f t="shared" si="3"/>
        <v>1529</v>
      </c>
      <c r="V200" s="44" t="s">
        <v>84</v>
      </c>
      <c r="W200" s="44">
        <v>42197</v>
      </c>
      <c r="X200" s="24">
        <v>29</v>
      </c>
      <c r="Y200" s="24">
        <v>2015</v>
      </c>
      <c r="Z200" s="25">
        <v>201529</v>
      </c>
    </row>
    <row r="201" spans="20:26" x14ac:dyDescent="0.25">
      <c r="T201" s="43">
        <v>42200</v>
      </c>
      <c r="U201" t="str">
        <f t="shared" si="3"/>
        <v>1529</v>
      </c>
      <c r="V201" s="44" t="s">
        <v>85</v>
      </c>
      <c r="W201" s="44">
        <v>42197</v>
      </c>
      <c r="X201" s="24">
        <v>29</v>
      </c>
      <c r="Y201" s="24">
        <v>2015</v>
      </c>
      <c r="Z201" s="25">
        <v>201529</v>
      </c>
    </row>
    <row r="202" spans="20:26" x14ac:dyDescent="0.25">
      <c r="T202" s="43">
        <v>42201</v>
      </c>
      <c r="U202" t="str">
        <f t="shared" si="3"/>
        <v>1529</v>
      </c>
      <c r="V202" s="44" t="s">
        <v>86</v>
      </c>
      <c r="W202" s="44">
        <v>42197</v>
      </c>
      <c r="X202" s="24">
        <v>29</v>
      </c>
      <c r="Y202" s="24">
        <v>2015</v>
      </c>
      <c r="Z202" s="25">
        <v>201529</v>
      </c>
    </row>
    <row r="203" spans="20:26" x14ac:dyDescent="0.25">
      <c r="T203" s="43">
        <v>42202</v>
      </c>
      <c r="U203" t="str">
        <f t="shared" si="3"/>
        <v>1529</v>
      </c>
      <c r="V203" s="44" t="s">
        <v>87</v>
      </c>
      <c r="W203" s="44">
        <v>42197</v>
      </c>
      <c r="X203" s="24">
        <v>29</v>
      </c>
      <c r="Y203" s="24">
        <v>2015</v>
      </c>
      <c r="Z203" s="25">
        <v>201529</v>
      </c>
    </row>
    <row r="204" spans="20:26" x14ac:dyDescent="0.25">
      <c r="T204" s="43">
        <v>42203</v>
      </c>
      <c r="U204" t="str">
        <f t="shared" si="3"/>
        <v>1529</v>
      </c>
      <c r="V204" s="44" t="s">
        <v>88</v>
      </c>
      <c r="W204" s="44">
        <v>42197</v>
      </c>
      <c r="X204" s="24">
        <v>29</v>
      </c>
      <c r="Y204" s="24">
        <v>2015</v>
      </c>
      <c r="Z204" s="25">
        <v>201529</v>
      </c>
    </row>
    <row r="205" spans="20:26" x14ac:dyDescent="0.25">
      <c r="T205" s="43">
        <v>42204</v>
      </c>
      <c r="U205" t="str">
        <f t="shared" si="3"/>
        <v>1530</v>
      </c>
      <c r="V205" s="44" t="s">
        <v>82</v>
      </c>
      <c r="W205" s="44">
        <v>42204</v>
      </c>
      <c r="X205" s="24">
        <v>30</v>
      </c>
      <c r="Y205" s="24">
        <v>2015</v>
      </c>
      <c r="Z205" s="25">
        <v>201530</v>
      </c>
    </row>
    <row r="206" spans="20:26" x14ac:dyDescent="0.25">
      <c r="T206" s="43">
        <v>42205</v>
      </c>
      <c r="U206" t="str">
        <f t="shared" si="3"/>
        <v>1530</v>
      </c>
      <c r="V206" s="44" t="s">
        <v>83</v>
      </c>
      <c r="W206" s="44">
        <v>42204</v>
      </c>
      <c r="X206" s="24">
        <v>30</v>
      </c>
      <c r="Y206" s="24">
        <v>2015</v>
      </c>
      <c r="Z206" s="25">
        <v>201530</v>
      </c>
    </row>
    <row r="207" spans="20:26" x14ac:dyDescent="0.25">
      <c r="T207" s="43">
        <v>42206</v>
      </c>
      <c r="U207" t="str">
        <f t="shared" si="3"/>
        <v>1530</v>
      </c>
      <c r="V207" s="44" t="s">
        <v>84</v>
      </c>
      <c r="W207" s="44">
        <v>42204</v>
      </c>
      <c r="X207" s="24">
        <v>30</v>
      </c>
      <c r="Y207" s="24">
        <v>2015</v>
      </c>
      <c r="Z207" s="25">
        <v>201530</v>
      </c>
    </row>
    <row r="208" spans="20:26" x14ac:dyDescent="0.25">
      <c r="T208" s="43">
        <v>42207</v>
      </c>
      <c r="U208" t="str">
        <f t="shared" si="3"/>
        <v>1530</v>
      </c>
      <c r="V208" s="44" t="s">
        <v>85</v>
      </c>
      <c r="W208" s="44">
        <v>42204</v>
      </c>
      <c r="X208" s="24">
        <v>30</v>
      </c>
      <c r="Y208" s="24">
        <v>2015</v>
      </c>
      <c r="Z208" s="25">
        <v>201530</v>
      </c>
    </row>
    <row r="209" spans="20:26" x14ac:dyDescent="0.25">
      <c r="T209" s="43">
        <v>42208</v>
      </c>
      <c r="U209" t="str">
        <f t="shared" si="3"/>
        <v>1530</v>
      </c>
      <c r="V209" s="44" t="s">
        <v>86</v>
      </c>
      <c r="W209" s="44">
        <v>42204</v>
      </c>
      <c r="X209" s="24">
        <v>30</v>
      </c>
      <c r="Y209" s="24">
        <v>2015</v>
      </c>
      <c r="Z209" s="25">
        <v>201530</v>
      </c>
    </row>
    <row r="210" spans="20:26" x14ac:dyDescent="0.25">
      <c r="T210" s="43">
        <v>42209</v>
      </c>
      <c r="U210" t="str">
        <f t="shared" si="3"/>
        <v>1530</v>
      </c>
      <c r="V210" s="44" t="s">
        <v>87</v>
      </c>
      <c r="W210" s="44">
        <v>42204</v>
      </c>
      <c r="X210" s="24">
        <v>30</v>
      </c>
      <c r="Y210" s="24">
        <v>2015</v>
      </c>
      <c r="Z210" s="25">
        <v>201530</v>
      </c>
    </row>
    <row r="211" spans="20:26" x14ac:dyDescent="0.25">
      <c r="T211" s="43">
        <v>42210</v>
      </c>
      <c r="U211" t="str">
        <f t="shared" si="3"/>
        <v>1530</v>
      </c>
      <c r="V211" s="44" t="s">
        <v>88</v>
      </c>
      <c r="W211" s="44">
        <v>42204</v>
      </c>
      <c r="X211" s="24">
        <v>30</v>
      </c>
      <c r="Y211" s="24">
        <v>2015</v>
      </c>
      <c r="Z211" s="25">
        <v>201530</v>
      </c>
    </row>
    <row r="212" spans="20:26" x14ac:dyDescent="0.25">
      <c r="T212" s="43">
        <v>42211</v>
      </c>
      <c r="U212" t="str">
        <f t="shared" si="3"/>
        <v>1531</v>
      </c>
      <c r="V212" s="44" t="s">
        <v>82</v>
      </c>
      <c r="W212" s="44">
        <v>42211</v>
      </c>
      <c r="X212" s="24">
        <v>31</v>
      </c>
      <c r="Y212" s="24">
        <v>2015</v>
      </c>
      <c r="Z212" s="25">
        <v>201531</v>
      </c>
    </row>
    <row r="213" spans="20:26" x14ac:dyDescent="0.25">
      <c r="T213" s="43">
        <v>42212</v>
      </c>
      <c r="U213" t="str">
        <f t="shared" si="3"/>
        <v>1531</v>
      </c>
      <c r="V213" s="44" t="s">
        <v>83</v>
      </c>
      <c r="W213" s="44">
        <v>42211</v>
      </c>
      <c r="X213" s="24">
        <v>31</v>
      </c>
      <c r="Y213" s="24">
        <v>2015</v>
      </c>
      <c r="Z213" s="25">
        <v>201531</v>
      </c>
    </row>
    <row r="214" spans="20:26" x14ac:dyDescent="0.25">
      <c r="T214" s="43">
        <v>42213</v>
      </c>
      <c r="U214" t="str">
        <f t="shared" si="3"/>
        <v>1531</v>
      </c>
      <c r="V214" s="44" t="s">
        <v>84</v>
      </c>
      <c r="W214" s="44">
        <v>42211</v>
      </c>
      <c r="X214" s="24">
        <v>31</v>
      </c>
      <c r="Y214" s="24">
        <v>2015</v>
      </c>
      <c r="Z214" s="25">
        <v>201531</v>
      </c>
    </row>
    <row r="215" spans="20:26" x14ac:dyDescent="0.25">
      <c r="T215" s="43">
        <v>42214</v>
      </c>
      <c r="U215" t="str">
        <f t="shared" si="3"/>
        <v>1531</v>
      </c>
      <c r="V215" s="44" t="s">
        <v>85</v>
      </c>
      <c r="W215" s="44">
        <v>42211</v>
      </c>
      <c r="X215" s="24">
        <v>31</v>
      </c>
      <c r="Y215" s="24">
        <v>2015</v>
      </c>
      <c r="Z215" s="25">
        <v>201531</v>
      </c>
    </row>
    <row r="216" spans="20:26" x14ac:dyDescent="0.25">
      <c r="T216" s="43">
        <v>42215</v>
      </c>
      <c r="U216" t="str">
        <f t="shared" si="3"/>
        <v>1531</v>
      </c>
      <c r="V216" s="44" t="s">
        <v>86</v>
      </c>
      <c r="W216" s="44">
        <v>42211</v>
      </c>
      <c r="X216" s="24">
        <v>31</v>
      </c>
      <c r="Y216" s="24">
        <v>2015</v>
      </c>
      <c r="Z216" s="25">
        <v>201531</v>
      </c>
    </row>
    <row r="217" spans="20:26" x14ac:dyDescent="0.25">
      <c r="T217" s="43">
        <v>42216</v>
      </c>
      <c r="U217" t="str">
        <f t="shared" si="3"/>
        <v>1531</v>
      </c>
      <c r="V217" s="44" t="s">
        <v>87</v>
      </c>
      <c r="W217" s="44">
        <v>42211</v>
      </c>
      <c r="X217" s="24">
        <v>31</v>
      </c>
      <c r="Y217" s="24">
        <v>2015</v>
      </c>
      <c r="Z217" s="25">
        <v>201531</v>
      </c>
    </row>
    <row r="218" spans="20:26" x14ac:dyDescent="0.25">
      <c r="T218" s="43">
        <v>42217</v>
      </c>
      <c r="U218" t="str">
        <f t="shared" si="3"/>
        <v>1531</v>
      </c>
      <c r="V218" s="44" t="s">
        <v>88</v>
      </c>
      <c r="W218" s="44">
        <v>42211</v>
      </c>
      <c r="X218" s="24">
        <v>31</v>
      </c>
      <c r="Y218" s="24">
        <v>2015</v>
      </c>
      <c r="Z218" s="25">
        <v>201531</v>
      </c>
    </row>
    <row r="219" spans="20:26" x14ac:dyDescent="0.25">
      <c r="T219" s="43">
        <v>42218</v>
      </c>
      <c r="U219" t="str">
        <f t="shared" si="3"/>
        <v>1532</v>
      </c>
      <c r="V219" s="44" t="s">
        <v>82</v>
      </c>
      <c r="W219" s="44">
        <v>42218</v>
      </c>
      <c r="X219" s="24">
        <v>32</v>
      </c>
      <c r="Y219" s="24">
        <v>2015</v>
      </c>
      <c r="Z219" s="25">
        <v>201532</v>
      </c>
    </row>
    <row r="220" spans="20:26" x14ac:dyDescent="0.25">
      <c r="T220" s="43">
        <v>42219</v>
      </c>
      <c r="U220" t="str">
        <f t="shared" si="3"/>
        <v>1532</v>
      </c>
      <c r="V220" s="44" t="s">
        <v>83</v>
      </c>
      <c r="W220" s="44">
        <v>42218</v>
      </c>
      <c r="X220" s="24">
        <v>32</v>
      </c>
      <c r="Y220" s="24">
        <v>2015</v>
      </c>
      <c r="Z220" s="25">
        <v>201532</v>
      </c>
    </row>
    <row r="221" spans="20:26" x14ac:dyDescent="0.25">
      <c r="T221" s="43">
        <v>42220</v>
      </c>
      <c r="U221" t="str">
        <f t="shared" si="3"/>
        <v>1532</v>
      </c>
      <c r="V221" s="44" t="s">
        <v>84</v>
      </c>
      <c r="W221" s="44">
        <v>42218</v>
      </c>
      <c r="X221" s="24">
        <v>32</v>
      </c>
      <c r="Y221" s="24">
        <v>2015</v>
      </c>
      <c r="Z221" s="25">
        <v>201532</v>
      </c>
    </row>
    <row r="222" spans="20:26" x14ac:dyDescent="0.25">
      <c r="T222" s="43">
        <v>42221</v>
      </c>
      <c r="U222" t="str">
        <f t="shared" si="3"/>
        <v>1532</v>
      </c>
      <c r="V222" s="44" t="s">
        <v>85</v>
      </c>
      <c r="W222" s="44">
        <v>42218</v>
      </c>
      <c r="X222" s="24">
        <v>32</v>
      </c>
      <c r="Y222" s="24">
        <v>2015</v>
      </c>
      <c r="Z222" s="25">
        <v>201532</v>
      </c>
    </row>
    <row r="223" spans="20:26" x14ac:dyDescent="0.25">
      <c r="T223" s="43">
        <v>42222</v>
      </c>
      <c r="U223" t="str">
        <f t="shared" si="3"/>
        <v>1532</v>
      </c>
      <c r="V223" s="44" t="s">
        <v>86</v>
      </c>
      <c r="W223" s="44">
        <v>42218</v>
      </c>
      <c r="X223" s="24">
        <v>32</v>
      </c>
      <c r="Y223" s="24">
        <v>2015</v>
      </c>
      <c r="Z223" s="25">
        <v>201532</v>
      </c>
    </row>
    <row r="224" spans="20:26" x14ac:dyDescent="0.25">
      <c r="T224" s="43">
        <v>42223</v>
      </c>
      <c r="U224" t="str">
        <f t="shared" si="3"/>
        <v>1532</v>
      </c>
      <c r="V224" s="44" t="s">
        <v>87</v>
      </c>
      <c r="W224" s="44">
        <v>42218</v>
      </c>
      <c r="X224" s="24">
        <v>32</v>
      </c>
      <c r="Y224" s="24">
        <v>2015</v>
      </c>
      <c r="Z224" s="25">
        <v>201532</v>
      </c>
    </row>
    <row r="225" spans="20:26" x14ac:dyDescent="0.25">
      <c r="T225" s="43">
        <v>42224</v>
      </c>
      <c r="U225" t="str">
        <f t="shared" si="3"/>
        <v>1532</v>
      </c>
      <c r="V225" s="44" t="s">
        <v>88</v>
      </c>
      <c r="W225" s="44">
        <v>42218</v>
      </c>
      <c r="X225" s="24">
        <v>32</v>
      </c>
      <c r="Y225" s="24">
        <v>2015</v>
      </c>
      <c r="Z225" s="25">
        <v>201532</v>
      </c>
    </row>
    <row r="226" spans="20:26" x14ac:dyDescent="0.25">
      <c r="T226" s="43">
        <v>42225</v>
      </c>
      <c r="U226" t="str">
        <f t="shared" si="3"/>
        <v>1533</v>
      </c>
      <c r="V226" s="44" t="s">
        <v>82</v>
      </c>
      <c r="W226" s="44">
        <v>42225</v>
      </c>
      <c r="X226" s="24">
        <v>33</v>
      </c>
      <c r="Y226" s="24">
        <v>2015</v>
      </c>
      <c r="Z226" s="25">
        <v>201533</v>
      </c>
    </row>
    <row r="227" spans="20:26" x14ac:dyDescent="0.25">
      <c r="T227" s="43">
        <v>42226</v>
      </c>
      <c r="U227" t="str">
        <f t="shared" si="3"/>
        <v>1533</v>
      </c>
      <c r="V227" s="44" t="s">
        <v>83</v>
      </c>
      <c r="W227" s="44">
        <v>42225</v>
      </c>
      <c r="X227" s="24">
        <v>33</v>
      </c>
      <c r="Y227" s="24">
        <v>2015</v>
      </c>
      <c r="Z227" s="25">
        <v>201533</v>
      </c>
    </row>
    <row r="228" spans="20:26" x14ac:dyDescent="0.25">
      <c r="T228" s="43">
        <v>42227</v>
      </c>
      <c r="U228" t="str">
        <f t="shared" si="3"/>
        <v>1533</v>
      </c>
      <c r="V228" s="44" t="s">
        <v>84</v>
      </c>
      <c r="W228" s="44">
        <v>42225</v>
      </c>
      <c r="X228" s="24">
        <v>33</v>
      </c>
      <c r="Y228" s="24">
        <v>2015</v>
      </c>
      <c r="Z228" s="25">
        <v>201533</v>
      </c>
    </row>
    <row r="229" spans="20:26" x14ac:dyDescent="0.25">
      <c r="T229" s="43">
        <v>42228</v>
      </c>
      <c r="U229" t="str">
        <f t="shared" si="3"/>
        <v>1533</v>
      </c>
      <c r="V229" s="44" t="s">
        <v>85</v>
      </c>
      <c r="W229" s="44">
        <v>42225</v>
      </c>
      <c r="X229" s="24">
        <v>33</v>
      </c>
      <c r="Y229" s="24">
        <v>2015</v>
      </c>
      <c r="Z229" s="25">
        <v>201533</v>
      </c>
    </row>
    <row r="230" spans="20:26" x14ac:dyDescent="0.25">
      <c r="T230" s="43">
        <v>42229</v>
      </c>
      <c r="U230" t="str">
        <f t="shared" si="3"/>
        <v>1533</v>
      </c>
      <c r="V230" s="44" t="s">
        <v>86</v>
      </c>
      <c r="W230" s="44">
        <v>42225</v>
      </c>
      <c r="X230" s="24">
        <v>33</v>
      </c>
      <c r="Y230" s="24">
        <v>2015</v>
      </c>
      <c r="Z230" s="25">
        <v>201533</v>
      </c>
    </row>
    <row r="231" spans="20:26" x14ac:dyDescent="0.25">
      <c r="T231" s="43">
        <v>42230</v>
      </c>
      <c r="U231" t="str">
        <f t="shared" si="3"/>
        <v>1533</v>
      </c>
      <c r="V231" s="44" t="s">
        <v>87</v>
      </c>
      <c r="W231" s="44">
        <v>42225</v>
      </c>
      <c r="X231" s="24">
        <v>33</v>
      </c>
      <c r="Y231" s="24">
        <v>2015</v>
      </c>
      <c r="Z231" s="25">
        <v>201533</v>
      </c>
    </row>
    <row r="232" spans="20:26" x14ac:dyDescent="0.25">
      <c r="T232" s="43">
        <v>42231</v>
      </c>
      <c r="U232" t="str">
        <f t="shared" si="3"/>
        <v>1533</v>
      </c>
      <c r="V232" s="44" t="s">
        <v>88</v>
      </c>
      <c r="W232" s="44">
        <v>42225</v>
      </c>
      <c r="X232" s="24">
        <v>33</v>
      </c>
      <c r="Y232" s="24">
        <v>2015</v>
      </c>
      <c r="Z232" s="25">
        <v>201533</v>
      </c>
    </row>
    <row r="233" spans="20:26" x14ac:dyDescent="0.25">
      <c r="T233" s="43">
        <v>42232</v>
      </c>
      <c r="U233" t="str">
        <f t="shared" si="3"/>
        <v>1534</v>
      </c>
      <c r="V233" s="44" t="s">
        <v>82</v>
      </c>
      <c r="W233" s="44">
        <v>42232</v>
      </c>
      <c r="X233" s="24">
        <v>34</v>
      </c>
      <c r="Y233" s="24">
        <v>2015</v>
      </c>
      <c r="Z233" s="25">
        <v>201534</v>
      </c>
    </row>
    <row r="234" spans="20:26" x14ac:dyDescent="0.25">
      <c r="T234" s="43">
        <v>42233</v>
      </c>
      <c r="U234" t="str">
        <f t="shared" si="3"/>
        <v>1534</v>
      </c>
      <c r="V234" s="44" t="s">
        <v>83</v>
      </c>
      <c r="W234" s="44">
        <v>42232</v>
      </c>
      <c r="X234" s="24">
        <v>34</v>
      </c>
      <c r="Y234" s="24">
        <v>2015</v>
      </c>
      <c r="Z234" s="25">
        <v>201534</v>
      </c>
    </row>
    <row r="235" spans="20:26" x14ac:dyDescent="0.25">
      <c r="T235" s="43">
        <v>42234</v>
      </c>
      <c r="U235" t="str">
        <f t="shared" si="3"/>
        <v>1534</v>
      </c>
      <c r="V235" s="44" t="s">
        <v>84</v>
      </c>
      <c r="W235" s="44">
        <v>42232</v>
      </c>
      <c r="X235" s="24">
        <v>34</v>
      </c>
      <c r="Y235" s="24">
        <v>2015</v>
      </c>
      <c r="Z235" s="25">
        <v>201534</v>
      </c>
    </row>
    <row r="236" spans="20:26" x14ac:dyDescent="0.25">
      <c r="T236" s="43">
        <v>42235</v>
      </c>
      <c r="U236" t="str">
        <f t="shared" si="3"/>
        <v>1534</v>
      </c>
      <c r="V236" s="44" t="s">
        <v>85</v>
      </c>
      <c r="W236" s="44">
        <v>42232</v>
      </c>
      <c r="X236" s="24">
        <v>34</v>
      </c>
      <c r="Y236" s="24">
        <v>2015</v>
      </c>
      <c r="Z236" s="25">
        <v>201534</v>
      </c>
    </row>
    <row r="237" spans="20:26" x14ac:dyDescent="0.25">
      <c r="T237" s="43">
        <v>42236</v>
      </c>
      <c r="U237" t="str">
        <f t="shared" si="3"/>
        <v>1534</v>
      </c>
      <c r="V237" s="44" t="s">
        <v>86</v>
      </c>
      <c r="W237" s="44">
        <v>42232</v>
      </c>
      <c r="X237" s="24">
        <v>34</v>
      </c>
      <c r="Y237" s="24">
        <v>2015</v>
      </c>
      <c r="Z237" s="25">
        <v>201534</v>
      </c>
    </row>
    <row r="238" spans="20:26" x14ac:dyDescent="0.25">
      <c r="T238" s="43">
        <v>42237</v>
      </c>
      <c r="U238" t="str">
        <f t="shared" si="3"/>
        <v>1534</v>
      </c>
      <c r="V238" s="44" t="s">
        <v>87</v>
      </c>
      <c r="W238" s="44">
        <v>42232</v>
      </c>
      <c r="X238" s="24">
        <v>34</v>
      </c>
      <c r="Y238" s="24">
        <v>2015</v>
      </c>
      <c r="Z238" s="25">
        <v>201534</v>
      </c>
    </row>
    <row r="239" spans="20:26" x14ac:dyDescent="0.25">
      <c r="T239" s="43">
        <v>42238</v>
      </c>
      <c r="U239" t="str">
        <f t="shared" si="3"/>
        <v>1534</v>
      </c>
      <c r="V239" s="44" t="s">
        <v>88</v>
      </c>
      <c r="W239" s="44">
        <v>42232</v>
      </c>
      <c r="X239" s="24">
        <v>34</v>
      </c>
      <c r="Y239" s="24">
        <v>2015</v>
      </c>
      <c r="Z239" s="25">
        <v>201534</v>
      </c>
    </row>
    <row r="240" spans="20:26" x14ac:dyDescent="0.25">
      <c r="T240" s="43">
        <v>42239</v>
      </c>
      <c r="U240" t="str">
        <f t="shared" si="3"/>
        <v>1535</v>
      </c>
      <c r="V240" s="44" t="s">
        <v>82</v>
      </c>
      <c r="W240" s="44">
        <v>42239</v>
      </c>
      <c r="X240" s="24">
        <v>35</v>
      </c>
      <c r="Y240" s="24">
        <v>2015</v>
      </c>
      <c r="Z240" s="25">
        <v>201535</v>
      </c>
    </row>
    <row r="241" spans="20:26" x14ac:dyDescent="0.25">
      <c r="T241" s="43">
        <v>42240</v>
      </c>
      <c r="U241" t="str">
        <f t="shared" si="3"/>
        <v>1535</v>
      </c>
      <c r="V241" s="44" t="s">
        <v>83</v>
      </c>
      <c r="W241" s="44">
        <v>42239</v>
      </c>
      <c r="X241" s="24">
        <v>35</v>
      </c>
      <c r="Y241" s="24">
        <v>2015</v>
      </c>
      <c r="Z241" s="25">
        <v>201535</v>
      </c>
    </row>
    <row r="242" spans="20:26" x14ac:dyDescent="0.25">
      <c r="T242" s="43">
        <v>42241</v>
      </c>
      <c r="U242" t="str">
        <f t="shared" si="3"/>
        <v>1535</v>
      </c>
      <c r="V242" s="44" t="s">
        <v>84</v>
      </c>
      <c r="W242" s="44">
        <v>42239</v>
      </c>
      <c r="X242" s="24">
        <v>35</v>
      </c>
      <c r="Y242" s="24">
        <v>2015</v>
      </c>
      <c r="Z242" s="25">
        <v>201535</v>
      </c>
    </row>
    <row r="243" spans="20:26" x14ac:dyDescent="0.25">
      <c r="T243" s="43">
        <v>42242</v>
      </c>
      <c r="U243" t="str">
        <f t="shared" si="3"/>
        <v>1535</v>
      </c>
      <c r="V243" s="44" t="s">
        <v>85</v>
      </c>
      <c r="W243" s="44">
        <v>42239</v>
      </c>
      <c r="X243" s="24">
        <v>35</v>
      </c>
      <c r="Y243" s="24">
        <v>2015</v>
      </c>
      <c r="Z243" s="25">
        <v>201535</v>
      </c>
    </row>
    <row r="244" spans="20:26" x14ac:dyDescent="0.25">
      <c r="T244" s="43">
        <v>42243</v>
      </c>
      <c r="U244" t="str">
        <f t="shared" si="3"/>
        <v>1535</v>
      </c>
      <c r="V244" s="44" t="s">
        <v>86</v>
      </c>
      <c r="W244" s="44">
        <v>42239</v>
      </c>
      <c r="X244" s="24">
        <v>35</v>
      </c>
      <c r="Y244" s="24">
        <v>2015</v>
      </c>
      <c r="Z244" s="25">
        <v>201535</v>
      </c>
    </row>
    <row r="245" spans="20:26" x14ac:dyDescent="0.25">
      <c r="T245" s="43">
        <v>42244</v>
      </c>
      <c r="U245" t="str">
        <f t="shared" si="3"/>
        <v>1535</v>
      </c>
      <c r="V245" s="44" t="s">
        <v>87</v>
      </c>
      <c r="W245" s="44">
        <v>42239</v>
      </c>
      <c r="X245" s="24">
        <v>35</v>
      </c>
      <c r="Y245" s="24">
        <v>2015</v>
      </c>
      <c r="Z245" s="25">
        <v>201535</v>
      </c>
    </row>
    <row r="246" spans="20:26" x14ac:dyDescent="0.25">
      <c r="T246" s="43">
        <v>42245</v>
      </c>
      <c r="U246" t="str">
        <f t="shared" si="3"/>
        <v>1535</v>
      </c>
      <c r="V246" s="44" t="s">
        <v>88</v>
      </c>
      <c r="W246" s="44">
        <v>42239</v>
      </c>
      <c r="X246" s="24">
        <v>35</v>
      </c>
      <c r="Y246" s="24">
        <v>2015</v>
      </c>
      <c r="Z246" s="25">
        <v>201535</v>
      </c>
    </row>
    <row r="247" spans="20:26" x14ac:dyDescent="0.25">
      <c r="T247" s="43">
        <v>42246</v>
      </c>
      <c r="U247" t="str">
        <f t="shared" si="3"/>
        <v>1536</v>
      </c>
      <c r="V247" s="44" t="s">
        <v>82</v>
      </c>
      <c r="W247" s="44">
        <v>42246</v>
      </c>
      <c r="X247" s="24">
        <v>36</v>
      </c>
      <c r="Y247" s="24">
        <v>2015</v>
      </c>
      <c r="Z247" s="25">
        <v>201536</v>
      </c>
    </row>
    <row r="248" spans="20:26" x14ac:dyDescent="0.25">
      <c r="T248" s="43">
        <v>42247</v>
      </c>
      <c r="U248" t="str">
        <f t="shared" si="3"/>
        <v>1536</v>
      </c>
      <c r="V248" s="44" t="s">
        <v>83</v>
      </c>
      <c r="W248" s="44">
        <v>42246</v>
      </c>
      <c r="X248" s="24">
        <v>36</v>
      </c>
      <c r="Y248" s="24">
        <v>2015</v>
      </c>
      <c r="Z248" s="25">
        <v>201536</v>
      </c>
    </row>
    <row r="249" spans="20:26" x14ac:dyDescent="0.25">
      <c r="T249" s="43">
        <v>42248</v>
      </c>
      <c r="U249" t="str">
        <f t="shared" si="3"/>
        <v>1536</v>
      </c>
      <c r="V249" s="44" t="s">
        <v>84</v>
      </c>
      <c r="W249" s="44">
        <v>42246</v>
      </c>
      <c r="X249" s="24">
        <v>36</v>
      </c>
      <c r="Y249" s="24">
        <v>2015</v>
      </c>
      <c r="Z249" s="25">
        <v>201536</v>
      </c>
    </row>
    <row r="250" spans="20:26" x14ac:dyDescent="0.25">
      <c r="T250" s="43">
        <v>42249</v>
      </c>
      <c r="U250" t="str">
        <f t="shared" si="3"/>
        <v>1536</v>
      </c>
      <c r="V250" s="44" t="s">
        <v>85</v>
      </c>
      <c r="W250" s="44">
        <v>42246</v>
      </c>
      <c r="X250" s="24">
        <v>36</v>
      </c>
      <c r="Y250" s="24">
        <v>2015</v>
      </c>
      <c r="Z250" s="25">
        <v>201536</v>
      </c>
    </row>
    <row r="251" spans="20:26" x14ac:dyDescent="0.25">
      <c r="T251" s="43">
        <v>42250</v>
      </c>
      <c r="U251" t="str">
        <f t="shared" si="3"/>
        <v>1536</v>
      </c>
      <c r="V251" s="44" t="s">
        <v>86</v>
      </c>
      <c r="W251" s="44">
        <v>42246</v>
      </c>
      <c r="X251" s="24">
        <v>36</v>
      </c>
      <c r="Y251" s="24">
        <v>2015</v>
      </c>
      <c r="Z251" s="25">
        <v>201536</v>
      </c>
    </row>
    <row r="252" spans="20:26" x14ac:dyDescent="0.25">
      <c r="T252" s="43">
        <v>42251</v>
      </c>
      <c r="U252" t="str">
        <f t="shared" si="3"/>
        <v>1536</v>
      </c>
      <c r="V252" s="44" t="s">
        <v>87</v>
      </c>
      <c r="W252" s="44">
        <v>42246</v>
      </c>
      <c r="X252" s="24">
        <v>36</v>
      </c>
      <c r="Y252" s="24">
        <v>2015</v>
      </c>
      <c r="Z252" s="25">
        <v>201536</v>
      </c>
    </row>
    <row r="253" spans="20:26" x14ac:dyDescent="0.25">
      <c r="T253" s="43">
        <v>42252</v>
      </c>
      <c r="U253" t="str">
        <f t="shared" si="3"/>
        <v>1536</v>
      </c>
      <c r="V253" s="44" t="s">
        <v>88</v>
      </c>
      <c r="W253" s="44">
        <v>42246</v>
      </c>
      <c r="X253" s="24">
        <v>36</v>
      </c>
      <c r="Y253" s="24">
        <v>2015</v>
      </c>
      <c r="Z253" s="25">
        <v>201536</v>
      </c>
    </row>
    <row r="254" spans="20:26" x14ac:dyDescent="0.25">
      <c r="T254" s="43">
        <v>42253</v>
      </c>
      <c r="U254" t="str">
        <f t="shared" si="3"/>
        <v>1537</v>
      </c>
      <c r="V254" s="44" t="s">
        <v>82</v>
      </c>
      <c r="W254" s="44">
        <v>42253</v>
      </c>
      <c r="X254" s="24">
        <v>37</v>
      </c>
      <c r="Y254" s="24">
        <v>2015</v>
      </c>
      <c r="Z254" s="25">
        <v>201537</v>
      </c>
    </row>
    <row r="255" spans="20:26" x14ac:dyDescent="0.25">
      <c r="T255" s="43">
        <v>42254</v>
      </c>
      <c r="U255" t="str">
        <f t="shared" si="3"/>
        <v>1537</v>
      </c>
      <c r="V255" s="44" t="s">
        <v>83</v>
      </c>
      <c r="W255" s="44">
        <v>42253</v>
      </c>
      <c r="X255" s="24">
        <v>37</v>
      </c>
      <c r="Y255" s="24">
        <v>2015</v>
      </c>
      <c r="Z255" s="25">
        <v>201537</v>
      </c>
    </row>
    <row r="256" spans="20:26" x14ac:dyDescent="0.25">
      <c r="T256" s="43">
        <v>42255</v>
      </c>
      <c r="U256" t="str">
        <f t="shared" si="3"/>
        <v>1537</v>
      </c>
      <c r="V256" s="44" t="s">
        <v>84</v>
      </c>
      <c r="W256" s="44">
        <v>42253</v>
      </c>
      <c r="X256" s="24">
        <v>37</v>
      </c>
      <c r="Y256" s="24">
        <v>2015</v>
      </c>
      <c r="Z256" s="25">
        <v>201537</v>
      </c>
    </row>
    <row r="257" spans="20:26" x14ac:dyDescent="0.25">
      <c r="T257" s="43">
        <v>42256</v>
      </c>
      <c r="U257" t="str">
        <f t="shared" si="3"/>
        <v>1537</v>
      </c>
      <c r="V257" s="44" t="s">
        <v>85</v>
      </c>
      <c r="W257" s="44">
        <v>42253</v>
      </c>
      <c r="X257" s="24">
        <v>37</v>
      </c>
      <c r="Y257" s="24">
        <v>2015</v>
      </c>
      <c r="Z257" s="25">
        <v>201537</v>
      </c>
    </row>
    <row r="258" spans="20:26" x14ac:dyDescent="0.25">
      <c r="T258" s="43">
        <v>42257</v>
      </c>
      <c r="U258" t="str">
        <f t="shared" ref="U258:U321" si="4">RIGHT(Z258,4)</f>
        <v>1537</v>
      </c>
      <c r="V258" s="44" t="s">
        <v>86</v>
      </c>
      <c r="W258" s="44">
        <v>42253</v>
      </c>
      <c r="X258" s="24">
        <v>37</v>
      </c>
      <c r="Y258" s="24">
        <v>2015</v>
      </c>
      <c r="Z258" s="25">
        <v>201537</v>
      </c>
    </row>
    <row r="259" spans="20:26" x14ac:dyDescent="0.25">
      <c r="T259" s="43">
        <v>42258</v>
      </c>
      <c r="U259" t="str">
        <f t="shared" si="4"/>
        <v>1537</v>
      </c>
      <c r="V259" s="44" t="s">
        <v>87</v>
      </c>
      <c r="W259" s="44">
        <v>42253</v>
      </c>
      <c r="X259" s="24">
        <v>37</v>
      </c>
      <c r="Y259" s="24">
        <v>2015</v>
      </c>
      <c r="Z259" s="25">
        <v>201537</v>
      </c>
    </row>
    <row r="260" spans="20:26" x14ac:dyDescent="0.25">
      <c r="T260" s="43">
        <v>42259</v>
      </c>
      <c r="U260" t="str">
        <f t="shared" si="4"/>
        <v>1537</v>
      </c>
      <c r="V260" s="44" t="s">
        <v>88</v>
      </c>
      <c r="W260" s="44">
        <v>42253</v>
      </c>
      <c r="X260" s="24">
        <v>37</v>
      </c>
      <c r="Y260" s="24">
        <v>2015</v>
      </c>
      <c r="Z260" s="25">
        <v>201537</v>
      </c>
    </row>
    <row r="261" spans="20:26" x14ac:dyDescent="0.25">
      <c r="T261" s="43">
        <v>42260</v>
      </c>
      <c r="U261" t="str">
        <f t="shared" si="4"/>
        <v>1538</v>
      </c>
      <c r="V261" s="44" t="s">
        <v>82</v>
      </c>
      <c r="W261" s="44">
        <v>42260</v>
      </c>
      <c r="X261" s="24">
        <v>38</v>
      </c>
      <c r="Y261" s="24">
        <v>2015</v>
      </c>
      <c r="Z261" s="25">
        <v>201538</v>
      </c>
    </row>
    <row r="262" spans="20:26" x14ac:dyDescent="0.25">
      <c r="T262" s="43">
        <v>42261</v>
      </c>
      <c r="U262" t="str">
        <f t="shared" si="4"/>
        <v>1538</v>
      </c>
      <c r="V262" s="44" t="s">
        <v>83</v>
      </c>
      <c r="W262" s="44">
        <v>42260</v>
      </c>
      <c r="X262" s="24">
        <v>38</v>
      </c>
      <c r="Y262" s="24">
        <v>2015</v>
      </c>
      <c r="Z262" s="25">
        <v>201538</v>
      </c>
    </row>
    <row r="263" spans="20:26" x14ac:dyDescent="0.25">
      <c r="T263" s="43">
        <v>42262</v>
      </c>
      <c r="U263" t="str">
        <f t="shared" si="4"/>
        <v>1538</v>
      </c>
      <c r="V263" s="44" t="s">
        <v>84</v>
      </c>
      <c r="W263" s="44">
        <v>42260</v>
      </c>
      <c r="X263" s="24">
        <v>38</v>
      </c>
      <c r="Y263" s="24">
        <v>2015</v>
      </c>
      <c r="Z263" s="25">
        <v>201538</v>
      </c>
    </row>
    <row r="264" spans="20:26" x14ac:dyDescent="0.25">
      <c r="T264" s="43">
        <v>42263</v>
      </c>
      <c r="U264" t="str">
        <f t="shared" si="4"/>
        <v>1538</v>
      </c>
      <c r="V264" s="44" t="s">
        <v>85</v>
      </c>
      <c r="W264" s="44">
        <v>42260</v>
      </c>
      <c r="X264" s="24">
        <v>38</v>
      </c>
      <c r="Y264" s="24">
        <v>2015</v>
      </c>
      <c r="Z264" s="25">
        <v>201538</v>
      </c>
    </row>
    <row r="265" spans="20:26" x14ac:dyDescent="0.25">
      <c r="T265" s="43">
        <v>42264</v>
      </c>
      <c r="U265" t="str">
        <f t="shared" si="4"/>
        <v>1538</v>
      </c>
      <c r="V265" s="44" t="s">
        <v>86</v>
      </c>
      <c r="W265" s="44">
        <v>42260</v>
      </c>
      <c r="X265" s="24">
        <v>38</v>
      </c>
      <c r="Y265" s="24">
        <v>2015</v>
      </c>
      <c r="Z265" s="25">
        <v>201538</v>
      </c>
    </row>
    <row r="266" spans="20:26" x14ac:dyDescent="0.25">
      <c r="T266" s="43">
        <v>42265</v>
      </c>
      <c r="U266" t="str">
        <f t="shared" si="4"/>
        <v>1538</v>
      </c>
      <c r="V266" s="44" t="s">
        <v>87</v>
      </c>
      <c r="W266" s="44">
        <v>42260</v>
      </c>
      <c r="X266" s="24">
        <v>38</v>
      </c>
      <c r="Y266" s="24">
        <v>2015</v>
      </c>
      <c r="Z266" s="25">
        <v>201538</v>
      </c>
    </row>
    <row r="267" spans="20:26" x14ac:dyDescent="0.25">
      <c r="T267" s="43">
        <v>42266</v>
      </c>
      <c r="U267" t="str">
        <f t="shared" si="4"/>
        <v>1538</v>
      </c>
      <c r="V267" s="44" t="s">
        <v>88</v>
      </c>
      <c r="W267" s="44">
        <v>42260</v>
      </c>
      <c r="X267" s="24">
        <v>38</v>
      </c>
      <c r="Y267" s="24">
        <v>2015</v>
      </c>
      <c r="Z267" s="25">
        <v>201538</v>
      </c>
    </row>
    <row r="268" spans="20:26" x14ac:dyDescent="0.25">
      <c r="T268" s="43">
        <v>42267</v>
      </c>
      <c r="U268" t="str">
        <f t="shared" si="4"/>
        <v>1539</v>
      </c>
      <c r="V268" s="44" t="s">
        <v>82</v>
      </c>
      <c r="W268" s="44">
        <v>42267</v>
      </c>
      <c r="X268" s="24">
        <v>39</v>
      </c>
      <c r="Y268" s="24">
        <v>2015</v>
      </c>
      <c r="Z268" s="25">
        <v>201539</v>
      </c>
    </row>
    <row r="269" spans="20:26" x14ac:dyDescent="0.25">
      <c r="T269" s="43">
        <v>42268</v>
      </c>
      <c r="U269" t="str">
        <f t="shared" si="4"/>
        <v>1539</v>
      </c>
      <c r="V269" s="44" t="s">
        <v>83</v>
      </c>
      <c r="W269" s="44">
        <v>42267</v>
      </c>
      <c r="X269" s="24">
        <v>39</v>
      </c>
      <c r="Y269" s="24">
        <v>2015</v>
      </c>
      <c r="Z269" s="25">
        <v>201539</v>
      </c>
    </row>
    <row r="270" spans="20:26" x14ac:dyDescent="0.25">
      <c r="T270" s="43">
        <v>42269</v>
      </c>
      <c r="U270" t="str">
        <f t="shared" si="4"/>
        <v>1539</v>
      </c>
      <c r="V270" s="44" t="s">
        <v>84</v>
      </c>
      <c r="W270" s="44">
        <v>42267</v>
      </c>
      <c r="X270" s="24">
        <v>39</v>
      </c>
      <c r="Y270" s="24">
        <v>2015</v>
      </c>
      <c r="Z270" s="25">
        <v>201539</v>
      </c>
    </row>
    <row r="271" spans="20:26" x14ac:dyDescent="0.25">
      <c r="T271" s="43">
        <v>42270</v>
      </c>
      <c r="U271" t="str">
        <f t="shared" si="4"/>
        <v>1539</v>
      </c>
      <c r="V271" s="44" t="s">
        <v>85</v>
      </c>
      <c r="W271" s="44">
        <v>42267</v>
      </c>
      <c r="X271" s="24">
        <v>39</v>
      </c>
      <c r="Y271" s="24">
        <v>2015</v>
      </c>
      <c r="Z271" s="25">
        <v>201539</v>
      </c>
    </row>
    <row r="272" spans="20:26" x14ac:dyDescent="0.25">
      <c r="T272" s="43">
        <v>42271</v>
      </c>
      <c r="U272" t="str">
        <f t="shared" si="4"/>
        <v>1539</v>
      </c>
      <c r="V272" s="44" t="s">
        <v>86</v>
      </c>
      <c r="W272" s="44">
        <v>42267</v>
      </c>
      <c r="X272" s="24">
        <v>39</v>
      </c>
      <c r="Y272" s="24">
        <v>2015</v>
      </c>
      <c r="Z272" s="25">
        <v>201539</v>
      </c>
    </row>
    <row r="273" spans="20:26" x14ac:dyDescent="0.25">
      <c r="T273" s="43">
        <v>42272</v>
      </c>
      <c r="U273" t="str">
        <f t="shared" si="4"/>
        <v>1539</v>
      </c>
      <c r="V273" s="44" t="s">
        <v>87</v>
      </c>
      <c r="W273" s="44">
        <v>42267</v>
      </c>
      <c r="X273" s="24">
        <v>39</v>
      </c>
      <c r="Y273" s="24">
        <v>2015</v>
      </c>
      <c r="Z273" s="25">
        <v>201539</v>
      </c>
    </row>
    <row r="274" spans="20:26" x14ac:dyDescent="0.25">
      <c r="T274" s="43">
        <v>42273</v>
      </c>
      <c r="U274" t="str">
        <f t="shared" si="4"/>
        <v>1539</v>
      </c>
      <c r="V274" s="44" t="s">
        <v>88</v>
      </c>
      <c r="W274" s="44">
        <v>42267</v>
      </c>
      <c r="X274" s="24">
        <v>39</v>
      </c>
      <c r="Y274" s="24">
        <v>2015</v>
      </c>
      <c r="Z274" s="25">
        <v>201539</v>
      </c>
    </row>
    <row r="275" spans="20:26" x14ac:dyDescent="0.25">
      <c r="T275" s="43">
        <v>42274</v>
      </c>
      <c r="U275" t="str">
        <f t="shared" si="4"/>
        <v>1540</v>
      </c>
      <c r="V275" s="44" t="s">
        <v>82</v>
      </c>
      <c r="W275" s="44">
        <v>42274</v>
      </c>
      <c r="X275" s="24">
        <v>40</v>
      </c>
      <c r="Y275" s="24">
        <v>2015</v>
      </c>
      <c r="Z275" s="25">
        <v>201540</v>
      </c>
    </row>
    <row r="276" spans="20:26" x14ac:dyDescent="0.25">
      <c r="T276" s="43">
        <v>42275</v>
      </c>
      <c r="U276" t="str">
        <f t="shared" si="4"/>
        <v>1540</v>
      </c>
      <c r="V276" s="44" t="s">
        <v>83</v>
      </c>
      <c r="W276" s="44">
        <v>42274</v>
      </c>
      <c r="X276" s="24">
        <v>40</v>
      </c>
      <c r="Y276" s="24">
        <v>2015</v>
      </c>
      <c r="Z276" s="25">
        <v>201540</v>
      </c>
    </row>
    <row r="277" spans="20:26" x14ac:dyDescent="0.25">
      <c r="T277" s="43">
        <v>42276</v>
      </c>
      <c r="U277" t="str">
        <f t="shared" si="4"/>
        <v>1540</v>
      </c>
      <c r="V277" s="44" t="s">
        <v>84</v>
      </c>
      <c r="W277" s="44">
        <v>42274</v>
      </c>
      <c r="X277" s="24">
        <v>40</v>
      </c>
      <c r="Y277" s="24">
        <v>2015</v>
      </c>
      <c r="Z277" s="25">
        <v>201540</v>
      </c>
    </row>
    <row r="278" spans="20:26" x14ac:dyDescent="0.25">
      <c r="T278" s="43">
        <v>42277</v>
      </c>
      <c r="U278" t="str">
        <f t="shared" si="4"/>
        <v>1540</v>
      </c>
      <c r="V278" s="44" t="s">
        <v>85</v>
      </c>
      <c r="W278" s="44">
        <v>42274</v>
      </c>
      <c r="X278" s="24">
        <v>40</v>
      </c>
      <c r="Y278" s="24">
        <v>2015</v>
      </c>
      <c r="Z278" s="25">
        <v>201540</v>
      </c>
    </row>
    <row r="279" spans="20:26" x14ac:dyDescent="0.25">
      <c r="T279" s="43">
        <v>42278</v>
      </c>
      <c r="U279" t="str">
        <f t="shared" si="4"/>
        <v>1540</v>
      </c>
      <c r="V279" s="44" t="s">
        <v>86</v>
      </c>
      <c r="W279" s="44">
        <v>42274</v>
      </c>
      <c r="X279" s="24">
        <v>40</v>
      </c>
      <c r="Y279" s="24">
        <v>2015</v>
      </c>
      <c r="Z279" s="25">
        <v>201540</v>
      </c>
    </row>
    <row r="280" spans="20:26" x14ac:dyDescent="0.25">
      <c r="T280" s="43">
        <v>42279</v>
      </c>
      <c r="U280" t="str">
        <f t="shared" si="4"/>
        <v>1540</v>
      </c>
      <c r="V280" s="44" t="s">
        <v>87</v>
      </c>
      <c r="W280" s="44">
        <v>42274</v>
      </c>
      <c r="X280" s="24">
        <v>40</v>
      </c>
      <c r="Y280" s="24">
        <v>2015</v>
      </c>
      <c r="Z280" s="25">
        <v>201540</v>
      </c>
    </row>
    <row r="281" spans="20:26" x14ac:dyDescent="0.25">
      <c r="T281" s="43">
        <v>42280</v>
      </c>
      <c r="U281" t="str">
        <f t="shared" si="4"/>
        <v>1540</v>
      </c>
      <c r="V281" s="44" t="s">
        <v>88</v>
      </c>
      <c r="W281" s="44">
        <v>42274</v>
      </c>
      <c r="X281" s="24">
        <v>40</v>
      </c>
      <c r="Y281" s="24">
        <v>2015</v>
      </c>
      <c r="Z281" s="25">
        <v>201540</v>
      </c>
    </row>
    <row r="282" spans="20:26" x14ac:dyDescent="0.25">
      <c r="T282" s="43">
        <v>42281</v>
      </c>
      <c r="U282" t="str">
        <f t="shared" si="4"/>
        <v>1541</v>
      </c>
      <c r="V282" s="44" t="s">
        <v>82</v>
      </c>
      <c r="W282" s="44">
        <v>42281</v>
      </c>
      <c r="X282" s="24">
        <v>41</v>
      </c>
      <c r="Y282" s="24">
        <v>2015</v>
      </c>
      <c r="Z282" s="25">
        <v>201541</v>
      </c>
    </row>
    <row r="283" spans="20:26" x14ac:dyDescent="0.25">
      <c r="T283" s="43">
        <v>42282</v>
      </c>
      <c r="U283" t="str">
        <f t="shared" si="4"/>
        <v>1541</v>
      </c>
      <c r="V283" s="44" t="s">
        <v>83</v>
      </c>
      <c r="W283" s="44">
        <v>42281</v>
      </c>
      <c r="X283" s="24">
        <v>41</v>
      </c>
      <c r="Y283" s="24">
        <v>2015</v>
      </c>
      <c r="Z283" s="25">
        <v>201541</v>
      </c>
    </row>
    <row r="284" spans="20:26" x14ac:dyDescent="0.25">
      <c r="T284" s="43">
        <v>42283</v>
      </c>
      <c r="U284" t="str">
        <f t="shared" si="4"/>
        <v>1541</v>
      </c>
      <c r="V284" s="44" t="s">
        <v>84</v>
      </c>
      <c r="W284" s="44">
        <v>42281</v>
      </c>
      <c r="X284" s="24">
        <v>41</v>
      </c>
      <c r="Y284" s="24">
        <v>2015</v>
      </c>
      <c r="Z284" s="25">
        <v>201541</v>
      </c>
    </row>
    <row r="285" spans="20:26" x14ac:dyDescent="0.25">
      <c r="T285" s="43">
        <v>42284</v>
      </c>
      <c r="U285" t="str">
        <f t="shared" si="4"/>
        <v>1541</v>
      </c>
      <c r="V285" s="44" t="s">
        <v>85</v>
      </c>
      <c r="W285" s="44">
        <v>42281</v>
      </c>
      <c r="X285" s="24">
        <v>41</v>
      </c>
      <c r="Y285" s="24">
        <v>2015</v>
      </c>
      <c r="Z285" s="25">
        <v>201541</v>
      </c>
    </row>
    <row r="286" spans="20:26" x14ac:dyDescent="0.25">
      <c r="T286" s="43">
        <v>42285</v>
      </c>
      <c r="U286" t="str">
        <f t="shared" si="4"/>
        <v>1541</v>
      </c>
      <c r="V286" s="44" t="s">
        <v>86</v>
      </c>
      <c r="W286" s="44">
        <v>42281</v>
      </c>
      <c r="X286" s="24">
        <v>41</v>
      </c>
      <c r="Y286" s="24">
        <v>2015</v>
      </c>
      <c r="Z286" s="25">
        <v>201541</v>
      </c>
    </row>
    <row r="287" spans="20:26" x14ac:dyDescent="0.25">
      <c r="T287" s="43">
        <v>42286</v>
      </c>
      <c r="U287" t="str">
        <f t="shared" si="4"/>
        <v>1541</v>
      </c>
      <c r="V287" s="44" t="s">
        <v>87</v>
      </c>
      <c r="W287" s="44">
        <v>42281</v>
      </c>
      <c r="X287" s="24">
        <v>41</v>
      </c>
      <c r="Y287" s="24">
        <v>2015</v>
      </c>
      <c r="Z287" s="25">
        <v>201541</v>
      </c>
    </row>
    <row r="288" spans="20:26" x14ac:dyDescent="0.25">
      <c r="T288" s="43">
        <v>42287</v>
      </c>
      <c r="U288" t="str">
        <f t="shared" si="4"/>
        <v>1541</v>
      </c>
      <c r="V288" s="44" t="s">
        <v>88</v>
      </c>
      <c r="W288" s="44">
        <v>42281</v>
      </c>
      <c r="X288" s="24">
        <v>41</v>
      </c>
      <c r="Y288" s="24">
        <v>2015</v>
      </c>
      <c r="Z288" s="25">
        <v>201541</v>
      </c>
    </row>
    <row r="289" spans="20:26" x14ac:dyDescent="0.25">
      <c r="T289" s="43">
        <v>42288</v>
      </c>
      <c r="U289" t="str">
        <f t="shared" si="4"/>
        <v>1542</v>
      </c>
      <c r="V289" s="44" t="s">
        <v>82</v>
      </c>
      <c r="W289" s="44">
        <v>42288</v>
      </c>
      <c r="X289" s="24">
        <v>42</v>
      </c>
      <c r="Y289" s="24">
        <v>2015</v>
      </c>
      <c r="Z289" s="25">
        <v>201542</v>
      </c>
    </row>
    <row r="290" spans="20:26" x14ac:dyDescent="0.25">
      <c r="T290" s="43">
        <v>42289</v>
      </c>
      <c r="U290" t="str">
        <f t="shared" si="4"/>
        <v>1542</v>
      </c>
      <c r="V290" s="44" t="s">
        <v>83</v>
      </c>
      <c r="W290" s="44">
        <v>42288</v>
      </c>
      <c r="X290" s="24">
        <v>42</v>
      </c>
      <c r="Y290" s="24">
        <v>2015</v>
      </c>
      <c r="Z290" s="25">
        <v>201542</v>
      </c>
    </row>
    <row r="291" spans="20:26" x14ac:dyDescent="0.25">
      <c r="T291" s="43">
        <v>42290</v>
      </c>
      <c r="U291" t="str">
        <f t="shared" si="4"/>
        <v>1542</v>
      </c>
      <c r="V291" s="44" t="s">
        <v>84</v>
      </c>
      <c r="W291" s="44">
        <v>42288</v>
      </c>
      <c r="X291" s="24">
        <v>42</v>
      </c>
      <c r="Y291" s="24">
        <v>2015</v>
      </c>
      <c r="Z291" s="25">
        <v>201542</v>
      </c>
    </row>
    <row r="292" spans="20:26" x14ac:dyDescent="0.25">
      <c r="T292" s="43">
        <v>42291</v>
      </c>
      <c r="U292" t="str">
        <f t="shared" si="4"/>
        <v>1542</v>
      </c>
      <c r="V292" s="44" t="s">
        <v>85</v>
      </c>
      <c r="W292" s="44">
        <v>42288</v>
      </c>
      <c r="X292" s="24">
        <v>42</v>
      </c>
      <c r="Y292" s="24">
        <v>2015</v>
      </c>
      <c r="Z292" s="25">
        <v>201542</v>
      </c>
    </row>
    <row r="293" spans="20:26" x14ac:dyDescent="0.25">
      <c r="T293" s="43">
        <v>42292</v>
      </c>
      <c r="U293" t="str">
        <f t="shared" si="4"/>
        <v>1542</v>
      </c>
      <c r="V293" s="44" t="s">
        <v>86</v>
      </c>
      <c r="W293" s="44">
        <v>42288</v>
      </c>
      <c r="X293" s="24">
        <v>42</v>
      </c>
      <c r="Y293" s="24">
        <v>2015</v>
      </c>
      <c r="Z293" s="25">
        <v>201542</v>
      </c>
    </row>
    <row r="294" spans="20:26" x14ac:dyDescent="0.25">
      <c r="T294" s="43">
        <v>42293</v>
      </c>
      <c r="U294" t="str">
        <f t="shared" si="4"/>
        <v>1542</v>
      </c>
      <c r="V294" s="44" t="s">
        <v>87</v>
      </c>
      <c r="W294" s="44">
        <v>42288</v>
      </c>
      <c r="X294" s="24">
        <v>42</v>
      </c>
      <c r="Y294" s="24">
        <v>2015</v>
      </c>
      <c r="Z294" s="25">
        <v>201542</v>
      </c>
    </row>
    <row r="295" spans="20:26" x14ac:dyDescent="0.25">
      <c r="T295" s="43">
        <v>42294</v>
      </c>
      <c r="U295" t="str">
        <f t="shared" si="4"/>
        <v>1542</v>
      </c>
      <c r="V295" s="44" t="s">
        <v>88</v>
      </c>
      <c r="W295" s="44">
        <v>42288</v>
      </c>
      <c r="X295" s="24">
        <v>42</v>
      </c>
      <c r="Y295" s="24">
        <v>2015</v>
      </c>
      <c r="Z295" s="25">
        <v>201542</v>
      </c>
    </row>
    <row r="296" spans="20:26" x14ac:dyDescent="0.25">
      <c r="T296" s="43">
        <v>42295</v>
      </c>
      <c r="U296" t="str">
        <f t="shared" si="4"/>
        <v>1543</v>
      </c>
      <c r="V296" s="44" t="s">
        <v>82</v>
      </c>
      <c r="W296" s="44">
        <v>42295</v>
      </c>
      <c r="X296" s="24">
        <v>43</v>
      </c>
      <c r="Y296" s="24">
        <v>2015</v>
      </c>
      <c r="Z296" s="25">
        <v>201543</v>
      </c>
    </row>
    <row r="297" spans="20:26" x14ac:dyDescent="0.25">
      <c r="T297" s="43">
        <v>42296</v>
      </c>
      <c r="U297" t="str">
        <f t="shared" si="4"/>
        <v>1543</v>
      </c>
      <c r="V297" s="44" t="s">
        <v>83</v>
      </c>
      <c r="W297" s="44">
        <v>42295</v>
      </c>
      <c r="X297" s="24">
        <v>43</v>
      </c>
      <c r="Y297" s="24">
        <v>2015</v>
      </c>
      <c r="Z297" s="25">
        <v>201543</v>
      </c>
    </row>
    <row r="298" spans="20:26" x14ac:dyDescent="0.25">
      <c r="T298" s="43">
        <v>42297</v>
      </c>
      <c r="U298" t="str">
        <f t="shared" si="4"/>
        <v>1543</v>
      </c>
      <c r="V298" s="44" t="s">
        <v>84</v>
      </c>
      <c r="W298" s="44">
        <v>42295</v>
      </c>
      <c r="X298" s="24">
        <v>43</v>
      </c>
      <c r="Y298" s="24">
        <v>2015</v>
      </c>
      <c r="Z298" s="25">
        <v>201543</v>
      </c>
    </row>
    <row r="299" spans="20:26" x14ac:dyDescent="0.25">
      <c r="T299" s="43">
        <v>42298</v>
      </c>
      <c r="U299" t="str">
        <f t="shared" si="4"/>
        <v>1543</v>
      </c>
      <c r="V299" s="44" t="s">
        <v>85</v>
      </c>
      <c r="W299" s="44">
        <v>42295</v>
      </c>
      <c r="X299" s="24">
        <v>43</v>
      </c>
      <c r="Y299" s="24">
        <v>2015</v>
      </c>
      <c r="Z299" s="25">
        <v>201543</v>
      </c>
    </row>
    <row r="300" spans="20:26" x14ac:dyDescent="0.25">
      <c r="T300" s="43">
        <v>42299</v>
      </c>
      <c r="U300" t="str">
        <f t="shared" si="4"/>
        <v>1543</v>
      </c>
      <c r="V300" s="44" t="s">
        <v>86</v>
      </c>
      <c r="W300" s="44">
        <v>42295</v>
      </c>
      <c r="X300" s="24">
        <v>43</v>
      </c>
      <c r="Y300" s="24">
        <v>2015</v>
      </c>
      <c r="Z300" s="25">
        <v>201543</v>
      </c>
    </row>
    <row r="301" spans="20:26" x14ac:dyDescent="0.25">
      <c r="T301" s="43">
        <v>42300</v>
      </c>
      <c r="U301" t="str">
        <f t="shared" si="4"/>
        <v>1543</v>
      </c>
      <c r="V301" s="44" t="s">
        <v>87</v>
      </c>
      <c r="W301" s="44">
        <v>42295</v>
      </c>
      <c r="X301" s="24">
        <v>43</v>
      </c>
      <c r="Y301" s="24">
        <v>2015</v>
      </c>
      <c r="Z301" s="25">
        <v>201543</v>
      </c>
    </row>
    <row r="302" spans="20:26" x14ac:dyDescent="0.25">
      <c r="T302" s="43">
        <v>42301</v>
      </c>
      <c r="U302" t="str">
        <f t="shared" si="4"/>
        <v>1543</v>
      </c>
      <c r="V302" s="44" t="s">
        <v>88</v>
      </c>
      <c r="W302" s="44">
        <v>42295</v>
      </c>
      <c r="X302" s="24">
        <v>43</v>
      </c>
      <c r="Y302" s="24">
        <v>2015</v>
      </c>
      <c r="Z302" s="25">
        <v>201543</v>
      </c>
    </row>
    <row r="303" spans="20:26" x14ac:dyDescent="0.25">
      <c r="T303" s="43">
        <v>42302</v>
      </c>
      <c r="U303" t="str">
        <f t="shared" si="4"/>
        <v>1544</v>
      </c>
      <c r="V303" s="44" t="s">
        <v>82</v>
      </c>
      <c r="W303" s="44">
        <v>42302</v>
      </c>
      <c r="X303" s="24">
        <v>44</v>
      </c>
      <c r="Y303" s="24">
        <v>2015</v>
      </c>
      <c r="Z303" s="25">
        <v>201544</v>
      </c>
    </row>
    <row r="304" spans="20:26" x14ac:dyDescent="0.25">
      <c r="T304" s="43">
        <v>42303</v>
      </c>
      <c r="U304" t="str">
        <f t="shared" si="4"/>
        <v>1544</v>
      </c>
      <c r="V304" s="44" t="s">
        <v>83</v>
      </c>
      <c r="W304" s="44">
        <v>42302</v>
      </c>
      <c r="X304" s="24">
        <v>44</v>
      </c>
      <c r="Y304" s="24">
        <v>2015</v>
      </c>
      <c r="Z304" s="25">
        <v>201544</v>
      </c>
    </row>
    <row r="305" spans="20:26" x14ac:dyDescent="0.25">
      <c r="T305" s="43">
        <v>42304</v>
      </c>
      <c r="U305" t="str">
        <f t="shared" si="4"/>
        <v>1544</v>
      </c>
      <c r="V305" s="44" t="s">
        <v>84</v>
      </c>
      <c r="W305" s="44">
        <v>42302</v>
      </c>
      <c r="X305" s="24">
        <v>44</v>
      </c>
      <c r="Y305" s="24">
        <v>2015</v>
      </c>
      <c r="Z305" s="25">
        <v>201544</v>
      </c>
    </row>
    <row r="306" spans="20:26" x14ac:dyDescent="0.25">
      <c r="T306" s="43">
        <v>42305</v>
      </c>
      <c r="U306" t="str">
        <f t="shared" si="4"/>
        <v>1544</v>
      </c>
      <c r="V306" s="44" t="s">
        <v>85</v>
      </c>
      <c r="W306" s="44">
        <v>42302</v>
      </c>
      <c r="X306" s="24">
        <v>44</v>
      </c>
      <c r="Y306" s="24">
        <v>2015</v>
      </c>
      <c r="Z306" s="25">
        <v>201544</v>
      </c>
    </row>
    <row r="307" spans="20:26" x14ac:dyDescent="0.25">
      <c r="T307" s="43">
        <v>42306</v>
      </c>
      <c r="U307" t="str">
        <f t="shared" si="4"/>
        <v>1544</v>
      </c>
      <c r="V307" s="44" t="s">
        <v>86</v>
      </c>
      <c r="W307" s="44">
        <v>42302</v>
      </c>
      <c r="X307" s="24">
        <v>44</v>
      </c>
      <c r="Y307" s="24">
        <v>2015</v>
      </c>
      <c r="Z307" s="25">
        <v>201544</v>
      </c>
    </row>
    <row r="308" spans="20:26" x14ac:dyDescent="0.25">
      <c r="T308" s="43">
        <v>42307</v>
      </c>
      <c r="U308" t="str">
        <f t="shared" si="4"/>
        <v>1544</v>
      </c>
      <c r="V308" s="44" t="s">
        <v>87</v>
      </c>
      <c r="W308" s="44">
        <v>42302</v>
      </c>
      <c r="X308" s="24">
        <v>44</v>
      </c>
      <c r="Y308" s="24">
        <v>2015</v>
      </c>
      <c r="Z308" s="25">
        <v>201544</v>
      </c>
    </row>
    <row r="309" spans="20:26" x14ac:dyDescent="0.25">
      <c r="T309" s="43">
        <v>42308</v>
      </c>
      <c r="U309" t="str">
        <f t="shared" si="4"/>
        <v>1544</v>
      </c>
      <c r="V309" s="44" t="s">
        <v>88</v>
      </c>
      <c r="W309" s="44">
        <v>42302</v>
      </c>
      <c r="X309" s="24">
        <v>44</v>
      </c>
      <c r="Y309" s="24">
        <v>2015</v>
      </c>
      <c r="Z309" s="25">
        <v>201544</v>
      </c>
    </row>
    <row r="310" spans="20:26" x14ac:dyDescent="0.25">
      <c r="T310" s="43">
        <v>42309</v>
      </c>
      <c r="U310" t="str">
        <f t="shared" si="4"/>
        <v>1545</v>
      </c>
      <c r="V310" s="44" t="s">
        <v>82</v>
      </c>
      <c r="W310" s="44">
        <v>42309</v>
      </c>
      <c r="X310" s="24">
        <v>45</v>
      </c>
      <c r="Y310" s="24">
        <v>2015</v>
      </c>
      <c r="Z310" s="25">
        <v>201545</v>
      </c>
    </row>
    <row r="311" spans="20:26" x14ac:dyDescent="0.25">
      <c r="T311" s="43">
        <v>42310</v>
      </c>
      <c r="U311" t="str">
        <f t="shared" si="4"/>
        <v>1545</v>
      </c>
      <c r="V311" s="44" t="s">
        <v>83</v>
      </c>
      <c r="W311" s="44">
        <v>42309</v>
      </c>
      <c r="X311" s="24">
        <v>45</v>
      </c>
      <c r="Y311" s="24">
        <v>2015</v>
      </c>
      <c r="Z311" s="25">
        <v>201545</v>
      </c>
    </row>
    <row r="312" spans="20:26" x14ac:dyDescent="0.25">
      <c r="T312" s="43">
        <v>42311</v>
      </c>
      <c r="U312" t="str">
        <f t="shared" si="4"/>
        <v>1545</v>
      </c>
      <c r="V312" s="44" t="s">
        <v>84</v>
      </c>
      <c r="W312" s="44">
        <v>42309</v>
      </c>
      <c r="X312" s="24">
        <v>45</v>
      </c>
      <c r="Y312" s="24">
        <v>2015</v>
      </c>
      <c r="Z312" s="25">
        <v>201545</v>
      </c>
    </row>
    <row r="313" spans="20:26" x14ac:dyDescent="0.25">
      <c r="T313" s="43">
        <v>42312</v>
      </c>
      <c r="U313" t="str">
        <f t="shared" si="4"/>
        <v>1545</v>
      </c>
      <c r="V313" s="44" t="s">
        <v>85</v>
      </c>
      <c r="W313" s="44">
        <v>42309</v>
      </c>
      <c r="X313" s="24">
        <v>45</v>
      </c>
      <c r="Y313" s="24">
        <v>2015</v>
      </c>
      <c r="Z313" s="25">
        <v>201545</v>
      </c>
    </row>
    <row r="314" spans="20:26" x14ac:dyDescent="0.25">
      <c r="T314" s="43">
        <v>42313</v>
      </c>
      <c r="U314" t="str">
        <f t="shared" si="4"/>
        <v>1545</v>
      </c>
      <c r="V314" s="44" t="s">
        <v>86</v>
      </c>
      <c r="W314" s="44">
        <v>42309</v>
      </c>
      <c r="X314" s="24">
        <v>45</v>
      </c>
      <c r="Y314" s="24">
        <v>2015</v>
      </c>
      <c r="Z314" s="25">
        <v>201545</v>
      </c>
    </row>
    <row r="315" spans="20:26" x14ac:dyDescent="0.25">
      <c r="T315" s="43">
        <v>42314</v>
      </c>
      <c r="U315" t="str">
        <f t="shared" si="4"/>
        <v>1545</v>
      </c>
      <c r="V315" s="44" t="s">
        <v>87</v>
      </c>
      <c r="W315" s="44">
        <v>42309</v>
      </c>
      <c r="X315" s="24">
        <v>45</v>
      </c>
      <c r="Y315" s="24">
        <v>2015</v>
      </c>
      <c r="Z315" s="25">
        <v>201545</v>
      </c>
    </row>
    <row r="316" spans="20:26" x14ac:dyDescent="0.25">
      <c r="T316" s="43">
        <v>42315</v>
      </c>
      <c r="U316" t="str">
        <f t="shared" si="4"/>
        <v>1545</v>
      </c>
      <c r="V316" s="44" t="s">
        <v>88</v>
      </c>
      <c r="W316" s="44">
        <v>42309</v>
      </c>
      <c r="X316" s="24">
        <v>45</v>
      </c>
      <c r="Y316" s="24">
        <v>2015</v>
      </c>
      <c r="Z316" s="25">
        <v>201545</v>
      </c>
    </row>
    <row r="317" spans="20:26" x14ac:dyDescent="0.25">
      <c r="T317" s="43">
        <v>42316</v>
      </c>
      <c r="U317" t="str">
        <f t="shared" si="4"/>
        <v>1546</v>
      </c>
      <c r="V317" s="44" t="s">
        <v>82</v>
      </c>
      <c r="W317" s="44">
        <v>42316</v>
      </c>
      <c r="X317" s="24">
        <v>46</v>
      </c>
      <c r="Y317" s="24">
        <v>2015</v>
      </c>
      <c r="Z317" s="25">
        <v>201546</v>
      </c>
    </row>
    <row r="318" spans="20:26" x14ac:dyDescent="0.25">
      <c r="T318" s="43">
        <v>42317</v>
      </c>
      <c r="U318" t="str">
        <f t="shared" si="4"/>
        <v>1546</v>
      </c>
      <c r="V318" s="44" t="s">
        <v>83</v>
      </c>
      <c r="W318" s="44">
        <v>42316</v>
      </c>
      <c r="X318" s="24">
        <v>46</v>
      </c>
      <c r="Y318" s="24">
        <v>2015</v>
      </c>
      <c r="Z318" s="25">
        <v>201546</v>
      </c>
    </row>
    <row r="319" spans="20:26" x14ac:dyDescent="0.25">
      <c r="T319" s="43">
        <v>42318</v>
      </c>
      <c r="U319" t="str">
        <f t="shared" si="4"/>
        <v>1546</v>
      </c>
      <c r="V319" s="44" t="s">
        <v>84</v>
      </c>
      <c r="W319" s="44">
        <v>42316</v>
      </c>
      <c r="X319" s="24">
        <v>46</v>
      </c>
      <c r="Y319" s="24">
        <v>2015</v>
      </c>
      <c r="Z319" s="25">
        <v>201546</v>
      </c>
    </row>
    <row r="320" spans="20:26" x14ac:dyDescent="0.25">
      <c r="T320" s="43">
        <v>42319</v>
      </c>
      <c r="U320" t="str">
        <f t="shared" si="4"/>
        <v>1546</v>
      </c>
      <c r="V320" s="44" t="s">
        <v>85</v>
      </c>
      <c r="W320" s="44">
        <v>42316</v>
      </c>
      <c r="X320" s="24">
        <v>46</v>
      </c>
      <c r="Y320" s="24">
        <v>2015</v>
      </c>
      <c r="Z320" s="25">
        <v>201546</v>
      </c>
    </row>
    <row r="321" spans="20:26" x14ac:dyDescent="0.25">
      <c r="T321" s="43">
        <v>42320</v>
      </c>
      <c r="U321" t="str">
        <f t="shared" si="4"/>
        <v>1546</v>
      </c>
      <c r="V321" s="44" t="s">
        <v>86</v>
      </c>
      <c r="W321" s="44">
        <v>42316</v>
      </c>
      <c r="X321" s="24">
        <v>46</v>
      </c>
      <c r="Y321" s="24">
        <v>2015</v>
      </c>
      <c r="Z321" s="25">
        <v>201546</v>
      </c>
    </row>
    <row r="322" spans="20:26" x14ac:dyDescent="0.25">
      <c r="T322" s="43">
        <v>42321</v>
      </c>
      <c r="U322" t="str">
        <f t="shared" ref="U322:U385" si="5">RIGHT(Z322,4)</f>
        <v>1546</v>
      </c>
      <c r="V322" s="44" t="s">
        <v>87</v>
      </c>
      <c r="W322" s="44">
        <v>42316</v>
      </c>
      <c r="X322" s="24">
        <v>46</v>
      </c>
      <c r="Y322" s="24">
        <v>2015</v>
      </c>
      <c r="Z322" s="25">
        <v>201546</v>
      </c>
    </row>
    <row r="323" spans="20:26" x14ac:dyDescent="0.25">
      <c r="T323" s="43">
        <v>42322</v>
      </c>
      <c r="U323" t="str">
        <f t="shared" si="5"/>
        <v>1546</v>
      </c>
      <c r="V323" s="44" t="s">
        <v>88</v>
      </c>
      <c r="W323" s="44">
        <v>42316</v>
      </c>
      <c r="X323" s="24">
        <v>46</v>
      </c>
      <c r="Y323" s="24">
        <v>2015</v>
      </c>
      <c r="Z323" s="25">
        <v>201546</v>
      </c>
    </row>
    <row r="324" spans="20:26" x14ac:dyDescent="0.25">
      <c r="T324" s="43">
        <v>42323</v>
      </c>
      <c r="U324" t="str">
        <f t="shared" si="5"/>
        <v>1547</v>
      </c>
      <c r="V324" s="44" t="s">
        <v>82</v>
      </c>
      <c r="W324" s="44">
        <v>42323</v>
      </c>
      <c r="X324" s="24">
        <v>47</v>
      </c>
      <c r="Y324" s="24">
        <v>2015</v>
      </c>
      <c r="Z324" s="25">
        <v>201547</v>
      </c>
    </row>
    <row r="325" spans="20:26" x14ac:dyDescent="0.25">
      <c r="T325" s="43">
        <v>42324</v>
      </c>
      <c r="U325" t="str">
        <f t="shared" si="5"/>
        <v>1547</v>
      </c>
      <c r="V325" s="44" t="s">
        <v>83</v>
      </c>
      <c r="W325" s="44">
        <v>42323</v>
      </c>
      <c r="X325" s="24">
        <v>47</v>
      </c>
      <c r="Y325" s="24">
        <v>2015</v>
      </c>
      <c r="Z325" s="25">
        <v>201547</v>
      </c>
    </row>
    <row r="326" spans="20:26" x14ac:dyDescent="0.25">
      <c r="T326" s="43">
        <v>42325</v>
      </c>
      <c r="U326" t="str">
        <f t="shared" si="5"/>
        <v>1547</v>
      </c>
      <c r="V326" s="44" t="s">
        <v>84</v>
      </c>
      <c r="W326" s="44">
        <v>42323</v>
      </c>
      <c r="X326" s="24">
        <v>47</v>
      </c>
      <c r="Y326" s="24">
        <v>2015</v>
      </c>
      <c r="Z326" s="25">
        <v>201547</v>
      </c>
    </row>
    <row r="327" spans="20:26" x14ac:dyDescent="0.25">
      <c r="T327" s="43">
        <v>42326</v>
      </c>
      <c r="U327" t="str">
        <f t="shared" si="5"/>
        <v>1547</v>
      </c>
      <c r="V327" s="44" t="s">
        <v>85</v>
      </c>
      <c r="W327" s="44">
        <v>42323</v>
      </c>
      <c r="X327" s="24">
        <v>47</v>
      </c>
      <c r="Y327" s="24">
        <v>2015</v>
      </c>
      <c r="Z327" s="25">
        <v>201547</v>
      </c>
    </row>
    <row r="328" spans="20:26" x14ac:dyDescent="0.25">
      <c r="T328" s="43">
        <v>42327</v>
      </c>
      <c r="U328" t="str">
        <f t="shared" si="5"/>
        <v>1547</v>
      </c>
      <c r="V328" s="44" t="s">
        <v>86</v>
      </c>
      <c r="W328" s="44">
        <v>42323</v>
      </c>
      <c r="X328" s="24">
        <v>47</v>
      </c>
      <c r="Y328" s="24">
        <v>2015</v>
      </c>
      <c r="Z328" s="25">
        <v>201547</v>
      </c>
    </row>
    <row r="329" spans="20:26" x14ac:dyDescent="0.25">
      <c r="T329" s="43">
        <v>42328</v>
      </c>
      <c r="U329" t="str">
        <f t="shared" si="5"/>
        <v>1547</v>
      </c>
      <c r="V329" s="44" t="s">
        <v>87</v>
      </c>
      <c r="W329" s="44">
        <v>42323</v>
      </c>
      <c r="X329" s="24">
        <v>47</v>
      </c>
      <c r="Y329" s="24">
        <v>2015</v>
      </c>
      <c r="Z329" s="25">
        <v>201547</v>
      </c>
    </row>
    <row r="330" spans="20:26" x14ac:dyDescent="0.25">
      <c r="T330" s="43">
        <v>42329</v>
      </c>
      <c r="U330" t="str">
        <f t="shared" si="5"/>
        <v>1547</v>
      </c>
      <c r="V330" s="44" t="s">
        <v>88</v>
      </c>
      <c r="W330" s="44">
        <v>42323</v>
      </c>
      <c r="X330" s="24">
        <v>47</v>
      </c>
      <c r="Y330" s="24">
        <v>2015</v>
      </c>
      <c r="Z330" s="25">
        <v>201547</v>
      </c>
    </row>
    <row r="331" spans="20:26" x14ac:dyDescent="0.25">
      <c r="T331" s="43">
        <v>42330</v>
      </c>
      <c r="U331" t="str">
        <f t="shared" si="5"/>
        <v>1548</v>
      </c>
      <c r="V331" s="44" t="s">
        <v>82</v>
      </c>
      <c r="W331" s="44">
        <v>42330</v>
      </c>
      <c r="X331" s="24">
        <v>48</v>
      </c>
      <c r="Y331" s="24">
        <v>2015</v>
      </c>
      <c r="Z331" s="25">
        <v>201548</v>
      </c>
    </row>
    <row r="332" spans="20:26" x14ac:dyDescent="0.25">
      <c r="T332" s="43">
        <v>42331</v>
      </c>
      <c r="U332" t="str">
        <f t="shared" si="5"/>
        <v>1548</v>
      </c>
      <c r="V332" s="44" t="s">
        <v>83</v>
      </c>
      <c r="W332" s="44">
        <v>42330</v>
      </c>
      <c r="X332" s="24">
        <v>48</v>
      </c>
      <c r="Y332" s="24">
        <v>2015</v>
      </c>
      <c r="Z332" s="25">
        <v>201548</v>
      </c>
    </row>
    <row r="333" spans="20:26" x14ac:dyDescent="0.25">
      <c r="T333" s="43">
        <v>42332</v>
      </c>
      <c r="U333" t="str">
        <f t="shared" si="5"/>
        <v>1548</v>
      </c>
      <c r="V333" s="44" t="s">
        <v>84</v>
      </c>
      <c r="W333" s="44">
        <v>42330</v>
      </c>
      <c r="X333" s="24">
        <v>48</v>
      </c>
      <c r="Y333" s="24">
        <v>2015</v>
      </c>
      <c r="Z333" s="25">
        <v>201548</v>
      </c>
    </row>
    <row r="334" spans="20:26" x14ac:dyDescent="0.25">
      <c r="T334" s="43">
        <v>42333</v>
      </c>
      <c r="U334" t="str">
        <f t="shared" si="5"/>
        <v>1548</v>
      </c>
      <c r="V334" s="44" t="s">
        <v>85</v>
      </c>
      <c r="W334" s="44">
        <v>42330</v>
      </c>
      <c r="X334" s="24">
        <v>48</v>
      </c>
      <c r="Y334" s="24">
        <v>2015</v>
      </c>
      <c r="Z334" s="25">
        <v>201548</v>
      </c>
    </row>
    <row r="335" spans="20:26" x14ac:dyDescent="0.25">
      <c r="T335" s="43">
        <v>42334</v>
      </c>
      <c r="U335" t="str">
        <f t="shared" si="5"/>
        <v>1548</v>
      </c>
      <c r="V335" s="44" t="s">
        <v>86</v>
      </c>
      <c r="W335" s="44">
        <v>42330</v>
      </c>
      <c r="X335" s="24">
        <v>48</v>
      </c>
      <c r="Y335" s="24">
        <v>2015</v>
      </c>
      <c r="Z335" s="25">
        <v>201548</v>
      </c>
    </row>
    <row r="336" spans="20:26" x14ac:dyDescent="0.25">
      <c r="T336" s="43">
        <v>42335</v>
      </c>
      <c r="U336" t="str">
        <f t="shared" si="5"/>
        <v>1548</v>
      </c>
      <c r="V336" s="44" t="s">
        <v>87</v>
      </c>
      <c r="W336" s="44">
        <v>42330</v>
      </c>
      <c r="X336" s="24">
        <v>48</v>
      </c>
      <c r="Y336" s="24">
        <v>2015</v>
      </c>
      <c r="Z336" s="25">
        <v>201548</v>
      </c>
    </row>
    <row r="337" spans="20:26" x14ac:dyDescent="0.25">
      <c r="T337" s="43">
        <v>42336</v>
      </c>
      <c r="U337" t="str">
        <f t="shared" si="5"/>
        <v>1548</v>
      </c>
      <c r="V337" s="44" t="s">
        <v>88</v>
      </c>
      <c r="W337" s="44">
        <v>42330</v>
      </c>
      <c r="X337" s="24">
        <v>48</v>
      </c>
      <c r="Y337" s="24">
        <v>2015</v>
      </c>
      <c r="Z337" s="25">
        <v>201548</v>
      </c>
    </row>
    <row r="338" spans="20:26" x14ac:dyDescent="0.25">
      <c r="T338" s="43">
        <v>42337</v>
      </c>
      <c r="U338" t="str">
        <f t="shared" si="5"/>
        <v>1549</v>
      </c>
      <c r="V338" s="44" t="s">
        <v>82</v>
      </c>
      <c r="W338" s="44">
        <v>42337</v>
      </c>
      <c r="X338" s="24">
        <v>49</v>
      </c>
      <c r="Y338" s="24">
        <v>2015</v>
      </c>
      <c r="Z338" s="25">
        <v>201549</v>
      </c>
    </row>
    <row r="339" spans="20:26" x14ac:dyDescent="0.25">
      <c r="T339" s="43">
        <v>42338</v>
      </c>
      <c r="U339" t="str">
        <f t="shared" si="5"/>
        <v>1549</v>
      </c>
      <c r="V339" s="44" t="s">
        <v>83</v>
      </c>
      <c r="W339" s="44">
        <v>42337</v>
      </c>
      <c r="X339" s="24">
        <v>49</v>
      </c>
      <c r="Y339" s="24">
        <v>2015</v>
      </c>
      <c r="Z339" s="25">
        <v>201549</v>
      </c>
    </row>
    <row r="340" spans="20:26" x14ac:dyDescent="0.25">
      <c r="T340" s="43">
        <v>42339</v>
      </c>
      <c r="U340" t="str">
        <f t="shared" si="5"/>
        <v>1549</v>
      </c>
      <c r="V340" s="44" t="s">
        <v>84</v>
      </c>
      <c r="W340" s="44">
        <v>42337</v>
      </c>
      <c r="X340" s="24">
        <v>49</v>
      </c>
      <c r="Y340" s="24">
        <v>2015</v>
      </c>
      <c r="Z340" s="25">
        <v>201549</v>
      </c>
    </row>
    <row r="341" spans="20:26" x14ac:dyDescent="0.25">
      <c r="T341" s="43">
        <v>42340</v>
      </c>
      <c r="U341" t="str">
        <f t="shared" si="5"/>
        <v>1549</v>
      </c>
      <c r="V341" s="44" t="s">
        <v>85</v>
      </c>
      <c r="W341" s="44">
        <v>42337</v>
      </c>
      <c r="X341" s="24">
        <v>49</v>
      </c>
      <c r="Y341" s="24">
        <v>2015</v>
      </c>
      <c r="Z341" s="25">
        <v>201549</v>
      </c>
    </row>
    <row r="342" spans="20:26" x14ac:dyDescent="0.25">
      <c r="T342" s="43">
        <v>42341</v>
      </c>
      <c r="U342" t="str">
        <f t="shared" si="5"/>
        <v>1549</v>
      </c>
      <c r="V342" s="44" t="s">
        <v>86</v>
      </c>
      <c r="W342" s="44">
        <v>42337</v>
      </c>
      <c r="X342" s="24">
        <v>49</v>
      </c>
      <c r="Y342" s="24">
        <v>2015</v>
      </c>
      <c r="Z342" s="25">
        <v>201549</v>
      </c>
    </row>
    <row r="343" spans="20:26" x14ac:dyDescent="0.25">
      <c r="T343" s="43">
        <v>42342</v>
      </c>
      <c r="U343" t="str">
        <f t="shared" si="5"/>
        <v>1549</v>
      </c>
      <c r="V343" s="44" t="s">
        <v>87</v>
      </c>
      <c r="W343" s="44">
        <v>42337</v>
      </c>
      <c r="X343" s="24">
        <v>49</v>
      </c>
      <c r="Y343" s="24">
        <v>2015</v>
      </c>
      <c r="Z343" s="25">
        <v>201549</v>
      </c>
    </row>
    <row r="344" spans="20:26" x14ac:dyDescent="0.25">
      <c r="T344" s="43">
        <v>42343</v>
      </c>
      <c r="U344" t="str">
        <f t="shared" si="5"/>
        <v>1549</v>
      </c>
      <c r="V344" s="44" t="s">
        <v>88</v>
      </c>
      <c r="W344" s="44">
        <v>42337</v>
      </c>
      <c r="X344" s="24">
        <v>49</v>
      </c>
      <c r="Y344" s="24">
        <v>2015</v>
      </c>
      <c r="Z344" s="25">
        <v>201549</v>
      </c>
    </row>
    <row r="345" spans="20:26" x14ac:dyDescent="0.25">
      <c r="T345" s="43">
        <v>42344</v>
      </c>
      <c r="U345" t="str">
        <f t="shared" si="5"/>
        <v>1550</v>
      </c>
      <c r="V345" s="44" t="s">
        <v>82</v>
      </c>
      <c r="W345" s="44">
        <v>42344</v>
      </c>
      <c r="X345" s="24">
        <v>50</v>
      </c>
      <c r="Y345" s="24">
        <v>2015</v>
      </c>
      <c r="Z345" s="25">
        <v>201550</v>
      </c>
    </row>
    <row r="346" spans="20:26" x14ac:dyDescent="0.25">
      <c r="T346" s="43">
        <v>42345</v>
      </c>
      <c r="U346" t="str">
        <f t="shared" si="5"/>
        <v>1550</v>
      </c>
      <c r="V346" s="44" t="s">
        <v>83</v>
      </c>
      <c r="W346" s="44">
        <v>42344</v>
      </c>
      <c r="X346" s="24">
        <v>50</v>
      </c>
      <c r="Y346" s="24">
        <v>2015</v>
      </c>
      <c r="Z346" s="25">
        <v>201550</v>
      </c>
    </row>
    <row r="347" spans="20:26" x14ac:dyDescent="0.25">
      <c r="T347" s="43">
        <v>42346</v>
      </c>
      <c r="U347" t="str">
        <f t="shared" si="5"/>
        <v>1550</v>
      </c>
      <c r="V347" s="44" t="s">
        <v>84</v>
      </c>
      <c r="W347" s="44">
        <v>42344</v>
      </c>
      <c r="X347" s="24">
        <v>50</v>
      </c>
      <c r="Y347" s="24">
        <v>2015</v>
      </c>
      <c r="Z347" s="25">
        <v>201550</v>
      </c>
    </row>
    <row r="348" spans="20:26" x14ac:dyDescent="0.25">
      <c r="T348" s="43">
        <v>42347</v>
      </c>
      <c r="U348" t="str">
        <f t="shared" si="5"/>
        <v>1550</v>
      </c>
      <c r="V348" s="44" t="s">
        <v>85</v>
      </c>
      <c r="W348" s="44">
        <v>42344</v>
      </c>
      <c r="X348" s="24">
        <v>50</v>
      </c>
      <c r="Y348" s="24">
        <v>2015</v>
      </c>
      <c r="Z348" s="25">
        <v>201550</v>
      </c>
    </row>
    <row r="349" spans="20:26" x14ac:dyDescent="0.25">
      <c r="T349" s="43">
        <v>42348</v>
      </c>
      <c r="U349" t="str">
        <f t="shared" si="5"/>
        <v>1550</v>
      </c>
      <c r="V349" s="44" t="s">
        <v>86</v>
      </c>
      <c r="W349" s="44">
        <v>42344</v>
      </c>
      <c r="X349" s="24">
        <v>50</v>
      </c>
      <c r="Y349" s="24">
        <v>2015</v>
      </c>
      <c r="Z349" s="25">
        <v>201550</v>
      </c>
    </row>
    <row r="350" spans="20:26" x14ac:dyDescent="0.25">
      <c r="T350" s="43">
        <v>42349</v>
      </c>
      <c r="U350" t="str">
        <f t="shared" si="5"/>
        <v>1550</v>
      </c>
      <c r="V350" s="44" t="s">
        <v>87</v>
      </c>
      <c r="W350" s="44">
        <v>42344</v>
      </c>
      <c r="X350" s="24">
        <v>50</v>
      </c>
      <c r="Y350" s="24">
        <v>2015</v>
      </c>
      <c r="Z350" s="25">
        <v>201550</v>
      </c>
    </row>
    <row r="351" spans="20:26" x14ac:dyDescent="0.25">
      <c r="T351" s="43">
        <v>42350</v>
      </c>
      <c r="U351" t="str">
        <f t="shared" si="5"/>
        <v>1550</v>
      </c>
      <c r="V351" s="44" t="s">
        <v>88</v>
      </c>
      <c r="W351" s="44">
        <v>42344</v>
      </c>
      <c r="X351" s="24">
        <v>50</v>
      </c>
      <c r="Y351" s="24">
        <v>2015</v>
      </c>
      <c r="Z351" s="25">
        <v>201550</v>
      </c>
    </row>
    <row r="352" spans="20:26" x14ac:dyDescent="0.25">
      <c r="T352" s="43">
        <v>42351</v>
      </c>
      <c r="U352" t="str">
        <f t="shared" si="5"/>
        <v>1551</v>
      </c>
      <c r="V352" s="44" t="s">
        <v>82</v>
      </c>
      <c r="W352" s="44">
        <v>42351</v>
      </c>
      <c r="X352" s="24">
        <v>51</v>
      </c>
      <c r="Y352" s="24">
        <v>2015</v>
      </c>
      <c r="Z352" s="25">
        <v>201551</v>
      </c>
    </row>
    <row r="353" spans="20:26" x14ac:dyDescent="0.25">
      <c r="T353" s="43">
        <v>42352</v>
      </c>
      <c r="U353" t="str">
        <f t="shared" si="5"/>
        <v>1551</v>
      </c>
      <c r="V353" s="44" t="s">
        <v>83</v>
      </c>
      <c r="W353" s="44">
        <v>42351</v>
      </c>
      <c r="X353" s="24">
        <v>51</v>
      </c>
      <c r="Y353" s="24">
        <v>2015</v>
      </c>
      <c r="Z353" s="25">
        <v>201551</v>
      </c>
    </row>
    <row r="354" spans="20:26" x14ac:dyDescent="0.25">
      <c r="T354" s="43">
        <v>42353</v>
      </c>
      <c r="U354" t="str">
        <f t="shared" si="5"/>
        <v>1551</v>
      </c>
      <c r="V354" s="44" t="s">
        <v>84</v>
      </c>
      <c r="W354" s="44">
        <v>42351</v>
      </c>
      <c r="X354" s="24">
        <v>51</v>
      </c>
      <c r="Y354" s="24">
        <v>2015</v>
      </c>
      <c r="Z354" s="25">
        <v>201551</v>
      </c>
    </row>
    <row r="355" spans="20:26" x14ac:dyDescent="0.25">
      <c r="T355" s="43">
        <v>42354</v>
      </c>
      <c r="U355" t="str">
        <f t="shared" si="5"/>
        <v>1551</v>
      </c>
      <c r="V355" s="44" t="s">
        <v>85</v>
      </c>
      <c r="W355" s="44">
        <v>42351</v>
      </c>
      <c r="X355" s="24">
        <v>51</v>
      </c>
      <c r="Y355" s="24">
        <v>2015</v>
      </c>
      <c r="Z355" s="25">
        <v>201551</v>
      </c>
    </row>
    <row r="356" spans="20:26" x14ac:dyDescent="0.25">
      <c r="T356" s="43">
        <v>42355</v>
      </c>
      <c r="U356" t="str">
        <f t="shared" si="5"/>
        <v>1551</v>
      </c>
      <c r="V356" s="44" t="s">
        <v>86</v>
      </c>
      <c r="W356" s="44">
        <v>42351</v>
      </c>
      <c r="X356" s="24">
        <v>51</v>
      </c>
      <c r="Y356" s="24">
        <v>2015</v>
      </c>
      <c r="Z356" s="25">
        <v>201551</v>
      </c>
    </row>
    <row r="357" spans="20:26" x14ac:dyDescent="0.25">
      <c r="T357" s="43">
        <v>42356</v>
      </c>
      <c r="U357" t="str">
        <f t="shared" si="5"/>
        <v>1551</v>
      </c>
      <c r="V357" s="44" t="s">
        <v>87</v>
      </c>
      <c r="W357" s="44">
        <v>42351</v>
      </c>
      <c r="X357" s="24">
        <v>51</v>
      </c>
      <c r="Y357" s="24">
        <v>2015</v>
      </c>
      <c r="Z357" s="25">
        <v>201551</v>
      </c>
    </row>
    <row r="358" spans="20:26" x14ac:dyDescent="0.25">
      <c r="T358" s="43">
        <v>42357</v>
      </c>
      <c r="U358" t="str">
        <f t="shared" si="5"/>
        <v>1551</v>
      </c>
      <c r="V358" s="44" t="s">
        <v>88</v>
      </c>
      <c r="W358" s="44">
        <v>42351</v>
      </c>
      <c r="X358" s="24">
        <v>51</v>
      </c>
      <c r="Y358" s="24">
        <v>2015</v>
      </c>
      <c r="Z358" s="25">
        <v>201551</v>
      </c>
    </row>
    <row r="359" spans="20:26" x14ac:dyDescent="0.25">
      <c r="T359" s="43">
        <v>42358</v>
      </c>
      <c r="U359" t="str">
        <f t="shared" si="5"/>
        <v>1552</v>
      </c>
      <c r="V359" s="44" t="s">
        <v>82</v>
      </c>
      <c r="W359" s="44">
        <v>42358</v>
      </c>
      <c r="X359" s="24">
        <v>52</v>
      </c>
      <c r="Y359" s="24">
        <v>2015</v>
      </c>
      <c r="Z359" s="25">
        <v>201552</v>
      </c>
    </row>
    <row r="360" spans="20:26" x14ac:dyDescent="0.25">
      <c r="T360" s="43">
        <v>42359</v>
      </c>
      <c r="U360" t="str">
        <f t="shared" si="5"/>
        <v>1552</v>
      </c>
      <c r="V360" s="44" t="s">
        <v>83</v>
      </c>
      <c r="W360" s="44">
        <v>42358</v>
      </c>
      <c r="X360" s="24">
        <v>52</v>
      </c>
      <c r="Y360" s="24">
        <v>2015</v>
      </c>
      <c r="Z360" s="25">
        <v>201552</v>
      </c>
    </row>
    <row r="361" spans="20:26" x14ac:dyDescent="0.25">
      <c r="T361" s="43">
        <v>42360</v>
      </c>
      <c r="U361" t="str">
        <f t="shared" si="5"/>
        <v>1552</v>
      </c>
      <c r="V361" s="44" t="s">
        <v>84</v>
      </c>
      <c r="W361" s="44">
        <v>42358</v>
      </c>
      <c r="X361" s="24">
        <v>52</v>
      </c>
      <c r="Y361" s="24">
        <v>2015</v>
      </c>
      <c r="Z361" s="25">
        <v>201552</v>
      </c>
    </row>
    <row r="362" spans="20:26" x14ac:dyDescent="0.25">
      <c r="T362" s="43">
        <v>42361</v>
      </c>
      <c r="U362" t="str">
        <f t="shared" si="5"/>
        <v>1552</v>
      </c>
      <c r="V362" s="44" t="s">
        <v>85</v>
      </c>
      <c r="W362" s="44">
        <v>42358</v>
      </c>
      <c r="X362" s="24">
        <v>52</v>
      </c>
      <c r="Y362" s="24">
        <v>2015</v>
      </c>
      <c r="Z362" s="25">
        <v>201552</v>
      </c>
    </row>
    <row r="363" spans="20:26" x14ac:dyDescent="0.25">
      <c r="T363" s="43">
        <v>42362</v>
      </c>
      <c r="U363" t="str">
        <f t="shared" si="5"/>
        <v>1552</v>
      </c>
      <c r="V363" s="44" t="s">
        <v>86</v>
      </c>
      <c r="W363" s="44">
        <v>42358</v>
      </c>
      <c r="X363" s="24">
        <v>52</v>
      </c>
      <c r="Y363" s="24">
        <v>2015</v>
      </c>
      <c r="Z363" s="25">
        <v>201552</v>
      </c>
    </row>
    <row r="364" spans="20:26" x14ac:dyDescent="0.25">
      <c r="T364" s="43">
        <v>42363</v>
      </c>
      <c r="U364" t="str">
        <f t="shared" si="5"/>
        <v>1552</v>
      </c>
      <c r="V364" s="44" t="s">
        <v>87</v>
      </c>
      <c r="W364" s="44">
        <v>42358</v>
      </c>
      <c r="X364" s="24">
        <v>52</v>
      </c>
      <c r="Y364" s="24">
        <v>2015</v>
      </c>
      <c r="Z364" s="25">
        <v>201552</v>
      </c>
    </row>
    <row r="365" spans="20:26" x14ac:dyDescent="0.25">
      <c r="T365" s="43">
        <v>42364</v>
      </c>
      <c r="U365" t="str">
        <f t="shared" si="5"/>
        <v>1552</v>
      </c>
      <c r="V365" s="44" t="s">
        <v>88</v>
      </c>
      <c r="W365" s="44">
        <v>42358</v>
      </c>
      <c r="X365" s="24">
        <v>52</v>
      </c>
      <c r="Y365" s="24">
        <v>2015</v>
      </c>
      <c r="Z365" s="25">
        <v>201552</v>
      </c>
    </row>
    <row r="366" spans="20:26" x14ac:dyDescent="0.25">
      <c r="T366" s="43">
        <v>42365</v>
      </c>
      <c r="U366" t="str">
        <f t="shared" si="5"/>
        <v>1553</v>
      </c>
      <c r="V366" s="44" t="s">
        <v>82</v>
      </c>
      <c r="W366" s="44">
        <v>42365</v>
      </c>
      <c r="X366" s="24">
        <v>53</v>
      </c>
      <c r="Y366" s="24">
        <v>2015</v>
      </c>
      <c r="Z366" s="25">
        <v>201553</v>
      </c>
    </row>
    <row r="367" spans="20:26" x14ac:dyDescent="0.25">
      <c r="T367" s="43">
        <v>42366</v>
      </c>
      <c r="U367" t="str">
        <f t="shared" si="5"/>
        <v>1553</v>
      </c>
      <c r="V367" s="44" t="s">
        <v>83</v>
      </c>
      <c r="W367" s="44">
        <v>42365</v>
      </c>
      <c r="X367" s="24">
        <v>53</v>
      </c>
      <c r="Y367" s="24">
        <v>2015</v>
      </c>
      <c r="Z367" s="25">
        <v>201553</v>
      </c>
    </row>
    <row r="368" spans="20:26" x14ac:dyDescent="0.25">
      <c r="T368" s="43">
        <v>42367</v>
      </c>
      <c r="U368" t="str">
        <f t="shared" si="5"/>
        <v>1553</v>
      </c>
      <c r="V368" s="44" t="s">
        <v>84</v>
      </c>
      <c r="W368" s="44">
        <v>42365</v>
      </c>
      <c r="X368" s="24">
        <v>53</v>
      </c>
      <c r="Y368" s="24">
        <v>2015</v>
      </c>
      <c r="Z368" s="25">
        <v>201553</v>
      </c>
    </row>
    <row r="369" spans="20:26" x14ac:dyDescent="0.25">
      <c r="T369" s="43">
        <v>42368</v>
      </c>
      <c r="U369" t="str">
        <f t="shared" si="5"/>
        <v>1553</v>
      </c>
      <c r="V369" s="44" t="s">
        <v>85</v>
      </c>
      <c r="W369" s="44">
        <v>42365</v>
      </c>
      <c r="X369" s="24">
        <v>53</v>
      </c>
      <c r="Y369" s="24">
        <v>2015</v>
      </c>
      <c r="Z369" s="25">
        <v>201553</v>
      </c>
    </row>
    <row r="370" spans="20:26" x14ac:dyDescent="0.25">
      <c r="T370" s="43">
        <v>42369</v>
      </c>
      <c r="U370" t="str">
        <f t="shared" si="5"/>
        <v>1553</v>
      </c>
      <c r="V370" s="44" t="s">
        <v>86</v>
      </c>
      <c r="W370" s="44">
        <v>42365</v>
      </c>
      <c r="X370" s="24">
        <v>53</v>
      </c>
      <c r="Y370" s="24">
        <v>2015</v>
      </c>
      <c r="Z370" s="25">
        <v>201553</v>
      </c>
    </row>
    <row r="371" spans="20:26" x14ac:dyDescent="0.25">
      <c r="T371" s="43">
        <v>42370</v>
      </c>
      <c r="U371" t="str">
        <f t="shared" si="5"/>
        <v>1553</v>
      </c>
      <c r="V371" s="44" t="s">
        <v>87</v>
      </c>
      <c r="W371" s="44">
        <v>42365</v>
      </c>
      <c r="X371" s="24">
        <v>53</v>
      </c>
      <c r="Y371" s="24">
        <v>2015</v>
      </c>
      <c r="Z371" s="25">
        <v>201553</v>
      </c>
    </row>
    <row r="372" spans="20:26" x14ac:dyDescent="0.25">
      <c r="T372" s="43">
        <v>42371</v>
      </c>
      <c r="U372" t="str">
        <f t="shared" si="5"/>
        <v>1553</v>
      </c>
      <c r="V372" s="44" t="s">
        <v>88</v>
      </c>
      <c r="W372" s="44">
        <v>42365</v>
      </c>
      <c r="X372" s="24">
        <v>53</v>
      </c>
      <c r="Y372" s="24">
        <v>2015</v>
      </c>
      <c r="Z372" s="25">
        <v>201553</v>
      </c>
    </row>
    <row r="373" spans="20:26" x14ac:dyDescent="0.25">
      <c r="T373" s="43">
        <v>42372</v>
      </c>
      <c r="U373" t="str">
        <f t="shared" si="5"/>
        <v>1601</v>
      </c>
      <c r="V373" s="44" t="s">
        <v>82</v>
      </c>
      <c r="W373" s="44">
        <v>42372</v>
      </c>
      <c r="X373" s="24">
        <v>1</v>
      </c>
      <c r="Y373" s="24">
        <v>2016</v>
      </c>
      <c r="Z373" s="25">
        <v>201601</v>
      </c>
    </row>
    <row r="374" spans="20:26" x14ac:dyDescent="0.25">
      <c r="T374" s="43">
        <v>42373</v>
      </c>
      <c r="U374" t="str">
        <f t="shared" si="5"/>
        <v>1601</v>
      </c>
      <c r="V374" s="44" t="s">
        <v>83</v>
      </c>
      <c r="W374" s="44">
        <v>42372</v>
      </c>
      <c r="X374" s="24">
        <v>1</v>
      </c>
      <c r="Y374" s="24">
        <v>2016</v>
      </c>
      <c r="Z374" s="25">
        <v>201601</v>
      </c>
    </row>
    <row r="375" spans="20:26" x14ac:dyDescent="0.25">
      <c r="T375" s="43">
        <v>42374</v>
      </c>
      <c r="U375" t="str">
        <f t="shared" si="5"/>
        <v>1601</v>
      </c>
      <c r="V375" s="44" t="s">
        <v>84</v>
      </c>
      <c r="W375" s="44">
        <v>42372</v>
      </c>
      <c r="X375" s="24">
        <v>1</v>
      </c>
      <c r="Y375" s="24">
        <v>2016</v>
      </c>
      <c r="Z375" s="25">
        <v>201601</v>
      </c>
    </row>
    <row r="376" spans="20:26" x14ac:dyDescent="0.25">
      <c r="T376" s="43">
        <v>42375</v>
      </c>
      <c r="U376" t="str">
        <f t="shared" si="5"/>
        <v>1601</v>
      </c>
      <c r="V376" s="44" t="s">
        <v>85</v>
      </c>
      <c r="W376" s="44">
        <v>42372</v>
      </c>
      <c r="X376" s="24">
        <v>1</v>
      </c>
      <c r="Y376" s="24">
        <v>2016</v>
      </c>
      <c r="Z376" s="25">
        <v>201601</v>
      </c>
    </row>
    <row r="377" spans="20:26" x14ac:dyDescent="0.25">
      <c r="T377" s="43">
        <v>42376</v>
      </c>
      <c r="U377" t="str">
        <f t="shared" si="5"/>
        <v>1601</v>
      </c>
      <c r="V377" s="44" t="s">
        <v>86</v>
      </c>
      <c r="W377" s="44">
        <v>42372</v>
      </c>
      <c r="X377" s="24">
        <v>1</v>
      </c>
      <c r="Y377" s="24">
        <v>2016</v>
      </c>
      <c r="Z377" s="25">
        <v>201601</v>
      </c>
    </row>
    <row r="378" spans="20:26" x14ac:dyDescent="0.25">
      <c r="T378" s="43">
        <v>42377</v>
      </c>
      <c r="U378" t="str">
        <f t="shared" si="5"/>
        <v>1601</v>
      </c>
      <c r="V378" s="44" t="s">
        <v>87</v>
      </c>
      <c r="W378" s="44">
        <v>42372</v>
      </c>
      <c r="X378" s="24">
        <v>1</v>
      </c>
      <c r="Y378" s="24">
        <v>2016</v>
      </c>
      <c r="Z378" s="25">
        <v>201601</v>
      </c>
    </row>
    <row r="379" spans="20:26" x14ac:dyDescent="0.25">
      <c r="T379" s="43">
        <v>42378</v>
      </c>
      <c r="U379" t="str">
        <f t="shared" si="5"/>
        <v>1601</v>
      </c>
      <c r="V379" s="44" t="s">
        <v>88</v>
      </c>
      <c r="W379" s="44">
        <v>42372</v>
      </c>
      <c r="X379" s="24">
        <v>1</v>
      </c>
      <c r="Y379" s="24">
        <v>2016</v>
      </c>
      <c r="Z379" s="25">
        <v>201601</v>
      </c>
    </row>
    <row r="380" spans="20:26" x14ac:dyDescent="0.25">
      <c r="T380" s="43">
        <v>42379</v>
      </c>
      <c r="U380" t="str">
        <f t="shared" si="5"/>
        <v>1602</v>
      </c>
      <c r="V380" s="44" t="s">
        <v>82</v>
      </c>
      <c r="W380" s="44">
        <v>42379</v>
      </c>
      <c r="X380" s="24">
        <v>2</v>
      </c>
      <c r="Y380" s="24">
        <v>2016</v>
      </c>
      <c r="Z380" s="25">
        <v>201602</v>
      </c>
    </row>
    <row r="381" spans="20:26" x14ac:dyDescent="0.25">
      <c r="T381" s="43">
        <v>42380</v>
      </c>
      <c r="U381" t="str">
        <f t="shared" si="5"/>
        <v>1602</v>
      </c>
      <c r="V381" s="44" t="s">
        <v>83</v>
      </c>
      <c r="W381" s="44">
        <v>42379</v>
      </c>
      <c r="X381" s="24">
        <v>2</v>
      </c>
      <c r="Y381" s="24">
        <v>2016</v>
      </c>
      <c r="Z381" s="25">
        <v>201602</v>
      </c>
    </row>
    <row r="382" spans="20:26" x14ac:dyDescent="0.25">
      <c r="T382" s="43">
        <v>42381</v>
      </c>
      <c r="U382" t="str">
        <f t="shared" si="5"/>
        <v>1602</v>
      </c>
      <c r="V382" s="44" t="s">
        <v>84</v>
      </c>
      <c r="W382" s="44">
        <v>42379</v>
      </c>
      <c r="X382" s="24">
        <v>2</v>
      </c>
      <c r="Y382" s="24">
        <v>2016</v>
      </c>
      <c r="Z382" s="25">
        <v>201602</v>
      </c>
    </row>
    <row r="383" spans="20:26" x14ac:dyDescent="0.25">
      <c r="T383" s="43">
        <v>42382</v>
      </c>
      <c r="U383" t="str">
        <f t="shared" si="5"/>
        <v>1602</v>
      </c>
      <c r="V383" s="44" t="s">
        <v>85</v>
      </c>
      <c r="W383" s="44">
        <v>42379</v>
      </c>
      <c r="X383" s="24">
        <v>2</v>
      </c>
      <c r="Y383" s="24">
        <v>2016</v>
      </c>
      <c r="Z383" s="25">
        <v>201602</v>
      </c>
    </row>
    <row r="384" spans="20:26" x14ac:dyDescent="0.25">
      <c r="T384" s="43">
        <v>42383</v>
      </c>
      <c r="U384" t="str">
        <f t="shared" si="5"/>
        <v>1602</v>
      </c>
      <c r="V384" s="44" t="s">
        <v>86</v>
      </c>
      <c r="W384" s="44">
        <v>42379</v>
      </c>
      <c r="X384" s="24">
        <v>2</v>
      </c>
      <c r="Y384" s="24">
        <v>2016</v>
      </c>
      <c r="Z384" s="25">
        <v>201602</v>
      </c>
    </row>
    <row r="385" spans="20:26" x14ac:dyDescent="0.25">
      <c r="T385" s="43">
        <v>42384</v>
      </c>
      <c r="U385" t="str">
        <f t="shared" si="5"/>
        <v>1602</v>
      </c>
      <c r="V385" s="44" t="s">
        <v>87</v>
      </c>
      <c r="W385" s="44">
        <v>42379</v>
      </c>
      <c r="X385" s="24">
        <v>2</v>
      </c>
      <c r="Y385" s="24">
        <v>2016</v>
      </c>
      <c r="Z385" s="25">
        <v>201602</v>
      </c>
    </row>
    <row r="386" spans="20:26" x14ac:dyDescent="0.25">
      <c r="T386" s="43">
        <v>42385</v>
      </c>
      <c r="U386" t="str">
        <f t="shared" ref="U386:U449" si="6">RIGHT(Z386,4)</f>
        <v>1602</v>
      </c>
      <c r="V386" s="44" t="s">
        <v>88</v>
      </c>
      <c r="W386" s="44">
        <v>42379</v>
      </c>
      <c r="X386" s="24">
        <v>2</v>
      </c>
      <c r="Y386" s="24">
        <v>2016</v>
      </c>
      <c r="Z386" s="25">
        <v>201602</v>
      </c>
    </row>
    <row r="387" spans="20:26" x14ac:dyDescent="0.25">
      <c r="T387" s="43">
        <v>42386</v>
      </c>
      <c r="U387" t="str">
        <f t="shared" si="6"/>
        <v>1603</v>
      </c>
      <c r="V387" s="44" t="s">
        <v>82</v>
      </c>
      <c r="W387" s="44">
        <v>42386</v>
      </c>
      <c r="X387" s="24">
        <v>3</v>
      </c>
      <c r="Y387" s="24">
        <v>2016</v>
      </c>
      <c r="Z387" s="25">
        <v>201603</v>
      </c>
    </row>
    <row r="388" spans="20:26" x14ac:dyDescent="0.25">
      <c r="T388" s="43">
        <v>42387</v>
      </c>
      <c r="U388" t="str">
        <f t="shared" si="6"/>
        <v>1603</v>
      </c>
      <c r="V388" s="44" t="s">
        <v>83</v>
      </c>
      <c r="W388" s="44">
        <v>42386</v>
      </c>
      <c r="X388" s="24">
        <v>3</v>
      </c>
      <c r="Y388" s="24">
        <v>2016</v>
      </c>
      <c r="Z388" s="25">
        <v>201603</v>
      </c>
    </row>
    <row r="389" spans="20:26" x14ac:dyDescent="0.25">
      <c r="T389" s="43">
        <v>42388</v>
      </c>
      <c r="U389" t="str">
        <f t="shared" si="6"/>
        <v>1603</v>
      </c>
      <c r="V389" s="44" t="s">
        <v>84</v>
      </c>
      <c r="W389" s="44">
        <v>42386</v>
      </c>
      <c r="X389" s="24">
        <v>3</v>
      </c>
      <c r="Y389" s="24">
        <v>2016</v>
      </c>
      <c r="Z389" s="25">
        <v>201603</v>
      </c>
    </row>
    <row r="390" spans="20:26" x14ac:dyDescent="0.25">
      <c r="T390" s="43">
        <v>42389</v>
      </c>
      <c r="U390" t="str">
        <f t="shared" si="6"/>
        <v>1603</v>
      </c>
      <c r="V390" s="44" t="s">
        <v>85</v>
      </c>
      <c r="W390" s="44">
        <v>42386</v>
      </c>
      <c r="X390" s="24">
        <v>3</v>
      </c>
      <c r="Y390" s="24">
        <v>2016</v>
      </c>
      <c r="Z390" s="25">
        <v>201603</v>
      </c>
    </row>
    <row r="391" spans="20:26" x14ac:dyDescent="0.25">
      <c r="T391" s="43">
        <v>42390</v>
      </c>
      <c r="U391" t="str">
        <f t="shared" si="6"/>
        <v>1603</v>
      </c>
      <c r="V391" s="44" t="s">
        <v>86</v>
      </c>
      <c r="W391" s="44">
        <v>42386</v>
      </c>
      <c r="X391" s="24">
        <v>3</v>
      </c>
      <c r="Y391" s="24">
        <v>2016</v>
      </c>
      <c r="Z391" s="25">
        <v>201603</v>
      </c>
    </row>
    <row r="392" spans="20:26" x14ac:dyDescent="0.25">
      <c r="T392" s="43">
        <v>42391</v>
      </c>
      <c r="U392" t="str">
        <f t="shared" si="6"/>
        <v>1603</v>
      </c>
      <c r="V392" s="44" t="s">
        <v>87</v>
      </c>
      <c r="W392" s="44">
        <v>42386</v>
      </c>
      <c r="X392" s="24">
        <v>3</v>
      </c>
      <c r="Y392" s="24">
        <v>2016</v>
      </c>
      <c r="Z392" s="25">
        <v>201603</v>
      </c>
    </row>
    <row r="393" spans="20:26" x14ac:dyDescent="0.25">
      <c r="T393" s="43">
        <v>42392</v>
      </c>
      <c r="U393" t="str">
        <f t="shared" si="6"/>
        <v>1603</v>
      </c>
      <c r="V393" s="44" t="s">
        <v>88</v>
      </c>
      <c r="W393" s="44">
        <v>42386</v>
      </c>
      <c r="X393" s="24">
        <v>3</v>
      </c>
      <c r="Y393" s="24">
        <v>2016</v>
      </c>
      <c r="Z393" s="25">
        <v>201603</v>
      </c>
    </row>
    <row r="394" spans="20:26" x14ac:dyDescent="0.25">
      <c r="T394" s="43">
        <v>42393</v>
      </c>
      <c r="U394" t="str">
        <f t="shared" si="6"/>
        <v>1604</v>
      </c>
      <c r="V394" s="44" t="s">
        <v>82</v>
      </c>
      <c r="W394" s="44">
        <v>42393</v>
      </c>
      <c r="X394" s="24">
        <v>4</v>
      </c>
      <c r="Y394" s="24">
        <v>2016</v>
      </c>
      <c r="Z394" s="25">
        <v>201604</v>
      </c>
    </row>
    <row r="395" spans="20:26" x14ac:dyDescent="0.25">
      <c r="T395" s="43">
        <v>42394</v>
      </c>
      <c r="U395" t="str">
        <f t="shared" si="6"/>
        <v>1604</v>
      </c>
      <c r="V395" s="44" t="s">
        <v>83</v>
      </c>
      <c r="W395" s="44">
        <v>42393</v>
      </c>
      <c r="X395" s="24">
        <v>4</v>
      </c>
      <c r="Y395" s="24">
        <v>2016</v>
      </c>
      <c r="Z395" s="25">
        <v>201604</v>
      </c>
    </row>
    <row r="396" spans="20:26" x14ac:dyDescent="0.25">
      <c r="T396" s="43">
        <v>42395</v>
      </c>
      <c r="U396" t="str">
        <f t="shared" si="6"/>
        <v>1604</v>
      </c>
      <c r="V396" s="44" t="s">
        <v>84</v>
      </c>
      <c r="W396" s="44">
        <v>42393</v>
      </c>
      <c r="X396" s="24">
        <v>4</v>
      </c>
      <c r="Y396" s="24">
        <v>2016</v>
      </c>
      <c r="Z396" s="25">
        <v>201604</v>
      </c>
    </row>
    <row r="397" spans="20:26" x14ac:dyDescent="0.25">
      <c r="T397" s="43">
        <v>42396</v>
      </c>
      <c r="U397" t="str">
        <f t="shared" si="6"/>
        <v>1604</v>
      </c>
      <c r="V397" s="44" t="s">
        <v>85</v>
      </c>
      <c r="W397" s="44">
        <v>42393</v>
      </c>
      <c r="X397" s="24">
        <v>4</v>
      </c>
      <c r="Y397" s="24">
        <v>2016</v>
      </c>
      <c r="Z397" s="25">
        <v>201604</v>
      </c>
    </row>
    <row r="398" spans="20:26" x14ac:dyDescent="0.25">
      <c r="T398" s="43">
        <v>42397</v>
      </c>
      <c r="U398" t="str">
        <f t="shared" si="6"/>
        <v>1604</v>
      </c>
      <c r="V398" s="44" t="s">
        <v>86</v>
      </c>
      <c r="W398" s="44">
        <v>42393</v>
      </c>
      <c r="X398" s="24">
        <v>4</v>
      </c>
      <c r="Y398" s="24">
        <v>2016</v>
      </c>
      <c r="Z398" s="25">
        <v>201604</v>
      </c>
    </row>
    <row r="399" spans="20:26" x14ac:dyDescent="0.25">
      <c r="T399" s="43">
        <v>42398</v>
      </c>
      <c r="U399" t="str">
        <f t="shared" si="6"/>
        <v>1604</v>
      </c>
      <c r="V399" s="44" t="s">
        <v>87</v>
      </c>
      <c r="W399" s="44">
        <v>42393</v>
      </c>
      <c r="X399" s="24">
        <v>4</v>
      </c>
      <c r="Y399" s="24">
        <v>2016</v>
      </c>
      <c r="Z399" s="25">
        <v>201604</v>
      </c>
    </row>
    <row r="400" spans="20:26" x14ac:dyDescent="0.25">
      <c r="T400" s="43">
        <v>42399</v>
      </c>
      <c r="U400" t="str">
        <f t="shared" si="6"/>
        <v>1604</v>
      </c>
      <c r="V400" s="44" t="s">
        <v>88</v>
      </c>
      <c r="W400" s="44">
        <v>42393</v>
      </c>
      <c r="X400" s="24">
        <v>4</v>
      </c>
      <c r="Y400" s="24">
        <v>2016</v>
      </c>
      <c r="Z400" s="25">
        <v>201604</v>
      </c>
    </row>
    <row r="401" spans="20:26" x14ac:dyDescent="0.25">
      <c r="T401" s="43">
        <v>42400</v>
      </c>
      <c r="U401" t="str">
        <f t="shared" si="6"/>
        <v>1605</v>
      </c>
      <c r="V401" s="44" t="s">
        <v>82</v>
      </c>
      <c r="W401" s="44">
        <v>42400</v>
      </c>
      <c r="X401" s="24">
        <v>5</v>
      </c>
      <c r="Y401" s="24">
        <v>2016</v>
      </c>
      <c r="Z401" s="25">
        <v>201605</v>
      </c>
    </row>
    <row r="402" spans="20:26" x14ac:dyDescent="0.25">
      <c r="T402" s="43">
        <v>42401</v>
      </c>
      <c r="U402" t="str">
        <f t="shared" si="6"/>
        <v>1605</v>
      </c>
      <c r="V402" s="44" t="s">
        <v>83</v>
      </c>
      <c r="W402" s="44">
        <v>42400</v>
      </c>
      <c r="X402" s="24">
        <v>5</v>
      </c>
      <c r="Y402" s="24">
        <v>2016</v>
      </c>
      <c r="Z402" s="25">
        <v>201605</v>
      </c>
    </row>
    <row r="403" spans="20:26" x14ac:dyDescent="0.25">
      <c r="T403" s="43">
        <v>42402</v>
      </c>
      <c r="U403" t="str">
        <f t="shared" si="6"/>
        <v>1605</v>
      </c>
      <c r="V403" s="44" t="s">
        <v>84</v>
      </c>
      <c r="W403" s="44">
        <v>42400</v>
      </c>
      <c r="X403" s="24">
        <v>5</v>
      </c>
      <c r="Y403" s="24">
        <v>2016</v>
      </c>
      <c r="Z403" s="25">
        <v>201605</v>
      </c>
    </row>
    <row r="404" spans="20:26" x14ac:dyDescent="0.25">
      <c r="T404" s="43">
        <v>42403</v>
      </c>
      <c r="U404" t="str">
        <f t="shared" si="6"/>
        <v>1605</v>
      </c>
      <c r="V404" s="44" t="s">
        <v>85</v>
      </c>
      <c r="W404" s="44">
        <v>42400</v>
      </c>
      <c r="X404" s="24">
        <v>5</v>
      </c>
      <c r="Y404" s="24">
        <v>2016</v>
      </c>
      <c r="Z404" s="25">
        <v>201605</v>
      </c>
    </row>
    <row r="405" spans="20:26" x14ac:dyDescent="0.25">
      <c r="T405" s="43">
        <v>42404</v>
      </c>
      <c r="U405" t="str">
        <f t="shared" si="6"/>
        <v>1605</v>
      </c>
      <c r="V405" s="44" t="s">
        <v>86</v>
      </c>
      <c r="W405" s="44">
        <v>42400</v>
      </c>
      <c r="X405" s="24">
        <v>5</v>
      </c>
      <c r="Y405" s="24">
        <v>2016</v>
      </c>
      <c r="Z405" s="25">
        <v>201605</v>
      </c>
    </row>
    <row r="406" spans="20:26" x14ac:dyDescent="0.25">
      <c r="T406" s="43">
        <v>42405</v>
      </c>
      <c r="U406" t="str">
        <f t="shared" si="6"/>
        <v>1605</v>
      </c>
      <c r="V406" s="44" t="s">
        <v>87</v>
      </c>
      <c r="W406" s="44">
        <v>42400</v>
      </c>
      <c r="X406" s="24">
        <v>5</v>
      </c>
      <c r="Y406" s="24">
        <v>2016</v>
      </c>
      <c r="Z406" s="25">
        <v>201605</v>
      </c>
    </row>
    <row r="407" spans="20:26" x14ac:dyDescent="0.25">
      <c r="T407" s="43">
        <v>42406</v>
      </c>
      <c r="U407" t="str">
        <f t="shared" si="6"/>
        <v>1605</v>
      </c>
      <c r="V407" s="44" t="s">
        <v>88</v>
      </c>
      <c r="W407" s="44">
        <v>42400</v>
      </c>
      <c r="X407" s="24">
        <v>5</v>
      </c>
      <c r="Y407" s="24">
        <v>2016</v>
      </c>
      <c r="Z407" s="25">
        <v>201605</v>
      </c>
    </row>
    <row r="408" spans="20:26" x14ac:dyDescent="0.25">
      <c r="T408" s="43">
        <v>42407</v>
      </c>
      <c r="U408" t="str">
        <f t="shared" si="6"/>
        <v>1606</v>
      </c>
      <c r="V408" s="44" t="s">
        <v>82</v>
      </c>
      <c r="W408" s="44">
        <v>42407</v>
      </c>
      <c r="X408" s="24">
        <v>6</v>
      </c>
      <c r="Y408" s="24">
        <v>2016</v>
      </c>
      <c r="Z408" s="25">
        <v>201606</v>
      </c>
    </row>
    <row r="409" spans="20:26" x14ac:dyDescent="0.25">
      <c r="T409" s="43">
        <v>42408</v>
      </c>
      <c r="U409" t="str">
        <f t="shared" si="6"/>
        <v>1606</v>
      </c>
      <c r="V409" s="44" t="s">
        <v>83</v>
      </c>
      <c r="W409" s="44">
        <v>42407</v>
      </c>
      <c r="X409" s="24">
        <v>6</v>
      </c>
      <c r="Y409" s="24">
        <v>2016</v>
      </c>
      <c r="Z409" s="25">
        <v>201606</v>
      </c>
    </row>
    <row r="410" spans="20:26" x14ac:dyDescent="0.25">
      <c r="T410" s="43">
        <v>42409</v>
      </c>
      <c r="U410" t="str">
        <f t="shared" si="6"/>
        <v>1606</v>
      </c>
      <c r="V410" s="44" t="s">
        <v>84</v>
      </c>
      <c r="W410" s="44">
        <v>42407</v>
      </c>
      <c r="X410" s="24">
        <v>6</v>
      </c>
      <c r="Y410" s="24">
        <v>2016</v>
      </c>
      <c r="Z410" s="25">
        <v>201606</v>
      </c>
    </row>
    <row r="411" spans="20:26" x14ac:dyDescent="0.25">
      <c r="T411" s="43">
        <v>42410</v>
      </c>
      <c r="U411" t="str">
        <f t="shared" si="6"/>
        <v>1606</v>
      </c>
      <c r="V411" s="44" t="s">
        <v>85</v>
      </c>
      <c r="W411" s="44">
        <v>42407</v>
      </c>
      <c r="X411" s="24">
        <v>6</v>
      </c>
      <c r="Y411" s="24">
        <v>2016</v>
      </c>
      <c r="Z411" s="25">
        <v>201606</v>
      </c>
    </row>
    <row r="412" spans="20:26" x14ac:dyDescent="0.25">
      <c r="T412" s="43">
        <v>42411</v>
      </c>
      <c r="U412" t="str">
        <f t="shared" si="6"/>
        <v>1606</v>
      </c>
      <c r="V412" s="44" t="s">
        <v>86</v>
      </c>
      <c r="W412" s="44">
        <v>42407</v>
      </c>
      <c r="X412" s="24">
        <v>6</v>
      </c>
      <c r="Y412" s="24">
        <v>2016</v>
      </c>
      <c r="Z412" s="25">
        <v>201606</v>
      </c>
    </row>
    <row r="413" spans="20:26" x14ac:dyDescent="0.25">
      <c r="T413" s="43">
        <v>42412</v>
      </c>
      <c r="U413" t="str">
        <f t="shared" si="6"/>
        <v>1606</v>
      </c>
      <c r="V413" s="44" t="s">
        <v>87</v>
      </c>
      <c r="W413" s="44">
        <v>42407</v>
      </c>
      <c r="X413" s="24">
        <v>6</v>
      </c>
      <c r="Y413" s="24">
        <v>2016</v>
      </c>
      <c r="Z413" s="25">
        <v>201606</v>
      </c>
    </row>
    <row r="414" spans="20:26" x14ac:dyDescent="0.25">
      <c r="T414" s="43">
        <v>42413</v>
      </c>
      <c r="U414" t="str">
        <f t="shared" si="6"/>
        <v>1606</v>
      </c>
      <c r="V414" s="44" t="s">
        <v>88</v>
      </c>
      <c r="W414" s="44">
        <v>42407</v>
      </c>
      <c r="X414" s="24">
        <v>6</v>
      </c>
      <c r="Y414" s="24">
        <v>2016</v>
      </c>
      <c r="Z414" s="25">
        <v>201606</v>
      </c>
    </row>
    <row r="415" spans="20:26" x14ac:dyDescent="0.25">
      <c r="T415" s="43">
        <v>42414</v>
      </c>
      <c r="U415" t="str">
        <f t="shared" si="6"/>
        <v>1607</v>
      </c>
      <c r="V415" s="44" t="s">
        <v>82</v>
      </c>
      <c r="W415" s="44">
        <v>42414</v>
      </c>
      <c r="X415" s="24">
        <v>7</v>
      </c>
      <c r="Y415" s="24">
        <v>2016</v>
      </c>
      <c r="Z415" s="25">
        <v>201607</v>
      </c>
    </row>
    <row r="416" spans="20:26" x14ac:dyDescent="0.25">
      <c r="T416" s="43">
        <v>42415</v>
      </c>
      <c r="U416" t="str">
        <f t="shared" si="6"/>
        <v>1607</v>
      </c>
      <c r="V416" s="44" t="s">
        <v>83</v>
      </c>
      <c r="W416" s="44">
        <v>42414</v>
      </c>
      <c r="X416" s="24">
        <v>7</v>
      </c>
      <c r="Y416" s="24">
        <v>2016</v>
      </c>
      <c r="Z416" s="25">
        <v>201607</v>
      </c>
    </row>
    <row r="417" spans="20:26" x14ac:dyDescent="0.25">
      <c r="T417" s="43">
        <v>42416</v>
      </c>
      <c r="U417" t="str">
        <f t="shared" si="6"/>
        <v>1607</v>
      </c>
      <c r="V417" s="44" t="s">
        <v>84</v>
      </c>
      <c r="W417" s="44">
        <v>42414</v>
      </c>
      <c r="X417" s="24">
        <v>7</v>
      </c>
      <c r="Y417" s="24">
        <v>2016</v>
      </c>
      <c r="Z417" s="25">
        <v>201607</v>
      </c>
    </row>
    <row r="418" spans="20:26" x14ac:dyDescent="0.25">
      <c r="T418" s="43">
        <v>42417</v>
      </c>
      <c r="U418" t="str">
        <f t="shared" si="6"/>
        <v>1607</v>
      </c>
      <c r="V418" s="44" t="s">
        <v>85</v>
      </c>
      <c r="W418" s="44">
        <v>42414</v>
      </c>
      <c r="X418" s="24">
        <v>7</v>
      </c>
      <c r="Y418" s="24">
        <v>2016</v>
      </c>
      <c r="Z418" s="25">
        <v>201607</v>
      </c>
    </row>
    <row r="419" spans="20:26" x14ac:dyDescent="0.25">
      <c r="T419" s="43">
        <v>42418</v>
      </c>
      <c r="U419" t="str">
        <f t="shared" si="6"/>
        <v>1607</v>
      </c>
      <c r="V419" s="44" t="s">
        <v>86</v>
      </c>
      <c r="W419" s="44">
        <v>42414</v>
      </c>
      <c r="X419" s="24">
        <v>7</v>
      </c>
      <c r="Y419" s="24">
        <v>2016</v>
      </c>
      <c r="Z419" s="25">
        <v>201607</v>
      </c>
    </row>
    <row r="420" spans="20:26" x14ac:dyDescent="0.25">
      <c r="T420" s="43">
        <v>42419</v>
      </c>
      <c r="U420" t="str">
        <f t="shared" si="6"/>
        <v>1607</v>
      </c>
      <c r="V420" s="44" t="s">
        <v>87</v>
      </c>
      <c r="W420" s="44">
        <v>42414</v>
      </c>
      <c r="X420" s="24">
        <v>7</v>
      </c>
      <c r="Y420" s="24">
        <v>2016</v>
      </c>
      <c r="Z420" s="25">
        <v>201607</v>
      </c>
    </row>
    <row r="421" spans="20:26" x14ac:dyDescent="0.25">
      <c r="T421" s="43">
        <v>42420</v>
      </c>
      <c r="U421" t="str">
        <f t="shared" si="6"/>
        <v>1607</v>
      </c>
      <c r="V421" s="44" t="s">
        <v>88</v>
      </c>
      <c r="W421" s="44">
        <v>42414</v>
      </c>
      <c r="X421" s="24">
        <v>7</v>
      </c>
      <c r="Y421" s="24">
        <v>2016</v>
      </c>
      <c r="Z421" s="25">
        <v>201607</v>
      </c>
    </row>
    <row r="422" spans="20:26" x14ac:dyDescent="0.25">
      <c r="T422" s="43">
        <v>42421</v>
      </c>
      <c r="U422" t="str">
        <f t="shared" si="6"/>
        <v>1608</v>
      </c>
      <c r="V422" s="44" t="s">
        <v>82</v>
      </c>
      <c r="W422" s="44">
        <v>42421</v>
      </c>
      <c r="X422" s="24">
        <v>8</v>
      </c>
      <c r="Y422" s="24">
        <v>2016</v>
      </c>
      <c r="Z422" s="25">
        <v>201608</v>
      </c>
    </row>
    <row r="423" spans="20:26" x14ac:dyDescent="0.25">
      <c r="T423" s="43">
        <v>42422</v>
      </c>
      <c r="U423" t="str">
        <f t="shared" si="6"/>
        <v>1608</v>
      </c>
      <c r="V423" s="44" t="s">
        <v>83</v>
      </c>
      <c r="W423" s="44">
        <v>42421</v>
      </c>
      <c r="X423" s="24">
        <v>8</v>
      </c>
      <c r="Y423" s="24">
        <v>2016</v>
      </c>
      <c r="Z423" s="25">
        <v>201608</v>
      </c>
    </row>
    <row r="424" spans="20:26" x14ac:dyDescent="0.25">
      <c r="T424" s="43">
        <v>42423</v>
      </c>
      <c r="U424" t="str">
        <f t="shared" si="6"/>
        <v>1608</v>
      </c>
      <c r="V424" s="44" t="s">
        <v>84</v>
      </c>
      <c r="W424" s="44">
        <v>42421</v>
      </c>
      <c r="X424" s="24">
        <v>8</v>
      </c>
      <c r="Y424" s="24">
        <v>2016</v>
      </c>
      <c r="Z424" s="25">
        <v>201608</v>
      </c>
    </row>
    <row r="425" spans="20:26" x14ac:dyDescent="0.25">
      <c r="T425" s="43">
        <v>42424</v>
      </c>
      <c r="U425" t="str">
        <f t="shared" si="6"/>
        <v>1608</v>
      </c>
      <c r="V425" s="44" t="s">
        <v>85</v>
      </c>
      <c r="W425" s="44">
        <v>42421</v>
      </c>
      <c r="X425" s="24">
        <v>8</v>
      </c>
      <c r="Y425" s="24">
        <v>2016</v>
      </c>
      <c r="Z425" s="25">
        <v>201608</v>
      </c>
    </row>
    <row r="426" spans="20:26" x14ac:dyDescent="0.25">
      <c r="T426" s="43">
        <v>42425</v>
      </c>
      <c r="U426" t="str">
        <f t="shared" si="6"/>
        <v>1608</v>
      </c>
      <c r="V426" s="44" t="s">
        <v>86</v>
      </c>
      <c r="W426" s="44">
        <v>42421</v>
      </c>
      <c r="X426" s="24">
        <v>8</v>
      </c>
      <c r="Y426" s="24">
        <v>2016</v>
      </c>
      <c r="Z426" s="25">
        <v>201608</v>
      </c>
    </row>
    <row r="427" spans="20:26" x14ac:dyDescent="0.25">
      <c r="T427" s="43">
        <v>42426</v>
      </c>
      <c r="U427" t="str">
        <f t="shared" si="6"/>
        <v>1608</v>
      </c>
      <c r="V427" s="44" t="s">
        <v>87</v>
      </c>
      <c r="W427" s="44">
        <v>42421</v>
      </c>
      <c r="X427" s="24">
        <v>8</v>
      </c>
      <c r="Y427" s="24">
        <v>2016</v>
      </c>
      <c r="Z427" s="25">
        <v>201608</v>
      </c>
    </row>
    <row r="428" spans="20:26" x14ac:dyDescent="0.25">
      <c r="T428" s="43">
        <v>42427</v>
      </c>
      <c r="U428" t="str">
        <f t="shared" si="6"/>
        <v>1608</v>
      </c>
      <c r="V428" s="44" t="s">
        <v>88</v>
      </c>
      <c r="W428" s="44">
        <v>42421</v>
      </c>
      <c r="X428" s="24">
        <v>8</v>
      </c>
      <c r="Y428" s="24">
        <v>2016</v>
      </c>
      <c r="Z428" s="25">
        <v>201608</v>
      </c>
    </row>
    <row r="429" spans="20:26" x14ac:dyDescent="0.25">
      <c r="T429" s="43">
        <v>42428</v>
      </c>
      <c r="U429" t="str">
        <f t="shared" si="6"/>
        <v>1609</v>
      </c>
      <c r="V429" s="44" t="s">
        <v>82</v>
      </c>
      <c r="W429" s="44">
        <v>42428</v>
      </c>
      <c r="X429" s="24">
        <v>9</v>
      </c>
      <c r="Y429" s="24">
        <v>2016</v>
      </c>
      <c r="Z429" s="25">
        <v>201609</v>
      </c>
    </row>
    <row r="430" spans="20:26" x14ac:dyDescent="0.25">
      <c r="T430" s="43">
        <v>42429</v>
      </c>
      <c r="U430" t="str">
        <f t="shared" si="6"/>
        <v>1609</v>
      </c>
      <c r="V430" s="44" t="s">
        <v>83</v>
      </c>
      <c r="W430" s="44">
        <v>42428</v>
      </c>
      <c r="X430" s="24">
        <v>9</v>
      </c>
      <c r="Y430" s="24">
        <v>2016</v>
      </c>
      <c r="Z430" s="25">
        <v>201609</v>
      </c>
    </row>
    <row r="431" spans="20:26" x14ac:dyDescent="0.25">
      <c r="T431" s="43">
        <v>42430</v>
      </c>
      <c r="U431" t="str">
        <f t="shared" si="6"/>
        <v>1609</v>
      </c>
      <c r="V431" s="44" t="s">
        <v>84</v>
      </c>
      <c r="W431" s="44">
        <v>42428</v>
      </c>
      <c r="X431" s="24">
        <v>9</v>
      </c>
      <c r="Y431" s="24">
        <v>2016</v>
      </c>
      <c r="Z431" s="25">
        <v>201609</v>
      </c>
    </row>
    <row r="432" spans="20:26" x14ac:dyDescent="0.25">
      <c r="T432" s="43">
        <v>42431</v>
      </c>
      <c r="U432" t="str">
        <f t="shared" si="6"/>
        <v>1609</v>
      </c>
      <c r="V432" s="44" t="s">
        <v>85</v>
      </c>
      <c r="W432" s="44">
        <v>42428</v>
      </c>
      <c r="X432" s="24">
        <v>9</v>
      </c>
      <c r="Y432" s="24">
        <v>2016</v>
      </c>
      <c r="Z432" s="25">
        <v>201609</v>
      </c>
    </row>
    <row r="433" spans="20:26" x14ac:dyDescent="0.25">
      <c r="T433" s="43">
        <v>42432</v>
      </c>
      <c r="U433" t="str">
        <f t="shared" si="6"/>
        <v>1609</v>
      </c>
      <c r="V433" s="44" t="s">
        <v>86</v>
      </c>
      <c r="W433" s="44">
        <v>42428</v>
      </c>
      <c r="X433" s="24">
        <v>9</v>
      </c>
      <c r="Y433" s="24">
        <v>2016</v>
      </c>
      <c r="Z433" s="25">
        <v>201609</v>
      </c>
    </row>
    <row r="434" spans="20:26" x14ac:dyDescent="0.25">
      <c r="T434" s="43">
        <v>42433</v>
      </c>
      <c r="U434" t="str">
        <f t="shared" si="6"/>
        <v>1609</v>
      </c>
      <c r="V434" s="44" t="s">
        <v>87</v>
      </c>
      <c r="W434" s="44">
        <v>42428</v>
      </c>
      <c r="X434" s="24">
        <v>9</v>
      </c>
      <c r="Y434" s="24">
        <v>2016</v>
      </c>
      <c r="Z434" s="25">
        <v>201609</v>
      </c>
    </row>
    <row r="435" spans="20:26" x14ac:dyDescent="0.25">
      <c r="T435" s="43">
        <v>42434</v>
      </c>
      <c r="U435" t="str">
        <f t="shared" si="6"/>
        <v>1609</v>
      </c>
      <c r="V435" s="44" t="s">
        <v>88</v>
      </c>
      <c r="W435" s="44">
        <v>42428</v>
      </c>
      <c r="X435" s="24">
        <v>9</v>
      </c>
      <c r="Y435" s="24">
        <v>2016</v>
      </c>
      <c r="Z435" s="25">
        <v>201609</v>
      </c>
    </row>
    <row r="436" spans="20:26" x14ac:dyDescent="0.25">
      <c r="T436" s="43">
        <v>42435</v>
      </c>
      <c r="U436" t="str">
        <f t="shared" si="6"/>
        <v>1610</v>
      </c>
      <c r="V436" s="44" t="s">
        <v>82</v>
      </c>
      <c r="W436" s="44">
        <v>42435</v>
      </c>
      <c r="X436" s="24">
        <v>10</v>
      </c>
      <c r="Y436" s="24">
        <v>2016</v>
      </c>
      <c r="Z436" s="25">
        <v>201610</v>
      </c>
    </row>
    <row r="437" spans="20:26" x14ac:dyDescent="0.25">
      <c r="T437" s="43">
        <v>42436</v>
      </c>
      <c r="U437" t="str">
        <f t="shared" si="6"/>
        <v>1610</v>
      </c>
      <c r="V437" s="44" t="s">
        <v>83</v>
      </c>
      <c r="W437" s="44">
        <v>42435</v>
      </c>
      <c r="X437" s="24">
        <v>10</v>
      </c>
      <c r="Y437" s="24">
        <v>2016</v>
      </c>
      <c r="Z437" s="25">
        <v>201610</v>
      </c>
    </row>
    <row r="438" spans="20:26" x14ac:dyDescent="0.25">
      <c r="T438" s="43">
        <v>42437</v>
      </c>
      <c r="U438" t="str">
        <f t="shared" si="6"/>
        <v>1610</v>
      </c>
      <c r="V438" s="44" t="s">
        <v>84</v>
      </c>
      <c r="W438" s="44">
        <v>42435</v>
      </c>
      <c r="X438" s="24">
        <v>10</v>
      </c>
      <c r="Y438" s="24">
        <v>2016</v>
      </c>
      <c r="Z438" s="25">
        <v>201610</v>
      </c>
    </row>
    <row r="439" spans="20:26" x14ac:dyDescent="0.25">
      <c r="T439" s="43">
        <v>42438</v>
      </c>
      <c r="U439" t="str">
        <f t="shared" si="6"/>
        <v>1610</v>
      </c>
      <c r="V439" s="44" t="s">
        <v>85</v>
      </c>
      <c r="W439" s="44">
        <v>42435</v>
      </c>
      <c r="X439" s="24">
        <v>10</v>
      </c>
      <c r="Y439" s="24">
        <v>2016</v>
      </c>
      <c r="Z439" s="25">
        <v>201610</v>
      </c>
    </row>
    <row r="440" spans="20:26" x14ac:dyDescent="0.25">
      <c r="T440" s="43">
        <v>42439</v>
      </c>
      <c r="U440" t="str">
        <f t="shared" si="6"/>
        <v>1610</v>
      </c>
      <c r="V440" s="44" t="s">
        <v>86</v>
      </c>
      <c r="W440" s="44">
        <v>42435</v>
      </c>
      <c r="X440" s="24">
        <v>10</v>
      </c>
      <c r="Y440" s="24">
        <v>2016</v>
      </c>
      <c r="Z440" s="25">
        <v>201610</v>
      </c>
    </row>
    <row r="441" spans="20:26" x14ac:dyDescent="0.25">
      <c r="T441" s="43">
        <v>42440</v>
      </c>
      <c r="U441" t="str">
        <f t="shared" si="6"/>
        <v>1610</v>
      </c>
      <c r="V441" s="44" t="s">
        <v>87</v>
      </c>
      <c r="W441" s="44">
        <v>42435</v>
      </c>
      <c r="X441" s="24">
        <v>10</v>
      </c>
      <c r="Y441" s="24">
        <v>2016</v>
      </c>
      <c r="Z441" s="25">
        <v>201610</v>
      </c>
    </row>
    <row r="442" spans="20:26" x14ac:dyDescent="0.25">
      <c r="T442" s="43">
        <v>42441</v>
      </c>
      <c r="U442" t="str">
        <f t="shared" si="6"/>
        <v>1610</v>
      </c>
      <c r="V442" s="44" t="s">
        <v>88</v>
      </c>
      <c r="W442" s="44">
        <v>42435</v>
      </c>
      <c r="X442" s="24">
        <v>10</v>
      </c>
      <c r="Y442" s="24">
        <v>2016</v>
      </c>
      <c r="Z442" s="25">
        <v>201610</v>
      </c>
    </row>
    <row r="443" spans="20:26" x14ac:dyDescent="0.25">
      <c r="T443" s="43">
        <v>42442</v>
      </c>
      <c r="U443" t="str">
        <f t="shared" si="6"/>
        <v>1611</v>
      </c>
      <c r="V443" s="44" t="s">
        <v>82</v>
      </c>
      <c r="W443" s="44">
        <v>42442</v>
      </c>
      <c r="X443" s="24">
        <v>11</v>
      </c>
      <c r="Y443" s="24">
        <v>2016</v>
      </c>
      <c r="Z443" s="25">
        <v>201611</v>
      </c>
    </row>
    <row r="444" spans="20:26" x14ac:dyDescent="0.25">
      <c r="T444" s="43">
        <v>42443</v>
      </c>
      <c r="U444" t="str">
        <f t="shared" si="6"/>
        <v>1611</v>
      </c>
      <c r="V444" s="44" t="s">
        <v>83</v>
      </c>
      <c r="W444" s="44">
        <v>42442</v>
      </c>
      <c r="X444" s="24">
        <v>11</v>
      </c>
      <c r="Y444" s="24">
        <v>2016</v>
      </c>
      <c r="Z444" s="25">
        <v>201611</v>
      </c>
    </row>
    <row r="445" spans="20:26" x14ac:dyDescent="0.25">
      <c r="T445" s="43">
        <v>42444</v>
      </c>
      <c r="U445" t="str">
        <f t="shared" si="6"/>
        <v>1611</v>
      </c>
      <c r="V445" s="44" t="s">
        <v>84</v>
      </c>
      <c r="W445" s="44">
        <v>42442</v>
      </c>
      <c r="X445" s="24">
        <v>11</v>
      </c>
      <c r="Y445" s="24">
        <v>2016</v>
      </c>
      <c r="Z445" s="25">
        <v>201611</v>
      </c>
    </row>
    <row r="446" spans="20:26" x14ac:dyDescent="0.25">
      <c r="T446" s="43">
        <v>42445</v>
      </c>
      <c r="U446" t="str">
        <f t="shared" si="6"/>
        <v>1611</v>
      </c>
      <c r="V446" s="44" t="s">
        <v>85</v>
      </c>
      <c r="W446" s="44">
        <v>42442</v>
      </c>
      <c r="X446" s="24">
        <v>11</v>
      </c>
      <c r="Y446" s="24">
        <v>2016</v>
      </c>
      <c r="Z446" s="25">
        <v>201611</v>
      </c>
    </row>
    <row r="447" spans="20:26" x14ac:dyDescent="0.25">
      <c r="T447" s="43">
        <v>42446</v>
      </c>
      <c r="U447" t="str">
        <f t="shared" si="6"/>
        <v>1611</v>
      </c>
      <c r="V447" s="44" t="s">
        <v>86</v>
      </c>
      <c r="W447" s="44">
        <v>42442</v>
      </c>
      <c r="X447" s="24">
        <v>11</v>
      </c>
      <c r="Y447" s="24">
        <v>2016</v>
      </c>
      <c r="Z447" s="25">
        <v>201611</v>
      </c>
    </row>
    <row r="448" spans="20:26" x14ac:dyDescent="0.25">
      <c r="T448" s="43">
        <v>42447</v>
      </c>
      <c r="U448" t="str">
        <f t="shared" si="6"/>
        <v>1611</v>
      </c>
      <c r="V448" s="44" t="s">
        <v>87</v>
      </c>
      <c r="W448" s="44">
        <v>42442</v>
      </c>
      <c r="X448" s="24">
        <v>11</v>
      </c>
      <c r="Y448" s="24">
        <v>2016</v>
      </c>
      <c r="Z448" s="25">
        <v>201611</v>
      </c>
    </row>
    <row r="449" spans="20:26" x14ac:dyDescent="0.25">
      <c r="T449" s="43">
        <v>42448</v>
      </c>
      <c r="U449" t="str">
        <f t="shared" si="6"/>
        <v>1611</v>
      </c>
      <c r="V449" s="44" t="s">
        <v>88</v>
      </c>
      <c r="W449" s="44">
        <v>42442</v>
      </c>
      <c r="X449" s="24">
        <v>11</v>
      </c>
      <c r="Y449" s="24">
        <v>2016</v>
      </c>
      <c r="Z449" s="25">
        <v>201611</v>
      </c>
    </row>
    <row r="450" spans="20:26" x14ac:dyDescent="0.25">
      <c r="T450" s="43">
        <v>42449</v>
      </c>
      <c r="U450" t="str">
        <f t="shared" ref="U450:U513" si="7">RIGHT(Z450,4)</f>
        <v>1612</v>
      </c>
      <c r="V450" s="44" t="s">
        <v>82</v>
      </c>
      <c r="W450" s="44">
        <v>42449</v>
      </c>
      <c r="X450" s="24">
        <v>12</v>
      </c>
      <c r="Y450" s="24">
        <v>2016</v>
      </c>
      <c r="Z450" s="25">
        <v>201612</v>
      </c>
    </row>
    <row r="451" spans="20:26" x14ac:dyDescent="0.25">
      <c r="T451" s="43">
        <v>42450</v>
      </c>
      <c r="U451" t="str">
        <f t="shared" si="7"/>
        <v>1612</v>
      </c>
      <c r="V451" s="44" t="s">
        <v>83</v>
      </c>
      <c r="W451" s="44">
        <v>42449</v>
      </c>
      <c r="X451" s="24">
        <v>12</v>
      </c>
      <c r="Y451" s="24">
        <v>2016</v>
      </c>
      <c r="Z451" s="25">
        <v>201612</v>
      </c>
    </row>
    <row r="452" spans="20:26" x14ac:dyDescent="0.25">
      <c r="T452" s="43">
        <v>42451</v>
      </c>
      <c r="U452" t="str">
        <f t="shared" si="7"/>
        <v>1612</v>
      </c>
      <c r="V452" s="44" t="s">
        <v>84</v>
      </c>
      <c r="W452" s="44">
        <v>42449</v>
      </c>
      <c r="X452" s="24">
        <v>12</v>
      </c>
      <c r="Y452" s="24">
        <v>2016</v>
      </c>
      <c r="Z452" s="25">
        <v>201612</v>
      </c>
    </row>
    <row r="453" spans="20:26" x14ac:dyDescent="0.25">
      <c r="T453" s="43">
        <v>42452</v>
      </c>
      <c r="U453" t="str">
        <f t="shared" si="7"/>
        <v>1612</v>
      </c>
      <c r="V453" s="44" t="s">
        <v>85</v>
      </c>
      <c r="W453" s="44">
        <v>42449</v>
      </c>
      <c r="X453" s="24">
        <v>12</v>
      </c>
      <c r="Y453" s="24">
        <v>2016</v>
      </c>
      <c r="Z453" s="25">
        <v>201612</v>
      </c>
    </row>
    <row r="454" spans="20:26" x14ac:dyDescent="0.25">
      <c r="T454" s="43">
        <v>42453</v>
      </c>
      <c r="U454" t="str">
        <f t="shared" si="7"/>
        <v>1612</v>
      </c>
      <c r="V454" s="44" t="s">
        <v>86</v>
      </c>
      <c r="W454" s="44">
        <v>42449</v>
      </c>
      <c r="X454" s="24">
        <v>12</v>
      </c>
      <c r="Y454" s="24">
        <v>2016</v>
      </c>
      <c r="Z454" s="25">
        <v>201612</v>
      </c>
    </row>
    <row r="455" spans="20:26" x14ac:dyDescent="0.25">
      <c r="T455" s="43">
        <v>42454</v>
      </c>
      <c r="U455" t="str">
        <f t="shared" si="7"/>
        <v>1612</v>
      </c>
      <c r="V455" s="44" t="s">
        <v>87</v>
      </c>
      <c r="W455" s="44">
        <v>42449</v>
      </c>
      <c r="X455" s="24">
        <v>12</v>
      </c>
      <c r="Y455" s="24">
        <v>2016</v>
      </c>
      <c r="Z455" s="25">
        <v>201612</v>
      </c>
    </row>
    <row r="456" spans="20:26" x14ac:dyDescent="0.25">
      <c r="T456" s="43">
        <v>42455</v>
      </c>
      <c r="U456" t="str">
        <f t="shared" si="7"/>
        <v>1612</v>
      </c>
      <c r="V456" s="44" t="s">
        <v>88</v>
      </c>
      <c r="W456" s="44">
        <v>42449</v>
      </c>
      <c r="X456" s="24">
        <v>12</v>
      </c>
      <c r="Y456" s="24">
        <v>2016</v>
      </c>
      <c r="Z456" s="25">
        <v>201612</v>
      </c>
    </row>
    <row r="457" spans="20:26" x14ac:dyDescent="0.25">
      <c r="T457" s="43">
        <v>42456</v>
      </c>
      <c r="U457" t="str">
        <f t="shared" si="7"/>
        <v>1613</v>
      </c>
      <c r="V457" s="44" t="s">
        <v>82</v>
      </c>
      <c r="W457" s="44">
        <v>42456</v>
      </c>
      <c r="X457" s="24">
        <v>13</v>
      </c>
      <c r="Y457" s="24">
        <v>2016</v>
      </c>
      <c r="Z457" s="25">
        <v>201613</v>
      </c>
    </row>
    <row r="458" spans="20:26" x14ac:dyDescent="0.25">
      <c r="T458" s="43">
        <v>42457</v>
      </c>
      <c r="U458" t="str">
        <f t="shared" si="7"/>
        <v>1613</v>
      </c>
      <c r="V458" s="44" t="s">
        <v>83</v>
      </c>
      <c r="W458" s="44">
        <v>42456</v>
      </c>
      <c r="X458" s="24">
        <v>13</v>
      </c>
      <c r="Y458" s="24">
        <v>2016</v>
      </c>
      <c r="Z458" s="25">
        <v>201613</v>
      </c>
    </row>
    <row r="459" spans="20:26" x14ac:dyDescent="0.25">
      <c r="T459" s="43">
        <v>42458</v>
      </c>
      <c r="U459" t="str">
        <f t="shared" si="7"/>
        <v>1613</v>
      </c>
      <c r="V459" s="44" t="s">
        <v>84</v>
      </c>
      <c r="W459" s="44">
        <v>42456</v>
      </c>
      <c r="X459" s="24">
        <v>13</v>
      </c>
      <c r="Y459" s="24">
        <v>2016</v>
      </c>
      <c r="Z459" s="25">
        <v>201613</v>
      </c>
    </row>
    <row r="460" spans="20:26" x14ac:dyDescent="0.25">
      <c r="T460" s="43">
        <v>42459</v>
      </c>
      <c r="U460" t="str">
        <f t="shared" si="7"/>
        <v>1613</v>
      </c>
      <c r="V460" s="44" t="s">
        <v>85</v>
      </c>
      <c r="W460" s="44">
        <v>42456</v>
      </c>
      <c r="X460" s="24">
        <v>13</v>
      </c>
      <c r="Y460" s="24">
        <v>2016</v>
      </c>
      <c r="Z460" s="25">
        <v>201613</v>
      </c>
    </row>
    <row r="461" spans="20:26" x14ac:dyDescent="0.25">
      <c r="T461" s="43">
        <v>42460</v>
      </c>
      <c r="U461" t="str">
        <f t="shared" si="7"/>
        <v>1613</v>
      </c>
      <c r="V461" s="44" t="s">
        <v>86</v>
      </c>
      <c r="W461" s="44">
        <v>42456</v>
      </c>
      <c r="X461" s="24">
        <v>13</v>
      </c>
      <c r="Y461" s="24">
        <v>2016</v>
      </c>
      <c r="Z461" s="25">
        <v>201613</v>
      </c>
    </row>
    <row r="462" spans="20:26" x14ac:dyDescent="0.25">
      <c r="T462" s="43">
        <v>42461</v>
      </c>
      <c r="U462" t="str">
        <f t="shared" si="7"/>
        <v>1613</v>
      </c>
      <c r="V462" s="44" t="s">
        <v>87</v>
      </c>
      <c r="W462" s="44">
        <v>42456</v>
      </c>
      <c r="X462" s="24">
        <v>13</v>
      </c>
      <c r="Y462" s="24">
        <v>2016</v>
      </c>
      <c r="Z462" s="25">
        <v>201613</v>
      </c>
    </row>
    <row r="463" spans="20:26" x14ac:dyDescent="0.25">
      <c r="T463" s="43">
        <v>42462</v>
      </c>
      <c r="U463" t="str">
        <f t="shared" si="7"/>
        <v>1613</v>
      </c>
      <c r="V463" s="44" t="s">
        <v>88</v>
      </c>
      <c r="W463" s="44">
        <v>42456</v>
      </c>
      <c r="X463" s="24">
        <v>13</v>
      </c>
      <c r="Y463" s="24">
        <v>2016</v>
      </c>
      <c r="Z463" s="25">
        <v>201613</v>
      </c>
    </row>
    <row r="464" spans="20:26" x14ac:dyDescent="0.25">
      <c r="T464" s="43">
        <v>42463</v>
      </c>
      <c r="U464" t="str">
        <f t="shared" si="7"/>
        <v>1614</v>
      </c>
      <c r="V464" s="44" t="s">
        <v>82</v>
      </c>
      <c r="W464" s="44">
        <v>42463</v>
      </c>
      <c r="X464" s="24">
        <v>14</v>
      </c>
      <c r="Y464" s="24">
        <v>2016</v>
      </c>
      <c r="Z464" s="25">
        <v>201614</v>
      </c>
    </row>
    <row r="465" spans="20:26" x14ac:dyDescent="0.25">
      <c r="T465" s="43">
        <v>42464</v>
      </c>
      <c r="U465" t="str">
        <f t="shared" si="7"/>
        <v>1614</v>
      </c>
      <c r="V465" s="44" t="s">
        <v>83</v>
      </c>
      <c r="W465" s="44">
        <v>42463</v>
      </c>
      <c r="X465" s="24">
        <v>14</v>
      </c>
      <c r="Y465" s="24">
        <v>2016</v>
      </c>
      <c r="Z465" s="25">
        <v>201614</v>
      </c>
    </row>
    <row r="466" spans="20:26" x14ac:dyDescent="0.25">
      <c r="T466" s="43">
        <v>42465</v>
      </c>
      <c r="U466" t="str">
        <f t="shared" si="7"/>
        <v>1614</v>
      </c>
      <c r="V466" s="44" t="s">
        <v>84</v>
      </c>
      <c r="W466" s="44">
        <v>42463</v>
      </c>
      <c r="X466" s="24">
        <v>14</v>
      </c>
      <c r="Y466" s="24">
        <v>2016</v>
      </c>
      <c r="Z466" s="25">
        <v>201614</v>
      </c>
    </row>
    <row r="467" spans="20:26" x14ac:dyDescent="0.25">
      <c r="T467" s="43">
        <v>42466</v>
      </c>
      <c r="U467" t="str">
        <f t="shared" si="7"/>
        <v>1614</v>
      </c>
      <c r="V467" s="44" t="s">
        <v>85</v>
      </c>
      <c r="W467" s="44">
        <v>42463</v>
      </c>
      <c r="X467" s="24">
        <v>14</v>
      </c>
      <c r="Y467" s="24">
        <v>2016</v>
      </c>
      <c r="Z467" s="25">
        <v>201614</v>
      </c>
    </row>
    <row r="468" spans="20:26" x14ac:dyDescent="0.25">
      <c r="T468" s="43">
        <v>42467</v>
      </c>
      <c r="U468" t="str">
        <f t="shared" si="7"/>
        <v>1614</v>
      </c>
      <c r="V468" s="44" t="s">
        <v>86</v>
      </c>
      <c r="W468" s="44">
        <v>42463</v>
      </c>
      <c r="X468" s="24">
        <v>14</v>
      </c>
      <c r="Y468" s="24">
        <v>2016</v>
      </c>
      <c r="Z468" s="25">
        <v>201614</v>
      </c>
    </row>
    <row r="469" spans="20:26" x14ac:dyDescent="0.25">
      <c r="T469" s="43">
        <v>42468</v>
      </c>
      <c r="U469" t="str">
        <f t="shared" si="7"/>
        <v>1614</v>
      </c>
      <c r="V469" s="44" t="s">
        <v>87</v>
      </c>
      <c r="W469" s="44">
        <v>42463</v>
      </c>
      <c r="X469" s="24">
        <v>14</v>
      </c>
      <c r="Y469" s="24">
        <v>2016</v>
      </c>
      <c r="Z469" s="25">
        <v>201614</v>
      </c>
    </row>
    <row r="470" spans="20:26" x14ac:dyDescent="0.25">
      <c r="T470" s="43">
        <v>42469</v>
      </c>
      <c r="U470" t="str">
        <f t="shared" si="7"/>
        <v>1614</v>
      </c>
      <c r="V470" s="44" t="s">
        <v>88</v>
      </c>
      <c r="W470" s="44">
        <v>42463</v>
      </c>
      <c r="X470" s="24">
        <v>14</v>
      </c>
      <c r="Y470" s="24">
        <v>2016</v>
      </c>
      <c r="Z470" s="25">
        <v>201614</v>
      </c>
    </row>
    <row r="471" spans="20:26" x14ac:dyDescent="0.25">
      <c r="T471" s="43">
        <v>42470</v>
      </c>
      <c r="U471" t="str">
        <f t="shared" si="7"/>
        <v>1615</v>
      </c>
      <c r="V471" s="44" t="s">
        <v>82</v>
      </c>
      <c r="W471" s="44">
        <v>42470</v>
      </c>
      <c r="X471" s="24">
        <v>15</v>
      </c>
      <c r="Y471" s="24">
        <v>2016</v>
      </c>
      <c r="Z471" s="25">
        <v>201615</v>
      </c>
    </row>
    <row r="472" spans="20:26" x14ac:dyDescent="0.25">
      <c r="T472" s="43">
        <v>42471</v>
      </c>
      <c r="U472" t="str">
        <f t="shared" si="7"/>
        <v>1615</v>
      </c>
      <c r="V472" s="44" t="s">
        <v>83</v>
      </c>
      <c r="W472" s="44">
        <v>42470</v>
      </c>
      <c r="X472" s="24">
        <v>15</v>
      </c>
      <c r="Y472" s="24">
        <v>2016</v>
      </c>
      <c r="Z472" s="25">
        <v>201615</v>
      </c>
    </row>
    <row r="473" spans="20:26" x14ac:dyDescent="0.25">
      <c r="T473" s="43">
        <v>42472</v>
      </c>
      <c r="U473" t="str">
        <f t="shared" si="7"/>
        <v>1615</v>
      </c>
      <c r="V473" s="44" t="s">
        <v>84</v>
      </c>
      <c r="W473" s="44">
        <v>42470</v>
      </c>
      <c r="X473" s="24">
        <v>15</v>
      </c>
      <c r="Y473" s="24">
        <v>2016</v>
      </c>
      <c r="Z473" s="25">
        <v>201615</v>
      </c>
    </row>
    <row r="474" spans="20:26" x14ac:dyDescent="0.25">
      <c r="T474" s="43">
        <v>42473</v>
      </c>
      <c r="U474" t="str">
        <f t="shared" si="7"/>
        <v>1615</v>
      </c>
      <c r="V474" s="44" t="s">
        <v>85</v>
      </c>
      <c r="W474" s="44">
        <v>42470</v>
      </c>
      <c r="X474" s="24">
        <v>15</v>
      </c>
      <c r="Y474" s="24">
        <v>2016</v>
      </c>
      <c r="Z474" s="25">
        <v>201615</v>
      </c>
    </row>
    <row r="475" spans="20:26" x14ac:dyDescent="0.25">
      <c r="T475" s="43">
        <v>42474</v>
      </c>
      <c r="U475" t="str">
        <f t="shared" si="7"/>
        <v>1615</v>
      </c>
      <c r="V475" s="44" t="s">
        <v>86</v>
      </c>
      <c r="W475" s="44">
        <v>42470</v>
      </c>
      <c r="X475" s="24">
        <v>15</v>
      </c>
      <c r="Y475" s="24">
        <v>2016</v>
      </c>
      <c r="Z475" s="25">
        <v>201615</v>
      </c>
    </row>
    <row r="476" spans="20:26" x14ac:dyDescent="0.25">
      <c r="T476" s="43">
        <v>42475</v>
      </c>
      <c r="U476" t="str">
        <f t="shared" si="7"/>
        <v>1615</v>
      </c>
      <c r="V476" s="44" t="s">
        <v>87</v>
      </c>
      <c r="W476" s="44">
        <v>42470</v>
      </c>
      <c r="X476" s="24">
        <v>15</v>
      </c>
      <c r="Y476" s="24">
        <v>2016</v>
      </c>
      <c r="Z476" s="25">
        <v>201615</v>
      </c>
    </row>
    <row r="477" spans="20:26" x14ac:dyDescent="0.25">
      <c r="T477" s="43">
        <v>42476</v>
      </c>
      <c r="U477" t="str">
        <f t="shared" si="7"/>
        <v>1615</v>
      </c>
      <c r="V477" s="44" t="s">
        <v>88</v>
      </c>
      <c r="W477" s="44">
        <v>42470</v>
      </c>
      <c r="X477" s="24">
        <v>15</v>
      </c>
      <c r="Y477" s="24">
        <v>2016</v>
      </c>
      <c r="Z477" s="25">
        <v>201615</v>
      </c>
    </row>
    <row r="478" spans="20:26" x14ac:dyDescent="0.25">
      <c r="T478" s="43">
        <v>42477</v>
      </c>
      <c r="U478" t="str">
        <f t="shared" si="7"/>
        <v>1616</v>
      </c>
      <c r="V478" s="44" t="s">
        <v>82</v>
      </c>
      <c r="W478" s="44">
        <v>42477</v>
      </c>
      <c r="X478" s="24">
        <v>16</v>
      </c>
      <c r="Y478" s="24">
        <v>2016</v>
      </c>
      <c r="Z478" s="25">
        <v>201616</v>
      </c>
    </row>
    <row r="479" spans="20:26" x14ac:dyDescent="0.25">
      <c r="T479" s="43">
        <v>42478</v>
      </c>
      <c r="U479" t="str">
        <f t="shared" si="7"/>
        <v>1616</v>
      </c>
      <c r="V479" s="44" t="s">
        <v>83</v>
      </c>
      <c r="W479" s="44">
        <v>42477</v>
      </c>
      <c r="X479" s="24">
        <v>16</v>
      </c>
      <c r="Y479" s="24">
        <v>2016</v>
      </c>
      <c r="Z479" s="25">
        <v>201616</v>
      </c>
    </row>
    <row r="480" spans="20:26" x14ac:dyDescent="0.25">
      <c r="T480" s="43">
        <v>42479</v>
      </c>
      <c r="U480" t="str">
        <f t="shared" si="7"/>
        <v>1616</v>
      </c>
      <c r="V480" s="44" t="s">
        <v>84</v>
      </c>
      <c r="W480" s="44">
        <v>42477</v>
      </c>
      <c r="X480" s="24">
        <v>16</v>
      </c>
      <c r="Y480" s="24">
        <v>2016</v>
      </c>
      <c r="Z480" s="25">
        <v>201616</v>
      </c>
    </row>
    <row r="481" spans="20:26" x14ac:dyDescent="0.25">
      <c r="T481" s="43">
        <v>42480</v>
      </c>
      <c r="U481" t="str">
        <f t="shared" si="7"/>
        <v>1616</v>
      </c>
      <c r="V481" s="44" t="s">
        <v>85</v>
      </c>
      <c r="W481" s="44">
        <v>42477</v>
      </c>
      <c r="X481" s="24">
        <v>16</v>
      </c>
      <c r="Y481" s="24">
        <v>2016</v>
      </c>
      <c r="Z481" s="25">
        <v>201616</v>
      </c>
    </row>
    <row r="482" spans="20:26" x14ac:dyDescent="0.25">
      <c r="T482" s="43">
        <v>42481</v>
      </c>
      <c r="U482" t="str">
        <f t="shared" si="7"/>
        <v>1616</v>
      </c>
      <c r="V482" s="44" t="s">
        <v>86</v>
      </c>
      <c r="W482" s="44">
        <v>42477</v>
      </c>
      <c r="X482" s="24">
        <v>16</v>
      </c>
      <c r="Y482" s="24">
        <v>2016</v>
      </c>
      <c r="Z482" s="25">
        <v>201616</v>
      </c>
    </row>
    <row r="483" spans="20:26" x14ac:dyDescent="0.25">
      <c r="T483" s="43">
        <v>42482</v>
      </c>
      <c r="U483" t="str">
        <f t="shared" si="7"/>
        <v>1616</v>
      </c>
      <c r="V483" s="44" t="s">
        <v>87</v>
      </c>
      <c r="W483" s="44">
        <v>42477</v>
      </c>
      <c r="X483" s="24">
        <v>16</v>
      </c>
      <c r="Y483" s="24">
        <v>2016</v>
      </c>
      <c r="Z483" s="25">
        <v>201616</v>
      </c>
    </row>
    <row r="484" spans="20:26" x14ac:dyDescent="0.25">
      <c r="T484" s="43">
        <v>42483</v>
      </c>
      <c r="U484" t="str">
        <f t="shared" si="7"/>
        <v>1616</v>
      </c>
      <c r="V484" s="44" t="s">
        <v>88</v>
      </c>
      <c r="W484" s="44">
        <v>42477</v>
      </c>
      <c r="X484" s="24">
        <v>16</v>
      </c>
      <c r="Y484" s="24">
        <v>2016</v>
      </c>
      <c r="Z484" s="25">
        <v>201616</v>
      </c>
    </row>
    <row r="485" spans="20:26" x14ac:dyDescent="0.25">
      <c r="T485" s="43">
        <v>42484</v>
      </c>
      <c r="U485" t="str">
        <f t="shared" si="7"/>
        <v>1617</v>
      </c>
      <c r="V485" s="44" t="s">
        <v>82</v>
      </c>
      <c r="W485" s="44">
        <v>42484</v>
      </c>
      <c r="X485" s="24">
        <v>17</v>
      </c>
      <c r="Y485" s="24">
        <v>2016</v>
      </c>
      <c r="Z485" s="25">
        <v>201617</v>
      </c>
    </row>
    <row r="486" spans="20:26" x14ac:dyDescent="0.25">
      <c r="T486" s="43">
        <v>42485</v>
      </c>
      <c r="U486" t="str">
        <f t="shared" si="7"/>
        <v>1617</v>
      </c>
      <c r="V486" s="44" t="s">
        <v>83</v>
      </c>
      <c r="W486" s="44">
        <v>42484</v>
      </c>
      <c r="X486" s="24">
        <v>17</v>
      </c>
      <c r="Y486" s="24">
        <v>2016</v>
      </c>
      <c r="Z486" s="25">
        <v>201617</v>
      </c>
    </row>
    <row r="487" spans="20:26" x14ac:dyDescent="0.25">
      <c r="T487" s="43">
        <v>42486</v>
      </c>
      <c r="U487" t="str">
        <f t="shared" si="7"/>
        <v>1617</v>
      </c>
      <c r="V487" s="44" t="s">
        <v>84</v>
      </c>
      <c r="W487" s="44">
        <v>42484</v>
      </c>
      <c r="X487" s="24">
        <v>17</v>
      </c>
      <c r="Y487" s="24">
        <v>2016</v>
      </c>
      <c r="Z487" s="25">
        <v>201617</v>
      </c>
    </row>
    <row r="488" spans="20:26" x14ac:dyDescent="0.25">
      <c r="T488" s="43">
        <v>42487</v>
      </c>
      <c r="U488" t="str">
        <f t="shared" si="7"/>
        <v>1617</v>
      </c>
      <c r="V488" s="44" t="s">
        <v>85</v>
      </c>
      <c r="W488" s="44">
        <v>42484</v>
      </c>
      <c r="X488" s="24">
        <v>17</v>
      </c>
      <c r="Y488" s="24">
        <v>2016</v>
      </c>
      <c r="Z488" s="25">
        <v>201617</v>
      </c>
    </row>
    <row r="489" spans="20:26" x14ac:dyDescent="0.25">
      <c r="T489" s="43">
        <v>42488</v>
      </c>
      <c r="U489" t="str">
        <f t="shared" si="7"/>
        <v>1617</v>
      </c>
      <c r="V489" s="44" t="s">
        <v>86</v>
      </c>
      <c r="W489" s="44">
        <v>42484</v>
      </c>
      <c r="X489" s="24">
        <v>17</v>
      </c>
      <c r="Y489" s="24">
        <v>2016</v>
      </c>
      <c r="Z489" s="25">
        <v>201617</v>
      </c>
    </row>
    <row r="490" spans="20:26" x14ac:dyDescent="0.25">
      <c r="T490" s="43">
        <v>42489</v>
      </c>
      <c r="U490" t="str">
        <f t="shared" si="7"/>
        <v>1617</v>
      </c>
      <c r="V490" s="44" t="s">
        <v>87</v>
      </c>
      <c r="W490" s="44">
        <v>42484</v>
      </c>
      <c r="X490" s="24">
        <v>17</v>
      </c>
      <c r="Y490" s="24">
        <v>2016</v>
      </c>
      <c r="Z490" s="25">
        <v>201617</v>
      </c>
    </row>
    <row r="491" spans="20:26" x14ac:dyDescent="0.25">
      <c r="T491" s="43">
        <v>42490</v>
      </c>
      <c r="U491" t="str">
        <f t="shared" si="7"/>
        <v>1617</v>
      </c>
      <c r="V491" s="44" t="s">
        <v>88</v>
      </c>
      <c r="W491" s="44">
        <v>42484</v>
      </c>
      <c r="X491" s="24">
        <v>17</v>
      </c>
      <c r="Y491" s="24">
        <v>2016</v>
      </c>
      <c r="Z491" s="25">
        <v>201617</v>
      </c>
    </row>
    <row r="492" spans="20:26" x14ac:dyDescent="0.25">
      <c r="T492" s="43">
        <v>42491</v>
      </c>
      <c r="U492" t="str">
        <f t="shared" si="7"/>
        <v>1618</v>
      </c>
      <c r="V492" s="44" t="s">
        <v>82</v>
      </c>
      <c r="W492" s="44">
        <v>42491</v>
      </c>
      <c r="X492" s="24">
        <v>18</v>
      </c>
      <c r="Y492" s="24">
        <v>2016</v>
      </c>
      <c r="Z492" s="25">
        <v>201618</v>
      </c>
    </row>
    <row r="493" spans="20:26" x14ac:dyDescent="0.25">
      <c r="T493" s="43">
        <v>42492</v>
      </c>
      <c r="U493" t="str">
        <f t="shared" si="7"/>
        <v>1618</v>
      </c>
      <c r="V493" s="44" t="s">
        <v>83</v>
      </c>
      <c r="W493" s="44">
        <v>42491</v>
      </c>
      <c r="X493" s="24">
        <v>18</v>
      </c>
      <c r="Y493" s="24">
        <v>2016</v>
      </c>
      <c r="Z493" s="25">
        <v>201618</v>
      </c>
    </row>
    <row r="494" spans="20:26" x14ac:dyDescent="0.25">
      <c r="T494" s="43">
        <v>42493</v>
      </c>
      <c r="U494" t="str">
        <f t="shared" si="7"/>
        <v>1618</v>
      </c>
      <c r="V494" s="44" t="s">
        <v>84</v>
      </c>
      <c r="W494" s="44">
        <v>42491</v>
      </c>
      <c r="X494" s="24">
        <v>18</v>
      </c>
      <c r="Y494" s="24">
        <v>2016</v>
      </c>
      <c r="Z494" s="25">
        <v>201618</v>
      </c>
    </row>
    <row r="495" spans="20:26" x14ac:dyDescent="0.25">
      <c r="T495" s="43">
        <v>42494</v>
      </c>
      <c r="U495" t="str">
        <f t="shared" si="7"/>
        <v>1618</v>
      </c>
      <c r="V495" s="44" t="s">
        <v>85</v>
      </c>
      <c r="W495" s="44">
        <v>42491</v>
      </c>
      <c r="X495" s="24">
        <v>18</v>
      </c>
      <c r="Y495" s="24">
        <v>2016</v>
      </c>
      <c r="Z495" s="25">
        <v>201618</v>
      </c>
    </row>
    <row r="496" spans="20:26" x14ac:dyDescent="0.25">
      <c r="T496" s="43">
        <v>42495</v>
      </c>
      <c r="U496" t="str">
        <f t="shared" si="7"/>
        <v>1618</v>
      </c>
      <c r="V496" s="44" t="s">
        <v>86</v>
      </c>
      <c r="W496" s="44">
        <v>42491</v>
      </c>
      <c r="X496" s="24">
        <v>18</v>
      </c>
      <c r="Y496" s="24">
        <v>2016</v>
      </c>
      <c r="Z496" s="25">
        <v>201618</v>
      </c>
    </row>
    <row r="497" spans="20:26" x14ac:dyDescent="0.25">
      <c r="T497" s="43">
        <v>42496</v>
      </c>
      <c r="U497" t="str">
        <f t="shared" si="7"/>
        <v>1618</v>
      </c>
      <c r="V497" s="44" t="s">
        <v>87</v>
      </c>
      <c r="W497" s="44">
        <v>42491</v>
      </c>
      <c r="X497" s="24">
        <v>18</v>
      </c>
      <c r="Y497" s="24">
        <v>2016</v>
      </c>
      <c r="Z497" s="25">
        <v>201618</v>
      </c>
    </row>
    <row r="498" spans="20:26" x14ac:dyDescent="0.25">
      <c r="T498" s="43">
        <v>42497</v>
      </c>
      <c r="U498" t="str">
        <f t="shared" si="7"/>
        <v>1618</v>
      </c>
      <c r="V498" s="44" t="s">
        <v>88</v>
      </c>
      <c r="W498" s="44">
        <v>42491</v>
      </c>
      <c r="X498" s="24">
        <v>18</v>
      </c>
      <c r="Y498" s="24">
        <v>2016</v>
      </c>
      <c r="Z498" s="25">
        <v>201618</v>
      </c>
    </row>
    <row r="499" spans="20:26" x14ac:dyDescent="0.25">
      <c r="T499" s="43">
        <v>42498</v>
      </c>
      <c r="U499" t="str">
        <f t="shared" si="7"/>
        <v>1619</v>
      </c>
      <c r="V499" s="44" t="s">
        <v>82</v>
      </c>
      <c r="W499" s="44">
        <v>42498</v>
      </c>
      <c r="X499" s="24">
        <v>19</v>
      </c>
      <c r="Y499" s="24">
        <v>2016</v>
      </c>
      <c r="Z499" s="25">
        <v>201619</v>
      </c>
    </row>
    <row r="500" spans="20:26" x14ac:dyDescent="0.25">
      <c r="T500" s="43">
        <v>42499</v>
      </c>
      <c r="U500" t="str">
        <f t="shared" si="7"/>
        <v>1619</v>
      </c>
      <c r="V500" s="44" t="s">
        <v>83</v>
      </c>
      <c r="W500" s="44">
        <v>42498</v>
      </c>
      <c r="X500" s="24">
        <v>19</v>
      </c>
      <c r="Y500" s="24">
        <v>2016</v>
      </c>
      <c r="Z500" s="25">
        <v>201619</v>
      </c>
    </row>
    <row r="501" spans="20:26" x14ac:dyDescent="0.25">
      <c r="T501" s="43">
        <v>42500</v>
      </c>
      <c r="U501" t="str">
        <f t="shared" si="7"/>
        <v>1619</v>
      </c>
      <c r="V501" s="44" t="s">
        <v>84</v>
      </c>
      <c r="W501" s="44">
        <v>42498</v>
      </c>
      <c r="X501" s="24">
        <v>19</v>
      </c>
      <c r="Y501" s="24">
        <v>2016</v>
      </c>
      <c r="Z501" s="25">
        <v>201619</v>
      </c>
    </row>
    <row r="502" spans="20:26" x14ac:dyDescent="0.25">
      <c r="T502" s="43">
        <v>42501</v>
      </c>
      <c r="U502" t="str">
        <f t="shared" si="7"/>
        <v>1619</v>
      </c>
      <c r="V502" s="44" t="s">
        <v>85</v>
      </c>
      <c r="W502" s="44">
        <v>42498</v>
      </c>
      <c r="X502" s="24">
        <v>19</v>
      </c>
      <c r="Y502" s="24">
        <v>2016</v>
      </c>
      <c r="Z502" s="25">
        <v>201619</v>
      </c>
    </row>
    <row r="503" spans="20:26" x14ac:dyDescent="0.25">
      <c r="T503" s="43">
        <v>42502</v>
      </c>
      <c r="U503" t="str">
        <f t="shared" si="7"/>
        <v>1619</v>
      </c>
      <c r="V503" s="44" t="s">
        <v>86</v>
      </c>
      <c r="W503" s="44">
        <v>42498</v>
      </c>
      <c r="X503" s="24">
        <v>19</v>
      </c>
      <c r="Y503" s="24">
        <v>2016</v>
      </c>
      <c r="Z503" s="25">
        <v>201619</v>
      </c>
    </row>
    <row r="504" spans="20:26" x14ac:dyDescent="0.25">
      <c r="T504" s="43">
        <v>42503</v>
      </c>
      <c r="U504" t="str">
        <f t="shared" si="7"/>
        <v>1619</v>
      </c>
      <c r="V504" s="44" t="s">
        <v>87</v>
      </c>
      <c r="W504" s="44">
        <v>42498</v>
      </c>
      <c r="X504" s="24">
        <v>19</v>
      </c>
      <c r="Y504" s="24">
        <v>2016</v>
      </c>
      <c r="Z504" s="25">
        <v>201619</v>
      </c>
    </row>
    <row r="505" spans="20:26" x14ac:dyDescent="0.25">
      <c r="T505" s="43">
        <v>42504</v>
      </c>
      <c r="U505" t="str">
        <f t="shared" si="7"/>
        <v>1619</v>
      </c>
      <c r="V505" s="44" t="s">
        <v>88</v>
      </c>
      <c r="W505" s="44">
        <v>42498</v>
      </c>
      <c r="X505" s="24">
        <v>19</v>
      </c>
      <c r="Y505" s="24">
        <v>2016</v>
      </c>
      <c r="Z505" s="25">
        <v>201619</v>
      </c>
    </row>
    <row r="506" spans="20:26" x14ac:dyDescent="0.25">
      <c r="T506" s="43">
        <v>42505</v>
      </c>
      <c r="U506" t="str">
        <f t="shared" si="7"/>
        <v>1620</v>
      </c>
      <c r="V506" s="44" t="s">
        <v>82</v>
      </c>
      <c r="W506" s="44">
        <v>42505</v>
      </c>
      <c r="X506" s="24">
        <v>20</v>
      </c>
      <c r="Y506" s="24">
        <v>2016</v>
      </c>
      <c r="Z506" s="25">
        <v>201620</v>
      </c>
    </row>
    <row r="507" spans="20:26" x14ac:dyDescent="0.25">
      <c r="T507" s="43">
        <v>42506</v>
      </c>
      <c r="U507" t="str">
        <f t="shared" si="7"/>
        <v>1620</v>
      </c>
      <c r="V507" s="44" t="s">
        <v>83</v>
      </c>
      <c r="W507" s="44">
        <v>42505</v>
      </c>
      <c r="X507" s="24">
        <v>20</v>
      </c>
      <c r="Y507" s="24">
        <v>2016</v>
      </c>
      <c r="Z507" s="25">
        <v>201620</v>
      </c>
    </row>
    <row r="508" spans="20:26" x14ac:dyDescent="0.25">
      <c r="T508" s="43">
        <v>42507</v>
      </c>
      <c r="U508" t="str">
        <f t="shared" si="7"/>
        <v>1620</v>
      </c>
      <c r="V508" s="44" t="s">
        <v>84</v>
      </c>
      <c r="W508" s="44">
        <v>42505</v>
      </c>
      <c r="X508" s="24">
        <v>20</v>
      </c>
      <c r="Y508" s="24">
        <v>2016</v>
      </c>
      <c r="Z508" s="25">
        <v>201620</v>
      </c>
    </row>
    <row r="509" spans="20:26" x14ac:dyDescent="0.25">
      <c r="T509" s="43">
        <v>42508</v>
      </c>
      <c r="U509" t="str">
        <f t="shared" si="7"/>
        <v>1620</v>
      </c>
      <c r="V509" s="44" t="s">
        <v>85</v>
      </c>
      <c r="W509" s="44">
        <v>42505</v>
      </c>
      <c r="X509" s="24">
        <v>20</v>
      </c>
      <c r="Y509" s="24">
        <v>2016</v>
      </c>
      <c r="Z509" s="25">
        <v>201620</v>
      </c>
    </row>
    <row r="510" spans="20:26" x14ac:dyDescent="0.25">
      <c r="T510" s="43">
        <v>42509</v>
      </c>
      <c r="U510" t="str">
        <f t="shared" si="7"/>
        <v>1620</v>
      </c>
      <c r="V510" s="44" t="s">
        <v>86</v>
      </c>
      <c r="W510" s="44">
        <v>42505</v>
      </c>
      <c r="X510" s="24">
        <v>20</v>
      </c>
      <c r="Y510" s="24">
        <v>2016</v>
      </c>
      <c r="Z510" s="25">
        <v>201620</v>
      </c>
    </row>
    <row r="511" spans="20:26" x14ac:dyDescent="0.25">
      <c r="T511" s="43">
        <v>42510</v>
      </c>
      <c r="U511" t="str">
        <f t="shared" si="7"/>
        <v>1620</v>
      </c>
      <c r="V511" s="44" t="s">
        <v>87</v>
      </c>
      <c r="W511" s="44">
        <v>42505</v>
      </c>
      <c r="X511" s="24">
        <v>20</v>
      </c>
      <c r="Y511" s="24">
        <v>2016</v>
      </c>
      <c r="Z511" s="25">
        <v>201620</v>
      </c>
    </row>
    <row r="512" spans="20:26" x14ac:dyDescent="0.25">
      <c r="T512" s="43">
        <v>42511</v>
      </c>
      <c r="U512" t="str">
        <f t="shared" si="7"/>
        <v>1620</v>
      </c>
      <c r="V512" s="44" t="s">
        <v>88</v>
      </c>
      <c r="W512" s="44">
        <v>42505</v>
      </c>
      <c r="X512" s="24">
        <v>20</v>
      </c>
      <c r="Y512" s="24">
        <v>2016</v>
      </c>
      <c r="Z512" s="25">
        <v>201620</v>
      </c>
    </row>
    <row r="513" spans="20:26" x14ac:dyDescent="0.25">
      <c r="T513" s="43">
        <v>42512</v>
      </c>
      <c r="U513" t="str">
        <f t="shared" si="7"/>
        <v>1621</v>
      </c>
      <c r="V513" s="44" t="s">
        <v>82</v>
      </c>
      <c r="W513" s="44">
        <v>42512</v>
      </c>
      <c r="X513" s="24">
        <v>21</v>
      </c>
      <c r="Y513" s="24">
        <v>2016</v>
      </c>
      <c r="Z513" s="25">
        <v>201621</v>
      </c>
    </row>
    <row r="514" spans="20:26" x14ac:dyDescent="0.25">
      <c r="T514" s="43">
        <v>42513</v>
      </c>
      <c r="U514" t="str">
        <f t="shared" ref="U514:U577" si="8">RIGHT(Z514,4)</f>
        <v>1621</v>
      </c>
      <c r="V514" s="44" t="s">
        <v>83</v>
      </c>
      <c r="W514" s="44">
        <v>42512</v>
      </c>
      <c r="X514" s="24">
        <v>21</v>
      </c>
      <c r="Y514" s="24">
        <v>2016</v>
      </c>
      <c r="Z514" s="25">
        <v>201621</v>
      </c>
    </row>
    <row r="515" spans="20:26" x14ac:dyDescent="0.25">
      <c r="T515" s="43">
        <v>42514</v>
      </c>
      <c r="U515" t="str">
        <f t="shared" si="8"/>
        <v>1621</v>
      </c>
      <c r="V515" s="44" t="s">
        <v>84</v>
      </c>
      <c r="W515" s="44">
        <v>42512</v>
      </c>
      <c r="X515" s="24">
        <v>21</v>
      </c>
      <c r="Y515" s="24">
        <v>2016</v>
      </c>
      <c r="Z515" s="25">
        <v>201621</v>
      </c>
    </row>
    <row r="516" spans="20:26" x14ac:dyDescent="0.25">
      <c r="T516" s="43">
        <v>42515</v>
      </c>
      <c r="U516" t="str">
        <f t="shared" si="8"/>
        <v>1621</v>
      </c>
      <c r="V516" s="44" t="s">
        <v>85</v>
      </c>
      <c r="W516" s="44">
        <v>42512</v>
      </c>
      <c r="X516" s="24">
        <v>21</v>
      </c>
      <c r="Y516" s="24">
        <v>2016</v>
      </c>
      <c r="Z516" s="25">
        <v>201621</v>
      </c>
    </row>
    <row r="517" spans="20:26" x14ac:dyDescent="0.25">
      <c r="T517" s="43">
        <v>42516</v>
      </c>
      <c r="U517" t="str">
        <f t="shared" si="8"/>
        <v>1621</v>
      </c>
      <c r="V517" s="44" t="s">
        <v>86</v>
      </c>
      <c r="W517" s="44">
        <v>42512</v>
      </c>
      <c r="X517" s="24">
        <v>21</v>
      </c>
      <c r="Y517" s="24">
        <v>2016</v>
      </c>
      <c r="Z517" s="25">
        <v>201621</v>
      </c>
    </row>
    <row r="518" spans="20:26" x14ac:dyDescent="0.25">
      <c r="T518" s="43">
        <v>42517</v>
      </c>
      <c r="U518" t="str">
        <f t="shared" si="8"/>
        <v>1621</v>
      </c>
      <c r="V518" s="44" t="s">
        <v>87</v>
      </c>
      <c r="W518" s="44">
        <v>42512</v>
      </c>
      <c r="X518" s="24">
        <v>21</v>
      </c>
      <c r="Y518" s="24">
        <v>2016</v>
      </c>
      <c r="Z518" s="25">
        <v>201621</v>
      </c>
    </row>
    <row r="519" spans="20:26" x14ac:dyDescent="0.25">
      <c r="T519" s="43">
        <v>42518</v>
      </c>
      <c r="U519" t="str">
        <f t="shared" si="8"/>
        <v>1621</v>
      </c>
      <c r="V519" s="44" t="s">
        <v>88</v>
      </c>
      <c r="W519" s="44">
        <v>42512</v>
      </c>
      <c r="X519" s="24">
        <v>21</v>
      </c>
      <c r="Y519" s="24">
        <v>2016</v>
      </c>
      <c r="Z519" s="25">
        <v>201621</v>
      </c>
    </row>
    <row r="520" spans="20:26" x14ac:dyDescent="0.25">
      <c r="T520" s="43">
        <v>42519</v>
      </c>
      <c r="U520" t="str">
        <f t="shared" si="8"/>
        <v>1622</v>
      </c>
      <c r="V520" s="44" t="s">
        <v>82</v>
      </c>
      <c r="W520" s="44">
        <v>42519</v>
      </c>
      <c r="X520" s="24">
        <v>22</v>
      </c>
      <c r="Y520" s="24">
        <v>2016</v>
      </c>
      <c r="Z520" s="25">
        <v>201622</v>
      </c>
    </row>
    <row r="521" spans="20:26" x14ac:dyDescent="0.25">
      <c r="T521" s="43">
        <v>42520</v>
      </c>
      <c r="U521" t="str">
        <f t="shared" si="8"/>
        <v>1622</v>
      </c>
      <c r="V521" s="44" t="s">
        <v>83</v>
      </c>
      <c r="W521" s="44">
        <v>42519</v>
      </c>
      <c r="X521" s="24">
        <v>22</v>
      </c>
      <c r="Y521" s="24">
        <v>2016</v>
      </c>
      <c r="Z521" s="25">
        <v>201622</v>
      </c>
    </row>
    <row r="522" spans="20:26" x14ac:dyDescent="0.25">
      <c r="T522" s="43">
        <v>42521</v>
      </c>
      <c r="U522" t="str">
        <f t="shared" si="8"/>
        <v>1622</v>
      </c>
      <c r="V522" s="44" t="s">
        <v>84</v>
      </c>
      <c r="W522" s="44">
        <v>42519</v>
      </c>
      <c r="X522" s="24">
        <v>22</v>
      </c>
      <c r="Y522" s="24">
        <v>2016</v>
      </c>
      <c r="Z522" s="25">
        <v>201622</v>
      </c>
    </row>
    <row r="523" spans="20:26" x14ac:dyDescent="0.25">
      <c r="T523" s="43">
        <v>42522</v>
      </c>
      <c r="U523" t="str">
        <f t="shared" si="8"/>
        <v>1622</v>
      </c>
      <c r="V523" s="44" t="s">
        <v>85</v>
      </c>
      <c r="W523" s="44">
        <v>42519</v>
      </c>
      <c r="X523" s="24">
        <v>22</v>
      </c>
      <c r="Y523" s="24">
        <v>2016</v>
      </c>
      <c r="Z523" s="25">
        <v>201622</v>
      </c>
    </row>
    <row r="524" spans="20:26" x14ac:dyDescent="0.25">
      <c r="T524" s="43">
        <v>42523</v>
      </c>
      <c r="U524" t="str">
        <f t="shared" si="8"/>
        <v>1622</v>
      </c>
      <c r="V524" s="44" t="s">
        <v>86</v>
      </c>
      <c r="W524" s="44">
        <v>42519</v>
      </c>
      <c r="X524" s="24">
        <v>22</v>
      </c>
      <c r="Y524" s="24">
        <v>2016</v>
      </c>
      <c r="Z524" s="25">
        <v>201622</v>
      </c>
    </row>
    <row r="525" spans="20:26" x14ac:dyDescent="0.25">
      <c r="T525" s="43">
        <v>42524</v>
      </c>
      <c r="U525" t="str">
        <f t="shared" si="8"/>
        <v>1622</v>
      </c>
      <c r="V525" s="44" t="s">
        <v>87</v>
      </c>
      <c r="W525" s="44">
        <v>42519</v>
      </c>
      <c r="X525" s="24">
        <v>22</v>
      </c>
      <c r="Y525" s="24">
        <v>2016</v>
      </c>
      <c r="Z525" s="25">
        <v>201622</v>
      </c>
    </row>
    <row r="526" spans="20:26" x14ac:dyDescent="0.25">
      <c r="T526" s="43">
        <v>42525</v>
      </c>
      <c r="U526" t="str">
        <f t="shared" si="8"/>
        <v>1622</v>
      </c>
      <c r="V526" s="44" t="s">
        <v>88</v>
      </c>
      <c r="W526" s="44">
        <v>42519</v>
      </c>
      <c r="X526" s="24">
        <v>22</v>
      </c>
      <c r="Y526" s="24">
        <v>2016</v>
      </c>
      <c r="Z526" s="25">
        <v>201622</v>
      </c>
    </row>
    <row r="527" spans="20:26" x14ac:dyDescent="0.25">
      <c r="T527" s="43">
        <v>42526</v>
      </c>
      <c r="U527" t="str">
        <f t="shared" si="8"/>
        <v>1623</v>
      </c>
      <c r="V527" s="44" t="s">
        <v>82</v>
      </c>
      <c r="W527" s="44">
        <v>42526</v>
      </c>
      <c r="X527" s="24">
        <v>23</v>
      </c>
      <c r="Y527" s="24">
        <v>2016</v>
      </c>
      <c r="Z527" s="25">
        <v>201623</v>
      </c>
    </row>
    <row r="528" spans="20:26" x14ac:dyDescent="0.25">
      <c r="T528" s="43">
        <v>42527</v>
      </c>
      <c r="U528" t="str">
        <f t="shared" si="8"/>
        <v>1623</v>
      </c>
      <c r="V528" s="44" t="s">
        <v>83</v>
      </c>
      <c r="W528" s="44">
        <v>42526</v>
      </c>
      <c r="X528" s="24">
        <v>23</v>
      </c>
      <c r="Y528" s="24">
        <v>2016</v>
      </c>
      <c r="Z528" s="25">
        <v>201623</v>
      </c>
    </row>
    <row r="529" spans="20:26" x14ac:dyDescent="0.25">
      <c r="T529" s="43">
        <v>42528</v>
      </c>
      <c r="U529" t="str">
        <f t="shared" si="8"/>
        <v>1623</v>
      </c>
      <c r="V529" s="44" t="s">
        <v>84</v>
      </c>
      <c r="W529" s="44">
        <v>42526</v>
      </c>
      <c r="X529" s="24">
        <v>23</v>
      </c>
      <c r="Y529" s="24">
        <v>2016</v>
      </c>
      <c r="Z529" s="25">
        <v>201623</v>
      </c>
    </row>
    <row r="530" spans="20:26" x14ac:dyDescent="0.25">
      <c r="T530" s="43">
        <v>42529</v>
      </c>
      <c r="U530" t="str">
        <f t="shared" si="8"/>
        <v>1623</v>
      </c>
      <c r="V530" s="44" t="s">
        <v>85</v>
      </c>
      <c r="W530" s="44">
        <v>42526</v>
      </c>
      <c r="X530" s="24">
        <v>23</v>
      </c>
      <c r="Y530" s="24">
        <v>2016</v>
      </c>
      <c r="Z530" s="25">
        <v>201623</v>
      </c>
    </row>
    <row r="531" spans="20:26" x14ac:dyDescent="0.25">
      <c r="T531" s="43">
        <v>42530</v>
      </c>
      <c r="U531" t="str">
        <f t="shared" si="8"/>
        <v>1623</v>
      </c>
      <c r="V531" s="44" t="s">
        <v>86</v>
      </c>
      <c r="W531" s="44">
        <v>42526</v>
      </c>
      <c r="X531" s="24">
        <v>23</v>
      </c>
      <c r="Y531" s="24">
        <v>2016</v>
      </c>
      <c r="Z531" s="25">
        <v>201623</v>
      </c>
    </row>
    <row r="532" spans="20:26" x14ac:dyDescent="0.25">
      <c r="T532" s="43">
        <v>42531</v>
      </c>
      <c r="U532" t="str">
        <f t="shared" si="8"/>
        <v>1623</v>
      </c>
      <c r="V532" s="44" t="s">
        <v>87</v>
      </c>
      <c r="W532" s="44">
        <v>42526</v>
      </c>
      <c r="X532" s="24">
        <v>23</v>
      </c>
      <c r="Y532" s="24">
        <v>2016</v>
      </c>
      <c r="Z532" s="25">
        <v>201623</v>
      </c>
    </row>
    <row r="533" spans="20:26" x14ac:dyDescent="0.25">
      <c r="T533" s="43">
        <v>42532</v>
      </c>
      <c r="U533" t="str">
        <f t="shared" si="8"/>
        <v>1623</v>
      </c>
      <c r="V533" s="44" t="s">
        <v>88</v>
      </c>
      <c r="W533" s="44">
        <v>42526</v>
      </c>
      <c r="X533" s="24">
        <v>23</v>
      </c>
      <c r="Y533" s="24">
        <v>2016</v>
      </c>
      <c r="Z533" s="25">
        <v>201623</v>
      </c>
    </row>
    <row r="534" spans="20:26" x14ac:dyDescent="0.25">
      <c r="T534" s="43">
        <v>42533</v>
      </c>
      <c r="U534" t="str">
        <f t="shared" si="8"/>
        <v>1624</v>
      </c>
      <c r="V534" s="44" t="s">
        <v>82</v>
      </c>
      <c r="W534" s="44">
        <v>42533</v>
      </c>
      <c r="X534" s="24">
        <v>24</v>
      </c>
      <c r="Y534" s="24">
        <v>2016</v>
      </c>
      <c r="Z534" s="25">
        <v>201624</v>
      </c>
    </row>
    <row r="535" spans="20:26" x14ac:dyDescent="0.25">
      <c r="T535" s="43">
        <v>42534</v>
      </c>
      <c r="U535" t="str">
        <f t="shared" si="8"/>
        <v>1624</v>
      </c>
      <c r="V535" s="44" t="s">
        <v>83</v>
      </c>
      <c r="W535" s="44">
        <v>42533</v>
      </c>
      <c r="X535" s="24">
        <v>24</v>
      </c>
      <c r="Y535" s="24">
        <v>2016</v>
      </c>
      <c r="Z535" s="25">
        <v>201624</v>
      </c>
    </row>
    <row r="536" spans="20:26" x14ac:dyDescent="0.25">
      <c r="T536" s="43">
        <v>42535</v>
      </c>
      <c r="U536" t="str">
        <f t="shared" si="8"/>
        <v>1624</v>
      </c>
      <c r="V536" s="44" t="s">
        <v>84</v>
      </c>
      <c r="W536" s="44">
        <v>42533</v>
      </c>
      <c r="X536" s="24">
        <v>24</v>
      </c>
      <c r="Y536" s="24">
        <v>2016</v>
      </c>
      <c r="Z536" s="25">
        <v>201624</v>
      </c>
    </row>
    <row r="537" spans="20:26" x14ac:dyDescent="0.25">
      <c r="T537" s="43">
        <v>42536</v>
      </c>
      <c r="U537" t="str">
        <f t="shared" si="8"/>
        <v>1624</v>
      </c>
      <c r="V537" s="44" t="s">
        <v>85</v>
      </c>
      <c r="W537" s="44">
        <v>42533</v>
      </c>
      <c r="X537" s="24">
        <v>24</v>
      </c>
      <c r="Y537" s="24">
        <v>2016</v>
      </c>
      <c r="Z537" s="25">
        <v>201624</v>
      </c>
    </row>
    <row r="538" spans="20:26" x14ac:dyDescent="0.25">
      <c r="T538" s="43">
        <v>42537</v>
      </c>
      <c r="U538" t="str">
        <f t="shared" si="8"/>
        <v>1624</v>
      </c>
      <c r="V538" s="44" t="s">
        <v>86</v>
      </c>
      <c r="W538" s="44">
        <v>42533</v>
      </c>
      <c r="X538" s="24">
        <v>24</v>
      </c>
      <c r="Y538" s="24">
        <v>2016</v>
      </c>
      <c r="Z538" s="25">
        <v>201624</v>
      </c>
    </row>
    <row r="539" spans="20:26" x14ac:dyDescent="0.25">
      <c r="T539" s="43">
        <v>42538</v>
      </c>
      <c r="U539" t="str">
        <f t="shared" si="8"/>
        <v>1624</v>
      </c>
      <c r="V539" s="44" t="s">
        <v>87</v>
      </c>
      <c r="W539" s="44">
        <v>42533</v>
      </c>
      <c r="X539" s="24">
        <v>24</v>
      </c>
      <c r="Y539" s="24">
        <v>2016</v>
      </c>
      <c r="Z539" s="25">
        <v>201624</v>
      </c>
    </row>
    <row r="540" spans="20:26" x14ac:dyDescent="0.25">
      <c r="T540" s="43">
        <v>42539</v>
      </c>
      <c r="U540" t="str">
        <f t="shared" si="8"/>
        <v>1624</v>
      </c>
      <c r="V540" s="44" t="s">
        <v>88</v>
      </c>
      <c r="W540" s="44">
        <v>42533</v>
      </c>
      <c r="X540" s="24">
        <v>24</v>
      </c>
      <c r="Y540" s="24">
        <v>2016</v>
      </c>
      <c r="Z540" s="25">
        <v>201624</v>
      </c>
    </row>
    <row r="541" spans="20:26" x14ac:dyDescent="0.25">
      <c r="T541" s="43">
        <v>42540</v>
      </c>
      <c r="U541" t="str">
        <f t="shared" si="8"/>
        <v>1625</v>
      </c>
      <c r="V541" s="44" t="s">
        <v>82</v>
      </c>
      <c r="W541" s="44">
        <v>42540</v>
      </c>
      <c r="X541" s="24">
        <v>25</v>
      </c>
      <c r="Y541" s="24">
        <v>2016</v>
      </c>
      <c r="Z541" s="25">
        <v>201625</v>
      </c>
    </row>
    <row r="542" spans="20:26" x14ac:dyDescent="0.25">
      <c r="T542" s="43">
        <v>42541</v>
      </c>
      <c r="U542" t="str">
        <f t="shared" si="8"/>
        <v>1625</v>
      </c>
      <c r="V542" s="44" t="s">
        <v>83</v>
      </c>
      <c r="W542" s="44">
        <v>42540</v>
      </c>
      <c r="X542" s="24">
        <v>25</v>
      </c>
      <c r="Y542" s="24">
        <v>2016</v>
      </c>
      <c r="Z542" s="25">
        <v>201625</v>
      </c>
    </row>
    <row r="543" spans="20:26" x14ac:dyDescent="0.25">
      <c r="T543" s="43">
        <v>42542</v>
      </c>
      <c r="U543" t="str">
        <f t="shared" si="8"/>
        <v>1625</v>
      </c>
      <c r="V543" s="44" t="s">
        <v>84</v>
      </c>
      <c r="W543" s="44">
        <v>42540</v>
      </c>
      <c r="X543" s="24">
        <v>25</v>
      </c>
      <c r="Y543" s="24">
        <v>2016</v>
      </c>
      <c r="Z543" s="25">
        <v>201625</v>
      </c>
    </row>
    <row r="544" spans="20:26" x14ac:dyDescent="0.25">
      <c r="T544" s="43">
        <v>42543</v>
      </c>
      <c r="U544" t="str">
        <f t="shared" si="8"/>
        <v>1625</v>
      </c>
      <c r="V544" s="44" t="s">
        <v>85</v>
      </c>
      <c r="W544" s="44">
        <v>42540</v>
      </c>
      <c r="X544" s="24">
        <v>25</v>
      </c>
      <c r="Y544" s="24">
        <v>2016</v>
      </c>
      <c r="Z544" s="25">
        <v>201625</v>
      </c>
    </row>
    <row r="545" spans="20:26" x14ac:dyDescent="0.25">
      <c r="T545" s="43">
        <v>42544</v>
      </c>
      <c r="U545" t="str">
        <f t="shared" si="8"/>
        <v>1625</v>
      </c>
      <c r="V545" s="44" t="s">
        <v>86</v>
      </c>
      <c r="W545" s="44">
        <v>42540</v>
      </c>
      <c r="X545" s="24">
        <v>25</v>
      </c>
      <c r="Y545" s="24">
        <v>2016</v>
      </c>
      <c r="Z545" s="25">
        <v>201625</v>
      </c>
    </row>
    <row r="546" spans="20:26" x14ac:dyDescent="0.25">
      <c r="T546" s="43">
        <v>42545</v>
      </c>
      <c r="U546" t="str">
        <f t="shared" si="8"/>
        <v>1625</v>
      </c>
      <c r="V546" s="44" t="s">
        <v>87</v>
      </c>
      <c r="W546" s="44">
        <v>42540</v>
      </c>
      <c r="X546" s="24">
        <v>25</v>
      </c>
      <c r="Y546" s="24">
        <v>2016</v>
      </c>
      <c r="Z546" s="25">
        <v>201625</v>
      </c>
    </row>
    <row r="547" spans="20:26" x14ac:dyDescent="0.25">
      <c r="T547" s="43">
        <v>42546</v>
      </c>
      <c r="U547" t="str">
        <f t="shared" si="8"/>
        <v>1625</v>
      </c>
      <c r="V547" s="44" t="s">
        <v>88</v>
      </c>
      <c r="W547" s="44">
        <v>42540</v>
      </c>
      <c r="X547" s="24">
        <v>25</v>
      </c>
      <c r="Y547" s="24">
        <v>2016</v>
      </c>
      <c r="Z547" s="25">
        <v>201625</v>
      </c>
    </row>
    <row r="548" spans="20:26" x14ac:dyDescent="0.25">
      <c r="T548" s="43">
        <v>42547</v>
      </c>
      <c r="U548" t="str">
        <f t="shared" si="8"/>
        <v>1626</v>
      </c>
      <c r="V548" s="44" t="s">
        <v>82</v>
      </c>
      <c r="W548" s="44">
        <v>42547</v>
      </c>
      <c r="X548" s="24">
        <v>26</v>
      </c>
      <c r="Y548" s="24">
        <v>2016</v>
      </c>
      <c r="Z548" s="25">
        <v>201626</v>
      </c>
    </row>
    <row r="549" spans="20:26" x14ac:dyDescent="0.25">
      <c r="T549" s="43">
        <v>42548</v>
      </c>
      <c r="U549" t="str">
        <f t="shared" si="8"/>
        <v>1626</v>
      </c>
      <c r="V549" s="44" t="s">
        <v>83</v>
      </c>
      <c r="W549" s="44">
        <v>42547</v>
      </c>
      <c r="X549" s="24">
        <v>26</v>
      </c>
      <c r="Y549" s="24">
        <v>2016</v>
      </c>
      <c r="Z549" s="25">
        <v>201626</v>
      </c>
    </row>
    <row r="550" spans="20:26" x14ac:dyDescent="0.25">
      <c r="T550" s="43">
        <v>42549</v>
      </c>
      <c r="U550" t="str">
        <f t="shared" si="8"/>
        <v>1626</v>
      </c>
      <c r="V550" s="44" t="s">
        <v>84</v>
      </c>
      <c r="W550" s="44">
        <v>42547</v>
      </c>
      <c r="X550" s="24">
        <v>26</v>
      </c>
      <c r="Y550" s="24">
        <v>2016</v>
      </c>
      <c r="Z550" s="25">
        <v>201626</v>
      </c>
    </row>
    <row r="551" spans="20:26" x14ac:dyDescent="0.25">
      <c r="T551" s="43">
        <v>42550</v>
      </c>
      <c r="U551" t="str">
        <f t="shared" si="8"/>
        <v>1626</v>
      </c>
      <c r="V551" s="44" t="s">
        <v>85</v>
      </c>
      <c r="W551" s="44">
        <v>42547</v>
      </c>
      <c r="X551" s="24">
        <v>26</v>
      </c>
      <c r="Y551" s="24">
        <v>2016</v>
      </c>
      <c r="Z551" s="25">
        <v>201626</v>
      </c>
    </row>
    <row r="552" spans="20:26" x14ac:dyDescent="0.25">
      <c r="T552" s="43">
        <v>42551</v>
      </c>
      <c r="U552" t="str">
        <f t="shared" si="8"/>
        <v>1626</v>
      </c>
      <c r="V552" s="44" t="s">
        <v>86</v>
      </c>
      <c r="W552" s="44">
        <v>42547</v>
      </c>
      <c r="X552" s="24">
        <v>26</v>
      </c>
      <c r="Y552" s="24">
        <v>2016</v>
      </c>
      <c r="Z552" s="25">
        <v>201626</v>
      </c>
    </row>
    <row r="553" spans="20:26" x14ac:dyDescent="0.25">
      <c r="T553" s="43">
        <v>42552</v>
      </c>
      <c r="U553" t="str">
        <f t="shared" si="8"/>
        <v>1626</v>
      </c>
      <c r="V553" s="44" t="s">
        <v>87</v>
      </c>
      <c r="W553" s="44">
        <v>42547</v>
      </c>
      <c r="X553" s="24">
        <v>26</v>
      </c>
      <c r="Y553" s="24">
        <v>2016</v>
      </c>
      <c r="Z553" s="25">
        <v>201626</v>
      </c>
    </row>
    <row r="554" spans="20:26" x14ac:dyDescent="0.25">
      <c r="T554" s="43">
        <v>42553</v>
      </c>
      <c r="U554" t="str">
        <f t="shared" si="8"/>
        <v>1626</v>
      </c>
      <c r="V554" s="44" t="s">
        <v>88</v>
      </c>
      <c r="W554" s="44">
        <v>42547</v>
      </c>
      <c r="X554" s="24">
        <v>26</v>
      </c>
      <c r="Y554" s="24">
        <v>2016</v>
      </c>
      <c r="Z554" s="25">
        <v>201626</v>
      </c>
    </row>
    <row r="555" spans="20:26" x14ac:dyDescent="0.25">
      <c r="T555" s="43">
        <v>42554</v>
      </c>
      <c r="U555" t="str">
        <f t="shared" si="8"/>
        <v>1627</v>
      </c>
      <c r="V555" s="44" t="s">
        <v>82</v>
      </c>
      <c r="W555" s="44">
        <v>42554</v>
      </c>
      <c r="X555" s="24">
        <v>27</v>
      </c>
      <c r="Y555" s="24">
        <v>2016</v>
      </c>
      <c r="Z555" s="25">
        <v>201627</v>
      </c>
    </row>
    <row r="556" spans="20:26" x14ac:dyDescent="0.25">
      <c r="T556" s="43">
        <v>42555</v>
      </c>
      <c r="U556" t="str">
        <f t="shared" si="8"/>
        <v>1627</v>
      </c>
      <c r="V556" s="44" t="s">
        <v>83</v>
      </c>
      <c r="W556" s="44">
        <v>42554</v>
      </c>
      <c r="X556" s="24">
        <v>27</v>
      </c>
      <c r="Y556" s="24">
        <v>2016</v>
      </c>
      <c r="Z556" s="25">
        <v>201627</v>
      </c>
    </row>
    <row r="557" spans="20:26" x14ac:dyDescent="0.25">
      <c r="T557" s="43">
        <v>42556</v>
      </c>
      <c r="U557" t="str">
        <f t="shared" si="8"/>
        <v>1627</v>
      </c>
      <c r="V557" s="44" t="s">
        <v>84</v>
      </c>
      <c r="W557" s="44">
        <v>42554</v>
      </c>
      <c r="X557" s="24">
        <v>27</v>
      </c>
      <c r="Y557" s="24">
        <v>2016</v>
      </c>
      <c r="Z557" s="25">
        <v>201627</v>
      </c>
    </row>
    <row r="558" spans="20:26" x14ac:dyDescent="0.25">
      <c r="T558" s="43">
        <v>42557</v>
      </c>
      <c r="U558" t="str">
        <f t="shared" si="8"/>
        <v>1627</v>
      </c>
      <c r="V558" s="44" t="s">
        <v>85</v>
      </c>
      <c r="W558" s="44">
        <v>42554</v>
      </c>
      <c r="X558" s="24">
        <v>27</v>
      </c>
      <c r="Y558" s="24">
        <v>2016</v>
      </c>
      <c r="Z558" s="25">
        <v>201627</v>
      </c>
    </row>
    <row r="559" spans="20:26" x14ac:dyDescent="0.25">
      <c r="T559" s="43">
        <v>42558</v>
      </c>
      <c r="U559" t="str">
        <f t="shared" si="8"/>
        <v>1627</v>
      </c>
      <c r="V559" s="44" t="s">
        <v>86</v>
      </c>
      <c r="W559" s="44">
        <v>42554</v>
      </c>
      <c r="X559" s="24">
        <v>27</v>
      </c>
      <c r="Y559" s="24">
        <v>2016</v>
      </c>
      <c r="Z559" s="25">
        <v>201627</v>
      </c>
    </row>
    <row r="560" spans="20:26" x14ac:dyDescent="0.25">
      <c r="T560" s="43">
        <v>42559</v>
      </c>
      <c r="U560" t="str">
        <f t="shared" si="8"/>
        <v>1627</v>
      </c>
      <c r="V560" s="44" t="s">
        <v>87</v>
      </c>
      <c r="W560" s="44">
        <v>42554</v>
      </c>
      <c r="X560" s="24">
        <v>27</v>
      </c>
      <c r="Y560" s="24">
        <v>2016</v>
      </c>
      <c r="Z560" s="25">
        <v>201627</v>
      </c>
    </row>
    <row r="561" spans="20:26" x14ac:dyDescent="0.25">
      <c r="T561" s="43">
        <v>42560</v>
      </c>
      <c r="U561" t="str">
        <f t="shared" si="8"/>
        <v>1627</v>
      </c>
      <c r="V561" s="44" t="s">
        <v>88</v>
      </c>
      <c r="W561" s="44">
        <v>42554</v>
      </c>
      <c r="X561" s="24">
        <v>27</v>
      </c>
      <c r="Y561" s="24">
        <v>2016</v>
      </c>
      <c r="Z561" s="25">
        <v>201627</v>
      </c>
    </row>
    <row r="562" spans="20:26" x14ac:dyDescent="0.25">
      <c r="T562" s="43">
        <v>42561</v>
      </c>
      <c r="U562" t="str">
        <f t="shared" si="8"/>
        <v>1628</v>
      </c>
      <c r="V562" s="44" t="s">
        <v>82</v>
      </c>
      <c r="W562" s="44">
        <v>42561</v>
      </c>
      <c r="X562" s="24">
        <v>28</v>
      </c>
      <c r="Y562" s="24">
        <v>2016</v>
      </c>
      <c r="Z562" s="25">
        <v>201628</v>
      </c>
    </row>
    <row r="563" spans="20:26" x14ac:dyDescent="0.25">
      <c r="T563" s="43">
        <v>42562</v>
      </c>
      <c r="U563" t="str">
        <f t="shared" si="8"/>
        <v>1628</v>
      </c>
      <c r="V563" s="44" t="s">
        <v>83</v>
      </c>
      <c r="W563" s="44">
        <v>42561</v>
      </c>
      <c r="X563" s="24">
        <v>28</v>
      </c>
      <c r="Y563" s="24">
        <v>2016</v>
      </c>
      <c r="Z563" s="25">
        <v>201628</v>
      </c>
    </row>
    <row r="564" spans="20:26" x14ac:dyDescent="0.25">
      <c r="T564" s="43">
        <v>42563</v>
      </c>
      <c r="U564" t="str">
        <f t="shared" si="8"/>
        <v>1628</v>
      </c>
      <c r="V564" s="44" t="s">
        <v>84</v>
      </c>
      <c r="W564" s="44">
        <v>42561</v>
      </c>
      <c r="X564" s="24">
        <v>28</v>
      </c>
      <c r="Y564" s="24">
        <v>2016</v>
      </c>
      <c r="Z564" s="25">
        <v>201628</v>
      </c>
    </row>
    <row r="565" spans="20:26" x14ac:dyDescent="0.25">
      <c r="T565" s="43">
        <v>42564</v>
      </c>
      <c r="U565" t="str">
        <f t="shared" si="8"/>
        <v>1628</v>
      </c>
      <c r="V565" s="44" t="s">
        <v>85</v>
      </c>
      <c r="W565" s="44">
        <v>42561</v>
      </c>
      <c r="X565" s="24">
        <v>28</v>
      </c>
      <c r="Y565" s="24">
        <v>2016</v>
      </c>
      <c r="Z565" s="25">
        <v>201628</v>
      </c>
    </row>
    <row r="566" spans="20:26" x14ac:dyDescent="0.25">
      <c r="T566" s="43">
        <v>42565</v>
      </c>
      <c r="U566" t="str">
        <f t="shared" si="8"/>
        <v>1628</v>
      </c>
      <c r="V566" s="44" t="s">
        <v>86</v>
      </c>
      <c r="W566" s="44">
        <v>42561</v>
      </c>
      <c r="X566" s="24">
        <v>28</v>
      </c>
      <c r="Y566" s="24">
        <v>2016</v>
      </c>
      <c r="Z566" s="25">
        <v>201628</v>
      </c>
    </row>
    <row r="567" spans="20:26" x14ac:dyDescent="0.25">
      <c r="T567" s="43">
        <v>42566</v>
      </c>
      <c r="U567" t="str">
        <f t="shared" si="8"/>
        <v>1628</v>
      </c>
      <c r="V567" s="44" t="s">
        <v>87</v>
      </c>
      <c r="W567" s="44">
        <v>42561</v>
      </c>
      <c r="X567" s="24">
        <v>28</v>
      </c>
      <c r="Y567" s="24">
        <v>2016</v>
      </c>
      <c r="Z567" s="25">
        <v>201628</v>
      </c>
    </row>
    <row r="568" spans="20:26" x14ac:dyDescent="0.25">
      <c r="T568" s="43">
        <v>42567</v>
      </c>
      <c r="U568" t="str">
        <f t="shared" si="8"/>
        <v>1628</v>
      </c>
      <c r="V568" s="44" t="s">
        <v>88</v>
      </c>
      <c r="W568" s="44">
        <v>42561</v>
      </c>
      <c r="X568" s="24">
        <v>28</v>
      </c>
      <c r="Y568" s="24">
        <v>2016</v>
      </c>
      <c r="Z568" s="25">
        <v>201628</v>
      </c>
    </row>
    <row r="569" spans="20:26" x14ac:dyDescent="0.25">
      <c r="T569" s="43">
        <v>42568</v>
      </c>
      <c r="U569" t="str">
        <f t="shared" si="8"/>
        <v>1629</v>
      </c>
      <c r="V569" s="44" t="s">
        <v>82</v>
      </c>
      <c r="W569" s="44">
        <v>42568</v>
      </c>
      <c r="X569" s="24">
        <v>29</v>
      </c>
      <c r="Y569" s="24">
        <v>2016</v>
      </c>
      <c r="Z569" s="25">
        <v>201629</v>
      </c>
    </row>
    <row r="570" spans="20:26" x14ac:dyDescent="0.25">
      <c r="T570" s="43">
        <v>42569</v>
      </c>
      <c r="U570" t="str">
        <f t="shared" si="8"/>
        <v>1629</v>
      </c>
      <c r="V570" s="44" t="s">
        <v>83</v>
      </c>
      <c r="W570" s="44">
        <v>42568</v>
      </c>
      <c r="X570" s="24">
        <v>29</v>
      </c>
      <c r="Y570" s="24">
        <v>2016</v>
      </c>
      <c r="Z570" s="25">
        <v>201629</v>
      </c>
    </row>
    <row r="571" spans="20:26" x14ac:dyDescent="0.25">
      <c r="T571" s="43">
        <v>42570</v>
      </c>
      <c r="U571" t="str">
        <f t="shared" si="8"/>
        <v>1629</v>
      </c>
      <c r="V571" s="44" t="s">
        <v>84</v>
      </c>
      <c r="W571" s="44">
        <v>42568</v>
      </c>
      <c r="X571" s="24">
        <v>29</v>
      </c>
      <c r="Y571" s="24">
        <v>2016</v>
      </c>
      <c r="Z571" s="25">
        <v>201629</v>
      </c>
    </row>
    <row r="572" spans="20:26" x14ac:dyDescent="0.25">
      <c r="T572" s="43">
        <v>42571</v>
      </c>
      <c r="U572" t="str">
        <f t="shared" si="8"/>
        <v>1629</v>
      </c>
      <c r="V572" s="44" t="s">
        <v>85</v>
      </c>
      <c r="W572" s="44">
        <v>42568</v>
      </c>
      <c r="X572" s="24">
        <v>29</v>
      </c>
      <c r="Y572" s="24">
        <v>2016</v>
      </c>
      <c r="Z572" s="25">
        <v>201629</v>
      </c>
    </row>
    <row r="573" spans="20:26" x14ac:dyDescent="0.25">
      <c r="T573" s="43">
        <v>42572</v>
      </c>
      <c r="U573" t="str">
        <f t="shared" si="8"/>
        <v>1629</v>
      </c>
      <c r="V573" s="44" t="s">
        <v>86</v>
      </c>
      <c r="W573" s="44">
        <v>42568</v>
      </c>
      <c r="X573" s="24">
        <v>29</v>
      </c>
      <c r="Y573" s="24">
        <v>2016</v>
      </c>
      <c r="Z573" s="25">
        <v>201629</v>
      </c>
    </row>
    <row r="574" spans="20:26" x14ac:dyDescent="0.25">
      <c r="T574" s="43">
        <v>42573</v>
      </c>
      <c r="U574" t="str">
        <f t="shared" si="8"/>
        <v>1629</v>
      </c>
      <c r="V574" s="44" t="s">
        <v>87</v>
      </c>
      <c r="W574" s="44">
        <v>42568</v>
      </c>
      <c r="X574" s="24">
        <v>29</v>
      </c>
      <c r="Y574" s="24">
        <v>2016</v>
      </c>
      <c r="Z574" s="25">
        <v>201629</v>
      </c>
    </row>
    <row r="575" spans="20:26" x14ac:dyDescent="0.25">
      <c r="T575" s="43">
        <v>42574</v>
      </c>
      <c r="U575" t="str">
        <f t="shared" si="8"/>
        <v>1629</v>
      </c>
      <c r="V575" s="44" t="s">
        <v>88</v>
      </c>
      <c r="W575" s="44">
        <v>42568</v>
      </c>
      <c r="X575" s="24">
        <v>29</v>
      </c>
      <c r="Y575" s="24">
        <v>2016</v>
      </c>
      <c r="Z575" s="25">
        <v>201629</v>
      </c>
    </row>
    <row r="576" spans="20:26" x14ac:dyDescent="0.25">
      <c r="T576" s="43">
        <v>42575</v>
      </c>
      <c r="U576" t="str">
        <f t="shared" si="8"/>
        <v>1630</v>
      </c>
      <c r="V576" s="44" t="s">
        <v>82</v>
      </c>
      <c r="W576" s="44">
        <v>42575</v>
      </c>
      <c r="X576" s="24">
        <v>30</v>
      </c>
      <c r="Y576" s="24">
        <v>2016</v>
      </c>
      <c r="Z576" s="25">
        <v>201630</v>
      </c>
    </row>
    <row r="577" spans="20:26" x14ac:dyDescent="0.25">
      <c r="T577" s="43">
        <v>42576</v>
      </c>
      <c r="U577" t="str">
        <f t="shared" si="8"/>
        <v>1630</v>
      </c>
      <c r="V577" s="44" t="s">
        <v>83</v>
      </c>
      <c r="W577" s="44">
        <v>42575</v>
      </c>
      <c r="X577" s="24">
        <v>30</v>
      </c>
      <c r="Y577" s="24">
        <v>2016</v>
      </c>
      <c r="Z577" s="25">
        <v>201630</v>
      </c>
    </row>
    <row r="578" spans="20:26" x14ac:dyDescent="0.25">
      <c r="T578" s="43">
        <v>42577</v>
      </c>
      <c r="U578" t="str">
        <f t="shared" ref="U578:U641" si="9">RIGHT(Z578,4)</f>
        <v>1630</v>
      </c>
      <c r="V578" s="44" t="s">
        <v>84</v>
      </c>
      <c r="W578" s="44">
        <v>42575</v>
      </c>
      <c r="X578" s="24">
        <v>30</v>
      </c>
      <c r="Y578" s="24">
        <v>2016</v>
      </c>
      <c r="Z578" s="25">
        <v>201630</v>
      </c>
    </row>
    <row r="579" spans="20:26" x14ac:dyDescent="0.25">
      <c r="T579" s="43">
        <v>42578</v>
      </c>
      <c r="U579" t="str">
        <f t="shared" si="9"/>
        <v>1630</v>
      </c>
      <c r="V579" s="44" t="s">
        <v>85</v>
      </c>
      <c r="W579" s="44">
        <v>42575</v>
      </c>
      <c r="X579" s="24">
        <v>30</v>
      </c>
      <c r="Y579" s="24">
        <v>2016</v>
      </c>
      <c r="Z579" s="25">
        <v>201630</v>
      </c>
    </row>
    <row r="580" spans="20:26" x14ac:dyDescent="0.25">
      <c r="T580" s="43">
        <v>42579</v>
      </c>
      <c r="U580" t="str">
        <f t="shared" si="9"/>
        <v>1630</v>
      </c>
      <c r="V580" s="44" t="s">
        <v>86</v>
      </c>
      <c r="W580" s="44">
        <v>42575</v>
      </c>
      <c r="X580" s="24">
        <v>30</v>
      </c>
      <c r="Y580" s="24">
        <v>2016</v>
      </c>
      <c r="Z580" s="25">
        <v>201630</v>
      </c>
    </row>
    <row r="581" spans="20:26" x14ac:dyDescent="0.25">
      <c r="T581" s="43">
        <v>42580</v>
      </c>
      <c r="U581" t="str">
        <f t="shared" si="9"/>
        <v>1630</v>
      </c>
      <c r="V581" s="44" t="s">
        <v>87</v>
      </c>
      <c r="W581" s="44">
        <v>42575</v>
      </c>
      <c r="X581" s="24">
        <v>30</v>
      </c>
      <c r="Y581" s="24">
        <v>2016</v>
      </c>
      <c r="Z581" s="25">
        <v>201630</v>
      </c>
    </row>
    <row r="582" spans="20:26" x14ac:dyDescent="0.25">
      <c r="T582" s="43">
        <v>42581</v>
      </c>
      <c r="U582" t="str">
        <f t="shared" si="9"/>
        <v>1630</v>
      </c>
      <c r="V582" s="44" t="s">
        <v>88</v>
      </c>
      <c r="W582" s="44">
        <v>42575</v>
      </c>
      <c r="X582" s="24">
        <v>30</v>
      </c>
      <c r="Y582" s="24">
        <v>2016</v>
      </c>
      <c r="Z582" s="25">
        <v>201630</v>
      </c>
    </row>
    <row r="583" spans="20:26" x14ac:dyDescent="0.25">
      <c r="T583" s="43">
        <v>42582</v>
      </c>
      <c r="U583" t="str">
        <f t="shared" si="9"/>
        <v>1631</v>
      </c>
      <c r="V583" s="44" t="s">
        <v>82</v>
      </c>
      <c r="W583" s="44">
        <v>42582</v>
      </c>
      <c r="X583" s="24">
        <v>31</v>
      </c>
      <c r="Y583" s="24">
        <v>2016</v>
      </c>
      <c r="Z583" s="25">
        <v>201631</v>
      </c>
    </row>
    <row r="584" spans="20:26" x14ac:dyDescent="0.25">
      <c r="T584" s="43">
        <v>42583</v>
      </c>
      <c r="U584" t="str">
        <f t="shared" si="9"/>
        <v>1631</v>
      </c>
      <c r="V584" s="44" t="s">
        <v>83</v>
      </c>
      <c r="W584" s="44">
        <v>42582</v>
      </c>
      <c r="X584" s="24">
        <v>31</v>
      </c>
      <c r="Y584" s="24">
        <v>2016</v>
      </c>
      <c r="Z584" s="25">
        <v>201631</v>
      </c>
    </row>
    <row r="585" spans="20:26" x14ac:dyDescent="0.25">
      <c r="T585" s="43">
        <v>42584</v>
      </c>
      <c r="U585" t="str">
        <f t="shared" si="9"/>
        <v>1631</v>
      </c>
      <c r="V585" s="44" t="s">
        <v>84</v>
      </c>
      <c r="W585" s="44">
        <v>42582</v>
      </c>
      <c r="X585" s="24">
        <v>31</v>
      </c>
      <c r="Y585" s="24">
        <v>2016</v>
      </c>
      <c r="Z585" s="25">
        <v>201631</v>
      </c>
    </row>
    <row r="586" spans="20:26" x14ac:dyDescent="0.25">
      <c r="T586" s="43">
        <v>42585</v>
      </c>
      <c r="U586" t="str">
        <f t="shared" si="9"/>
        <v>1631</v>
      </c>
      <c r="V586" s="44" t="s">
        <v>85</v>
      </c>
      <c r="W586" s="44">
        <v>42582</v>
      </c>
      <c r="X586" s="24">
        <v>31</v>
      </c>
      <c r="Y586" s="24">
        <v>2016</v>
      </c>
      <c r="Z586" s="25">
        <v>201631</v>
      </c>
    </row>
    <row r="587" spans="20:26" x14ac:dyDescent="0.25">
      <c r="T587" s="43">
        <v>42586</v>
      </c>
      <c r="U587" t="str">
        <f t="shared" si="9"/>
        <v>1631</v>
      </c>
      <c r="V587" s="44" t="s">
        <v>86</v>
      </c>
      <c r="W587" s="44">
        <v>42582</v>
      </c>
      <c r="X587" s="24">
        <v>31</v>
      </c>
      <c r="Y587" s="24">
        <v>2016</v>
      </c>
      <c r="Z587" s="25">
        <v>201631</v>
      </c>
    </row>
    <row r="588" spans="20:26" x14ac:dyDescent="0.25">
      <c r="T588" s="43">
        <v>42587</v>
      </c>
      <c r="U588" t="str">
        <f t="shared" si="9"/>
        <v>1631</v>
      </c>
      <c r="V588" s="44" t="s">
        <v>87</v>
      </c>
      <c r="W588" s="44">
        <v>42582</v>
      </c>
      <c r="X588" s="24">
        <v>31</v>
      </c>
      <c r="Y588" s="24">
        <v>2016</v>
      </c>
      <c r="Z588" s="25">
        <v>201631</v>
      </c>
    </row>
    <row r="589" spans="20:26" x14ac:dyDescent="0.25">
      <c r="T589" s="43">
        <v>42588</v>
      </c>
      <c r="U589" t="str">
        <f t="shared" si="9"/>
        <v>1631</v>
      </c>
      <c r="V589" s="44" t="s">
        <v>88</v>
      </c>
      <c r="W589" s="44">
        <v>42582</v>
      </c>
      <c r="X589" s="24">
        <v>31</v>
      </c>
      <c r="Y589" s="24">
        <v>2016</v>
      </c>
      <c r="Z589" s="25">
        <v>201631</v>
      </c>
    </row>
    <row r="590" spans="20:26" x14ac:dyDescent="0.25">
      <c r="T590" s="43">
        <v>42589</v>
      </c>
      <c r="U590" t="str">
        <f t="shared" si="9"/>
        <v>1632</v>
      </c>
      <c r="V590" s="44" t="s">
        <v>82</v>
      </c>
      <c r="W590" s="44">
        <v>42589</v>
      </c>
      <c r="X590" s="24">
        <v>32</v>
      </c>
      <c r="Y590" s="24">
        <v>2016</v>
      </c>
      <c r="Z590" s="25">
        <v>201632</v>
      </c>
    </row>
    <row r="591" spans="20:26" x14ac:dyDescent="0.25">
      <c r="T591" s="43">
        <v>42590</v>
      </c>
      <c r="U591" t="str">
        <f t="shared" si="9"/>
        <v>1632</v>
      </c>
      <c r="V591" s="44" t="s">
        <v>83</v>
      </c>
      <c r="W591" s="44">
        <v>42589</v>
      </c>
      <c r="X591" s="24">
        <v>32</v>
      </c>
      <c r="Y591" s="24">
        <v>2016</v>
      </c>
      <c r="Z591" s="25">
        <v>201632</v>
      </c>
    </row>
    <row r="592" spans="20:26" x14ac:dyDescent="0.25">
      <c r="T592" s="43">
        <v>42591</v>
      </c>
      <c r="U592" t="str">
        <f t="shared" si="9"/>
        <v>1632</v>
      </c>
      <c r="V592" s="44" t="s">
        <v>84</v>
      </c>
      <c r="W592" s="44">
        <v>42589</v>
      </c>
      <c r="X592" s="24">
        <v>32</v>
      </c>
      <c r="Y592" s="24">
        <v>2016</v>
      </c>
      <c r="Z592" s="25">
        <v>201632</v>
      </c>
    </row>
    <row r="593" spans="20:26" x14ac:dyDescent="0.25">
      <c r="T593" s="43">
        <v>42592</v>
      </c>
      <c r="U593" t="str">
        <f t="shared" si="9"/>
        <v>1632</v>
      </c>
      <c r="V593" s="44" t="s">
        <v>85</v>
      </c>
      <c r="W593" s="44">
        <v>42589</v>
      </c>
      <c r="X593" s="24">
        <v>32</v>
      </c>
      <c r="Y593" s="24">
        <v>2016</v>
      </c>
      <c r="Z593" s="25">
        <v>201632</v>
      </c>
    </row>
    <row r="594" spans="20:26" x14ac:dyDescent="0.25">
      <c r="T594" s="43">
        <v>42593</v>
      </c>
      <c r="U594" t="str">
        <f t="shared" si="9"/>
        <v>1632</v>
      </c>
      <c r="V594" s="44" t="s">
        <v>86</v>
      </c>
      <c r="W594" s="44">
        <v>42589</v>
      </c>
      <c r="X594" s="24">
        <v>32</v>
      </c>
      <c r="Y594" s="24">
        <v>2016</v>
      </c>
      <c r="Z594" s="25">
        <v>201632</v>
      </c>
    </row>
    <row r="595" spans="20:26" x14ac:dyDescent="0.25">
      <c r="T595" s="43">
        <v>42594</v>
      </c>
      <c r="U595" t="str">
        <f t="shared" si="9"/>
        <v>1632</v>
      </c>
      <c r="V595" s="44" t="s">
        <v>87</v>
      </c>
      <c r="W595" s="44">
        <v>42589</v>
      </c>
      <c r="X595" s="24">
        <v>32</v>
      </c>
      <c r="Y595" s="24">
        <v>2016</v>
      </c>
      <c r="Z595" s="25">
        <v>201632</v>
      </c>
    </row>
    <row r="596" spans="20:26" x14ac:dyDescent="0.25">
      <c r="T596" s="43">
        <v>42595</v>
      </c>
      <c r="U596" t="str">
        <f t="shared" si="9"/>
        <v>1632</v>
      </c>
      <c r="V596" s="44" t="s">
        <v>88</v>
      </c>
      <c r="W596" s="44">
        <v>42589</v>
      </c>
      <c r="X596" s="24">
        <v>32</v>
      </c>
      <c r="Y596" s="24">
        <v>2016</v>
      </c>
      <c r="Z596" s="25">
        <v>201632</v>
      </c>
    </row>
    <row r="597" spans="20:26" x14ac:dyDescent="0.25">
      <c r="T597" s="43">
        <v>42596</v>
      </c>
      <c r="U597" t="str">
        <f t="shared" si="9"/>
        <v>1633</v>
      </c>
      <c r="V597" s="44" t="s">
        <v>82</v>
      </c>
      <c r="W597" s="44">
        <v>42596</v>
      </c>
      <c r="X597" s="24">
        <v>33</v>
      </c>
      <c r="Y597" s="24">
        <v>2016</v>
      </c>
      <c r="Z597" s="25">
        <v>201633</v>
      </c>
    </row>
    <row r="598" spans="20:26" x14ac:dyDescent="0.25">
      <c r="T598" s="43">
        <v>42597</v>
      </c>
      <c r="U598" t="str">
        <f t="shared" si="9"/>
        <v>1633</v>
      </c>
      <c r="V598" s="44" t="s">
        <v>83</v>
      </c>
      <c r="W598" s="44">
        <v>42596</v>
      </c>
      <c r="X598" s="24">
        <v>33</v>
      </c>
      <c r="Y598" s="24">
        <v>2016</v>
      </c>
      <c r="Z598" s="25">
        <v>201633</v>
      </c>
    </row>
    <row r="599" spans="20:26" x14ac:dyDescent="0.25">
      <c r="T599" s="43">
        <v>42598</v>
      </c>
      <c r="U599" t="str">
        <f t="shared" si="9"/>
        <v>1633</v>
      </c>
      <c r="V599" s="44" t="s">
        <v>84</v>
      </c>
      <c r="W599" s="44">
        <v>42596</v>
      </c>
      <c r="X599" s="24">
        <v>33</v>
      </c>
      <c r="Y599" s="24">
        <v>2016</v>
      </c>
      <c r="Z599" s="25">
        <v>201633</v>
      </c>
    </row>
    <row r="600" spans="20:26" x14ac:dyDescent="0.25">
      <c r="T600" s="43">
        <v>42599</v>
      </c>
      <c r="U600" t="str">
        <f t="shared" si="9"/>
        <v>1633</v>
      </c>
      <c r="V600" s="44" t="s">
        <v>85</v>
      </c>
      <c r="W600" s="44">
        <v>42596</v>
      </c>
      <c r="X600" s="24">
        <v>33</v>
      </c>
      <c r="Y600" s="24">
        <v>2016</v>
      </c>
      <c r="Z600" s="25">
        <v>201633</v>
      </c>
    </row>
    <row r="601" spans="20:26" x14ac:dyDescent="0.25">
      <c r="T601" s="43">
        <v>42600</v>
      </c>
      <c r="U601" t="str">
        <f t="shared" si="9"/>
        <v>1633</v>
      </c>
      <c r="V601" s="44" t="s">
        <v>86</v>
      </c>
      <c r="W601" s="44">
        <v>42596</v>
      </c>
      <c r="X601" s="24">
        <v>33</v>
      </c>
      <c r="Y601" s="24">
        <v>2016</v>
      </c>
      <c r="Z601" s="25">
        <v>201633</v>
      </c>
    </row>
    <row r="602" spans="20:26" x14ac:dyDescent="0.25">
      <c r="T602" s="43">
        <v>42601</v>
      </c>
      <c r="U602" t="str">
        <f t="shared" si="9"/>
        <v>1633</v>
      </c>
      <c r="V602" s="44" t="s">
        <v>87</v>
      </c>
      <c r="W602" s="44">
        <v>42596</v>
      </c>
      <c r="X602" s="24">
        <v>33</v>
      </c>
      <c r="Y602" s="24">
        <v>2016</v>
      </c>
      <c r="Z602" s="25">
        <v>201633</v>
      </c>
    </row>
    <row r="603" spans="20:26" x14ac:dyDescent="0.25">
      <c r="T603" s="43">
        <v>42602</v>
      </c>
      <c r="U603" t="str">
        <f t="shared" si="9"/>
        <v>1633</v>
      </c>
      <c r="V603" s="44" t="s">
        <v>88</v>
      </c>
      <c r="W603" s="44">
        <v>42596</v>
      </c>
      <c r="X603" s="24">
        <v>33</v>
      </c>
      <c r="Y603" s="24">
        <v>2016</v>
      </c>
      <c r="Z603" s="25">
        <v>201633</v>
      </c>
    </row>
    <row r="604" spans="20:26" x14ac:dyDescent="0.25">
      <c r="T604" s="43">
        <v>42603</v>
      </c>
      <c r="U604" t="str">
        <f t="shared" si="9"/>
        <v>1634</v>
      </c>
      <c r="V604" s="44" t="s">
        <v>82</v>
      </c>
      <c r="W604" s="44">
        <v>42603</v>
      </c>
      <c r="X604" s="24">
        <v>34</v>
      </c>
      <c r="Y604" s="24">
        <v>2016</v>
      </c>
      <c r="Z604" s="25">
        <v>201634</v>
      </c>
    </row>
    <row r="605" spans="20:26" x14ac:dyDescent="0.25">
      <c r="T605" s="43">
        <v>42604</v>
      </c>
      <c r="U605" t="str">
        <f t="shared" si="9"/>
        <v>1634</v>
      </c>
      <c r="V605" s="44" t="s">
        <v>83</v>
      </c>
      <c r="W605" s="44">
        <v>42603</v>
      </c>
      <c r="X605" s="24">
        <v>34</v>
      </c>
      <c r="Y605" s="24">
        <v>2016</v>
      </c>
      <c r="Z605" s="25">
        <v>201634</v>
      </c>
    </row>
    <row r="606" spans="20:26" x14ac:dyDescent="0.25">
      <c r="T606" s="43">
        <v>42605</v>
      </c>
      <c r="U606" t="str">
        <f t="shared" si="9"/>
        <v>1634</v>
      </c>
      <c r="V606" s="44" t="s">
        <v>84</v>
      </c>
      <c r="W606" s="44">
        <v>42603</v>
      </c>
      <c r="X606" s="24">
        <v>34</v>
      </c>
      <c r="Y606" s="24">
        <v>2016</v>
      </c>
      <c r="Z606" s="25">
        <v>201634</v>
      </c>
    </row>
    <row r="607" spans="20:26" x14ac:dyDescent="0.25">
      <c r="T607" s="43">
        <v>42606</v>
      </c>
      <c r="U607" t="str">
        <f t="shared" si="9"/>
        <v>1634</v>
      </c>
      <c r="V607" s="44" t="s">
        <v>85</v>
      </c>
      <c r="W607" s="44">
        <v>42603</v>
      </c>
      <c r="X607" s="24">
        <v>34</v>
      </c>
      <c r="Y607" s="24">
        <v>2016</v>
      </c>
      <c r="Z607" s="25">
        <v>201634</v>
      </c>
    </row>
    <row r="608" spans="20:26" x14ac:dyDescent="0.25">
      <c r="T608" s="43">
        <v>42607</v>
      </c>
      <c r="U608" t="str">
        <f t="shared" si="9"/>
        <v>1634</v>
      </c>
      <c r="V608" s="44" t="s">
        <v>86</v>
      </c>
      <c r="W608" s="44">
        <v>42603</v>
      </c>
      <c r="X608" s="24">
        <v>34</v>
      </c>
      <c r="Y608" s="24">
        <v>2016</v>
      </c>
      <c r="Z608" s="25">
        <v>201634</v>
      </c>
    </row>
    <row r="609" spans="20:26" x14ac:dyDescent="0.25">
      <c r="T609" s="43">
        <v>42608</v>
      </c>
      <c r="U609" t="str">
        <f t="shared" si="9"/>
        <v>1634</v>
      </c>
      <c r="V609" s="44" t="s">
        <v>87</v>
      </c>
      <c r="W609" s="44">
        <v>42603</v>
      </c>
      <c r="X609" s="24">
        <v>34</v>
      </c>
      <c r="Y609" s="24">
        <v>2016</v>
      </c>
      <c r="Z609" s="25">
        <v>201634</v>
      </c>
    </row>
    <row r="610" spans="20:26" x14ac:dyDescent="0.25">
      <c r="T610" s="43">
        <v>42609</v>
      </c>
      <c r="U610" t="str">
        <f t="shared" si="9"/>
        <v>1634</v>
      </c>
      <c r="V610" s="44" t="s">
        <v>88</v>
      </c>
      <c r="W610" s="44">
        <v>42603</v>
      </c>
      <c r="X610" s="24">
        <v>34</v>
      </c>
      <c r="Y610" s="24">
        <v>2016</v>
      </c>
      <c r="Z610" s="25">
        <v>201634</v>
      </c>
    </row>
    <row r="611" spans="20:26" x14ac:dyDescent="0.25">
      <c r="T611" s="43">
        <v>42610</v>
      </c>
      <c r="U611" t="str">
        <f t="shared" si="9"/>
        <v>1635</v>
      </c>
      <c r="V611" s="44" t="s">
        <v>82</v>
      </c>
      <c r="W611" s="44">
        <v>42610</v>
      </c>
      <c r="X611" s="24">
        <v>35</v>
      </c>
      <c r="Y611" s="24">
        <v>2016</v>
      </c>
      <c r="Z611" s="25">
        <v>201635</v>
      </c>
    </row>
    <row r="612" spans="20:26" x14ac:dyDescent="0.25">
      <c r="T612" s="43">
        <v>42611</v>
      </c>
      <c r="U612" t="str">
        <f t="shared" si="9"/>
        <v>1635</v>
      </c>
      <c r="V612" s="44" t="s">
        <v>83</v>
      </c>
      <c r="W612" s="44">
        <v>42610</v>
      </c>
      <c r="X612" s="24">
        <v>35</v>
      </c>
      <c r="Y612" s="24">
        <v>2016</v>
      </c>
      <c r="Z612" s="25">
        <v>201635</v>
      </c>
    </row>
    <row r="613" spans="20:26" x14ac:dyDescent="0.25">
      <c r="T613" s="43">
        <v>42612</v>
      </c>
      <c r="U613" t="str">
        <f t="shared" si="9"/>
        <v>1635</v>
      </c>
      <c r="V613" s="44" t="s">
        <v>84</v>
      </c>
      <c r="W613" s="44">
        <v>42610</v>
      </c>
      <c r="X613" s="24">
        <v>35</v>
      </c>
      <c r="Y613" s="24">
        <v>2016</v>
      </c>
      <c r="Z613" s="25">
        <v>201635</v>
      </c>
    </row>
    <row r="614" spans="20:26" x14ac:dyDescent="0.25">
      <c r="T614" s="43">
        <v>42613</v>
      </c>
      <c r="U614" t="str">
        <f t="shared" si="9"/>
        <v>1635</v>
      </c>
      <c r="V614" s="44" t="s">
        <v>85</v>
      </c>
      <c r="W614" s="44">
        <v>42610</v>
      </c>
      <c r="X614" s="24">
        <v>35</v>
      </c>
      <c r="Y614" s="24">
        <v>2016</v>
      </c>
      <c r="Z614" s="25">
        <v>201635</v>
      </c>
    </row>
    <row r="615" spans="20:26" x14ac:dyDescent="0.25">
      <c r="T615" s="43">
        <v>42614</v>
      </c>
      <c r="U615" t="str">
        <f t="shared" si="9"/>
        <v>1635</v>
      </c>
      <c r="V615" s="44" t="s">
        <v>86</v>
      </c>
      <c r="W615" s="44">
        <v>42610</v>
      </c>
      <c r="X615" s="24">
        <v>35</v>
      </c>
      <c r="Y615" s="24">
        <v>2016</v>
      </c>
      <c r="Z615" s="25">
        <v>201635</v>
      </c>
    </row>
    <row r="616" spans="20:26" x14ac:dyDescent="0.25">
      <c r="T616" s="43">
        <v>42615</v>
      </c>
      <c r="U616" t="str">
        <f t="shared" si="9"/>
        <v>1635</v>
      </c>
      <c r="V616" s="44" t="s">
        <v>87</v>
      </c>
      <c r="W616" s="44">
        <v>42610</v>
      </c>
      <c r="X616" s="24">
        <v>35</v>
      </c>
      <c r="Y616" s="24">
        <v>2016</v>
      </c>
      <c r="Z616" s="25">
        <v>201635</v>
      </c>
    </row>
    <row r="617" spans="20:26" x14ac:dyDescent="0.25">
      <c r="T617" s="43">
        <v>42616</v>
      </c>
      <c r="U617" t="str">
        <f t="shared" si="9"/>
        <v>1635</v>
      </c>
      <c r="V617" s="44" t="s">
        <v>88</v>
      </c>
      <c r="W617" s="44">
        <v>42610</v>
      </c>
      <c r="X617" s="24">
        <v>35</v>
      </c>
      <c r="Y617" s="24">
        <v>2016</v>
      </c>
      <c r="Z617" s="25">
        <v>201635</v>
      </c>
    </row>
    <row r="618" spans="20:26" x14ac:dyDescent="0.25">
      <c r="T618" s="43">
        <v>42617</v>
      </c>
      <c r="U618" t="str">
        <f t="shared" si="9"/>
        <v>1636</v>
      </c>
      <c r="V618" s="44" t="s">
        <v>82</v>
      </c>
      <c r="W618" s="44">
        <v>42617</v>
      </c>
      <c r="X618" s="24">
        <v>36</v>
      </c>
      <c r="Y618" s="24">
        <v>2016</v>
      </c>
      <c r="Z618" s="25">
        <v>201636</v>
      </c>
    </row>
    <row r="619" spans="20:26" x14ac:dyDescent="0.25">
      <c r="T619" s="43">
        <v>42618</v>
      </c>
      <c r="U619" t="str">
        <f t="shared" si="9"/>
        <v>1636</v>
      </c>
      <c r="V619" s="44" t="s">
        <v>83</v>
      </c>
      <c r="W619" s="44">
        <v>42617</v>
      </c>
      <c r="X619" s="24">
        <v>36</v>
      </c>
      <c r="Y619" s="24">
        <v>2016</v>
      </c>
      <c r="Z619" s="25">
        <v>201636</v>
      </c>
    </row>
    <row r="620" spans="20:26" x14ac:dyDescent="0.25">
      <c r="T620" s="43">
        <v>42619</v>
      </c>
      <c r="U620" t="str">
        <f t="shared" si="9"/>
        <v>1636</v>
      </c>
      <c r="V620" s="44" t="s">
        <v>84</v>
      </c>
      <c r="W620" s="44">
        <v>42617</v>
      </c>
      <c r="X620" s="24">
        <v>36</v>
      </c>
      <c r="Y620" s="24">
        <v>2016</v>
      </c>
      <c r="Z620" s="25">
        <v>201636</v>
      </c>
    </row>
    <row r="621" spans="20:26" x14ac:dyDescent="0.25">
      <c r="T621" s="43">
        <v>42620</v>
      </c>
      <c r="U621" t="str">
        <f t="shared" si="9"/>
        <v>1636</v>
      </c>
      <c r="V621" s="44" t="s">
        <v>85</v>
      </c>
      <c r="W621" s="44">
        <v>42617</v>
      </c>
      <c r="X621" s="24">
        <v>36</v>
      </c>
      <c r="Y621" s="24">
        <v>2016</v>
      </c>
      <c r="Z621" s="25">
        <v>201636</v>
      </c>
    </row>
    <row r="622" spans="20:26" x14ac:dyDescent="0.25">
      <c r="T622" s="43">
        <v>42621</v>
      </c>
      <c r="U622" t="str">
        <f t="shared" si="9"/>
        <v>1636</v>
      </c>
      <c r="V622" s="44" t="s">
        <v>86</v>
      </c>
      <c r="W622" s="44">
        <v>42617</v>
      </c>
      <c r="X622" s="24">
        <v>36</v>
      </c>
      <c r="Y622" s="24">
        <v>2016</v>
      </c>
      <c r="Z622" s="25">
        <v>201636</v>
      </c>
    </row>
    <row r="623" spans="20:26" x14ac:dyDescent="0.25">
      <c r="T623" s="43">
        <v>42622</v>
      </c>
      <c r="U623" t="str">
        <f t="shared" si="9"/>
        <v>1636</v>
      </c>
      <c r="V623" s="44" t="s">
        <v>87</v>
      </c>
      <c r="W623" s="44">
        <v>42617</v>
      </c>
      <c r="X623" s="24">
        <v>36</v>
      </c>
      <c r="Y623" s="24">
        <v>2016</v>
      </c>
      <c r="Z623" s="25">
        <v>201636</v>
      </c>
    </row>
    <row r="624" spans="20:26" x14ac:dyDescent="0.25">
      <c r="T624" s="43">
        <v>42623</v>
      </c>
      <c r="U624" t="str">
        <f t="shared" si="9"/>
        <v>1636</v>
      </c>
      <c r="V624" s="44" t="s">
        <v>88</v>
      </c>
      <c r="W624" s="44">
        <v>42617</v>
      </c>
      <c r="X624" s="24">
        <v>36</v>
      </c>
      <c r="Y624" s="24">
        <v>2016</v>
      </c>
      <c r="Z624" s="25">
        <v>201636</v>
      </c>
    </row>
    <row r="625" spans="20:26" x14ac:dyDescent="0.25">
      <c r="T625" s="43">
        <v>42624</v>
      </c>
      <c r="U625" t="str">
        <f t="shared" si="9"/>
        <v>1637</v>
      </c>
      <c r="V625" s="44" t="s">
        <v>82</v>
      </c>
      <c r="W625" s="44">
        <v>42624</v>
      </c>
      <c r="X625" s="24">
        <v>37</v>
      </c>
      <c r="Y625" s="24">
        <v>2016</v>
      </c>
      <c r="Z625" s="25">
        <v>201637</v>
      </c>
    </row>
    <row r="626" spans="20:26" x14ac:dyDescent="0.25">
      <c r="T626" s="43">
        <v>42625</v>
      </c>
      <c r="U626" t="str">
        <f t="shared" si="9"/>
        <v>1637</v>
      </c>
      <c r="V626" s="44" t="s">
        <v>83</v>
      </c>
      <c r="W626" s="44">
        <v>42624</v>
      </c>
      <c r="X626" s="24">
        <v>37</v>
      </c>
      <c r="Y626" s="24">
        <v>2016</v>
      </c>
      <c r="Z626" s="25">
        <v>201637</v>
      </c>
    </row>
    <row r="627" spans="20:26" x14ac:dyDescent="0.25">
      <c r="T627" s="43">
        <v>42626</v>
      </c>
      <c r="U627" t="str">
        <f t="shared" si="9"/>
        <v>1637</v>
      </c>
      <c r="V627" s="44" t="s">
        <v>84</v>
      </c>
      <c r="W627" s="44">
        <v>42624</v>
      </c>
      <c r="X627" s="24">
        <v>37</v>
      </c>
      <c r="Y627" s="24">
        <v>2016</v>
      </c>
      <c r="Z627" s="25">
        <v>201637</v>
      </c>
    </row>
    <row r="628" spans="20:26" x14ac:dyDescent="0.25">
      <c r="T628" s="43">
        <v>42627</v>
      </c>
      <c r="U628" t="str">
        <f t="shared" si="9"/>
        <v>1637</v>
      </c>
      <c r="V628" s="44" t="s">
        <v>85</v>
      </c>
      <c r="W628" s="44">
        <v>42624</v>
      </c>
      <c r="X628" s="24">
        <v>37</v>
      </c>
      <c r="Y628" s="24">
        <v>2016</v>
      </c>
      <c r="Z628" s="25">
        <v>201637</v>
      </c>
    </row>
    <row r="629" spans="20:26" x14ac:dyDescent="0.25">
      <c r="T629" s="43">
        <v>42628</v>
      </c>
      <c r="U629" t="str">
        <f t="shared" si="9"/>
        <v>1637</v>
      </c>
      <c r="V629" s="44" t="s">
        <v>86</v>
      </c>
      <c r="W629" s="44">
        <v>42624</v>
      </c>
      <c r="X629" s="24">
        <v>37</v>
      </c>
      <c r="Y629" s="24">
        <v>2016</v>
      </c>
      <c r="Z629" s="25">
        <v>201637</v>
      </c>
    </row>
    <row r="630" spans="20:26" x14ac:dyDescent="0.25">
      <c r="T630" s="43">
        <v>42629</v>
      </c>
      <c r="U630" t="str">
        <f t="shared" si="9"/>
        <v>1637</v>
      </c>
      <c r="V630" s="44" t="s">
        <v>87</v>
      </c>
      <c r="W630" s="44">
        <v>42624</v>
      </c>
      <c r="X630" s="24">
        <v>37</v>
      </c>
      <c r="Y630" s="24">
        <v>2016</v>
      </c>
      <c r="Z630" s="25">
        <v>201637</v>
      </c>
    </row>
    <row r="631" spans="20:26" x14ac:dyDescent="0.25">
      <c r="T631" s="43">
        <v>42630</v>
      </c>
      <c r="U631" t="str">
        <f t="shared" si="9"/>
        <v>1637</v>
      </c>
      <c r="V631" s="44" t="s">
        <v>88</v>
      </c>
      <c r="W631" s="44">
        <v>42624</v>
      </c>
      <c r="X631" s="24">
        <v>37</v>
      </c>
      <c r="Y631" s="24">
        <v>2016</v>
      </c>
      <c r="Z631" s="25">
        <v>201637</v>
      </c>
    </row>
    <row r="632" spans="20:26" x14ac:dyDescent="0.25">
      <c r="T632" s="43">
        <v>42631</v>
      </c>
      <c r="U632" t="str">
        <f t="shared" si="9"/>
        <v>1638</v>
      </c>
      <c r="V632" s="44" t="s">
        <v>82</v>
      </c>
      <c r="W632" s="44">
        <v>42631</v>
      </c>
      <c r="X632" s="24">
        <v>38</v>
      </c>
      <c r="Y632" s="24">
        <v>2016</v>
      </c>
      <c r="Z632" s="25">
        <v>201638</v>
      </c>
    </row>
    <row r="633" spans="20:26" x14ac:dyDescent="0.25">
      <c r="T633" s="43">
        <v>42632</v>
      </c>
      <c r="U633" t="str">
        <f t="shared" si="9"/>
        <v>1638</v>
      </c>
      <c r="V633" s="44" t="s">
        <v>83</v>
      </c>
      <c r="W633" s="44">
        <v>42631</v>
      </c>
      <c r="X633" s="24">
        <v>38</v>
      </c>
      <c r="Y633" s="24">
        <v>2016</v>
      </c>
      <c r="Z633" s="25">
        <v>201638</v>
      </c>
    </row>
    <row r="634" spans="20:26" x14ac:dyDescent="0.25">
      <c r="T634" s="43">
        <v>42633</v>
      </c>
      <c r="U634" t="str">
        <f t="shared" si="9"/>
        <v>1638</v>
      </c>
      <c r="V634" s="44" t="s">
        <v>84</v>
      </c>
      <c r="W634" s="44">
        <v>42631</v>
      </c>
      <c r="X634" s="24">
        <v>38</v>
      </c>
      <c r="Y634" s="24">
        <v>2016</v>
      </c>
      <c r="Z634" s="25">
        <v>201638</v>
      </c>
    </row>
    <row r="635" spans="20:26" x14ac:dyDescent="0.25">
      <c r="T635" s="43">
        <v>42634</v>
      </c>
      <c r="U635" t="str">
        <f t="shared" si="9"/>
        <v>1638</v>
      </c>
      <c r="V635" s="44" t="s">
        <v>85</v>
      </c>
      <c r="W635" s="44">
        <v>42631</v>
      </c>
      <c r="X635" s="24">
        <v>38</v>
      </c>
      <c r="Y635" s="24">
        <v>2016</v>
      </c>
      <c r="Z635" s="25">
        <v>201638</v>
      </c>
    </row>
    <row r="636" spans="20:26" x14ac:dyDescent="0.25">
      <c r="T636" s="43">
        <v>42635</v>
      </c>
      <c r="U636" t="str">
        <f t="shared" si="9"/>
        <v>1638</v>
      </c>
      <c r="V636" s="44" t="s">
        <v>86</v>
      </c>
      <c r="W636" s="44">
        <v>42631</v>
      </c>
      <c r="X636" s="24">
        <v>38</v>
      </c>
      <c r="Y636" s="24">
        <v>2016</v>
      </c>
      <c r="Z636" s="25">
        <v>201638</v>
      </c>
    </row>
    <row r="637" spans="20:26" x14ac:dyDescent="0.25">
      <c r="T637" s="43">
        <v>42636</v>
      </c>
      <c r="U637" t="str">
        <f t="shared" si="9"/>
        <v>1638</v>
      </c>
      <c r="V637" s="44" t="s">
        <v>87</v>
      </c>
      <c r="W637" s="44">
        <v>42631</v>
      </c>
      <c r="X637" s="24">
        <v>38</v>
      </c>
      <c r="Y637" s="24">
        <v>2016</v>
      </c>
      <c r="Z637" s="25">
        <v>201638</v>
      </c>
    </row>
    <row r="638" spans="20:26" x14ac:dyDescent="0.25">
      <c r="T638" s="43">
        <v>42637</v>
      </c>
      <c r="U638" t="str">
        <f t="shared" si="9"/>
        <v>1638</v>
      </c>
      <c r="V638" s="44" t="s">
        <v>88</v>
      </c>
      <c r="W638" s="44">
        <v>42631</v>
      </c>
      <c r="X638" s="24">
        <v>38</v>
      </c>
      <c r="Y638" s="24">
        <v>2016</v>
      </c>
      <c r="Z638" s="25">
        <v>201638</v>
      </c>
    </row>
    <row r="639" spans="20:26" x14ac:dyDescent="0.25">
      <c r="T639" s="43">
        <v>42638</v>
      </c>
      <c r="U639" t="str">
        <f t="shared" si="9"/>
        <v>1639</v>
      </c>
      <c r="V639" s="44" t="s">
        <v>82</v>
      </c>
      <c r="W639" s="44">
        <v>42638</v>
      </c>
      <c r="X639" s="24">
        <v>39</v>
      </c>
      <c r="Y639" s="24">
        <v>2016</v>
      </c>
      <c r="Z639" s="25">
        <v>201639</v>
      </c>
    </row>
    <row r="640" spans="20:26" x14ac:dyDescent="0.25">
      <c r="T640" s="43">
        <v>42639</v>
      </c>
      <c r="U640" t="str">
        <f t="shared" si="9"/>
        <v>1639</v>
      </c>
      <c r="V640" s="44" t="s">
        <v>83</v>
      </c>
      <c r="W640" s="44">
        <v>42638</v>
      </c>
      <c r="X640" s="24">
        <v>39</v>
      </c>
      <c r="Y640" s="24">
        <v>2016</v>
      </c>
      <c r="Z640" s="25">
        <v>201639</v>
      </c>
    </row>
    <row r="641" spans="20:26" x14ac:dyDescent="0.25">
      <c r="T641" s="43">
        <v>42640</v>
      </c>
      <c r="U641" t="str">
        <f t="shared" si="9"/>
        <v>1639</v>
      </c>
      <c r="V641" s="44" t="s">
        <v>84</v>
      </c>
      <c r="W641" s="44">
        <v>42638</v>
      </c>
      <c r="X641" s="24">
        <v>39</v>
      </c>
      <c r="Y641" s="24">
        <v>2016</v>
      </c>
      <c r="Z641" s="25">
        <v>201639</v>
      </c>
    </row>
    <row r="642" spans="20:26" x14ac:dyDescent="0.25">
      <c r="T642" s="43">
        <v>42641</v>
      </c>
      <c r="U642" t="str">
        <f t="shared" ref="U642:U705" si="10">RIGHT(Z642,4)</f>
        <v>1639</v>
      </c>
      <c r="V642" s="44" t="s">
        <v>85</v>
      </c>
      <c r="W642" s="44">
        <v>42638</v>
      </c>
      <c r="X642" s="24">
        <v>39</v>
      </c>
      <c r="Y642" s="24">
        <v>2016</v>
      </c>
      <c r="Z642" s="25">
        <v>201639</v>
      </c>
    </row>
    <row r="643" spans="20:26" x14ac:dyDescent="0.25">
      <c r="T643" s="43">
        <v>42642</v>
      </c>
      <c r="U643" t="str">
        <f t="shared" si="10"/>
        <v>1639</v>
      </c>
      <c r="V643" s="44" t="s">
        <v>86</v>
      </c>
      <c r="W643" s="44">
        <v>42638</v>
      </c>
      <c r="X643" s="24">
        <v>39</v>
      </c>
      <c r="Y643" s="24">
        <v>2016</v>
      </c>
      <c r="Z643" s="25">
        <v>201639</v>
      </c>
    </row>
    <row r="644" spans="20:26" x14ac:dyDescent="0.25">
      <c r="T644" s="43">
        <v>42643</v>
      </c>
      <c r="U644" t="str">
        <f t="shared" si="10"/>
        <v>1639</v>
      </c>
      <c r="V644" s="44" t="s">
        <v>87</v>
      </c>
      <c r="W644" s="44">
        <v>42638</v>
      </c>
      <c r="X644" s="24">
        <v>39</v>
      </c>
      <c r="Y644" s="24">
        <v>2016</v>
      </c>
      <c r="Z644" s="25">
        <v>201639</v>
      </c>
    </row>
    <row r="645" spans="20:26" x14ac:dyDescent="0.25">
      <c r="T645" s="43">
        <v>42644</v>
      </c>
      <c r="U645" t="str">
        <f t="shared" si="10"/>
        <v>1639</v>
      </c>
      <c r="V645" s="44" t="s">
        <v>88</v>
      </c>
      <c r="W645" s="44">
        <v>42638</v>
      </c>
      <c r="X645" s="24">
        <v>39</v>
      </c>
      <c r="Y645" s="24">
        <v>2016</v>
      </c>
      <c r="Z645" s="25">
        <v>201639</v>
      </c>
    </row>
    <row r="646" spans="20:26" x14ac:dyDescent="0.25">
      <c r="T646" s="43">
        <v>42645</v>
      </c>
      <c r="U646" t="str">
        <f t="shared" si="10"/>
        <v>1640</v>
      </c>
      <c r="V646" s="44" t="s">
        <v>82</v>
      </c>
      <c r="W646" s="44">
        <v>42645</v>
      </c>
      <c r="X646" s="24">
        <v>40</v>
      </c>
      <c r="Y646" s="24">
        <v>2016</v>
      </c>
      <c r="Z646" s="25">
        <v>201640</v>
      </c>
    </row>
    <row r="647" spans="20:26" x14ac:dyDescent="0.25">
      <c r="T647" s="43">
        <v>42646</v>
      </c>
      <c r="U647" t="str">
        <f t="shared" si="10"/>
        <v>1640</v>
      </c>
      <c r="V647" s="44" t="s">
        <v>83</v>
      </c>
      <c r="W647" s="44">
        <v>42645</v>
      </c>
      <c r="X647" s="24">
        <v>40</v>
      </c>
      <c r="Y647" s="24">
        <v>2016</v>
      </c>
      <c r="Z647" s="25">
        <v>201640</v>
      </c>
    </row>
    <row r="648" spans="20:26" x14ac:dyDescent="0.25">
      <c r="T648" s="43">
        <v>42647</v>
      </c>
      <c r="U648" t="str">
        <f t="shared" si="10"/>
        <v>1640</v>
      </c>
      <c r="V648" s="44" t="s">
        <v>84</v>
      </c>
      <c r="W648" s="44">
        <v>42645</v>
      </c>
      <c r="X648" s="24">
        <v>40</v>
      </c>
      <c r="Y648" s="24">
        <v>2016</v>
      </c>
      <c r="Z648" s="25">
        <v>201640</v>
      </c>
    </row>
    <row r="649" spans="20:26" x14ac:dyDescent="0.25">
      <c r="T649" s="43">
        <v>42648</v>
      </c>
      <c r="U649" t="str">
        <f t="shared" si="10"/>
        <v>1640</v>
      </c>
      <c r="V649" s="44" t="s">
        <v>85</v>
      </c>
      <c r="W649" s="44">
        <v>42645</v>
      </c>
      <c r="X649" s="24">
        <v>40</v>
      </c>
      <c r="Y649" s="24">
        <v>2016</v>
      </c>
      <c r="Z649" s="25">
        <v>201640</v>
      </c>
    </row>
    <row r="650" spans="20:26" x14ac:dyDescent="0.25">
      <c r="T650" s="43">
        <v>42649</v>
      </c>
      <c r="U650" t="str">
        <f t="shared" si="10"/>
        <v>1640</v>
      </c>
      <c r="V650" s="44" t="s">
        <v>86</v>
      </c>
      <c r="W650" s="44">
        <v>42645</v>
      </c>
      <c r="X650" s="24">
        <v>40</v>
      </c>
      <c r="Y650" s="24">
        <v>2016</v>
      </c>
      <c r="Z650" s="25">
        <v>201640</v>
      </c>
    </row>
    <row r="651" spans="20:26" x14ac:dyDescent="0.25">
      <c r="T651" s="43">
        <v>42650</v>
      </c>
      <c r="U651" t="str">
        <f t="shared" si="10"/>
        <v>1640</v>
      </c>
      <c r="V651" s="44" t="s">
        <v>87</v>
      </c>
      <c r="W651" s="44">
        <v>42645</v>
      </c>
      <c r="X651" s="24">
        <v>40</v>
      </c>
      <c r="Y651" s="24">
        <v>2016</v>
      </c>
      <c r="Z651" s="25">
        <v>201640</v>
      </c>
    </row>
    <row r="652" spans="20:26" x14ac:dyDescent="0.25">
      <c r="T652" s="43">
        <v>42651</v>
      </c>
      <c r="U652" t="str">
        <f t="shared" si="10"/>
        <v>1640</v>
      </c>
      <c r="V652" s="44" t="s">
        <v>88</v>
      </c>
      <c r="W652" s="44">
        <v>42645</v>
      </c>
      <c r="X652" s="24">
        <v>40</v>
      </c>
      <c r="Y652" s="24">
        <v>2016</v>
      </c>
      <c r="Z652" s="25">
        <v>201640</v>
      </c>
    </row>
    <row r="653" spans="20:26" x14ac:dyDescent="0.25">
      <c r="T653" s="43">
        <v>42652</v>
      </c>
      <c r="U653" t="str">
        <f t="shared" si="10"/>
        <v>1641</v>
      </c>
      <c r="V653" s="44" t="s">
        <v>82</v>
      </c>
      <c r="W653" s="44">
        <v>42652</v>
      </c>
      <c r="X653" s="24">
        <v>41</v>
      </c>
      <c r="Y653" s="24">
        <v>2016</v>
      </c>
      <c r="Z653" s="25">
        <v>201641</v>
      </c>
    </row>
    <row r="654" spans="20:26" x14ac:dyDescent="0.25">
      <c r="T654" s="43">
        <v>42653</v>
      </c>
      <c r="U654" t="str">
        <f t="shared" si="10"/>
        <v>1641</v>
      </c>
      <c r="V654" s="44" t="s">
        <v>83</v>
      </c>
      <c r="W654" s="44">
        <v>42652</v>
      </c>
      <c r="X654" s="24">
        <v>41</v>
      </c>
      <c r="Y654" s="24">
        <v>2016</v>
      </c>
      <c r="Z654" s="25">
        <v>201641</v>
      </c>
    </row>
    <row r="655" spans="20:26" x14ac:dyDescent="0.25">
      <c r="T655" s="43">
        <v>42654</v>
      </c>
      <c r="U655" t="str">
        <f t="shared" si="10"/>
        <v>1641</v>
      </c>
      <c r="V655" s="44" t="s">
        <v>84</v>
      </c>
      <c r="W655" s="44">
        <v>42652</v>
      </c>
      <c r="X655" s="24">
        <v>41</v>
      </c>
      <c r="Y655" s="24">
        <v>2016</v>
      </c>
      <c r="Z655" s="25">
        <v>201641</v>
      </c>
    </row>
    <row r="656" spans="20:26" x14ac:dyDescent="0.25">
      <c r="T656" s="43">
        <v>42655</v>
      </c>
      <c r="U656" t="str">
        <f t="shared" si="10"/>
        <v>1641</v>
      </c>
      <c r="V656" s="44" t="s">
        <v>85</v>
      </c>
      <c r="W656" s="44">
        <v>42652</v>
      </c>
      <c r="X656" s="24">
        <v>41</v>
      </c>
      <c r="Y656" s="24">
        <v>2016</v>
      </c>
      <c r="Z656" s="25">
        <v>201641</v>
      </c>
    </row>
    <row r="657" spans="20:26" x14ac:dyDescent="0.25">
      <c r="T657" s="43">
        <v>42656</v>
      </c>
      <c r="U657" t="str">
        <f t="shared" si="10"/>
        <v>1641</v>
      </c>
      <c r="V657" s="44" t="s">
        <v>86</v>
      </c>
      <c r="W657" s="44">
        <v>42652</v>
      </c>
      <c r="X657" s="24">
        <v>41</v>
      </c>
      <c r="Y657" s="24">
        <v>2016</v>
      </c>
      <c r="Z657" s="25">
        <v>201641</v>
      </c>
    </row>
    <row r="658" spans="20:26" x14ac:dyDescent="0.25">
      <c r="T658" s="43">
        <v>42657</v>
      </c>
      <c r="U658" t="str">
        <f t="shared" si="10"/>
        <v>1641</v>
      </c>
      <c r="V658" s="44" t="s">
        <v>87</v>
      </c>
      <c r="W658" s="44">
        <v>42652</v>
      </c>
      <c r="X658" s="24">
        <v>41</v>
      </c>
      <c r="Y658" s="24">
        <v>2016</v>
      </c>
      <c r="Z658" s="25">
        <v>201641</v>
      </c>
    </row>
    <row r="659" spans="20:26" x14ac:dyDescent="0.25">
      <c r="T659" s="43">
        <v>42658</v>
      </c>
      <c r="U659" t="str">
        <f t="shared" si="10"/>
        <v>1641</v>
      </c>
      <c r="V659" s="44" t="s">
        <v>88</v>
      </c>
      <c r="W659" s="44">
        <v>42652</v>
      </c>
      <c r="X659" s="24">
        <v>41</v>
      </c>
      <c r="Y659" s="24">
        <v>2016</v>
      </c>
      <c r="Z659" s="25">
        <v>201641</v>
      </c>
    </row>
    <row r="660" spans="20:26" x14ac:dyDescent="0.25">
      <c r="T660" s="43">
        <v>42659</v>
      </c>
      <c r="U660" t="str">
        <f t="shared" si="10"/>
        <v>1642</v>
      </c>
      <c r="V660" s="44" t="s">
        <v>82</v>
      </c>
      <c r="W660" s="44">
        <v>42659</v>
      </c>
      <c r="X660" s="24">
        <v>42</v>
      </c>
      <c r="Y660" s="24">
        <v>2016</v>
      </c>
      <c r="Z660" s="25">
        <v>201642</v>
      </c>
    </row>
    <row r="661" spans="20:26" x14ac:dyDescent="0.25">
      <c r="T661" s="43">
        <v>42660</v>
      </c>
      <c r="U661" t="str">
        <f t="shared" si="10"/>
        <v>1642</v>
      </c>
      <c r="V661" s="44" t="s">
        <v>83</v>
      </c>
      <c r="W661" s="44">
        <v>42659</v>
      </c>
      <c r="X661" s="24">
        <v>42</v>
      </c>
      <c r="Y661" s="24">
        <v>2016</v>
      </c>
      <c r="Z661" s="25">
        <v>201642</v>
      </c>
    </row>
    <row r="662" spans="20:26" x14ac:dyDescent="0.25">
      <c r="T662" s="43">
        <v>42661</v>
      </c>
      <c r="U662" t="str">
        <f t="shared" si="10"/>
        <v>1642</v>
      </c>
      <c r="V662" s="44" t="s">
        <v>84</v>
      </c>
      <c r="W662" s="44">
        <v>42659</v>
      </c>
      <c r="X662" s="24">
        <v>42</v>
      </c>
      <c r="Y662" s="24">
        <v>2016</v>
      </c>
      <c r="Z662" s="25">
        <v>201642</v>
      </c>
    </row>
    <row r="663" spans="20:26" x14ac:dyDescent="0.25">
      <c r="T663" s="43">
        <v>42662</v>
      </c>
      <c r="U663" t="str">
        <f t="shared" si="10"/>
        <v>1642</v>
      </c>
      <c r="V663" s="44" t="s">
        <v>85</v>
      </c>
      <c r="W663" s="44">
        <v>42659</v>
      </c>
      <c r="X663" s="24">
        <v>42</v>
      </c>
      <c r="Y663" s="24">
        <v>2016</v>
      </c>
      <c r="Z663" s="25">
        <v>201642</v>
      </c>
    </row>
    <row r="664" spans="20:26" x14ac:dyDescent="0.25">
      <c r="T664" s="43">
        <v>42663</v>
      </c>
      <c r="U664" t="str">
        <f t="shared" si="10"/>
        <v>1642</v>
      </c>
      <c r="V664" s="44" t="s">
        <v>86</v>
      </c>
      <c r="W664" s="44">
        <v>42659</v>
      </c>
      <c r="X664" s="24">
        <v>42</v>
      </c>
      <c r="Y664" s="24">
        <v>2016</v>
      </c>
      <c r="Z664" s="25">
        <v>201642</v>
      </c>
    </row>
    <row r="665" spans="20:26" x14ac:dyDescent="0.25">
      <c r="T665" s="43">
        <v>42664</v>
      </c>
      <c r="U665" t="str">
        <f t="shared" si="10"/>
        <v>1642</v>
      </c>
      <c r="V665" s="44" t="s">
        <v>87</v>
      </c>
      <c r="W665" s="44">
        <v>42659</v>
      </c>
      <c r="X665" s="24">
        <v>42</v>
      </c>
      <c r="Y665" s="24">
        <v>2016</v>
      </c>
      <c r="Z665" s="25">
        <v>201642</v>
      </c>
    </row>
    <row r="666" spans="20:26" x14ac:dyDescent="0.25">
      <c r="T666" s="43">
        <v>42665</v>
      </c>
      <c r="U666" t="str">
        <f t="shared" si="10"/>
        <v>1642</v>
      </c>
      <c r="V666" s="44" t="s">
        <v>88</v>
      </c>
      <c r="W666" s="44">
        <v>42659</v>
      </c>
      <c r="X666" s="24">
        <v>42</v>
      </c>
      <c r="Y666" s="24">
        <v>2016</v>
      </c>
      <c r="Z666" s="25">
        <v>201642</v>
      </c>
    </row>
    <row r="667" spans="20:26" x14ac:dyDescent="0.25">
      <c r="T667" s="43">
        <v>42666</v>
      </c>
      <c r="U667" t="str">
        <f t="shared" si="10"/>
        <v>1643</v>
      </c>
      <c r="V667" s="44" t="s">
        <v>82</v>
      </c>
      <c r="W667" s="44">
        <v>42666</v>
      </c>
      <c r="X667" s="24">
        <v>43</v>
      </c>
      <c r="Y667" s="24">
        <v>2016</v>
      </c>
      <c r="Z667" s="25">
        <v>201643</v>
      </c>
    </row>
    <row r="668" spans="20:26" x14ac:dyDescent="0.25">
      <c r="T668" s="43">
        <v>42667</v>
      </c>
      <c r="U668" t="str">
        <f t="shared" si="10"/>
        <v>1643</v>
      </c>
      <c r="V668" s="44" t="s">
        <v>83</v>
      </c>
      <c r="W668" s="44">
        <v>42666</v>
      </c>
      <c r="X668" s="24">
        <v>43</v>
      </c>
      <c r="Y668" s="24">
        <v>2016</v>
      </c>
      <c r="Z668" s="25">
        <v>201643</v>
      </c>
    </row>
    <row r="669" spans="20:26" x14ac:dyDescent="0.25">
      <c r="T669" s="43">
        <v>42668</v>
      </c>
      <c r="U669" t="str">
        <f t="shared" si="10"/>
        <v>1643</v>
      </c>
      <c r="V669" s="44" t="s">
        <v>84</v>
      </c>
      <c r="W669" s="44">
        <v>42666</v>
      </c>
      <c r="X669" s="24">
        <v>43</v>
      </c>
      <c r="Y669" s="24">
        <v>2016</v>
      </c>
      <c r="Z669" s="25">
        <v>201643</v>
      </c>
    </row>
    <row r="670" spans="20:26" x14ac:dyDescent="0.25">
      <c r="T670" s="43">
        <v>42669</v>
      </c>
      <c r="U670" t="str">
        <f t="shared" si="10"/>
        <v>1643</v>
      </c>
      <c r="V670" s="44" t="s">
        <v>85</v>
      </c>
      <c r="W670" s="44">
        <v>42666</v>
      </c>
      <c r="X670" s="24">
        <v>43</v>
      </c>
      <c r="Y670" s="24">
        <v>2016</v>
      </c>
      <c r="Z670" s="25">
        <v>201643</v>
      </c>
    </row>
    <row r="671" spans="20:26" x14ac:dyDescent="0.25">
      <c r="T671" s="43">
        <v>42670</v>
      </c>
      <c r="U671" t="str">
        <f t="shared" si="10"/>
        <v>1643</v>
      </c>
      <c r="V671" s="44" t="s">
        <v>86</v>
      </c>
      <c r="W671" s="44">
        <v>42666</v>
      </c>
      <c r="X671" s="24">
        <v>43</v>
      </c>
      <c r="Y671" s="24">
        <v>2016</v>
      </c>
      <c r="Z671" s="25">
        <v>201643</v>
      </c>
    </row>
    <row r="672" spans="20:26" x14ac:dyDescent="0.25">
      <c r="T672" s="43">
        <v>42671</v>
      </c>
      <c r="U672" t="str">
        <f t="shared" si="10"/>
        <v>1643</v>
      </c>
      <c r="V672" s="44" t="s">
        <v>87</v>
      </c>
      <c r="W672" s="44">
        <v>42666</v>
      </c>
      <c r="X672" s="24">
        <v>43</v>
      </c>
      <c r="Y672" s="24">
        <v>2016</v>
      </c>
      <c r="Z672" s="25">
        <v>201643</v>
      </c>
    </row>
    <row r="673" spans="20:26" x14ac:dyDescent="0.25">
      <c r="T673" s="43">
        <v>42672</v>
      </c>
      <c r="U673" t="str">
        <f t="shared" si="10"/>
        <v>1643</v>
      </c>
      <c r="V673" s="44" t="s">
        <v>88</v>
      </c>
      <c r="W673" s="44">
        <v>42666</v>
      </c>
      <c r="X673" s="24">
        <v>43</v>
      </c>
      <c r="Y673" s="24">
        <v>2016</v>
      </c>
      <c r="Z673" s="25">
        <v>201643</v>
      </c>
    </row>
    <row r="674" spans="20:26" x14ac:dyDescent="0.25">
      <c r="T674" s="43">
        <v>42673</v>
      </c>
      <c r="U674" t="str">
        <f t="shared" si="10"/>
        <v>1644</v>
      </c>
      <c r="V674" s="44" t="s">
        <v>82</v>
      </c>
      <c r="W674" s="44">
        <v>42673</v>
      </c>
      <c r="X674" s="24">
        <v>44</v>
      </c>
      <c r="Y674" s="24">
        <v>2016</v>
      </c>
      <c r="Z674" s="25">
        <v>201644</v>
      </c>
    </row>
    <row r="675" spans="20:26" x14ac:dyDescent="0.25">
      <c r="T675" s="43">
        <v>42674</v>
      </c>
      <c r="U675" t="str">
        <f t="shared" si="10"/>
        <v>1644</v>
      </c>
      <c r="V675" s="44" t="s">
        <v>83</v>
      </c>
      <c r="W675" s="44">
        <v>42673</v>
      </c>
      <c r="X675" s="24">
        <v>44</v>
      </c>
      <c r="Y675" s="24">
        <v>2016</v>
      </c>
      <c r="Z675" s="25">
        <v>201644</v>
      </c>
    </row>
    <row r="676" spans="20:26" x14ac:dyDescent="0.25">
      <c r="T676" s="43">
        <v>42675</v>
      </c>
      <c r="U676" t="str">
        <f t="shared" si="10"/>
        <v>1644</v>
      </c>
      <c r="V676" s="44" t="s">
        <v>84</v>
      </c>
      <c r="W676" s="44">
        <v>42673</v>
      </c>
      <c r="X676" s="24">
        <v>44</v>
      </c>
      <c r="Y676" s="24">
        <v>2016</v>
      </c>
      <c r="Z676" s="25">
        <v>201644</v>
      </c>
    </row>
    <row r="677" spans="20:26" x14ac:dyDescent="0.25">
      <c r="T677" s="43">
        <v>42676</v>
      </c>
      <c r="U677" t="str">
        <f t="shared" si="10"/>
        <v>1644</v>
      </c>
      <c r="V677" s="44" t="s">
        <v>85</v>
      </c>
      <c r="W677" s="44">
        <v>42673</v>
      </c>
      <c r="X677" s="24">
        <v>44</v>
      </c>
      <c r="Y677" s="24">
        <v>2016</v>
      </c>
      <c r="Z677" s="25">
        <v>201644</v>
      </c>
    </row>
    <row r="678" spans="20:26" x14ac:dyDescent="0.25">
      <c r="T678" s="43">
        <v>42677</v>
      </c>
      <c r="U678" t="str">
        <f t="shared" si="10"/>
        <v>1644</v>
      </c>
      <c r="V678" s="44" t="s">
        <v>86</v>
      </c>
      <c r="W678" s="44">
        <v>42673</v>
      </c>
      <c r="X678" s="24">
        <v>44</v>
      </c>
      <c r="Y678" s="24">
        <v>2016</v>
      </c>
      <c r="Z678" s="25">
        <v>201644</v>
      </c>
    </row>
    <row r="679" spans="20:26" x14ac:dyDescent="0.25">
      <c r="T679" s="43">
        <v>42678</v>
      </c>
      <c r="U679" t="str">
        <f t="shared" si="10"/>
        <v>1644</v>
      </c>
      <c r="V679" s="44" t="s">
        <v>87</v>
      </c>
      <c r="W679" s="44">
        <v>42673</v>
      </c>
      <c r="X679" s="24">
        <v>44</v>
      </c>
      <c r="Y679" s="24">
        <v>2016</v>
      </c>
      <c r="Z679" s="25">
        <v>201644</v>
      </c>
    </row>
    <row r="680" spans="20:26" x14ac:dyDescent="0.25">
      <c r="T680" s="43">
        <v>42679</v>
      </c>
      <c r="U680" t="str">
        <f t="shared" si="10"/>
        <v>1644</v>
      </c>
      <c r="V680" s="44" t="s">
        <v>88</v>
      </c>
      <c r="W680" s="44">
        <v>42673</v>
      </c>
      <c r="X680" s="24">
        <v>44</v>
      </c>
      <c r="Y680" s="24">
        <v>2016</v>
      </c>
      <c r="Z680" s="25">
        <v>201644</v>
      </c>
    </row>
    <row r="681" spans="20:26" x14ac:dyDescent="0.25">
      <c r="T681" s="43">
        <v>42680</v>
      </c>
      <c r="U681" t="str">
        <f t="shared" si="10"/>
        <v>1645</v>
      </c>
      <c r="V681" s="44" t="s">
        <v>82</v>
      </c>
      <c r="W681" s="44">
        <v>42680</v>
      </c>
      <c r="X681" s="24">
        <v>45</v>
      </c>
      <c r="Y681" s="24">
        <v>2016</v>
      </c>
      <c r="Z681" s="25">
        <v>201645</v>
      </c>
    </row>
    <row r="682" spans="20:26" x14ac:dyDescent="0.25">
      <c r="T682" s="43">
        <v>42681</v>
      </c>
      <c r="U682" t="str">
        <f t="shared" si="10"/>
        <v>1645</v>
      </c>
      <c r="V682" s="44" t="s">
        <v>83</v>
      </c>
      <c r="W682" s="44">
        <v>42680</v>
      </c>
      <c r="X682" s="24">
        <v>45</v>
      </c>
      <c r="Y682" s="24">
        <v>2016</v>
      </c>
      <c r="Z682" s="25">
        <v>201645</v>
      </c>
    </row>
    <row r="683" spans="20:26" x14ac:dyDescent="0.25">
      <c r="T683" s="43">
        <v>42682</v>
      </c>
      <c r="U683" t="str">
        <f t="shared" si="10"/>
        <v>1645</v>
      </c>
      <c r="V683" s="44" t="s">
        <v>84</v>
      </c>
      <c r="W683" s="44">
        <v>42680</v>
      </c>
      <c r="X683" s="24">
        <v>45</v>
      </c>
      <c r="Y683" s="24">
        <v>2016</v>
      </c>
      <c r="Z683" s="25">
        <v>201645</v>
      </c>
    </row>
    <row r="684" spans="20:26" x14ac:dyDescent="0.25">
      <c r="T684" s="43">
        <v>42683</v>
      </c>
      <c r="U684" t="str">
        <f t="shared" si="10"/>
        <v>1645</v>
      </c>
      <c r="V684" s="44" t="s">
        <v>85</v>
      </c>
      <c r="W684" s="44">
        <v>42680</v>
      </c>
      <c r="X684" s="24">
        <v>45</v>
      </c>
      <c r="Y684" s="24">
        <v>2016</v>
      </c>
      <c r="Z684" s="25">
        <v>201645</v>
      </c>
    </row>
    <row r="685" spans="20:26" x14ac:dyDescent="0.25">
      <c r="T685" s="43">
        <v>42684</v>
      </c>
      <c r="U685" t="str">
        <f t="shared" si="10"/>
        <v>1645</v>
      </c>
      <c r="V685" s="44" t="s">
        <v>86</v>
      </c>
      <c r="W685" s="44">
        <v>42680</v>
      </c>
      <c r="X685" s="24">
        <v>45</v>
      </c>
      <c r="Y685" s="24">
        <v>2016</v>
      </c>
      <c r="Z685" s="25">
        <v>201645</v>
      </c>
    </row>
    <row r="686" spans="20:26" x14ac:dyDescent="0.25">
      <c r="T686" s="43">
        <v>42685</v>
      </c>
      <c r="U686" t="str">
        <f t="shared" si="10"/>
        <v>1645</v>
      </c>
      <c r="V686" s="44" t="s">
        <v>87</v>
      </c>
      <c r="W686" s="44">
        <v>42680</v>
      </c>
      <c r="X686" s="24">
        <v>45</v>
      </c>
      <c r="Y686" s="24">
        <v>2016</v>
      </c>
      <c r="Z686" s="25">
        <v>201645</v>
      </c>
    </row>
    <row r="687" spans="20:26" x14ac:dyDescent="0.25">
      <c r="T687" s="43">
        <v>42686</v>
      </c>
      <c r="U687" t="str">
        <f t="shared" si="10"/>
        <v>1645</v>
      </c>
      <c r="V687" s="44" t="s">
        <v>88</v>
      </c>
      <c r="W687" s="44">
        <v>42680</v>
      </c>
      <c r="X687" s="24">
        <v>45</v>
      </c>
      <c r="Y687" s="24">
        <v>2016</v>
      </c>
      <c r="Z687" s="25">
        <v>201645</v>
      </c>
    </row>
    <row r="688" spans="20:26" x14ac:dyDescent="0.25">
      <c r="T688" s="43">
        <v>42687</v>
      </c>
      <c r="U688" t="str">
        <f t="shared" si="10"/>
        <v>1646</v>
      </c>
      <c r="V688" s="44" t="s">
        <v>82</v>
      </c>
      <c r="W688" s="44">
        <v>42687</v>
      </c>
      <c r="X688" s="24">
        <v>46</v>
      </c>
      <c r="Y688" s="24">
        <v>2016</v>
      </c>
      <c r="Z688" s="25">
        <v>201646</v>
      </c>
    </row>
    <row r="689" spans="20:26" x14ac:dyDescent="0.25">
      <c r="T689" s="43">
        <v>42688</v>
      </c>
      <c r="U689" t="str">
        <f t="shared" si="10"/>
        <v>1646</v>
      </c>
      <c r="V689" s="44" t="s">
        <v>83</v>
      </c>
      <c r="W689" s="44">
        <v>42687</v>
      </c>
      <c r="X689" s="24">
        <v>46</v>
      </c>
      <c r="Y689" s="24">
        <v>2016</v>
      </c>
      <c r="Z689" s="25">
        <v>201646</v>
      </c>
    </row>
    <row r="690" spans="20:26" x14ac:dyDescent="0.25">
      <c r="T690" s="43">
        <v>42689</v>
      </c>
      <c r="U690" t="str">
        <f t="shared" si="10"/>
        <v>1646</v>
      </c>
      <c r="V690" s="44" t="s">
        <v>84</v>
      </c>
      <c r="W690" s="44">
        <v>42687</v>
      </c>
      <c r="X690" s="24">
        <v>46</v>
      </c>
      <c r="Y690" s="24">
        <v>2016</v>
      </c>
      <c r="Z690" s="25">
        <v>201646</v>
      </c>
    </row>
    <row r="691" spans="20:26" x14ac:dyDescent="0.25">
      <c r="T691" s="43">
        <v>42690</v>
      </c>
      <c r="U691" t="str">
        <f t="shared" si="10"/>
        <v>1646</v>
      </c>
      <c r="V691" s="44" t="s">
        <v>85</v>
      </c>
      <c r="W691" s="44">
        <v>42687</v>
      </c>
      <c r="X691" s="24">
        <v>46</v>
      </c>
      <c r="Y691" s="24">
        <v>2016</v>
      </c>
      <c r="Z691" s="25">
        <v>201646</v>
      </c>
    </row>
    <row r="692" spans="20:26" x14ac:dyDescent="0.25">
      <c r="T692" s="43">
        <v>42691</v>
      </c>
      <c r="U692" t="str">
        <f t="shared" si="10"/>
        <v>1646</v>
      </c>
      <c r="V692" s="44" t="s">
        <v>86</v>
      </c>
      <c r="W692" s="44">
        <v>42687</v>
      </c>
      <c r="X692" s="24">
        <v>46</v>
      </c>
      <c r="Y692" s="24">
        <v>2016</v>
      </c>
      <c r="Z692" s="25">
        <v>201646</v>
      </c>
    </row>
    <row r="693" spans="20:26" x14ac:dyDescent="0.25">
      <c r="T693" s="43">
        <v>42692</v>
      </c>
      <c r="U693" t="str">
        <f t="shared" si="10"/>
        <v>1646</v>
      </c>
      <c r="V693" s="44" t="s">
        <v>87</v>
      </c>
      <c r="W693" s="44">
        <v>42687</v>
      </c>
      <c r="X693" s="24">
        <v>46</v>
      </c>
      <c r="Y693" s="24">
        <v>2016</v>
      </c>
      <c r="Z693" s="25">
        <v>201646</v>
      </c>
    </row>
    <row r="694" spans="20:26" x14ac:dyDescent="0.25">
      <c r="T694" s="43">
        <v>42693</v>
      </c>
      <c r="U694" t="str">
        <f t="shared" si="10"/>
        <v>1646</v>
      </c>
      <c r="V694" s="44" t="s">
        <v>88</v>
      </c>
      <c r="W694" s="44">
        <v>42687</v>
      </c>
      <c r="X694" s="24">
        <v>46</v>
      </c>
      <c r="Y694" s="24">
        <v>2016</v>
      </c>
      <c r="Z694" s="25">
        <v>201646</v>
      </c>
    </row>
    <row r="695" spans="20:26" x14ac:dyDescent="0.25">
      <c r="T695" s="43">
        <v>42694</v>
      </c>
      <c r="U695" t="str">
        <f t="shared" si="10"/>
        <v>1647</v>
      </c>
      <c r="V695" s="44" t="s">
        <v>82</v>
      </c>
      <c r="W695" s="44">
        <v>42694</v>
      </c>
      <c r="X695" s="24">
        <v>47</v>
      </c>
      <c r="Y695" s="24">
        <v>2016</v>
      </c>
      <c r="Z695" s="25">
        <v>201647</v>
      </c>
    </row>
    <row r="696" spans="20:26" x14ac:dyDescent="0.25">
      <c r="T696" s="43">
        <v>42695</v>
      </c>
      <c r="U696" t="str">
        <f t="shared" si="10"/>
        <v>1647</v>
      </c>
      <c r="V696" s="44" t="s">
        <v>83</v>
      </c>
      <c r="W696" s="44">
        <v>42694</v>
      </c>
      <c r="X696" s="24">
        <v>47</v>
      </c>
      <c r="Y696" s="24">
        <v>2016</v>
      </c>
      <c r="Z696" s="25">
        <v>201647</v>
      </c>
    </row>
    <row r="697" spans="20:26" x14ac:dyDescent="0.25">
      <c r="T697" s="43">
        <v>42696</v>
      </c>
      <c r="U697" t="str">
        <f t="shared" si="10"/>
        <v>1647</v>
      </c>
      <c r="V697" s="44" t="s">
        <v>84</v>
      </c>
      <c r="W697" s="44">
        <v>42694</v>
      </c>
      <c r="X697" s="24">
        <v>47</v>
      </c>
      <c r="Y697" s="24">
        <v>2016</v>
      </c>
      <c r="Z697" s="25">
        <v>201647</v>
      </c>
    </row>
    <row r="698" spans="20:26" x14ac:dyDescent="0.25">
      <c r="T698" s="43">
        <v>42697</v>
      </c>
      <c r="U698" t="str">
        <f t="shared" si="10"/>
        <v>1647</v>
      </c>
      <c r="V698" s="44" t="s">
        <v>85</v>
      </c>
      <c r="W698" s="44">
        <v>42694</v>
      </c>
      <c r="X698" s="24">
        <v>47</v>
      </c>
      <c r="Y698" s="24">
        <v>2016</v>
      </c>
      <c r="Z698" s="25">
        <v>201647</v>
      </c>
    </row>
    <row r="699" spans="20:26" x14ac:dyDescent="0.25">
      <c r="T699" s="43">
        <v>42698</v>
      </c>
      <c r="U699" t="str">
        <f t="shared" si="10"/>
        <v>1647</v>
      </c>
      <c r="V699" s="44" t="s">
        <v>86</v>
      </c>
      <c r="W699" s="44">
        <v>42694</v>
      </c>
      <c r="X699" s="24">
        <v>47</v>
      </c>
      <c r="Y699" s="24">
        <v>2016</v>
      </c>
      <c r="Z699" s="25">
        <v>201647</v>
      </c>
    </row>
    <row r="700" spans="20:26" x14ac:dyDescent="0.25">
      <c r="T700" s="43">
        <v>42699</v>
      </c>
      <c r="U700" t="str">
        <f t="shared" si="10"/>
        <v>1647</v>
      </c>
      <c r="V700" s="44" t="s">
        <v>87</v>
      </c>
      <c r="W700" s="44">
        <v>42694</v>
      </c>
      <c r="X700" s="24">
        <v>47</v>
      </c>
      <c r="Y700" s="24">
        <v>2016</v>
      </c>
      <c r="Z700" s="25">
        <v>201647</v>
      </c>
    </row>
    <row r="701" spans="20:26" x14ac:dyDescent="0.25">
      <c r="T701" s="43">
        <v>42700</v>
      </c>
      <c r="U701" t="str">
        <f t="shared" si="10"/>
        <v>1647</v>
      </c>
      <c r="V701" s="44" t="s">
        <v>88</v>
      </c>
      <c r="W701" s="44">
        <v>42694</v>
      </c>
      <c r="X701" s="24">
        <v>47</v>
      </c>
      <c r="Y701" s="24">
        <v>2016</v>
      </c>
      <c r="Z701" s="25">
        <v>201647</v>
      </c>
    </row>
    <row r="702" spans="20:26" x14ac:dyDescent="0.25">
      <c r="T702" s="43">
        <v>42701</v>
      </c>
      <c r="U702" t="str">
        <f t="shared" si="10"/>
        <v>1648</v>
      </c>
      <c r="V702" s="44" t="s">
        <v>82</v>
      </c>
      <c r="W702" s="44">
        <v>42701</v>
      </c>
      <c r="X702" s="24">
        <v>48</v>
      </c>
      <c r="Y702" s="24">
        <v>2016</v>
      </c>
      <c r="Z702" s="25">
        <v>201648</v>
      </c>
    </row>
    <row r="703" spans="20:26" x14ac:dyDescent="0.25">
      <c r="T703" s="43">
        <v>42702</v>
      </c>
      <c r="U703" t="str">
        <f t="shared" si="10"/>
        <v>1648</v>
      </c>
      <c r="V703" s="44" t="s">
        <v>83</v>
      </c>
      <c r="W703" s="44">
        <v>42701</v>
      </c>
      <c r="X703" s="24">
        <v>48</v>
      </c>
      <c r="Y703" s="24">
        <v>2016</v>
      </c>
      <c r="Z703" s="25">
        <v>201648</v>
      </c>
    </row>
    <row r="704" spans="20:26" x14ac:dyDescent="0.25">
      <c r="T704" s="43">
        <v>42703</v>
      </c>
      <c r="U704" t="str">
        <f t="shared" si="10"/>
        <v>1648</v>
      </c>
      <c r="V704" s="44" t="s">
        <v>84</v>
      </c>
      <c r="W704" s="44">
        <v>42701</v>
      </c>
      <c r="X704" s="24">
        <v>48</v>
      </c>
      <c r="Y704" s="24">
        <v>2016</v>
      </c>
      <c r="Z704" s="25">
        <v>201648</v>
      </c>
    </row>
    <row r="705" spans="20:26" x14ac:dyDescent="0.25">
      <c r="T705" s="43">
        <v>42704</v>
      </c>
      <c r="U705" t="str">
        <f t="shared" si="10"/>
        <v>1648</v>
      </c>
      <c r="V705" s="44" t="s">
        <v>85</v>
      </c>
      <c r="W705" s="44">
        <v>42701</v>
      </c>
      <c r="X705" s="24">
        <v>48</v>
      </c>
      <c r="Y705" s="24">
        <v>2016</v>
      </c>
      <c r="Z705" s="25">
        <v>201648</v>
      </c>
    </row>
    <row r="706" spans="20:26" x14ac:dyDescent="0.25">
      <c r="T706" s="43">
        <v>42705</v>
      </c>
      <c r="U706" t="str">
        <f t="shared" ref="U706:U769" si="11">RIGHT(Z706,4)</f>
        <v>1648</v>
      </c>
      <c r="V706" s="44" t="s">
        <v>86</v>
      </c>
      <c r="W706" s="44">
        <v>42701</v>
      </c>
      <c r="X706" s="24">
        <v>48</v>
      </c>
      <c r="Y706" s="24">
        <v>2016</v>
      </c>
      <c r="Z706" s="25">
        <v>201648</v>
      </c>
    </row>
    <row r="707" spans="20:26" x14ac:dyDescent="0.25">
      <c r="T707" s="43">
        <v>42706</v>
      </c>
      <c r="U707" t="str">
        <f t="shared" si="11"/>
        <v>1648</v>
      </c>
      <c r="V707" s="44" t="s">
        <v>87</v>
      </c>
      <c r="W707" s="44">
        <v>42701</v>
      </c>
      <c r="X707" s="24">
        <v>48</v>
      </c>
      <c r="Y707" s="24">
        <v>2016</v>
      </c>
      <c r="Z707" s="25">
        <v>201648</v>
      </c>
    </row>
    <row r="708" spans="20:26" x14ac:dyDescent="0.25">
      <c r="T708" s="43">
        <v>42707</v>
      </c>
      <c r="U708" t="str">
        <f t="shared" si="11"/>
        <v>1648</v>
      </c>
      <c r="V708" s="44" t="s">
        <v>88</v>
      </c>
      <c r="W708" s="44">
        <v>42701</v>
      </c>
      <c r="X708" s="24">
        <v>48</v>
      </c>
      <c r="Y708" s="24">
        <v>2016</v>
      </c>
      <c r="Z708" s="25">
        <v>201648</v>
      </c>
    </row>
    <row r="709" spans="20:26" x14ac:dyDescent="0.25">
      <c r="T709" s="43">
        <v>42708</v>
      </c>
      <c r="U709" t="str">
        <f t="shared" si="11"/>
        <v>1649</v>
      </c>
      <c r="V709" s="44" t="s">
        <v>82</v>
      </c>
      <c r="W709" s="44">
        <v>42708</v>
      </c>
      <c r="X709" s="24">
        <v>49</v>
      </c>
      <c r="Y709" s="24">
        <v>2016</v>
      </c>
      <c r="Z709" s="25">
        <v>201649</v>
      </c>
    </row>
    <row r="710" spans="20:26" x14ac:dyDescent="0.25">
      <c r="T710" s="43">
        <v>42709</v>
      </c>
      <c r="U710" t="str">
        <f t="shared" si="11"/>
        <v>1649</v>
      </c>
      <c r="V710" s="44" t="s">
        <v>83</v>
      </c>
      <c r="W710" s="44">
        <v>42708</v>
      </c>
      <c r="X710" s="24">
        <v>49</v>
      </c>
      <c r="Y710" s="24">
        <v>2016</v>
      </c>
      <c r="Z710" s="25">
        <v>201649</v>
      </c>
    </row>
    <row r="711" spans="20:26" x14ac:dyDescent="0.25">
      <c r="T711" s="43">
        <v>42710</v>
      </c>
      <c r="U711" t="str">
        <f t="shared" si="11"/>
        <v>1649</v>
      </c>
      <c r="V711" s="44" t="s">
        <v>84</v>
      </c>
      <c r="W711" s="44">
        <v>42708</v>
      </c>
      <c r="X711" s="24">
        <v>49</v>
      </c>
      <c r="Y711" s="24">
        <v>2016</v>
      </c>
      <c r="Z711" s="25">
        <v>201649</v>
      </c>
    </row>
    <row r="712" spans="20:26" x14ac:dyDescent="0.25">
      <c r="T712" s="43">
        <v>42711</v>
      </c>
      <c r="U712" t="str">
        <f t="shared" si="11"/>
        <v>1649</v>
      </c>
      <c r="V712" s="44" t="s">
        <v>85</v>
      </c>
      <c r="W712" s="44">
        <v>42708</v>
      </c>
      <c r="X712" s="24">
        <v>49</v>
      </c>
      <c r="Y712" s="24">
        <v>2016</v>
      </c>
      <c r="Z712" s="25">
        <v>201649</v>
      </c>
    </row>
    <row r="713" spans="20:26" x14ac:dyDescent="0.25">
      <c r="T713" s="43">
        <v>42712</v>
      </c>
      <c r="U713" t="str">
        <f t="shared" si="11"/>
        <v>1649</v>
      </c>
      <c r="V713" s="44" t="s">
        <v>86</v>
      </c>
      <c r="W713" s="44">
        <v>42708</v>
      </c>
      <c r="X713" s="24">
        <v>49</v>
      </c>
      <c r="Y713" s="24">
        <v>2016</v>
      </c>
      <c r="Z713" s="25">
        <v>201649</v>
      </c>
    </row>
    <row r="714" spans="20:26" x14ac:dyDescent="0.25">
      <c r="T714" s="43">
        <v>42713</v>
      </c>
      <c r="U714" t="str">
        <f t="shared" si="11"/>
        <v>1649</v>
      </c>
      <c r="V714" s="44" t="s">
        <v>87</v>
      </c>
      <c r="W714" s="44">
        <v>42708</v>
      </c>
      <c r="X714" s="24">
        <v>49</v>
      </c>
      <c r="Y714" s="24">
        <v>2016</v>
      </c>
      <c r="Z714" s="25">
        <v>201649</v>
      </c>
    </row>
    <row r="715" spans="20:26" x14ac:dyDescent="0.25">
      <c r="T715" s="43">
        <v>42714</v>
      </c>
      <c r="U715" t="str">
        <f t="shared" si="11"/>
        <v>1649</v>
      </c>
      <c r="V715" s="44" t="s">
        <v>88</v>
      </c>
      <c r="W715" s="44">
        <v>42708</v>
      </c>
      <c r="X715" s="24">
        <v>49</v>
      </c>
      <c r="Y715" s="24">
        <v>2016</v>
      </c>
      <c r="Z715" s="25">
        <v>201649</v>
      </c>
    </row>
    <row r="716" spans="20:26" x14ac:dyDescent="0.25">
      <c r="T716" s="43">
        <v>42715</v>
      </c>
      <c r="U716" t="str">
        <f t="shared" si="11"/>
        <v>1650</v>
      </c>
      <c r="V716" s="44" t="s">
        <v>82</v>
      </c>
      <c r="W716" s="44">
        <v>42715</v>
      </c>
      <c r="X716" s="24">
        <v>50</v>
      </c>
      <c r="Y716" s="24">
        <v>2016</v>
      </c>
      <c r="Z716" s="25">
        <v>201650</v>
      </c>
    </row>
    <row r="717" spans="20:26" x14ac:dyDescent="0.25">
      <c r="T717" s="43">
        <v>42716</v>
      </c>
      <c r="U717" t="str">
        <f t="shared" si="11"/>
        <v>1650</v>
      </c>
      <c r="V717" s="44" t="s">
        <v>83</v>
      </c>
      <c r="W717" s="44">
        <v>42715</v>
      </c>
      <c r="X717" s="24">
        <v>50</v>
      </c>
      <c r="Y717" s="24">
        <v>2016</v>
      </c>
      <c r="Z717" s="25">
        <v>201650</v>
      </c>
    </row>
    <row r="718" spans="20:26" x14ac:dyDescent="0.25">
      <c r="T718" s="43">
        <v>42717</v>
      </c>
      <c r="U718" t="str">
        <f t="shared" si="11"/>
        <v>1650</v>
      </c>
      <c r="V718" s="44" t="s">
        <v>84</v>
      </c>
      <c r="W718" s="44">
        <v>42715</v>
      </c>
      <c r="X718" s="24">
        <v>50</v>
      </c>
      <c r="Y718" s="24">
        <v>2016</v>
      </c>
      <c r="Z718" s="25">
        <v>201650</v>
      </c>
    </row>
    <row r="719" spans="20:26" x14ac:dyDescent="0.25">
      <c r="T719" s="43">
        <v>42718</v>
      </c>
      <c r="U719" t="str">
        <f t="shared" si="11"/>
        <v>1650</v>
      </c>
      <c r="V719" s="44" t="s">
        <v>85</v>
      </c>
      <c r="W719" s="44">
        <v>42715</v>
      </c>
      <c r="X719" s="24">
        <v>50</v>
      </c>
      <c r="Y719" s="24">
        <v>2016</v>
      </c>
      <c r="Z719" s="25">
        <v>201650</v>
      </c>
    </row>
    <row r="720" spans="20:26" x14ac:dyDescent="0.25">
      <c r="T720" s="43">
        <v>42719</v>
      </c>
      <c r="U720" t="str">
        <f t="shared" si="11"/>
        <v>1650</v>
      </c>
      <c r="V720" s="44" t="s">
        <v>86</v>
      </c>
      <c r="W720" s="44">
        <v>42715</v>
      </c>
      <c r="X720" s="24">
        <v>50</v>
      </c>
      <c r="Y720" s="24">
        <v>2016</v>
      </c>
      <c r="Z720" s="25">
        <v>201650</v>
      </c>
    </row>
    <row r="721" spans="20:26" x14ac:dyDescent="0.25">
      <c r="T721" s="43">
        <v>42720</v>
      </c>
      <c r="U721" t="str">
        <f t="shared" si="11"/>
        <v>1650</v>
      </c>
      <c r="V721" s="44" t="s">
        <v>87</v>
      </c>
      <c r="W721" s="44">
        <v>42715</v>
      </c>
      <c r="X721" s="24">
        <v>50</v>
      </c>
      <c r="Y721" s="24">
        <v>2016</v>
      </c>
      <c r="Z721" s="25">
        <v>201650</v>
      </c>
    </row>
    <row r="722" spans="20:26" x14ac:dyDescent="0.25">
      <c r="T722" s="43">
        <v>42721</v>
      </c>
      <c r="U722" t="str">
        <f t="shared" si="11"/>
        <v>1650</v>
      </c>
      <c r="V722" s="44" t="s">
        <v>88</v>
      </c>
      <c r="W722" s="44">
        <v>42715</v>
      </c>
      <c r="X722" s="24">
        <v>50</v>
      </c>
      <c r="Y722" s="24">
        <v>2016</v>
      </c>
      <c r="Z722" s="25">
        <v>201650</v>
      </c>
    </row>
    <row r="723" spans="20:26" x14ac:dyDescent="0.25">
      <c r="T723" s="43">
        <v>42722</v>
      </c>
      <c r="U723" t="str">
        <f t="shared" si="11"/>
        <v>1651</v>
      </c>
      <c r="V723" s="44" t="s">
        <v>82</v>
      </c>
      <c r="W723" s="44">
        <v>42722</v>
      </c>
      <c r="X723" s="24">
        <v>51</v>
      </c>
      <c r="Y723" s="24">
        <v>2016</v>
      </c>
      <c r="Z723" s="25">
        <v>201651</v>
      </c>
    </row>
    <row r="724" spans="20:26" x14ac:dyDescent="0.25">
      <c r="T724" s="43">
        <v>42723</v>
      </c>
      <c r="U724" t="str">
        <f t="shared" si="11"/>
        <v>1651</v>
      </c>
      <c r="V724" s="44" t="s">
        <v>83</v>
      </c>
      <c r="W724" s="44">
        <v>42722</v>
      </c>
      <c r="X724" s="24">
        <v>51</v>
      </c>
      <c r="Y724" s="24">
        <v>2016</v>
      </c>
      <c r="Z724" s="25">
        <v>201651</v>
      </c>
    </row>
    <row r="725" spans="20:26" x14ac:dyDescent="0.25">
      <c r="T725" s="43">
        <v>42724</v>
      </c>
      <c r="U725" t="str">
        <f t="shared" si="11"/>
        <v>1651</v>
      </c>
      <c r="V725" s="44" t="s">
        <v>84</v>
      </c>
      <c r="W725" s="44">
        <v>42722</v>
      </c>
      <c r="X725" s="24">
        <v>51</v>
      </c>
      <c r="Y725" s="24">
        <v>2016</v>
      </c>
      <c r="Z725" s="25">
        <v>201651</v>
      </c>
    </row>
    <row r="726" spans="20:26" x14ac:dyDescent="0.25">
      <c r="T726" s="43">
        <v>42725</v>
      </c>
      <c r="U726" t="str">
        <f t="shared" si="11"/>
        <v>1651</v>
      </c>
      <c r="V726" s="44" t="s">
        <v>85</v>
      </c>
      <c r="W726" s="44">
        <v>42722</v>
      </c>
      <c r="X726" s="24">
        <v>51</v>
      </c>
      <c r="Y726" s="24">
        <v>2016</v>
      </c>
      <c r="Z726" s="25">
        <v>201651</v>
      </c>
    </row>
    <row r="727" spans="20:26" x14ac:dyDescent="0.25">
      <c r="T727" s="43">
        <v>42726</v>
      </c>
      <c r="U727" t="str">
        <f t="shared" si="11"/>
        <v>1651</v>
      </c>
      <c r="V727" s="44" t="s">
        <v>86</v>
      </c>
      <c r="W727" s="44">
        <v>42722</v>
      </c>
      <c r="X727" s="24">
        <v>51</v>
      </c>
      <c r="Y727" s="24">
        <v>2016</v>
      </c>
      <c r="Z727" s="25">
        <v>201651</v>
      </c>
    </row>
    <row r="728" spans="20:26" x14ac:dyDescent="0.25">
      <c r="T728" s="43">
        <v>42727</v>
      </c>
      <c r="U728" t="str">
        <f t="shared" si="11"/>
        <v>1651</v>
      </c>
      <c r="V728" s="44" t="s">
        <v>87</v>
      </c>
      <c r="W728" s="44">
        <v>42722</v>
      </c>
      <c r="X728" s="24">
        <v>51</v>
      </c>
      <c r="Y728" s="24">
        <v>2016</v>
      </c>
      <c r="Z728" s="25">
        <v>201651</v>
      </c>
    </row>
    <row r="729" spans="20:26" x14ac:dyDescent="0.25">
      <c r="T729" s="43">
        <v>42728</v>
      </c>
      <c r="U729" t="str">
        <f t="shared" si="11"/>
        <v>1651</v>
      </c>
      <c r="V729" s="44" t="s">
        <v>88</v>
      </c>
      <c r="W729" s="44">
        <v>42722</v>
      </c>
      <c r="X729" s="24">
        <v>51</v>
      </c>
      <c r="Y729" s="24">
        <v>2016</v>
      </c>
      <c r="Z729" s="25">
        <v>201651</v>
      </c>
    </row>
    <row r="730" spans="20:26" x14ac:dyDescent="0.25">
      <c r="T730" s="43">
        <v>42729</v>
      </c>
      <c r="U730" t="str">
        <f t="shared" si="11"/>
        <v>1652</v>
      </c>
      <c r="V730" s="44" t="s">
        <v>82</v>
      </c>
      <c r="W730" s="44">
        <v>42729</v>
      </c>
      <c r="X730" s="24">
        <v>52</v>
      </c>
      <c r="Y730" s="24">
        <v>2016</v>
      </c>
      <c r="Z730" s="25">
        <v>201652</v>
      </c>
    </row>
    <row r="731" spans="20:26" x14ac:dyDescent="0.25">
      <c r="T731" s="43">
        <v>42730</v>
      </c>
      <c r="U731" t="str">
        <f t="shared" si="11"/>
        <v>1652</v>
      </c>
      <c r="V731" s="44" t="s">
        <v>83</v>
      </c>
      <c r="W731" s="44">
        <v>42729</v>
      </c>
      <c r="X731" s="24">
        <v>52</v>
      </c>
      <c r="Y731" s="24">
        <v>2016</v>
      </c>
      <c r="Z731" s="25">
        <v>201652</v>
      </c>
    </row>
    <row r="732" spans="20:26" x14ac:dyDescent="0.25">
      <c r="T732" s="43">
        <v>42731</v>
      </c>
      <c r="U732" t="str">
        <f t="shared" si="11"/>
        <v>1652</v>
      </c>
      <c r="V732" s="44" t="s">
        <v>84</v>
      </c>
      <c r="W732" s="44">
        <v>42729</v>
      </c>
      <c r="X732" s="24">
        <v>52</v>
      </c>
      <c r="Y732" s="24">
        <v>2016</v>
      </c>
      <c r="Z732" s="25">
        <v>201652</v>
      </c>
    </row>
    <row r="733" spans="20:26" x14ac:dyDescent="0.25">
      <c r="T733" s="43">
        <v>42732</v>
      </c>
      <c r="U733" t="str">
        <f t="shared" si="11"/>
        <v>1652</v>
      </c>
      <c r="V733" s="44" t="s">
        <v>85</v>
      </c>
      <c r="W733" s="44">
        <v>42729</v>
      </c>
      <c r="X733" s="24">
        <v>52</v>
      </c>
      <c r="Y733" s="24">
        <v>2016</v>
      </c>
      <c r="Z733" s="25">
        <v>201652</v>
      </c>
    </row>
    <row r="734" spans="20:26" x14ac:dyDescent="0.25">
      <c r="T734" s="43">
        <v>42733</v>
      </c>
      <c r="U734" t="str">
        <f t="shared" si="11"/>
        <v>1652</v>
      </c>
      <c r="V734" s="44" t="s">
        <v>86</v>
      </c>
      <c r="W734" s="44">
        <v>42729</v>
      </c>
      <c r="X734" s="24">
        <v>52</v>
      </c>
      <c r="Y734" s="24">
        <v>2016</v>
      </c>
      <c r="Z734" s="25">
        <v>201652</v>
      </c>
    </row>
    <row r="735" spans="20:26" x14ac:dyDescent="0.25">
      <c r="T735" s="43">
        <v>42734</v>
      </c>
      <c r="U735" t="str">
        <f t="shared" si="11"/>
        <v>1652</v>
      </c>
      <c r="V735" s="44" t="s">
        <v>87</v>
      </c>
      <c r="W735" s="44">
        <v>42729</v>
      </c>
      <c r="X735" s="24">
        <v>52</v>
      </c>
      <c r="Y735" s="24">
        <v>2016</v>
      </c>
      <c r="Z735" s="25">
        <v>201652</v>
      </c>
    </row>
    <row r="736" spans="20:26" x14ac:dyDescent="0.25">
      <c r="T736" s="43">
        <v>42735</v>
      </c>
      <c r="U736" t="str">
        <f t="shared" si="11"/>
        <v>1652</v>
      </c>
      <c r="V736" s="44" t="s">
        <v>88</v>
      </c>
      <c r="W736" s="44">
        <v>42729</v>
      </c>
      <c r="X736" s="24">
        <v>52</v>
      </c>
      <c r="Y736" s="24">
        <v>2016</v>
      </c>
      <c r="Z736" s="25">
        <v>201652</v>
      </c>
    </row>
    <row r="737" spans="20:26" x14ac:dyDescent="0.25">
      <c r="T737" s="43">
        <v>42736</v>
      </c>
      <c r="U737" t="str">
        <f t="shared" si="11"/>
        <v>1701</v>
      </c>
      <c r="V737" s="44" t="s">
        <v>82</v>
      </c>
      <c r="W737" s="44">
        <v>42736</v>
      </c>
      <c r="X737" s="24">
        <v>1</v>
      </c>
      <c r="Y737" s="24">
        <v>2017</v>
      </c>
      <c r="Z737" s="25">
        <v>201701</v>
      </c>
    </row>
    <row r="738" spans="20:26" x14ac:dyDescent="0.25">
      <c r="T738" s="43">
        <v>42737</v>
      </c>
      <c r="U738" t="str">
        <f t="shared" si="11"/>
        <v>1701</v>
      </c>
      <c r="V738" s="44" t="s">
        <v>83</v>
      </c>
      <c r="W738" s="44">
        <v>42736</v>
      </c>
      <c r="X738" s="24">
        <v>1</v>
      </c>
      <c r="Y738" s="24">
        <v>2017</v>
      </c>
      <c r="Z738" s="25">
        <v>201701</v>
      </c>
    </row>
    <row r="739" spans="20:26" x14ac:dyDescent="0.25">
      <c r="T739" s="43">
        <v>42738</v>
      </c>
      <c r="U739" t="str">
        <f t="shared" si="11"/>
        <v>1701</v>
      </c>
      <c r="V739" s="44" t="s">
        <v>84</v>
      </c>
      <c r="W739" s="44">
        <v>42736</v>
      </c>
      <c r="X739" s="24">
        <v>1</v>
      </c>
      <c r="Y739" s="24">
        <v>2017</v>
      </c>
      <c r="Z739" s="25">
        <v>201701</v>
      </c>
    </row>
    <row r="740" spans="20:26" x14ac:dyDescent="0.25">
      <c r="T740" s="43">
        <v>42739</v>
      </c>
      <c r="U740" t="str">
        <f t="shared" si="11"/>
        <v>1701</v>
      </c>
      <c r="V740" s="44" t="s">
        <v>85</v>
      </c>
      <c r="W740" s="44">
        <v>42736</v>
      </c>
      <c r="X740" s="24">
        <v>1</v>
      </c>
      <c r="Y740" s="24">
        <v>2017</v>
      </c>
      <c r="Z740" s="25">
        <v>201701</v>
      </c>
    </row>
    <row r="741" spans="20:26" x14ac:dyDescent="0.25">
      <c r="T741" s="43">
        <v>42740</v>
      </c>
      <c r="U741" t="str">
        <f t="shared" si="11"/>
        <v>1701</v>
      </c>
      <c r="V741" s="44" t="s">
        <v>86</v>
      </c>
      <c r="W741" s="44">
        <v>42736</v>
      </c>
      <c r="X741" s="24">
        <v>1</v>
      </c>
      <c r="Y741" s="24">
        <v>2017</v>
      </c>
      <c r="Z741" s="25">
        <v>201701</v>
      </c>
    </row>
    <row r="742" spans="20:26" x14ac:dyDescent="0.25">
      <c r="T742" s="43">
        <v>42741</v>
      </c>
      <c r="U742" t="str">
        <f t="shared" si="11"/>
        <v>1701</v>
      </c>
      <c r="V742" s="44" t="s">
        <v>87</v>
      </c>
      <c r="W742" s="44">
        <v>42736</v>
      </c>
      <c r="X742" s="24">
        <v>1</v>
      </c>
      <c r="Y742" s="24">
        <v>2017</v>
      </c>
      <c r="Z742" s="25">
        <v>201701</v>
      </c>
    </row>
    <row r="743" spans="20:26" x14ac:dyDescent="0.25">
      <c r="T743" s="43">
        <v>42742</v>
      </c>
      <c r="U743" t="str">
        <f t="shared" si="11"/>
        <v>1701</v>
      </c>
      <c r="V743" s="44" t="s">
        <v>88</v>
      </c>
      <c r="W743" s="44">
        <v>42736</v>
      </c>
      <c r="X743" s="24">
        <v>1</v>
      </c>
      <c r="Y743" s="24">
        <v>2017</v>
      </c>
      <c r="Z743" s="25">
        <v>201701</v>
      </c>
    </row>
    <row r="744" spans="20:26" x14ac:dyDescent="0.25">
      <c r="T744" s="43">
        <v>42743</v>
      </c>
      <c r="U744" t="str">
        <f t="shared" si="11"/>
        <v>1702</v>
      </c>
      <c r="V744" s="44" t="s">
        <v>82</v>
      </c>
      <c r="W744" s="44">
        <v>42743</v>
      </c>
      <c r="X744" s="24">
        <v>2</v>
      </c>
      <c r="Y744" s="24">
        <v>2017</v>
      </c>
      <c r="Z744" s="25">
        <v>201702</v>
      </c>
    </row>
    <row r="745" spans="20:26" x14ac:dyDescent="0.25">
      <c r="T745" s="43">
        <v>42744</v>
      </c>
      <c r="U745" t="str">
        <f t="shared" si="11"/>
        <v>1702</v>
      </c>
      <c r="V745" s="44" t="s">
        <v>83</v>
      </c>
      <c r="W745" s="44">
        <v>42743</v>
      </c>
      <c r="X745" s="24">
        <v>2</v>
      </c>
      <c r="Y745" s="24">
        <v>2017</v>
      </c>
      <c r="Z745" s="25">
        <v>201702</v>
      </c>
    </row>
    <row r="746" spans="20:26" x14ac:dyDescent="0.25">
      <c r="T746" s="43">
        <v>42745</v>
      </c>
      <c r="U746" t="str">
        <f t="shared" si="11"/>
        <v>1702</v>
      </c>
      <c r="V746" s="44" t="s">
        <v>84</v>
      </c>
      <c r="W746" s="44">
        <v>42743</v>
      </c>
      <c r="X746" s="24">
        <v>2</v>
      </c>
      <c r="Y746" s="24">
        <v>2017</v>
      </c>
      <c r="Z746" s="25">
        <v>201702</v>
      </c>
    </row>
    <row r="747" spans="20:26" x14ac:dyDescent="0.25">
      <c r="T747" s="43">
        <v>42746</v>
      </c>
      <c r="U747" t="str">
        <f t="shared" si="11"/>
        <v>1702</v>
      </c>
      <c r="V747" s="44" t="s">
        <v>85</v>
      </c>
      <c r="W747" s="44">
        <v>42743</v>
      </c>
      <c r="X747" s="24">
        <v>2</v>
      </c>
      <c r="Y747" s="24">
        <v>2017</v>
      </c>
      <c r="Z747" s="25">
        <v>201702</v>
      </c>
    </row>
    <row r="748" spans="20:26" x14ac:dyDescent="0.25">
      <c r="T748" s="43">
        <v>42747</v>
      </c>
      <c r="U748" t="str">
        <f t="shared" si="11"/>
        <v>1702</v>
      </c>
      <c r="V748" s="44" t="s">
        <v>86</v>
      </c>
      <c r="W748" s="44">
        <v>42743</v>
      </c>
      <c r="X748" s="24">
        <v>2</v>
      </c>
      <c r="Y748" s="24">
        <v>2017</v>
      </c>
      <c r="Z748" s="25">
        <v>201702</v>
      </c>
    </row>
    <row r="749" spans="20:26" x14ac:dyDescent="0.25">
      <c r="T749" s="43">
        <v>42748</v>
      </c>
      <c r="U749" t="str">
        <f t="shared" si="11"/>
        <v>1702</v>
      </c>
      <c r="V749" s="44" t="s">
        <v>87</v>
      </c>
      <c r="W749" s="44">
        <v>42743</v>
      </c>
      <c r="X749" s="24">
        <v>2</v>
      </c>
      <c r="Y749" s="24">
        <v>2017</v>
      </c>
      <c r="Z749" s="25">
        <v>201702</v>
      </c>
    </row>
    <row r="750" spans="20:26" x14ac:dyDescent="0.25">
      <c r="T750" s="43">
        <v>42749</v>
      </c>
      <c r="U750" t="str">
        <f t="shared" si="11"/>
        <v>1702</v>
      </c>
      <c r="V750" s="44" t="s">
        <v>88</v>
      </c>
      <c r="W750" s="44">
        <v>42743</v>
      </c>
      <c r="X750" s="24">
        <v>2</v>
      </c>
      <c r="Y750" s="24">
        <v>2017</v>
      </c>
      <c r="Z750" s="25">
        <v>201702</v>
      </c>
    </row>
    <row r="751" spans="20:26" x14ac:dyDescent="0.25">
      <c r="T751" s="43">
        <v>42750</v>
      </c>
      <c r="U751" t="str">
        <f t="shared" si="11"/>
        <v>1703</v>
      </c>
      <c r="V751" s="44" t="s">
        <v>82</v>
      </c>
      <c r="W751" s="44">
        <v>42750</v>
      </c>
      <c r="X751" s="24">
        <v>3</v>
      </c>
      <c r="Y751" s="24">
        <v>2017</v>
      </c>
      <c r="Z751" s="25">
        <v>201703</v>
      </c>
    </row>
    <row r="752" spans="20:26" x14ac:dyDescent="0.25">
      <c r="T752" s="43">
        <v>42751</v>
      </c>
      <c r="U752" t="str">
        <f t="shared" si="11"/>
        <v>1703</v>
      </c>
      <c r="V752" s="44" t="s">
        <v>83</v>
      </c>
      <c r="W752" s="44">
        <v>42750</v>
      </c>
      <c r="X752" s="24">
        <v>3</v>
      </c>
      <c r="Y752" s="24">
        <v>2017</v>
      </c>
      <c r="Z752" s="25">
        <v>201703</v>
      </c>
    </row>
    <row r="753" spans="20:26" x14ac:dyDescent="0.25">
      <c r="T753" s="43">
        <v>42752</v>
      </c>
      <c r="U753" t="str">
        <f t="shared" si="11"/>
        <v>1703</v>
      </c>
      <c r="V753" s="44" t="s">
        <v>84</v>
      </c>
      <c r="W753" s="44">
        <v>42750</v>
      </c>
      <c r="X753" s="24">
        <v>3</v>
      </c>
      <c r="Y753" s="24">
        <v>2017</v>
      </c>
      <c r="Z753" s="25">
        <v>201703</v>
      </c>
    </row>
    <row r="754" spans="20:26" x14ac:dyDescent="0.25">
      <c r="T754" s="43">
        <v>42753</v>
      </c>
      <c r="U754" t="str">
        <f t="shared" si="11"/>
        <v>1703</v>
      </c>
      <c r="V754" s="44" t="s">
        <v>85</v>
      </c>
      <c r="W754" s="44">
        <v>42750</v>
      </c>
      <c r="X754" s="24">
        <v>3</v>
      </c>
      <c r="Y754" s="24">
        <v>2017</v>
      </c>
      <c r="Z754" s="25">
        <v>201703</v>
      </c>
    </row>
    <row r="755" spans="20:26" x14ac:dyDescent="0.25">
      <c r="T755" s="43">
        <v>42754</v>
      </c>
      <c r="U755" t="str">
        <f t="shared" si="11"/>
        <v>1703</v>
      </c>
      <c r="V755" s="44" t="s">
        <v>86</v>
      </c>
      <c r="W755" s="44">
        <v>42750</v>
      </c>
      <c r="X755" s="24">
        <v>3</v>
      </c>
      <c r="Y755" s="24">
        <v>2017</v>
      </c>
      <c r="Z755" s="25">
        <v>201703</v>
      </c>
    </row>
    <row r="756" spans="20:26" x14ac:dyDescent="0.25">
      <c r="T756" s="43">
        <v>42755</v>
      </c>
      <c r="U756" t="str">
        <f t="shared" si="11"/>
        <v>1703</v>
      </c>
      <c r="V756" s="44" t="s">
        <v>87</v>
      </c>
      <c r="W756" s="44">
        <v>42750</v>
      </c>
      <c r="X756" s="24">
        <v>3</v>
      </c>
      <c r="Y756" s="24">
        <v>2017</v>
      </c>
      <c r="Z756" s="25">
        <v>201703</v>
      </c>
    </row>
    <row r="757" spans="20:26" x14ac:dyDescent="0.25">
      <c r="T757" s="43">
        <v>42756</v>
      </c>
      <c r="U757" t="str">
        <f t="shared" si="11"/>
        <v>1703</v>
      </c>
      <c r="V757" s="44" t="s">
        <v>88</v>
      </c>
      <c r="W757" s="44">
        <v>42750</v>
      </c>
      <c r="X757" s="24">
        <v>3</v>
      </c>
      <c r="Y757" s="24">
        <v>2017</v>
      </c>
      <c r="Z757" s="25">
        <v>201703</v>
      </c>
    </row>
    <row r="758" spans="20:26" x14ac:dyDescent="0.25">
      <c r="T758" s="43">
        <v>42757</v>
      </c>
      <c r="U758" t="str">
        <f t="shared" si="11"/>
        <v>1704</v>
      </c>
      <c r="V758" s="44" t="s">
        <v>82</v>
      </c>
      <c r="W758" s="44">
        <v>42757</v>
      </c>
      <c r="X758" s="24">
        <v>4</v>
      </c>
      <c r="Y758" s="24">
        <v>2017</v>
      </c>
      <c r="Z758" s="25">
        <v>201704</v>
      </c>
    </row>
    <row r="759" spans="20:26" x14ac:dyDescent="0.25">
      <c r="T759" s="43">
        <v>42758</v>
      </c>
      <c r="U759" t="str">
        <f t="shared" si="11"/>
        <v>1704</v>
      </c>
      <c r="V759" s="44" t="s">
        <v>83</v>
      </c>
      <c r="W759" s="44">
        <v>42757</v>
      </c>
      <c r="X759" s="24">
        <v>4</v>
      </c>
      <c r="Y759" s="24">
        <v>2017</v>
      </c>
      <c r="Z759" s="25">
        <v>201704</v>
      </c>
    </row>
    <row r="760" spans="20:26" x14ac:dyDescent="0.25">
      <c r="T760" s="43">
        <v>42759</v>
      </c>
      <c r="U760" t="str">
        <f t="shared" si="11"/>
        <v>1704</v>
      </c>
      <c r="V760" s="44" t="s">
        <v>84</v>
      </c>
      <c r="W760" s="44">
        <v>42757</v>
      </c>
      <c r="X760" s="24">
        <v>4</v>
      </c>
      <c r="Y760" s="24">
        <v>2017</v>
      </c>
      <c r="Z760" s="25">
        <v>201704</v>
      </c>
    </row>
    <row r="761" spans="20:26" x14ac:dyDescent="0.25">
      <c r="T761" s="43">
        <v>42760</v>
      </c>
      <c r="U761" t="str">
        <f t="shared" si="11"/>
        <v>1704</v>
      </c>
      <c r="V761" s="44" t="s">
        <v>85</v>
      </c>
      <c r="W761" s="44">
        <v>42757</v>
      </c>
      <c r="X761" s="24">
        <v>4</v>
      </c>
      <c r="Y761" s="24">
        <v>2017</v>
      </c>
      <c r="Z761" s="25">
        <v>201704</v>
      </c>
    </row>
    <row r="762" spans="20:26" x14ac:dyDescent="0.25">
      <c r="T762" s="43">
        <v>42761</v>
      </c>
      <c r="U762" t="str">
        <f t="shared" si="11"/>
        <v>1704</v>
      </c>
      <c r="V762" s="44" t="s">
        <v>86</v>
      </c>
      <c r="W762" s="44">
        <v>42757</v>
      </c>
      <c r="X762" s="24">
        <v>4</v>
      </c>
      <c r="Y762" s="24">
        <v>2017</v>
      </c>
      <c r="Z762" s="25">
        <v>201704</v>
      </c>
    </row>
    <row r="763" spans="20:26" x14ac:dyDescent="0.25">
      <c r="T763" s="43">
        <v>42762</v>
      </c>
      <c r="U763" t="str">
        <f t="shared" si="11"/>
        <v>1704</v>
      </c>
      <c r="V763" s="44" t="s">
        <v>87</v>
      </c>
      <c r="W763" s="44">
        <v>42757</v>
      </c>
      <c r="X763" s="24">
        <v>4</v>
      </c>
      <c r="Y763" s="24">
        <v>2017</v>
      </c>
      <c r="Z763" s="25">
        <v>201704</v>
      </c>
    </row>
    <row r="764" spans="20:26" x14ac:dyDescent="0.25">
      <c r="T764" s="43">
        <v>42763</v>
      </c>
      <c r="U764" t="str">
        <f t="shared" si="11"/>
        <v>1704</v>
      </c>
      <c r="V764" s="44" t="s">
        <v>88</v>
      </c>
      <c r="W764" s="44">
        <v>42757</v>
      </c>
      <c r="X764" s="24">
        <v>4</v>
      </c>
      <c r="Y764" s="24">
        <v>2017</v>
      </c>
      <c r="Z764" s="25">
        <v>201704</v>
      </c>
    </row>
    <row r="765" spans="20:26" x14ac:dyDescent="0.25">
      <c r="T765" s="43">
        <v>42764</v>
      </c>
      <c r="U765" t="str">
        <f t="shared" si="11"/>
        <v>1705</v>
      </c>
      <c r="V765" s="44" t="s">
        <v>82</v>
      </c>
      <c r="W765" s="44">
        <v>42764</v>
      </c>
      <c r="X765" s="24">
        <v>5</v>
      </c>
      <c r="Y765" s="24">
        <v>2017</v>
      </c>
      <c r="Z765" s="25">
        <v>201705</v>
      </c>
    </row>
    <row r="766" spans="20:26" x14ac:dyDescent="0.25">
      <c r="T766" s="43">
        <v>42765</v>
      </c>
      <c r="U766" t="str">
        <f t="shared" si="11"/>
        <v>1705</v>
      </c>
      <c r="V766" s="44" t="s">
        <v>83</v>
      </c>
      <c r="W766" s="44">
        <v>42764</v>
      </c>
      <c r="X766" s="24">
        <v>5</v>
      </c>
      <c r="Y766" s="24">
        <v>2017</v>
      </c>
      <c r="Z766" s="25">
        <v>201705</v>
      </c>
    </row>
    <row r="767" spans="20:26" x14ac:dyDescent="0.25">
      <c r="T767" s="43">
        <v>42766</v>
      </c>
      <c r="U767" t="str">
        <f t="shared" si="11"/>
        <v>1705</v>
      </c>
      <c r="V767" s="44" t="s">
        <v>84</v>
      </c>
      <c r="W767" s="44">
        <v>42764</v>
      </c>
      <c r="X767" s="24">
        <v>5</v>
      </c>
      <c r="Y767" s="24">
        <v>2017</v>
      </c>
      <c r="Z767" s="25">
        <v>201705</v>
      </c>
    </row>
    <row r="768" spans="20:26" x14ac:dyDescent="0.25">
      <c r="T768" s="43">
        <v>42767</v>
      </c>
      <c r="U768" t="str">
        <f t="shared" si="11"/>
        <v>1705</v>
      </c>
      <c r="V768" s="44" t="s">
        <v>85</v>
      </c>
      <c r="W768" s="44">
        <v>42764</v>
      </c>
      <c r="X768" s="24">
        <v>5</v>
      </c>
      <c r="Y768" s="24">
        <v>2017</v>
      </c>
      <c r="Z768" s="25">
        <v>201705</v>
      </c>
    </row>
    <row r="769" spans="20:26" x14ac:dyDescent="0.25">
      <c r="T769" s="43">
        <v>42768</v>
      </c>
      <c r="U769" t="str">
        <f t="shared" si="11"/>
        <v>1705</v>
      </c>
      <c r="V769" s="44" t="s">
        <v>86</v>
      </c>
      <c r="W769" s="44">
        <v>42764</v>
      </c>
      <c r="X769" s="24">
        <v>5</v>
      </c>
      <c r="Y769" s="24">
        <v>2017</v>
      </c>
      <c r="Z769" s="25">
        <v>201705</v>
      </c>
    </row>
    <row r="770" spans="20:26" x14ac:dyDescent="0.25">
      <c r="T770" s="43">
        <v>42769</v>
      </c>
      <c r="U770" t="str">
        <f t="shared" ref="U770:U833" si="12">RIGHT(Z770,4)</f>
        <v>1705</v>
      </c>
      <c r="V770" s="44" t="s">
        <v>87</v>
      </c>
      <c r="W770" s="44">
        <v>42764</v>
      </c>
      <c r="X770" s="24">
        <v>5</v>
      </c>
      <c r="Y770" s="24">
        <v>2017</v>
      </c>
      <c r="Z770" s="25">
        <v>201705</v>
      </c>
    </row>
    <row r="771" spans="20:26" x14ac:dyDescent="0.25">
      <c r="T771" s="43">
        <v>42770</v>
      </c>
      <c r="U771" t="str">
        <f t="shared" si="12"/>
        <v>1705</v>
      </c>
      <c r="V771" s="44" t="s">
        <v>88</v>
      </c>
      <c r="W771" s="44">
        <v>42764</v>
      </c>
      <c r="X771" s="24">
        <v>5</v>
      </c>
      <c r="Y771" s="24">
        <v>2017</v>
      </c>
      <c r="Z771" s="25">
        <v>201705</v>
      </c>
    </row>
    <row r="772" spans="20:26" x14ac:dyDescent="0.25">
      <c r="T772" s="43">
        <v>42771</v>
      </c>
      <c r="U772" t="str">
        <f t="shared" si="12"/>
        <v>1706</v>
      </c>
      <c r="V772" s="44" t="s">
        <v>82</v>
      </c>
      <c r="W772" s="44">
        <v>42771</v>
      </c>
      <c r="X772" s="24">
        <v>6</v>
      </c>
      <c r="Y772" s="24">
        <v>2017</v>
      </c>
      <c r="Z772" s="25">
        <v>201706</v>
      </c>
    </row>
    <row r="773" spans="20:26" x14ac:dyDescent="0.25">
      <c r="T773" s="43">
        <v>42772</v>
      </c>
      <c r="U773" t="str">
        <f t="shared" si="12"/>
        <v>1706</v>
      </c>
      <c r="V773" s="44" t="s">
        <v>83</v>
      </c>
      <c r="W773" s="44">
        <v>42771</v>
      </c>
      <c r="X773" s="24">
        <v>6</v>
      </c>
      <c r="Y773" s="24">
        <v>2017</v>
      </c>
      <c r="Z773" s="25">
        <v>201706</v>
      </c>
    </row>
    <row r="774" spans="20:26" x14ac:dyDescent="0.25">
      <c r="T774" s="43">
        <v>42773</v>
      </c>
      <c r="U774" t="str">
        <f t="shared" si="12"/>
        <v>1706</v>
      </c>
      <c r="V774" s="44" t="s">
        <v>84</v>
      </c>
      <c r="W774" s="44">
        <v>42771</v>
      </c>
      <c r="X774" s="24">
        <v>6</v>
      </c>
      <c r="Y774" s="24">
        <v>2017</v>
      </c>
      <c r="Z774" s="25">
        <v>201706</v>
      </c>
    </row>
    <row r="775" spans="20:26" x14ac:dyDescent="0.25">
      <c r="T775" s="43">
        <v>42774</v>
      </c>
      <c r="U775" t="str">
        <f t="shared" si="12"/>
        <v>1706</v>
      </c>
      <c r="V775" s="44" t="s">
        <v>85</v>
      </c>
      <c r="W775" s="44">
        <v>42771</v>
      </c>
      <c r="X775" s="24">
        <v>6</v>
      </c>
      <c r="Y775" s="24">
        <v>2017</v>
      </c>
      <c r="Z775" s="25">
        <v>201706</v>
      </c>
    </row>
    <row r="776" spans="20:26" x14ac:dyDescent="0.25">
      <c r="T776" s="43">
        <v>42775</v>
      </c>
      <c r="U776" t="str">
        <f t="shared" si="12"/>
        <v>1706</v>
      </c>
      <c r="V776" s="44" t="s">
        <v>86</v>
      </c>
      <c r="W776" s="44">
        <v>42771</v>
      </c>
      <c r="X776" s="24">
        <v>6</v>
      </c>
      <c r="Y776" s="24">
        <v>2017</v>
      </c>
      <c r="Z776" s="25">
        <v>201706</v>
      </c>
    </row>
    <row r="777" spans="20:26" x14ac:dyDescent="0.25">
      <c r="T777" s="43">
        <v>42776</v>
      </c>
      <c r="U777" t="str">
        <f t="shared" si="12"/>
        <v>1706</v>
      </c>
      <c r="V777" s="44" t="s">
        <v>87</v>
      </c>
      <c r="W777" s="44">
        <v>42771</v>
      </c>
      <c r="X777" s="24">
        <v>6</v>
      </c>
      <c r="Y777" s="24">
        <v>2017</v>
      </c>
      <c r="Z777" s="25">
        <v>201706</v>
      </c>
    </row>
    <row r="778" spans="20:26" x14ac:dyDescent="0.25">
      <c r="T778" s="43">
        <v>42777</v>
      </c>
      <c r="U778" t="str">
        <f t="shared" si="12"/>
        <v>1706</v>
      </c>
      <c r="V778" s="44" t="s">
        <v>88</v>
      </c>
      <c r="W778" s="44">
        <v>42771</v>
      </c>
      <c r="X778" s="24">
        <v>6</v>
      </c>
      <c r="Y778" s="24">
        <v>2017</v>
      </c>
      <c r="Z778" s="25">
        <v>201706</v>
      </c>
    </row>
    <row r="779" spans="20:26" x14ac:dyDescent="0.25">
      <c r="T779" s="43">
        <v>42778</v>
      </c>
      <c r="U779" t="str">
        <f t="shared" si="12"/>
        <v>1707</v>
      </c>
      <c r="V779" s="44" t="s">
        <v>82</v>
      </c>
      <c r="W779" s="44">
        <v>42778</v>
      </c>
      <c r="X779" s="24">
        <v>7</v>
      </c>
      <c r="Y779" s="24">
        <v>2017</v>
      </c>
      <c r="Z779" s="25">
        <v>201707</v>
      </c>
    </row>
    <row r="780" spans="20:26" x14ac:dyDescent="0.25">
      <c r="T780" s="43">
        <v>42779</v>
      </c>
      <c r="U780" t="str">
        <f t="shared" si="12"/>
        <v>1707</v>
      </c>
      <c r="V780" s="44" t="s">
        <v>83</v>
      </c>
      <c r="W780" s="44">
        <v>42778</v>
      </c>
      <c r="X780" s="24">
        <v>7</v>
      </c>
      <c r="Y780" s="24">
        <v>2017</v>
      </c>
      <c r="Z780" s="25">
        <v>201707</v>
      </c>
    </row>
    <row r="781" spans="20:26" x14ac:dyDescent="0.25">
      <c r="T781" s="43">
        <v>42780</v>
      </c>
      <c r="U781" t="str">
        <f t="shared" si="12"/>
        <v>1707</v>
      </c>
      <c r="V781" s="44" t="s">
        <v>84</v>
      </c>
      <c r="W781" s="44">
        <v>42778</v>
      </c>
      <c r="X781" s="24">
        <v>7</v>
      </c>
      <c r="Y781" s="24">
        <v>2017</v>
      </c>
      <c r="Z781" s="25">
        <v>201707</v>
      </c>
    </row>
    <row r="782" spans="20:26" x14ac:dyDescent="0.25">
      <c r="T782" s="43">
        <v>42781</v>
      </c>
      <c r="U782" t="str">
        <f t="shared" si="12"/>
        <v>1707</v>
      </c>
      <c r="V782" s="44" t="s">
        <v>85</v>
      </c>
      <c r="W782" s="44">
        <v>42778</v>
      </c>
      <c r="X782" s="24">
        <v>7</v>
      </c>
      <c r="Y782" s="24">
        <v>2017</v>
      </c>
      <c r="Z782" s="25">
        <v>201707</v>
      </c>
    </row>
    <row r="783" spans="20:26" x14ac:dyDescent="0.25">
      <c r="T783" s="43">
        <v>42782</v>
      </c>
      <c r="U783" t="str">
        <f t="shared" si="12"/>
        <v>1707</v>
      </c>
      <c r="V783" s="44" t="s">
        <v>86</v>
      </c>
      <c r="W783" s="44">
        <v>42778</v>
      </c>
      <c r="X783" s="24">
        <v>7</v>
      </c>
      <c r="Y783" s="24">
        <v>2017</v>
      </c>
      <c r="Z783" s="25">
        <v>201707</v>
      </c>
    </row>
    <row r="784" spans="20:26" x14ac:dyDescent="0.25">
      <c r="T784" s="43">
        <v>42783</v>
      </c>
      <c r="U784" t="str">
        <f t="shared" si="12"/>
        <v>1707</v>
      </c>
      <c r="V784" s="44" t="s">
        <v>87</v>
      </c>
      <c r="W784" s="44">
        <v>42778</v>
      </c>
      <c r="X784" s="24">
        <v>7</v>
      </c>
      <c r="Y784" s="24">
        <v>2017</v>
      </c>
      <c r="Z784" s="25">
        <v>201707</v>
      </c>
    </row>
    <row r="785" spans="20:26" x14ac:dyDescent="0.25">
      <c r="T785" s="43">
        <v>42784</v>
      </c>
      <c r="U785" t="str">
        <f t="shared" si="12"/>
        <v>1707</v>
      </c>
      <c r="V785" s="44" t="s">
        <v>88</v>
      </c>
      <c r="W785" s="44">
        <v>42778</v>
      </c>
      <c r="X785" s="24">
        <v>7</v>
      </c>
      <c r="Y785" s="24">
        <v>2017</v>
      </c>
      <c r="Z785" s="25">
        <v>201707</v>
      </c>
    </row>
    <row r="786" spans="20:26" x14ac:dyDescent="0.25">
      <c r="T786" s="43">
        <v>42785</v>
      </c>
      <c r="U786" t="str">
        <f t="shared" si="12"/>
        <v>1708</v>
      </c>
      <c r="V786" s="44" t="s">
        <v>82</v>
      </c>
      <c r="W786" s="44">
        <v>42785</v>
      </c>
      <c r="X786" s="24">
        <v>8</v>
      </c>
      <c r="Y786" s="24">
        <v>2017</v>
      </c>
      <c r="Z786" s="25">
        <v>201708</v>
      </c>
    </row>
    <row r="787" spans="20:26" x14ac:dyDescent="0.25">
      <c r="T787" s="43">
        <v>42786</v>
      </c>
      <c r="U787" t="str">
        <f t="shared" si="12"/>
        <v>1708</v>
      </c>
      <c r="V787" s="44" t="s">
        <v>83</v>
      </c>
      <c r="W787" s="44">
        <v>42785</v>
      </c>
      <c r="X787" s="24">
        <v>8</v>
      </c>
      <c r="Y787" s="24">
        <v>2017</v>
      </c>
      <c r="Z787" s="25">
        <v>201708</v>
      </c>
    </row>
    <row r="788" spans="20:26" x14ac:dyDescent="0.25">
      <c r="T788" s="43">
        <v>42787</v>
      </c>
      <c r="U788" t="str">
        <f t="shared" si="12"/>
        <v>1708</v>
      </c>
      <c r="V788" s="44" t="s">
        <v>84</v>
      </c>
      <c r="W788" s="44">
        <v>42785</v>
      </c>
      <c r="X788" s="24">
        <v>8</v>
      </c>
      <c r="Y788" s="24">
        <v>2017</v>
      </c>
      <c r="Z788" s="25">
        <v>201708</v>
      </c>
    </row>
    <row r="789" spans="20:26" x14ac:dyDescent="0.25">
      <c r="T789" s="43">
        <v>42788</v>
      </c>
      <c r="U789" t="str">
        <f t="shared" si="12"/>
        <v>1708</v>
      </c>
      <c r="V789" s="44" t="s">
        <v>85</v>
      </c>
      <c r="W789" s="44">
        <v>42785</v>
      </c>
      <c r="X789" s="24">
        <v>8</v>
      </c>
      <c r="Y789" s="24">
        <v>2017</v>
      </c>
      <c r="Z789" s="25">
        <v>201708</v>
      </c>
    </row>
    <row r="790" spans="20:26" x14ac:dyDescent="0.25">
      <c r="T790" s="43">
        <v>42789</v>
      </c>
      <c r="U790" t="str">
        <f t="shared" si="12"/>
        <v>1708</v>
      </c>
      <c r="V790" s="44" t="s">
        <v>86</v>
      </c>
      <c r="W790" s="44">
        <v>42785</v>
      </c>
      <c r="X790" s="24">
        <v>8</v>
      </c>
      <c r="Y790" s="24">
        <v>2017</v>
      </c>
      <c r="Z790" s="25">
        <v>201708</v>
      </c>
    </row>
    <row r="791" spans="20:26" x14ac:dyDescent="0.25">
      <c r="T791" s="43">
        <v>42790</v>
      </c>
      <c r="U791" t="str">
        <f t="shared" si="12"/>
        <v>1708</v>
      </c>
      <c r="V791" s="44" t="s">
        <v>87</v>
      </c>
      <c r="W791" s="44">
        <v>42785</v>
      </c>
      <c r="X791" s="24">
        <v>8</v>
      </c>
      <c r="Y791" s="24">
        <v>2017</v>
      </c>
      <c r="Z791" s="25">
        <v>201708</v>
      </c>
    </row>
    <row r="792" spans="20:26" x14ac:dyDescent="0.25">
      <c r="T792" s="43">
        <v>42791</v>
      </c>
      <c r="U792" t="str">
        <f t="shared" si="12"/>
        <v>1708</v>
      </c>
      <c r="V792" s="44" t="s">
        <v>88</v>
      </c>
      <c r="W792" s="44">
        <v>42785</v>
      </c>
      <c r="X792" s="24">
        <v>8</v>
      </c>
      <c r="Y792" s="24">
        <v>2017</v>
      </c>
      <c r="Z792" s="25">
        <v>201708</v>
      </c>
    </row>
    <row r="793" spans="20:26" x14ac:dyDescent="0.25">
      <c r="T793" s="43">
        <v>42792</v>
      </c>
      <c r="U793" t="str">
        <f t="shared" si="12"/>
        <v>1709</v>
      </c>
      <c r="V793" s="44" t="s">
        <v>82</v>
      </c>
      <c r="W793" s="44">
        <v>42792</v>
      </c>
      <c r="X793" s="24">
        <v>9</v>
      </c>
      <c r="Y793" s="24">
        <v>2017</v>
      </c>
      <c r="Z793" s="25">
        <v>201709</v>
      </c>
    </row>
    <row r="794" spans="20:26" x14ac:dyDescent="0.25">
      <c r="T794" s="43">
        <v>42793</v>
      </c>
      <c r="U794" t="str">
        <f t="shared" si="12"/>
        <v>1709</v>
      </c>
      <c r="V794" s="44" t="s">
        <v>83</v>
      </c>
      <c r="W794" s="44">
        <v>42792</v>
      </c>
      <c r="X794" s="24">
        <v>9</v>
      </c>
      <c r="Y794" s="24">
        <v>2017</v>
      </c>
      <c r="Z794" s="25">
        <v>201709</v>
      </c>
    </row>
    <row r="795" spans="20:26" x14ac:dyDescent="0.25">
      <c r="T795" s="43">
        <v>42794</v>
      </c>
      <c r="U795" t="str">
        <f t="shared" si="12"/>
        <v>1709</v>
      </c>
      <c r="V795" s="44" t="s">
        <v>84</v>
      </c>
      <c r="W795" s="44">
        <v>42792</v>
      </c>
      <c r="X795" s="24">
        <v>9</v>
      </c>
      <c r="Y795" s="24">
        <v>2017</v>
      </c>
      <c r="Z795" s="25">
        <v>201709</v>
      </c>
    </row>
    <row r="796" spans="20:26" x14ac:dyDescent="0.25">
      <c r="T796" s="43">
        <v>42795</v>
      </c>
      <c r="U796" t="str">
        <f t="shared" si="12"/>
        <v>1709</v>
      </c>
      <c r="V796" s="44" t="s">
        <v>85</v>
      </c>
      <c r="W796" s="44">
        <v>42792</v>
      </c>
      <c r="X796" s="24">
        <v>9</v>
      </c>
      <c r="Y796" s="24">
        <v>2017</v>
      </c>
      <c r="Z796" s="25">
        <v>201709</v>
      </c>
    </row>
    <row r="797" spans="20:26" x14ac:dyDescent="0.25">
      <c r="T797" s="43">
        <v>42796</v>
      </c>
      <c r="U797" t="str">
        <f t="shared" si="12"/>
        <v>1709</v>
      </c>
      <c r="V797" s="44" t="s">
        <v>86</v>
      </c>
      <c r="W797" s="44">
        <v>42792</v>
      </c>
      <c r="X797" s="24">
        <v>9</v>
      </c>
      <c r="Y797" s="24">
        <v>2017</v>
      </c>
      <c r="Z797" s="25">
        <v>201709</v>
      </c>
    </row>
    <row r="798" spans="20:26" x14ac:dyDescent="0.25">
      <c r="T798" s="43">
        <v>42797</v>
      </c>
      <c r="U798" t="str">
        <f t="shared" si="12"/>
        <v>1709</v>
      </c>
      <c r="V798" s="44" t="s">
        <v>87</v>
      </c>
      <c r="W798" s="44">
        <v>42792</v>
      </c>
      <c r="X798" s="24">
        <v>9</v>
      </c>
      <c r="Y798" s="24">
        <v>2017</v>
      </c>
      <c r="Z798" s="25">
        <v>201709</v>
      </c>
    </row>
    <row r="799" spans="20:26" x14ac:dyDescent="0.25">
      <c r="T799" s="43">
        <v>42798</v>
      </c>
      <c r="U799" t="str">
        <f t="shared" si="12"/>
        <v>1709</v>
      </c>
      <c r="V799" s="44" t="s">
        <v>88</v>
      </c>
      <c r="W799" s="44">
        <v>42792</v>
      </c>
      <c r="X799" s="24">
        <v>9</v>
      </c>
      <c r="Y799" s="24">
        <v>2017</v>
      </c>
      <c r="Z799" s="25">
        <v>201709</v>
      </c>
    </row>
    <row r="800" spans="20:26" x14ac:dyDescent="0.25">
      <c r="T800" s="43">
        <v>42799</v>
      </c>
      <c r="U800" t="str">
        <f t="shared" si="12"/>
        <v>1710</v>
      </c>
      <c r="V800" s="44" t="s">
        <v>82</v>
      </c>
      <c r="W800" s="44">
        <v>42799</v>
      </c>
      <c r="X800" s="24">
        <v>10</v>
      </c>
      <c r="Y800" s="24">
        <v>2017</v>
      </c>
      <c r="Z800" s="25">
        <v>201710</v>
      </c>
    </row>
    <row r="801" spans="20:26" x14ac:dyDescent="0.25">
      <c r="T801" s="43">
        <v>42800</v>
      </c>
      <c r="U801" t="str">
        <f t="shared" si="12"/>
        <v>1710</v>
      </c>
      <c r="V801" s="44" t="s">
        <v>83</v>
      </c>
      <c r="W801" s="44">
        <v>42799</v>
      </c>
      <c r="X801" s="24">
        <v>10</v>
      </c>
      <c r="Y801" s="24">
        <v>2017</v>
      </c>
      <c r="Z801" s="25">
        <v>201710</v>
      </c>
    </row>
    <row r="802" spans="20:26" x14ac:dyDescent="0.25">
      <c r="T802" s="43">
        <v>42801</v>
      </c>
      <c r="U802" t="str">
        <f t="shared" si="12"/>
        <v>1710</v>
      </c>
      <c r="V802" s="44" t="s">
        <v>84</v>
      </c>
      <c r="W802" s="44">
        <v>42799</v>
      </c>
      <c r="X802" s="24">
        <v>10</v>
      </c>
      <c r="Y802" s="24">
        <v>2017</v>
      </c>
      <c r="Z802" s="25">
        <v>201710</v>
      </c>
    </row>
    <row r="803" spans="20:26" x14ac:dyDescent="0.25">
      <c r="T803" s="43">
        <v>42802</v>
      </c>
      <c r="U803" t="str">
        <f t="shared" si="12"/>
        <v>1710</v>
      </c>
      <c r="V803" s="44" t="s">
        <v>85</v>
      </c>
      <c r="W803" s="44">
        <v>42799</v>
      </c>
      <c r="X803" s="24">
        <v>10</v>
      </c>
      <c r="Y803" s="24">
        <v>2017</v>
      </c>
      <c r="Z803" s="25">
        <v>201710</v>
      </c>
    </row>
    <row r="804" spans="20:26" x14ac:dyDescent="0.25">
      <c r="T804" s="43">
        <v>42803</v>
      </c>
      <c r="U804" t="str">
        <f t="shared" si="12"/>
        <v>1710</v>
      </c>
      <c r="V804" s="44" t="s">
        <v>86</v>
      </c>
      <c r="W804" s="44">
        <v>42799</v>
      </c>
      <c r="X804" s="24">
        <v>10</v>
      </c>
      <c r="Y804" s="24">
        <v>2017</v>
      </c>
      <c r="Z804" s="25">
        <v>201710</v>
      </c>
    </row>
    <row r="805" spans="20:26" x14ac:dyDescent="0.25">
      <c r="T805" s="43">
        <v>42804</v>
      </c>
      <c r="U805" t="str">
        <f t="shared" si="12"/>
        <v>1710</v>
      </c>
      <c r="V805" s="44" t="s">
        <v>87</v>
      </c>
      <c r="W805" s="44">
        <v>42799</v>
      </c>
      <c r="X805" s="24">
        <v>10</v>
      </c>
      <c r="Y805" s="24">
        <v>2017</v>
      </c>
      <c r="Z805" s="25">
        <v>201710</v>
      </c>
    </row>
    <row r="806" spans="20:26" x14ac:dyDescent="0.25">
      <c r="T806" s="43">
        <v>42805</v>
      </c>
      <c r="U806" t="str">
        <f t="shared" si="12"/>
        <v>1710</v>
      </c>
      <c r="V806" s="44" t="s">
        <v>88</v>
      </c>
      <c r="W806" s="44">
        <v>42799</v>
      </c>
      <c r="X806" s="24">
        <v>10</v>
      </c>
      <c r="Y806" s="24">
        <v>2017</v>
      </c>
      <c r="Z806" s="25">
        <v>201710</v>
      </c>
    </row>
    <row r="807" spans="20:26" x14ac:dyDescent="0.25">
      <c r="T807" s="43">
        <v>42806</v>
      </c>
      <c r="U807" t="str">
        <f t="shared" si="12"/>
        <v>1711</v>
      </c>
      <c r="V807" s="44" t="s">
        <v>82</v>
      </c>
      <c r="W807" s="44">
        <v>42806</v>
      </c>
      <c r="X807" s="24">
        <v>11</v>
      </c>
      <c r="Y807" s="24">
        <v>2017</v>
      </c>
      <c r="Z807" s="25">
        <v>201711</v>
      </c>
    </row>
    <row r="808" spans="20:26" x14ac:dyDescent="0.25">
      <c r="T808" s="43">
        <v>42807</v>
      </c>
      <c r="U808" t="str">
        <f t="shared" si="12"/>
        <v>1711</v>
      </c>
      <c r="V808" s="44" t="s">
        <v>83</v>
      </c>
      <c r="W808" s="44">
        <v>42806</v>
      </c>
      <c r="X808" s="24">
        <v>11</v>
      </c>
      <c r="Y808" s="24">
        <v>2017</v>
      </c>
      <c r="Z808" s="25">
        <v>201711</v>
      </c>
    </row>
    <row r="809" spans="20:26" x14ac:dyDescent="0.25">
      <c r="T809" s="43">
        <v>42808</v>
      </c>
      <c r="U809" t="str">
        <f t="shared" si="12"/>
        <v>1711</v>
      </c>
      <c r="V809" s="44" t="s">
        <v>84</v>
      </c>
      <c r="W809" s="44">
        <v>42806</v>
      </c>
      <c r="X809" s="24">
        <v>11</v>
      </c>
      <c r="Y809" s="24">
        <v>2017</v>
      </c>
      <c r="Z809" s="25">
        <v>201711</v>
      </c>
    </row>
    <row r="810" spans="20:26" x14ac:dyDescent="0.25">
      <c r="T810" s="43">
        <v>42809</v>
      </c>
      <c r="U810" t="str">
        <f t="shared" si="12"/>
        <v>1711</v>
      </c>
      <c r="V810" s="44" t="s">
        <v>85</v>
      </c>
      <c r="W810" s="44">
        <v>42806</v>
      </c>
      <c r="X810" s="24">
        <v>11</v>
      </c>
      <c r="Y810" s="24">
        <v>2017</v>
      </c>
      <c r="Z810" s="25">
        <v>201711</v>
      </c>
    </row>
    <row r="811" spans="20:26" x14ac:dyDescent="0.25">
      <c r="T811" s="43">
        <v>42810</v>
      </c>
      <c r="U811" t="str">
        <f t="shared" si="12"/>
        <v>1711</v>
      </c>
      <c r="V811" s="44" t="s">
        <v>86</v>
      </c>
      <c r="W811" s="44">
        <v>42806</v>
      </c>
      <c r="X811" s="24">
        <v>11</v>
      </c>
      <c r="Y811" s="24">
        <v>2017</v>
      </c>
      <c r="Z811" s="25">
        <v>201711</v>
      </c>
    </row>
    <row r="812" spans="20:26" x14ac:dyDescent="0.25">
      <c r="T812" s="43">
        <v>42811</v>
      </c>
      <c r="U812" t="str">
        <f t="shared" si="12"/>
        <v>1711</v>
      </c>
      <c r="V812" s="44" t="s">
        <v>87</v>
      </c>
      <c r="W812" s="44">
        <v>42806</v>
      </c>
      <c r="X812" s="24">
        <v>11</v>
      </c>
      <c r="Y812" s="24">
        <v>2017</v>
      </c>
      <c r="Z812" s="25">
        <v>201711</v>
      </c>
    </row>
    <row r="813" spans="20:26" x14ac:dyDescent="0.25">
      <c r="T813" s="43">
        <v>42812</v>
      </c>
      <c r="U813" t="str">
        <f t="shared" si="12"/>
        <v>1711</v>
      </c>
      <c r="V813" s="44" t="s">
        <v>88</v>
      </c>
      <c r="W813" s="44">
        <v>42806</v>
      </c>
      <c r="X813" s="24">
        <v>11</v>
      </c>
      <c r="Y813" s="24">
        <v>2017</v>
      </c>
      <c r="Z813" s="25">
        <v>201711</v>
      </c>
    </row>
    <row r="814" spans="20:26" x14ac:dyDescent="0.25">
      <c r="T814" s="43">
        <v>42813</v>
      </c>
      <c r="U814" t="str">
        <f t="shared" si="12"/>
        <v>1712</v>
      </c>
      <c r="V814" s="44" t="s">
        <v>82</v>
      </c>
      <c r="W814" s="44">
        <v>42813</v>
      </c>
      <c r="X814" s="24">
        <v>12</v>
      </c>
      <c r="Y814" s="24">
        <v>2017</v>
      </c>
      <c r="Z814" s="25">
        <v>201712</v>
      </c>
    </row>
    <row r="815" spans="20:26" x14ac:dyDescent="0.25">
      <c r="T815" s="43">
        <v>42814</v>
      </c>
      <c r="U815" t="str">
        <f t="shared" si="12"/>
        <v>1712</v>
      </c>
      <c r="V815" s="44" t="s">
        <v>83</v>
      </c>
      <c r="W815" s="44">
        <v>42813</v>
      </c>
      <c r="X815" s="24">
        <v>12</v>
      </c>
      <c r="Y815" s="24">
        <v>2017</v>
      </c>
      <c r="Z815" s="25">
        <v>201712</v>
      </c>
    </row>
    <row r="816" spans="20:26" x14ac:dyDescent="0.25">
      <c r="T816" s="43">
        <v>42815</v>
      </c>
      <c r="U816" t="str">
        <f t="shared" si="12"/>
        <v>1712</v>
      </c>
      <c r="V816" s="44" t="s">
        <v>84</v>
      </c>
      <c r="W816" s="44">
        <v>42813</v>
      </c>
      <c r="X816" s="24">
        <v>12</v>
      </c>
      <c r="Y816" s="24">
        <v>2017</v>
      </c>
      <c r="Z816" s="25">
        <v>201712</v>
      </c>
    </row>
    <row r="817" spans="20:26" x14ac:dyDescent="0.25">
      <c r="T817" s="43">
        <v>42816</v>
      </c>
      <c r="U817" t="str">
        <f t="shared" si="12"/>
        <v>1712</v>
      </c>
      <c r="V817" s="44" t="s">
        <v>85</v>
      </c>
      <c r="W817" s="44">
        <v>42813</v>
      </c>
      <c r="X817" s="24">
        <v>12</v>
      </c>
      <c r="Y817" s="24">
        <v>2017</v>
      </c>
      <c r="Z817" s="25">
        <v>201712</v>
      </c>
    </row>
    <row r="818" spans="20:26" x14ac:dyDescent="0.25">
      <c r="T818" s="43">
        <v>42817</v>
      </c>
      <c r="U818" t="str">
        <f t="shared" si="12"/>
        <v>1712</v>
      </c>
      <c r="V818" s="44" t="s">
        <v>86</v>
      </c>
      <c r="W818" s="44">
        <v>42813</v>
      </c>
      <c r="X818" s="24">
        <v>12</v>
      </c>
      <c r="Y818" s="24">
        <v>2017</v>
      </c>
      <c r="Z818" s="25">
        <v>201712</v>
      </c>
    </row>
    <row r="819" spans="20:26" x14ac:dyDescent="0.25">
      <c r="T819" s="43">
        <v>42818</v>
      </c>
      <c r="U819" t="str">
        <f t="shared" si="12"/>
        <v>1712</v>
      </c>
      <c r="V819" s="44" t="s">
        <v>87</v>
      </c>
      <c r="W819" s="44">
        <v>42813</v>
      </c>
      <c r="X819" s="24">
        <v>12</v>
      </c>
      <c r="Y819" s="24">
        <v>2017</v>
      </c>
      <c r="Z819" s="25">
        <v>201712</v>
      </c>
    </row>
    <row r="820" spans="20:26" x14ac:dyDescent="0.25">
      <c r="T820" s="43">
        <v>42819</v>
      </c>
      <c r="U820" t="str">
        <f t="shared" si="12"/>
        <v>1712</v>
      </c>
      <c r="V820" s="44" t="s">
        <v>88</v>
      </c>
      <c r="W820" s="44">
        <v>42813</v>
      </c>
      <c r="X820" s="24">
        <v>12</v>
      </c>
      <c r="Y820" s="24">
        <v>2017</v>
      </c>
      <c r="Z820" s="25">
        <v>201712</v>
      </c>
    </row>
    <row r="821" spans="20:26" x14ac:dyDescent="0.25">
      <c r="T821" s="43">
        <v>42820</v>
      </c>
      <c r="U821" t="str">
        <f t="shared" si="12"/>
        <v>1713</v>
      </c>
      <c r="V821" s="44" t="s">
        <v>82</v>
      </c>
      <c r="W821" s="44">
        <v>42820</v>
      </c>
      <c r="X821" s="24">
        <v>13</v>
      </c>
      <c r="Y821" s="24">
        <v>2017</v>
      </c>
      <c r="Z821" s="25">
        <v>201713</v>
      </c>
    </row>
    <row r="822" spans="20:26" x14ac:dyDescent="0.25">
      <c r="T822" s="43">
        <v>42821</v>
      </c>
      <c r="U822" t="str">
        <f t="shared" si="12"/>
        <v>1713</v>
      </c>
      <c r="V822" s="44" t="s">
        <v>83</v>
      </c>
      <c r="W822" s="44">
        <v>42820</v>
      </c>
      <c r="X822" s="24">
        <v>13</v>
      </c>
      <c r="Y822" s="24">
        <v>2017</v>
      </c>
      <c r="Z822" s="25">
        <v>201713</v>
      </c>
    </row>
    <row r="823" spans="20:26" x14ac:dyDescent="0.25">
      <c r="T823" s="43">
        <v>42822</v>
      </c>
      <c r="U823" t="str">
        <f t="shared" si="12"/>
        <v>1713</v>
      </c>
      <c r="V823" s="44" t="s">
        <v>84</v>
      </c>
      <c r="W823" s="44">
        <v>42820</v>
      </c>
      <c r="X823" s="24">
        <v>13</v>
      </c>
      <c r="Y823" s="24">
        <v>2017</v>
      </c>
      <c r="Z823" s="25">
        <v>201713</v>
      </c>
    </row>
    <row r="824" spans="20:26" x14ac:dyDescent="0.25">
      <c r="T824" s="43">
        <v>42823</v>
      </c>
      <c r="U824" t="str">
        <f t="shared" si="12"/>
        <v>1713</v>
      </c>
      <c r="V824" s="44" t="s">
        <v>85</v>
      </c>
      <c r="W824" s="44">
        <v>42820</v>
      </c>
      <c r="X824" s="24">
        <v>13</v>
      </c>
      <c r="Y824" s="24">
        <v>2017</v>
      </c>
      <c r="Z824" s="25">
        <v>201713</v>
      </c>
    </row>
    <row r="825" spans="20:26" x14ac:dyDescent="0.25">
      <c r="T825" s="43">
        <v>42824</v>
      </c>
      <c r="U825" t="str">
        <f t="shared" si="12"/>
        <v>1713</v>
      </c>
      <c r="V825" s="44" t="s">
        <v>86</v>
      </c>
      <c r="W825" s="44">
        <v>42820</v>
      </c>
      <c r="X825" s="24">
        <v>13</v>
      </c>
      <c r="Y825" s="24">
        <v>2017</v>
      </c>
      <c r="Z825" s="25">
        <v>201713</v>
      </c>
    </row>
    <row r="826" spans="20:26" x14ac:dyDescent="0.25">
      <c r="T826" s="43">
        <v>42825</v>
      </c>
      <c r="U826" t="str">
        <f t="shared" si="12"/>
        <v>1713</v>
      </c>
      <c r="V826" s="44" t="s">
        <v>87</v>
      </c>
      <c r="W826" s="44">
        <v>42820</v>
      </c>
      <c r="X826" s="24">
        <v>13</v>
      </c>
      <c r="Y826" s="24">
        <v>2017</v>
      </c>
      <c r="Z826" s="25">
        <v>201713</v>
      </c>
    </row>
    <row r="827" spans="20:26" x14ac:dyDescent="0.25">
      <c r="T827" s="43">
        <v>42826</v>
      </c>
      <c r="U827" t="str">
        <f t="shared" si="12"/>
        <v>1713</v>
      </c>
      <c r="V827" s="44" t="s">
        <v>88</v>
      </c>
      <c r="W827" s="44">
        <v>42820</v>
      </c>
      <c r="X827" s="24">
        <v>13</v>
      </c>
      <c r="Y827" s="24">
        <v>2017</v>
      </c>
      <c r="Z827" s="25">
        <v>201713</v>
      </c>
    </row>
    <row r="828" spans="20:26" x14ac:dyDescent="0.25">
      <c r="T828" s="43">
        <v>42827</v>
      </c>
      <c r="U828" t="str">
        <f t="shared" si="12"/>
        <v>1714</v>
      </c>
      <c r="V828" s="44" t="s">
        <v>82</v>
      </c>
      <c r="W828" s="44">
        <v>42827</v>
      </c>
      <c r="X828" s="24">
        <v>14</v>
      </c>
      <c r="Y828" s="24">
        <v>2017</v>
      </c>
      <c r="Z828" s="25">
        <v>201714</v>
      </c>
    </row>
    <row r="829" spans="20:26" x14ac:dyDescent="0.25">
      <c r="T829" s="43">
        <v>42828</v>
      </c>
      <c r="U829" t="str">
        <f t="shared" si="12"/>
        <v>1714</v>
      </c>
      <c r="V829" s="44" t="s">
        <v>83</v>
      </c>
      <c r="W829" s="44">
        <v>42827</v>
      </c>
      <c r="X829" s="24">
        <v>14</v>
      </c>
      <c r="Y829" s="24">
        <v>2017</v>
      </c>
      <c r="Z829" s="25">
        <v>201714</v>
      </c>
    </row>
    <row r="830" spans="20:26" x14ac:dyDescent="0.25">
      <c r="T830" s="43">
        <v>42829</v>
      </c>
      <c r="U830" t="str">
        <f t="shared" si="12"/>
        <v>1714</v>
      </c>
      <c r="V830" s="44" t="s">
        <v>84</v>
      </c>
      <c r="W830" s="44">
        <v>42827</v>
      </c>
      <c r="X830" s="24">
        <v>14</v>
      </c>
      <c r="Y830" s="24">
        <v>2017</v>
      </c>
      <c r="Z830" s="25">
        <v>201714</v>
      </c>
    </row>
    <row r="831" spans="20:26" x14ac:dyDescent="0.25">
      <c r="T831" s="43">
        <v>42830</v>
      </c>
      <c r="U831" t="str">
        <f t="shared" si="12"/>
        <v>1714</v>
      </c>
      <c r="V831" s="44" t="s">
        <v>85</v>
      </c>
      <c r="W831" s="44">
        <v>42827</v>
      </c>
      <c r="X831" s="24">
        <v>14</v>
      </c>
      <c r="Y831" s="24">
        <v>2017</v>
      </c>
      <c r="Z831" s="25">
        <v>201714</v>
      </c>
    </row>
    <row r="832" spans="20:26" x14ac:dyDescent="0.25">
      <c r="T832" s="43">
        <v>42831</v>
      </c>
      <c r="U832" t="str">
        <f t="shared" si="12"/>
        <v>1714</v>
      </c>
      <c r="V832" s="44" t="s">
        <v>86</v>
      </c>
      <c r="W832" s="44">
        <v>42827</v>
      </c>
      <c r="X832" s="24">
        <v>14</v>
      </c>
      <c r="Y832" s="24">
        <v>2017</v>
      </c>
      <c r="Z832" s="25">
        <v>201714</v>
      </c>
    </row>
    <row r="833" spans="20:26" x14ac:dyDescent="0.25">
      <c r="T833" s="43">
        <v>42832</v>
      </c>
      <c r="U833" t="str">
        <f t="shared" si="12"/>
        <v>1714</v>
      </c>
      <c r="V833" s="44" t="s">
        <v>87</v>
      </c>
      <c r="W833" s="44">
        <v>42827</v>
      </c>
      <c r="X833" s="24">
        <v>14</v>
      </c>
      <c r="Y833" s="24">
        <v>2017</v>
      </c>
      <c r="Z833" s="25">
        <v>201714</v>
      </c>
    </row>
    <row r="834" spans="20:26" x14ac:dyDescent="0.25">
      <c r="T834" s="43">
        <v>42833</v>
      </c>
      <c r="U834" t="str">
        <f t="shared" ref="U834:U897" si="13">RIGHT(Z834,4)</f>
        <v>1714</v>
      </c>
      <c r="V834" s="44" t="s">
        <v>88</v>
      </c>
      <c r="W834" s="44">
        <v>42827</v>
      </c>
      <c r="X834" s="24">
        <v>14</v>
      </c>
      <c r="Y834" s="24">
        <v>2017</v>
      </c>
      <c r="Z834" s="25">
        <v>201714</v>
      </c>
    </row>
    <row r="835" spans="20:26" x14ac:dyDescent="0.25">
      <c r="T835" s="43">
        <v>42834</v>
      </c>
      <c r="U835" t="str">
        <f t="shared" si="13"/>
        <v>1715</v>
      </c>
      <c r="V835" s="44" t="s">
        <v>82</v>
      </c>
      <c r="W835" s="44">
        <v>42834</v>
      </c>
      <c r="X835" s="24">
        <v>15</v>
      </c>
      <c r="Y835" s="24">
        <v>2017</v>
      </c>
      <c r="Z835" s="25">
        <v>201715</v>
      </c>
    </row>
    <row r="836" spans="20:26" x14ac:dyDescent="0.25">
      <c r="T836" s="43">
        <v>42835</v>
      </c>
      <c r="U836" t="str">
        <f t="shared" si="13"/>
        <v>1715</v>
      </c>
      <c r="V836" s="44" t="s">
        <v>83</v>
      </c>
      <c r="W836" s="44">
        <v>42834</v>
      </c>
      <c r="X836" s="24">
        <v>15</v>
      </c>
      <c r="Y836" s="24">
        <v>2017</v>
      </c>
      <c r="Z836" s="25">
        <v>201715</v>
      </c>
    </row>
    <row r="837" spans="20:26" x14ac:dyDescent="0.25">
      <c r="T837" s="43">
        <v>42836</v>
      </c>
      <c r="U837" t="str">
        <f t="shared" si="13"/>
        <v>1715</v>
      </c>
      <c r="V837" s="44" t="s">
        <v>84</v>
      </c>
      <c r="W837" s="44">
        <v>42834</v>
      </c>
      <c r="X837" s="24">
        <v>15</v>
      </c>
      <c r="Y837" s="24">
        <v>2017</v>
      </c>
      <c r="Z837" s="25">
        <v>201715</v>
      </c>
    </row>
    <row r="838" spans="20:26" x14ac:dyDescent="0.25">
      <c r="T838" s="43">
        <v>42837</v>
      </c>
      <c r="U838" t="str">
        <f t="shared" si="13"/>
        <v>1715</v>
      </c>
      <c r="V838" s="44" t="s">
        <v>85</v>
      </c>
      <c r="W838" s="44">
        <v>42834</v>
      </c>
      <c r="X838" s="24">
        <v>15</v>
      </c>
      <c r="Y838" s="24">
        <v>2017</v>
      </c>
      <c r="Z838" s="25">
        <v>201715</v>
      </c>
    </row>
    <row r="839" spans="20:26" x14ac:dyDescent="0.25">
      <c r="T839" s="43">
        <v>42838</v>
      </c>
      <c r="U839" t="str">
        <f t="shared" si="13"/>
        <v>1715</v>
      </c>
      <c r="V839" s="44" t="s">
        <v>86</v>
      </c>
      <c r="W839" s="44">
        <v>42834</v>
      </c>
      <c r="X839" s="24">
        <v>15</v>
      </c>
      <c r="Y839" s="24">
        <v>2017</v>
      </c>
      <c r="Z839" s="25">
        <v>201715</v>
      </c>
    </row>
    <row r="840" spans="20:26" x14ac:dyDescent="0.25">
      <c r="T840" s="43">
        <v>42839</v>
      </c>
      <c r="U840" t="str">
        <f t="shared" si="13"/>
        <v>1715</v>
      </c>
      <c r="V840" s="44" t="s">
        <v>87</v>
      </c>
      <c r="W840" s="44">
        <v>42834</v>
      </c>
      <c r="X840" s="24">
        <v>15</v>
      </c>
      <c r="Y840" s="24">
        <v>2017</v>
      </c>
      <c r="Z840" s="25">
        <v>201715</v>
      </c>
    </row>
    <row r="841" spans="20:26" x14ac:dyDescent="0.25">
      <c r="T841" s="43">
        <v>42840</v>
      </c>
      <c r="U841" t="str">
        <f t="shared" si="13"/>
        <v>1715</v>
      </c>
      <c r="V841" s="44" t="s">
        <v>88</v>
      </c>
      <c r="W841" s="44">
        <v>42834</v>
      </c>
      <c r="X841" s="24">
        <v>15</v>
      </c>
      <c r="Y841" s="24">
        <v>2017</v>
      </c>
      <c r="Z841" s="25">
        <v>201715</v>
      </c>
    </row>
    <row r="842" spans="20:26" x14ac:dyDescent="0.25">
      <c r="T842" s="43">
        <v>42841</v>
      </c>
      <c r="U842" t="str">
        <f t="shared" si="13"/>
        <v>1716</v>
      </c>
      <c r="V842" s="44" t="s">
        <v>82</v>
      </c>
      <c r="W842" s="44">
        <v>42841</v>
      </c>
      <c r="X842" s="24">
        <v>16</v>
      </c>
      <c r="Y842" s="24">
        <v>2017</v>
      </c>
      <c r="Z842" s="25">
        <v>201716</v>
      </c>
    </row>
    <row r="843" spans="20:26" x14ac:dyDescent="0.25">
      <c r="T843" s="43">
        <v>42842</v>
      </c>
      <c r="U843" t="str">
        <f t="shared" si="13"/>
        <v>1716</v>
      </c>
      <c r="V843" s="44" t="s">
        <v>83</v>
      </c>
      <c r="W843" s="44">
        <v>42841</v>
      </c>
      <c r="X843" s="24">
        <v>16</v>
      </c>
      <c r="Y843" s="24">
        <v>2017</v>
      </c>
      <c r="Z843" s="25">
        <v>201716</v>
      </c>
    </row>
    <row r="844" spans="20:26" x14ac:dyDescent="0.25">
      <c r="T844" s="43">
        <v>42843</v>
      </c>
      <c r="U844" t="str">
        <f t="shared" si="13"/>
        <v>1716</v>
      </c>
      <c r="V844" s="44" t="s">
        <v>84</v>
      </c>
      <c r="W844" s="44">
        <v>42841</v>
      </c>
      <c r="X844" s="24">
        <v>16</v>
      </c>
      <c r="Y844" s="24">
        <v>2017</v>
      </c>
      <c r="Z844" s="25">
        <v>201716</v>
      </c>
    </row>
    <row r="845" spans="20:26" x14ac:dyDescent="0.25">
      <c r="T845" s="43">
        <v>42844</v>
      </c>
      <c r="U845" t="str">
        <f t="shared" si="13"/>
        <v>1716</v>
      </c>
      <c r="V845" s="44" t="s">
        <v>85</v>
      </c>
      <c r="W845" s="44">
        <v>42841</v>
      </c>
      <c r="X845" s="24">
        <v>16</v>
      </c>
      <c r="Y845" s="24">
        <v>2017</v>
      </c>
      <c r="Z845" s="25">
        <v>201716</v>
      </c>
    </row>
    <row r="846" spans="20:26" x14ac:dyDescent="0.25">
      <c r="T846" s="43">
        <v>42845</v>
      </c>
      <c r="U846" t="str">
        <f t="shared" si="13"/>
        <v>1716</v>
      </c>
      <c r="V846" s="44" t="s">
        <v>86</v>
      </c>
      <c r="W846" s="44">
        <v>42841</v>
      </c>
      <c r="X846" s="24">
        <v>16</v>
      </c>
      <c r="Y846" s="24">
        <v>2017</v>
      </c>
      <c r="Z846" s="25">
        <v>201716</v>
      </c>
    </row>
    <row r="847" spans="20:26" x14ac:dyDescent="0.25">
      <c r="T847" s="43">
        <v>42846</v>
      </c>
      <c r="U847" t="str">
        <f t="shared" si="13"/>
        <v>1716</v>
      </c>
      <c r="V847" s="44" t="s">
        <v>87</v>
      </c>
      <c r="W847" s="44">
        <v>42841</v>
      </c>
      <c r="X847" s="24">
        <v>16</v>
      </c>
      <c r="Y847" s="24">
        <v>2017</v>
      </c>
      <c r="Z847" s="25">
        <v>201716</v>
      </c>
    </row>
    <row r="848" spans="20:26" x14ac:dyDescent="0.25">
      <c r="T848" s="43">
        <v>42847</v>
      </c>
      <c r="U848" t="str">
        <f t="shared" si="13"/>
        <v>1716</v>
      </c>
      <c r="V848" s="44" t="s">
        <v>88</v>
      </c>
      <c r="W848" s="44">
        <v>42841</v>
      </c>
      <c r="X848" s="24">
        <v>16</v>
      </c>
      <c r="Y848" s="24">
        <v>2017</v>
      </c>
      <c r="Z848" s="25">
        <v>201716</v>
      </c>
    </row>
    <row r="849" spans="20:26" x14ac:dyDescent="0.25">
      <c r="T849" s="43">
        <v>42848</v>
      </c>
      <c r="U849" t="str">
        <f t="shared" si="13"/>
        <v>1717</v>
      </c>
      <c r="V849" s="44" t="s">
        <v>82</v>
      </c>
      <c r="W849" s="44">
        <v>42848</v>
      </c>
      <c r="X849" s="24">
        <v>17</v>
      </c>
      <c r="Y849" s="24">
        <v>2017</v>
      </c>
      <c r="Z849" s="25">
        <v>201717</v>
      </c>
    </row>
    <row r="850" spans="20:26" x14ac:dyDescent="0.25">
      <c r="T850" s="43">
        <v>42849</v>
      </c>
      <c r="U850" t="str">
        <f t="shared" si="13"/>
        <v>1717</v>
      </c>
      <c r="V850" s="44" t="s">
        <v>83</v>
      </c>
      <c r="W850" s="44">
        <v>42848</v>
      </c>
      <c r="X850" s="24">
        <v>17</v>
      </c>
      <c r="Y850" s="24">
        <v>2017</v>
      </c>
      <c r="Z850" s="25">
        <v>201717</v>
      </c>
    </row>
    <row r="851" spans="20:26" x14ac:dyDescent="0.25">
      <c r="T851" s="43">
        <v>42850</v>
      </c>
      <c r="U851" t="str">
        <f t="shared" si="13"/>
        <v>1717</v>
      </c>
      <c r="V851" s="44" t="s">
        <v>84</v>
      </c>
      <c r="W851" s="44">
        <v>42848</v>
      </c>
      <c r="X851" s="24">
        <v>17</v>
      </c>
      <c r="Y851" s="24">
        <v>2017</v>
      </c>
      <c r="Z851" s="25">
        <v>201717</v>
      </c>
    </row>
    <row r="852" spans="20:26" x14ac:dyDescent="0.25">
      <c r="T852" s="43">
        <v>42851</v>
      </c>
      <c r="U852" t="str">
        <f t="shared" si="13"/>
        <v>1717</v>
      </c>
      <c r="V852" s="44" t="s">
        <v>85</v>
      </c>
      <c r="W852" s="44">
        <v>42848</v>
      </c>
      <c r="X852" s="24">
        <v>17</v>
      </c>
      <c r="Y852" s="24">
        <v>2017</v>
      </c>
      <c r="Z852" s="25">
        <v>201717</v>
      </c>
    </row>
    <row r="853" spans="20:26" x14ac:dyDescent="0.25">
      <c r="T853" s="43">
        <v>42852</v>
      </c>
      <c r="U853" t="str">
        <f t="shared" si="13"/>
        <v>1717</v>
      </c>
      <c r="V853" s="44" t="s">
        <v>86</v>
      </c>
      <c r="W853" s="44">
        <v>42848</v>
      </c>
      <c r="X853" s="24">
        <v>17</v>
      </c>
      <c r="Y853" s="24">
        <v>2017</v>
      </c>
      <c r="Z853" s="25">
        <v>201717</v>
      </c>
    </row>
    <row r="854" spans="20:26" x14ac:dyDescent="0.25">
      <c r="T854" s="43">
        <v>42853</v>
      </c>
      <c r="U854" t="str">
        <f t="shared" si="13"/>
        <v>1717</v>
      </c>
      <c r="V854" s="44" t="s">
        <v>87</v>
      </c>
      <c r="W854" s="44">
        <v>42848</v>
      </c>
      <c r="X854" s="24">
        <v>17</v>
      </c>
      <c r="Y854" s="24">
        <v>2017</v>
      </c>
      <c r="Z854" s="25">
        <v>201717</v>
      </c>
    </row>
    <row r="855" spans="20:26" x14ac:dyDescent="0.25">
      <c r="T855" s="43">
        <v>42854</v>
      </c>
      <c r="U855" t="str">
        <f t="shared" si="13"/>
        <v>1717</v>
      </c>
      <c r="V855" s="44" t="s">
        <v>88</v>
      </c>
      <c r="W855" s="44">
        <v>42848</v>
      </c>
      <c r="X855" s="24">
        <v>17</v>
      </c>
      <c r="Y855" s="24">
        <v>2017</v>
      </c>
      <c r="Z855" s="25">
        <v>201717</v>
      </c>
    </row>
    <row r="856" spans="20:26" x14ac:dyDescent="0.25">
      <c r="T856" s="43">
        <v>42855</v>
      </c>
      <c r="U856" t="str">
        <f t="shared" si="13"/>
        <v>1718</v>
      </c>
      <c r="V856" s="44" t="s">
        <v>82</v>
      </c>
      <c r="W856" s="44">
        <v>42855</v>
      </c>
      <c r="X856" s="24">
        <v>18</v>
      </c>
      <c r="Y856" s="24">
        <v>2017</v>
      </c>
      <c r="Z856" s="25">
        <v>201718</v>
      </c>
    </row>
    <row r="857" spans="20:26" x14ac:dyDescent="0.25">
      <c r="T857" s="43">
        <v>42856</v>
      </c>
      <c r="U857" t="str">
        <f t="shared" si="13"/>
        <v>1718</v>
      </c>
      <c r="V857" s="44" t="s">
        <v>83</v>
      </c>
      <c r="W857" s="44">
        <v>42855</v>
      </c>
      <c r="X857" s="24">
        <v>18</v>
      </c>
      <c r="Y857" s="24">
        <v>2017</v>
      </c>
      <c r="Z857" s="25">
        <v>201718</v>
      </c>
    </row>
    <row r="858" spans="20:26" x14ac:dyDescent="0.25">
      <c r="T858" s="43">
        <v>42857</v>
      </c>
      <c r="U858" t="str">
        <f t="shared" si="13"/>
        <v>1718</v>
      </c>
      <c r="V858" s="44" t="s">
        <v>84</v>
      </c>
      <c r="W858" s="44">
        <v>42855</v>
      </c>
      <c r="X858" s="24">
        <v>18</v>
      </c>
      <c r="Y858" s="24">
        <v>2017</v>
      </c>
      <c r="Z858" s="25">
        <v>201718</v>
      </c>
    </row>
    <row r="859" spans="20:26" x14ac:dyDescent="0.25">
      <c r="T859" s="43">
        <v>42858</v>
      </c>
      <c r="U859" t="str">
        <f t="shared" si="13"/>
        <v>1718</v>
      </c>
      <c r="V859" s="44" t="s">
        <v>85</v>
      </c>
      <c r="W859" s="44">
        <v>42855</v>
      </c>
      <c r="X859" s="24">
        <v>18</v>
      </c>
      <c r="Y859" s="24">
        <v>2017</v>
      </c>
      <c r="Z859" s="25">
        <v>201718</v>
      </c>
    </row>
    <row r="860" spans="20:26" x14ac:dyDescent="0.25">
      <c r="T860" s="43">
        <v>42859</v>
      </c>
      <c r="U860" t="str">
        <f t="shared" si="13"/>
        <v>1718</v>
      </c>
      <c r="V860" s="44" t="s">
        <v>86</v>
      </c>
      <c r="W860" s="44">
        <v>42855</v>
      </c>
      <c r="X860" s="24">
        <v>18</v>
      </c>
      <c r="Y860" s="24">
        <v>2017</v>
      </c>
      <c r="Z860" s="25">
        <v>201718</v>
      </c>
    </row>
    <row r="861" spans="20:26" x14ac:dyDescent="0.25">
      <c r="T861" s="43">
        <v>42860</v>
      </c>
      <c r="U861" t="str">
        <f t="shared" si="13"/>
        <v>1718</v>
      </c>
      <c r="V861" s="44" t="s">
        <v>87</v>
      </c>
      <c r="W861" s="44">
        <v>42855</v>
      </c>
      <c r="X861" s="24">
        <v>18</v>
      </c>
      <c r="Y861" s="24">
        <v>2017</v>
      </c>
      <c r="Z861" s="25">
        <v>201718</v>
      </c>
    </row>
    <row r="862" spans="20:26" x14ac:dyDescent="0.25">
      <c r="T862" s="43">
        <v>42861</v>
      </c>
      <c r="U862" t="str">
        <f t="shared" si="13"/>
        <v>1718</v>
      </c>
      <c r="V862" s="44" t="s">
        <v>88</v>
      </c>
      <c r="W862" s="44">
        <v>42855</v>
      </c>
      <c r="X862" s="24">
        <v>18</v>
      </c>
      <c r="Y862" s="24">
        <v>2017</v>
      </c>
      <c r="Z862" s="25">
        <v>201718</v>
      </c>
    </row>
    <row r="863" spans="20:26" x14ac:dyDescent="0.25">
      <c r="T863" s="43">
        <v>42862</v>
      </c>
      <c r="U863" t="str">
        <f t="shared" si="13"/>
        <v>1719</v>
      </c>
      <c r="V863" s="44" t="s">
        <v>82</v>
      </c>
      <c r="W863" s="44">
        <v>42862</v>
      </c>
      <c r="X863" s="24">
        <v>19</v>
      </c>
      <c r="Y863" s="24">
        <v>2017</v>
      </c>
      <c r="Z863" s="25">
        <v>201719</v>
      </c>
    </row>
    <row r="864" spans="20:26" x14ac:dyDescent="0.25">
      <c r="T864" s="43">
        <v>42863</v>
      </c>
      <c r="U864" t="str">
        <f t="shared" si="13"/>
        <v>1719</v>
      </c>
      <c r="V864" s="44" t="s">
        <v>83</v>
      </c>
      <c r="W864" s="44">
        <v>42862</v>
      </c>
      <c r="X864" s="24">
        <v>19</v>
      </c>
      <c r="Y864" s="24">
        <v>2017</v>
      </c>
      <c r="Z864" s="25">
        <v>201719</v>
      </c>
    </row>
    <row r="865" spans="20:26" x14ac:dyDescent="0.25">
      <c r="T865" s="43">
        <v>42864</v>
      </c>
      <c r="U865" t="str">
        <f t="shared" si="13"/>
        <v>1719</v>
      </c>
      <c r="V865" s="44" t="s">
        <v>84</v>
      </c>
      <c r="W865" s="44">
        <v>42862</v>
      </c>
      <c r="X865" s="24">
        <v>19</v>
      </c>
      <c r="Y865" s="24">
        <v>2017</v>
      </c>
      <c r="Z865" s="25">
        <v>201719</v>
      </c>
    </row>
    <row r="866" spans="20:26" x14ac:dyDescent="0.25">
      <c r="T866" s="43">
        <v>42865</v>
      </c>
      <c r="U866" t="str">
        <f t="shared" si="13"/>
        <v>1719</v>
      </c>
      <c r="V866" s="44" t="s">
        <v>85</v>
      </c>
      <c r="W866" s="44">
        <v>42862</v>
      </c>
      <c r="X866" s="24">
        <v>19</v>
      </c>
      <c r="Y866" s="24">
        <v>2017</v>
      </c>
      <c r="Z866" s="25">
        <v>201719</v>
      </c>
    </row>
    <row r="867" spans="20:26" x14ac:dyDescent="0.25">
      <c r="T867" s="43">
        <v>42866</v>
      </c>
      <c r="U867" t="str">
        <f t="shared" si="13"/>
        <v>1719</v>
      </c>
      <c r="V867" s="44" t="s">
        <v>86</v>
      </c>
      <c r="W867" s="44">
        <v>42862</v>
      </c>
      <c r="X867" s="24">
        <v>19</v>
      </c>
      <c r="Y867" s="24">
        <v>2017</v>
      </c>
      <c r="Z867" s="25">
        <v>201719</v>
      </c>
    </row>
    <row r="868" spans="20:26" x14ac:dyDescent="0.25">
      <c r="T868" s="43">
        <v>42867</v>
      </c>
      <c r="U868" t="str">
        <f t="shared" si="13"/>
        <v>1719</v>
      </c>
      <c r="V868" s="44" t="s">
        <v>87</v>
      </c>
      <c r="W868" s="44">
        <v>42862</v>
      </c>
      <c r="X868" s="24">
        <v>19</v>
      </c>
      <c r="Y868" s="24">
        <v>2017</v>
      </c>
      <c r="Z868" s="25">
        <v>201719</v>
      </c>
    </row>
    <row r="869" spans="20:26" x14ac:dyDescent="0.25">
      <c r="T869" s="43">
        <v>42868</v>
      </c>
      <c r="U869" t="str">
        <f t="shared" si="13"/>
        <v>1719</v>
      </c>
      <c r="V869" s="44" t="s">
        <v>88</v>
      </c>
      <c r="W869" s="44">
        <v>42862</v>
      </c>
      <c r="X869" s="24">
        <v>19</v>
      </c>
      <c r="Y869" s="24">
        <v>2017</v>
      </c>
      <c r="Z869" s="25">
        <v>201719</v>
      </c>
    </row>
    <row r="870" spans="20:26" x14ac:dyDescent="0.25">
      <c r="T870" s="43">
        <v>42869</v>
      </c>
      <c r="U870" t="str">
        <f t="shared" si="13"/>
        <v>1720</v>
      </c>
      <c r="V870" s="44" t="s">
        <v>82</v>
      </c>
      <c r="W870" s="44">
        <v>42869</v>
      </c>
      <c r="X870" s="24">
        <v>20</v>
      </c>
      <c r="Y870" s="24">
        <v>2017</v>
      </c>
      <c r="Z870" s="25">
        <v>201720</v>
      </c>
    </row>
    <row r="871" spans="20:26" x14ac:dyDescent="0.25">
      <c r="T871" s="43">
        <v>42870</v>
      </c>
      <c r="U871" t="str">
        <f t="shared" si="13"/>
        <v>1720</v>
      </c>
      <c r="V871" s="44" t="s">
        <v>83</v>
      </c>
      <c r="W871" s="44">
        <v>42869</v>
      </c>
      <c r="X871" s="24">
        <v>20</v>
      </c>
      <c r="Y871" s="24">
        <v>2017</v>
      </c>
      <c r="Z871" s="25">
        <v>201720</v>
      </c>
    </row>
    <row r="872" spans="20:26" x14ac:dyDescent="0.25">
      <c r="T872" s="43">
        <v>42871</v>
      </c>
      <c r="U872" t="str">
        <f t="shared" si="13"/>
        <v>1720</v>
      </c>
      <c r="V872" s="44" t="s">
        <v>84</v>
      </c>
      <c r="W872" s="44">
        <v>42869</v>
      </c>
      <c r="X872" s="24">
        <v>20</v>
      </c>
      <c r="Y872" s="24">
        <v>2017</v>
      </c>
      <c r="Z872" s="25">
        <v>201720</v>
      </c>
    </row>
    <row r="873" spans="20:26" x14ac:dyDescent="0.25">
      <c r="T873" s="43">
        <v>42872</v>
      </c>
      <c r="U873" t="str">
        <f t="shared" si="13"/>
        <v>1720</v>
      </c>
      <c r="V873" s="44" t="s">
        <v>85</v>
      </c>
      <c r="W873" s="44">
        <v>42869</v>
      </c>
      <c r="X873" s="24">
        <v>20</v>
      </c>
      <c r="Y873" s="24">
        <v>2017</v>
      </c>
      <c r="Z873" s="25">
        <v>201720</v>
      </c>
    </row>
    <row r="874" spans="20:26" x14ac:dyDescent="0.25">
      <c r="T874" s="43">
        <v>42873</v>
      </c>
      <c r="U874" t="str">
        <f t="shared" si="13"/>
        <v>1720</v>
      </c>
      <c r="V874" s="44" t="s">
        <v>86</v>
      </c>
      <c r="W874" s="44">
        <v>42869</v>
      </c>
      <c r="X874" s="24">
        <v>20</v>
      </c>
      <c r="Y874" s="24">
        <v>2017</v>
      </c>
      <c r="Z874" s="25">
        <v>201720</v>
      </c>
    </row>
    <row r="875" spans="20:26" x14ac:dyDescent="0.25">
      <c r="T875" s="43">
        <v>42874</v>
      </c>
      <c r="U875" t="str">
        <f t="shared" si="13"/>
        <v>1720</v>
      </c>
      <c r="V875" s="44" t="s">
        <v>87</v>
      </c>
      <c r="W875" s="44">
        <v>42869</v>
      </c>
      <c r="X875" s="24">
        <v>20</v>
      </c>
      <c r="Y875" s="24">
        <v>2017</v>
      </c>
      <c r="Z875" s="25">
        <v>201720</v>
      </c>
    </row>
    <row r="876" spans="20:26" x14ac:dyDescent="0.25">
      <c r="T876" s="43">
        <v>42875</v>
      </c>
      <c r="U876" t="str">
        <f t="shared" si="13"/>
        <v>1720</v>
      </c>
      <c r="V876" s="44" t="s">
        <v>88</v>
      </c>
      <c r="W876" s="44">
        <v>42869</v>
      </c>
      <c r="X876" s="24">
        <v>20</v>
      </c>
      <c r="Y876" s="24">
        <v>2017</v>
      </c>
      <c r="Z876" s="25">
        <v>201720</v>
      </c>
    </row>
    <row r="877" spans="20:26" x14ac:dyDescent="0.25">
      <c r="T877" s="43">
        <v>42876</v>
      </c>
      <c r="U877" t="str">
        <f t="shared" si="13"/>
        <v>1721</v>
      </c>
      <c r="V877" s="44" t="s">
        <v>82</v>
      </c>
      <c r="W877" s="44">
        <v>42876</v>
      </c>
      <c r="X877" s="24">
        <v>21</v>
      </c>
      <c r="Y877" s="24">
        <v>2017</v>
      </c>
      <c r="Z877" s="25">
        <v>201721</v>
      </c>
    </row>
    <row r="878" spans="20:26" x14ac:dyDescent="0.25">
      <c r="T878" s="43">
        <v>42877</v>
      </c>
      <c r="U878" t="str">
        <f t="shared" si="13"/>
        <v>1721</v>
      </c>
      <c r="V878" s="44" t="s">
        <v>83</v>
      </c>
      <c r="W878" s="44">
        <v>42876</v>
      </c>
      <c r="X878" s="24">
        <v>21</v>
      </c>
      <c r="Y878" s="24">
        <v>2017</v>
      </c>
      <c r="Z878" s="25">
        <v>201721</v>
      </c>
    </row>
    <row r="879" spans="20:26" x14ac:dyDescent="0.25">
      <c r="T879" s="43">
        <v>42878</v>
      </c>
      <c r="U879" t="str">
        <f t="shared" si="13"/>
        <v>1721</v>
      </c>
      <c r="V879" s="44" t="s">
        <v>84</v>
      </c>
      <c r="W879" s="44">
        <v>42876</v>
      </c>
      <c r="X879" s="24">
        <v>21</v>
      </c>
      <c r="Y879" s="24">
        <v>2017</v>
      </c>
      <c r="Z879" s="25">
        <v>201721</v>
      </c>
    </row>
    <row r="880" spans="20:26" x14ac:dyDescent="0.25">
      <c r="T880" s="43">
        <v>42879</v>
      </c>
      <c r="U880" t="str">
        <f t="shared" si="13"/>
        <v>1721</v>
      </c>
      <c r="V880" s="44" t="s">
        <v>85</v>
      </c>
      <c r="W880" s="44">
        <v>42876</v>
      </c>
      <c r="X880" s="24">
        <v>21</v>
      </c>
      <c r="Y880" s="24">
        <v>2017</v>
      </c>
      <c r="Z880" s="25">
        <v>201721</v>
      </c>
    </row>
    <row r="881" spans="20:26" x14ac:dyDescent="0.25">
      <c r="T881" s="43">
        <v>42880</v>
      </c>
      <c r="U881" t="str">
        <f t="shared" si="13"/>
        <v>1721</v>
      </c>
      <c r="V881" s="44" t="s">
        <v>86</v>
      </c>
      <c r="W881" s="44">
        <v>42876</v>
      </c>
      <c r="X881" s="24">
        <v>21</v>
      </c>
      <c r="Y881" s="24">
        <v>2017</v>
      </c>
      <c r="Z881" s="25">
        <v>201721</v>
      </c>
    </row>
    <row r="882" spans="20:26" x14ac:dyDescent="0.25">
      <c r="T882" s="43">
        <v>42881</v>
      </c>
      <c r="U882" t="str">
        <f t="shared" si="13"/>
        <v>1721</v>
      </c>
      <c r="V882" s="44" t="s">
        <v>87</v>
      </c>
      <c r="W882" s="44">
        <v>42876</v>
      </c>
      <c r="X882" s="24">
        <v>21</v>
      </c>
      <c r="Y882" s="24">
        <v>2017</v>
      </c>
      <c r="Z882" s="25">
        <v>201721</v>
      </c>
    </row>
    <row r="883" spans="20:26" x14ac:dyDescent="0.25">
      <c r="T883" s="43">
        <v>42882</v>
      </c>
      <c r="U883" t="str">
        <f t="shared" si="13"/>
        <v>1721</v>
      </c>
      <c r="V883" s="44" t="s">
        <v>88</v>
      </c>
      <c r="W883" s="44">
        <v>42876</v>
      </c>
      <c r="X883" s="24">
        <v>21</v>
      </c>
      <c r="Y883" s="24">
        <v>2017</v>
      </c>
      <c r="Z883" s="25">
        <v>201721</v>
      </c>
    </row>
    <row r="884" spans="20:26" x14ac:dyDescent="0.25">
      <c r="T884" s="43">
        <v>42883</v>
      </c>
      <c r="U884" t="str">
        <f t="shared" si="13"/>
        <v>1722</v>
      </c>
      <c r="V884" s="44" t="s">
        <v>82</v>
      </c>
      <c r="W884" s="44">
        <v>42883</v>
      </c>
      <c r="X884" s="24">
        <v>22</v>
      </c>
      <c r="Y884" s="24">
        <v>2017</v>
      </c>
      <c r="Z884" s="25">
        <v>201722</v>
      </c>
    </row>
    <row r="885" spans="20:26" x14ac:dyDescent="0.25">
      <c r="T885" s="43">
        <v>42884</v>
      </c>
      <c r="U885" t="str">
        <f t="shared" si="13"/>
        <v>1722</v>
      </c>
      <c r="V885" s="44" t="s">
        <v>83</v>
      </c>
      <c r="W885" s="44">
        <v>42883</v>
      </c>
      <c r="X885" s="24">
        <v>22</v>
      </c>
      <c r="Y885" s="24">
        <v>2017</v>
      </c>
      <c r="Z885" s="25">
        <v>201722</v>
      </c>
    </row>
    <row r="886" spans="20:26" x14ac:dyDescent="0.25">
      <c r="T886" s="43">
        <v>42885</v>
      </c>
      <c r="U886" t="str">
        <f t="shared" si="13"/>
        <v>1722</v>
      </c>
      <c r="V886" s="44" t="s">
        <v>84</v>
      </c>
      <c r="W886" s="44">
        <v>42883</v>
      </c>
      <c r="X886" s="24">
        <v>22</v>
      </c>
      <c r="Y886" s="24">
        <v>2017</v>
      </c>
      <c r="Z886" s="25">
        <v>201722</v>
      </c>
    </row>
    <row r="887" spans="20:26" x14ac:dyDescent="0.25">
      <c r="T887" s="43">
        <v>42886</v>
      </c>
      <c r="U887" t="str">
        <f t="shared" si="13"/>
        <v>1722</v>
      </c>
      <c r="V887" s="44" t="s">
        <v>85</v>
      </c>
      <c r="W887" s="44">
        <v>42883</v>
      </c>
      <c r="X887" s="24">
        <v>22</v>
      </c>
      <c r="Y887" s="24">
        <v>2017</v>
      </c>
      <c r="Z887" s="25">
        <v>201722</v>
      </c>
    </row>
    <row r="888" spans="20:26" x14ac:dyDescent="0.25">
      <c r="T888" s="43">
        <v>42887</v>
      </c>
      <c r="U888" t="str">
        <f t="shared" si="13"/>
        <v>1722</v>
      </c>
      <c r="V888" s="44" t="s">
        <v>86</v>
      </c>
      <c r="W888" s="44">
        <v>42883</v>
      </c>
      <c r="X888" s="24">
        <v>22</v>
      </c>
      <c r="Y888" s="24">
        <v>2017</v>
      </c>
      <c r="Z888" s="25">
        <v>201722</v>
      </c>
    </row>
    <row r="889" spans="20:26" x14ac:dyDescent="0.25">
      <c r="T889" s="43">
        <v>42888</v>
      </c>
      <c r="U889" t="str">
        <f t="shared" si="13"/>
        <v>1722</v>
      </c>
      <c r="V889" s="44" t="s">
        <v>87</v>
      </c>
      <c r="W889" s="44">
        <v>42883</v>
      </c>
      <c r="X889" s="24">
        <v>22</v>
      </c>
      <c r="Y889" s="24">
        <v>2017</v>
      </c>
      <c r="Z889" s="25">
        <v>201722</v>
      </c>
    </row>
    <row r="890" spans="20:26" x14ac:dyDescent="0.25">
      <c r="T890" s="43">
        <v>42889</v>
      </c>
      <c r="U890" t="str">
        <f t="shared" si="13"/>
        <v>1722</v>
      </c>
      <c r="V890" s="44" t="s">
        <v>88</v>
      </c>
      <c r="W890" s="44">
        <v>42883</v>
      </c>
      <c r="X890" s="24">
        <v>22</v>
      </c>
      <c r="Y890" s="24">
        <v>2017</v>
      </c>
      <c r="Z890" s="25">
        <v>201722</v>
      </c>
    </row>
    <row r="891" spans="20:26" x14ac:dyDescent="0.25">
      <c r="T891" s="43">
        <v>42890</v>
      </c>
      <c r="U891" t="str">
        <f t="shared" si="13"/>
        <v>1723</v>
      </c>
      <c r="V891" s="44" t="s">
        <v>82</v>
      </c>
      <c r="W891" s="44">
        <v>42890</v>
      </c>
      <c r="X891" s="24">
        <v>23</v>
      </c>
      <c r="Y891" s="24">
        <v>2017</v>
      </c>
      <c r="Z891" s="25">
        <v>201723</v>
      </c>
    </row>
    <row r="892" spans="20:26" x14ac:dyDescent="0.25">
      <c r="T892" s="43">
        <v>42891</v>
      </c>
      <c r="U892" t="str">
        <f t="shared" si="13"/>
        <v>1723</v>
      </c>
      <c r="V892" s="44" t="s">
        <v>83</v>
      </c>
      <c r="W892" s="44">
        <v>42890</v>
      </c>
      <c r="X892" s="24">
        <v>23</v>
      </c>
      <c r="Y892" s="24">
        <v>2017</v>
      </c>
      <c r="Z892" s="25">
        <v>201723</v>
      </c>
    </row>
    <row r="893" spans="20:26" x14ac:dyDescent="0.25">
      <c r="T893" s="43">
        <v>42892</v>
      </c>
      <c r="U893" t="str">
        <f t="shared" si="13"/>
        <v>1723</v>
      </c>
      <c r="V893" s="44" t="s">
        <v>84</v>
      </c>
      <c r="W893" s="44">
        <v>42890</v>
      </c>
      <c r="X893" s="24">
        <v>23</v>
      </c>
      <c r="Y893" s="24">
        <v>2017</v>
      </c>
      <c r="Z893" s="25">
        <v>201723</v>
      </c>
    </row>
    <row r="894" spans="20:26" x14ac:dyDescent="0.25">
      <c r="T894" s="43">
        <v>42893</v>
      </c>
      <c r="U894" t="str">
        <f t="shared" si="13"/>
        <v>1723</v>
      </c>
      <c r="V894" s="44" t="s">
        <v>85</v>
      </c>
      <c r="W894" s="44">
        <v>42890</v>
      </c>
      <c r="X894" s="24">
        <v>23</v>
      </c>
      <c r="Y894" s="24">
        <v>2017</v>
      </c>
      <c r="Z894" s="25">
        <v>201723</v>
      </c>
    </row>
    <row r="895" spans="20:26" x14ac:dyDescent="0.25">
      <c r="T895" s="43">
        <v>42894</v>
      </c>
      <c r="U895" t="str">
        <f t="shared" si="13"/>
        <v>1723</v>
      </c>
      <c r="V895" s="44" t="s">
        <v>86</v>
      </c>
      <c r="W895" s="44">
        <v>42890</v>
      </c>
      <c r="X895" s="24">
        <v>23</v>
      </c>
      <c r="Y895" s="24">
        <v>2017</v>
      </c>
      <c r="Z895" s="25">
        <v>201723</v>
      </c>
    </row>
    <row r="896" spans="20:26" x14ac:dyDescent="0.25">
      <c r="T896" s="43">
        <v>42895</v>
      </c>
      <c r="U896" t="str">
        <f t="shared" si="13"/>
        <v>1723</v>
      </c>
      <c r="V896" s="44" t="s">
        <v>87</v>
      </c>
      <c r="W896" s="44">
        <v>42890</v>
      </c>
      <c r="X896" s="24">
        <v>23</v>
      </c>
      <c r="Y896" s="24">
        <v>2017</v>
      </c>
      <c r="Z896" s="25">
        <v>201723</v>
      </c>
    </row>
    <row r="897" spans="20:26" x14ac:dyDescent="0.25">
      <c r="T897" s="43">
        <v>42896</v>
      </c>
      <c r="U897" t="str">
        <f t="shared" si="13"/>
        <v>1723</v>
      </c>
      <c r="V897" s="44" t="s">
        <v>88</v>
      </c>
      <c r="W897" s="44">
        <v>42890</v>
      </c>
      <c r="X897" s="24">
        <v>23</v>
      </c>
      <c r="Y897" s="24">
        <v>2017</v>
      </c>
      <c r="Z897" s="25">
        <v>201723</v>
      </c>
    </row>
    <row r="898" spans="20:26" x14ac:dyDescent="0.25">
      <c r="T898" s="43">
        <v>42897</v>
      </c>
      <c r="U898" t="str">
        <f t="shared" ref="U898:U961" si="14">RIGHT(Z898,4)</f>
        <v>1724</v>
      </c>
      <c r="V898" s="44" t="s">
        <v>82</v>
      </c>
      <c r="W898" s="44">
        <v>42897</v>
      </c>
      <c r="X898" s="24">
        <v>24</v>
      </c>
      <c r="Y898" s="24">
        <v>2017</v>
      </c>
      <c r="Z898" s="25">
        <v>201724</v>
      </c>
    </row>
    <row r="899" spans="20:26" x14ac:dyDescent="0.25">
      <c r="T899" s="43">
        <v>42898</v>
      </c>
      <c r="U899" t="str">
        <f t="shared" si="14"/>
        <v>1724</v>
      </c>
      <c r="V899" s="44" t="s">
        <v>83</v>
      </c>
      <c r="W899" s="44">
        <v>42897</v>
      </c>
      <c r="X899" s="24">
        <v>24</v>
      </c>
      <c r="Y899" s="24">
        <v>2017</v>
      </c>
      <c r="Z899" s="25">
        <v>201724</v>
      </c>
    </row>
    <row r="900" spans="20:26" x14ac:dyDescent="0.25">
      <c r="T900" s="43">
        <v>42899</v>
      </c>
      <c r="U900" t="str">
        <f t="shared" si="14"/>
        <v>1724</v>
      </c>
      <c r="V900" s="44" t="s">
        <v>84</v>
      </c>
      <c r="W900" s="44">
        <v>42897</v>
      </c>
      <c r="X900" s="24">
        <v>24</v>
      </c>
      <c r="Y900" s="24">
        <v>2017</v>
      </c>
      <c r="Z900" s="25">
        <v>201724</v>
      </c>
    </row>
    <row r="901" spans="20:26" x14ac:dyDescent="0.25">
      <c r="T901" s="43">
        <v>42900</v>
      </c>
      <c r="U901" t="str">
        <f t="shared" si="14"/>
        <v>1724</v>
      </c>
      <c r="V901" s="44" t="s">
        <v>85</v>
      </c>
      <c r="W901" s="44">
        <v>42897</v>
      </c>
      <c r="X901" s="24">
        <v>24</v>
      </c>
      <c r="Y901" s="24">
        <v>2017</v>
      </c>
      <c r="Z901" s="25">
        <v>201724</v>
      </c>
    </row>
    <row r="902" spans="20:26" x14ac:dyDescent="0.25">
      <c r="T902" s="43">
        <v>42901</v>
      </c>
      <c r="U902" t="str">
        <f t="shared" si="14"/>
        <v>1724</v>
      </c>
      <c r="V902" s="44" t="s">
        <v>86</v>
      </c>
      <c r="W902" s="44">
        <v>42897</v>
      </c>
      <c r="X902" s="24">
        <v>24</v>
      </c>
      <c r="Y902" s="24">
        <v>2017</v>
      </c>
      <c r="Z902" s="25">
        <v>201724</v>
      </c>
    </row>
    <row r="903" spans="20:26" x14ac:dyDescent="0.25">
      <c r="T903" s="43">
        <v>42902</v>
      </c>
      <c r="U903" t="str">
        <f t="shared" si="14"/>
        <v>1724</v>
      </c>
      <c r="V903" s="44" t="s">
        <v>87</v>
      </c>
      <c r="W903" s="44">
        <v>42897</v>
      </c>
      <c r="X903" s="24">
        <v>24</v>
      </c>
      <c r="Y903" s="24">
        <v>2017</v>
      </c>
      <c r="Z903" s="25">
        <v>201724</v>
      </c>
    </row>
    <row r="904" spans="20:26" x14ac:dyDescent="0.25">
      <c r="T904" s="43">
        <v>42903</v>
      </c>
      <c r="U904" t="str">
        <f t="shared" si="14"/>
        <v>1724</v>
      </c>
      <c r="V904" s="44" t="s">
        <v>88</v>
      </c>
      <c r="W904" s="44">
        <v>42897</v>
      </c>
      <c r="X904" s="24">
        <v>24</v>
      </c>
      <c r="Y904" s="24">
        <v>2017</v>
      </c>
      <c r="Z904" s="25">
        <v>201724</v>
      </c>
    </row>
    <row r="905" spans="20:26" x14ac:dyDescent="0.25">
      <c r="T905" s="43">
        <v>42904</v>
      </c>
      <c r="U905" t="str">
        <f t="shared" si="14"/>
        <v>1725</v>
      </c>
      <c r="V905" s="44" t="s">
        <v>82</v>
      </c>
      <c r="W905" s="44">
        <v>42904</v>
      </c>
      <c r="X905" s="24">
        <v>25</v>
      </c>
      <c r="Y905" s="24">
        <v>2017</v>
      </c>
      <c r="Z905" s="25">
        <v>201725</v>
      </c>
    </row>
    <row r="906" spans="20:26" x14ac:dyDescent="0.25">
      <c r="T906" s="43">
        <v>42905</v>
      </c>
      <c r="U906" t="str">
        <f t="shared" si="14"/>
        <v>1725</v>
      </c>
      <c r="V906" s="44" t="s">
        <v>83</v>
      </c>
      <c r="W906" s="44">
        <v>42904</v>
      </c>
      <c r="X906" s="24">
        <v>25</v>
      </c>
      <c r="Y906" s="24">
        <v>2017</v>
      </c>
      <c r="Z906" s="25">
        <v>201725</v>
      </c>
    </row>
    <row r="907" spans="20:26" x14ac:dyDescent="0.25">
      <c r="T907" s="43">
        <v>42906</v>
      </c>
      <c r="U907" t="str">
        <f t="shared" si="14"/>
        <v>1725</v>
      </c>
      <c r="V907" s="44" t="s">
        <v>84</v>
      </c>
      <c r="W907" s="44">
        <v>42904</v>
      </c>
      <c r="X907" s="24">
        <v>25</v>
      </c>
      <c r="Y907" s="24">
        <v>2017</v>
      </c>
      <c r="Z907" s="25">
        <v>201725</v>
      </c>
    </row>
    <row r="908" spans="20:26" x14ac:dyDescent="0.25">
      <c r="T908" s="43">
        <v>42907</v>
      </c>
      <c r="U908" t="str">
        <f t="shared" si="14"/>
        <v>1725</v>
      </c>
      <c r="V908" s="44" t="s">
        <v>85</v>
      </c>
      <c r="W908" s="44">
        <v>42904</v>
      </c>
      <c r="X908" s="24">
        <v>25</v>
      </c>
      <c r="Y908" s="24">
        <v>2017</v>
      </c>
      <c r="Z908" s="25">
        <v>201725</v>
      </c>
    </row>
    <row r="909" spans="20:26" x14ac:dyDescent="0.25">
      <c r="T909" s="43">
        <v>42908</v>
      </c>
      <c r="U909" t="str">
        <f t="shared" si="14"/>
        <v>1725</v>
      </c>
      <c r="V909" s="44" t="s">
        <v>86</v>
      </c>
      <c r="W909" s="44">
        <v>42904</v>
      </c>
      <c r="X909" s="24">
        <v>25</v>
      </c>
      <c r="Y909" s="24">
        <v>2017</v>
      </c>
      <c r="Z909" s="25">
        <v>201725</v>
      </c>
    </row>
    <row r="910" spans="20:26" x14ac:dyDescent="0.25">
      <c r="T910" s="43">
        <v>42909</v>
      </c>
      <c r="U910" t="str">
        <f t="shared" si="14"/>
        <v>1725</v>
      </c>
      <c r="V910" s="44" t="s">
        <v>87</v>
      </c>
      <c r="W910" s="44">
        <v>42904</v>
      </c>
      <c r="X910" s="24">
        <v>25</v>
      </c>
      <c r="Y910" s="24">
        <v>2017</v>
      </c>
      <c r="Z910" s="25">
        <v>201725</v>
      </c>
    </row>
    <row r="911" spans="20:26" x14ac:dyDescent="0.25">
      <c r="T911" s="43">
        <v>42910</v>
      </c>
      <c r="U911" t="str">
        <f t="shared" si="14"/>
        <v>1725</v>
      </c>
      <c r="V911" s="44" t="s">
        <v>88</v>
      </c>
      <c r="W911" s="44">
        <v>42904</v>
      </c>
      <c r="X911" s="24">
        <v>25</v>
      </c>
      <c r="Y911" s="24">
        <v>2017</v>
      </c>
      <c r="Z911" s="25">
        <v>201725</v>
      </c>
    </row>
    <row r="912" spans="20:26" x14ac:dyDescent="0.25">
      <c r="T912" s="43">
        <v>42911</v>
      </c>
      <c r="U912" t="str">
        <f t="shared" si="14"/>
        <v>1726</v>
      </c>
      <c r="V912" s="44" t="s">
        <v>82</v>
      </c>
      <c r="W912" s="44">
        <v>42911</v>
      </c>
      <c r="X912" s="24">
        <v>26</v>
      </c>
      <c r="Y912" s="24">
        <v>2017</v>
      </c>
      <c r="Z912" s="25">
        <v>201726</v>
      </c>
    </row>
    <row r="913" spans="20:26" x14ac:dyDescent="0.25">
      <c r="T913" s="43">
        <v>42912</v>
      </c>
      <c r="U913" t="str">
        <f t="shared" si="14"/>
        <v>1726</v>
      </c>
      <c r="V913" s="44" t="s">
        <v>83</v>
      </c>
      <c r="W913" s="44">
        <v>42911</v>
      </c>
      <c r="X913" s="24">
        <v>26</v>
      </c>
      <c r="Y913" s="24">
        <v>2017</v>
      </c>
      <c r="Z913" s="25">
        <v>201726</v>
      </c>
    </row>
    <row r="914" spans="20:26" x14ac:dyDescent="0.25">
      <c r="T914" s="43">
        <v>42913</v>
      </c>
      <c r="U914" t="str">
        <f t="shared" si="14"/>
        <v>1726</v>
      </c>
      <c r="V914" s="44" t="s">
        <v>84</v>
      </c>
      <c r="W914" s="44">
        <v>42911</v>
      </c>
      <c r="X914" s="24">
        <v>26</v>
      </c>
      <c r="Y914" s="24">
        <v>2017</v>
      </c>
      <c r="Z914" s="25">
        <v>201726</v>
      </c>
    </row>
    <row r="915" spans="20:26" x14ac:dyDescent="0.25">
      <c r="T915" s="43">
        <v>42914</v>
      </c>
      <c r="U915" t="str">
        <f t="shared" si="14"/>
        <v>1726</v>
      </c>
      <c r="V915" s="44" t="s">
        <v>85</v>
      </c>
      <c r="W915" s="44">
        <v>42911</v>
      </c>
      <c r="X915" s="24">
        <v>26</v>
      </c>
      <c r="Y915" s="24">
        <v>2017</v>
      </c>
      <c r="Z915" s="25">
        <v>201726</v>
      </c>
    </row>
    <row r="916" spans="20:26" x14ac:dyDescent="0.25">
      <c r="T916" s="43">
        <v>42915</v>
      </c>
      <c r="U916" t="str">
        <f t="shared" si="14"/>
        <v>1726</v>
      </c>
      <c r="V916" s="44" t="s">
        <v>86</v>
      </c>
      <c r="W916" s="44">
        <v>42911</v>
      </c>
      <c r="X916" s="24">
        <v>26</v>
      </c>
      <c r="Y916" s="24">
        <v>2017</v>
      </c>
      <c r="Z916" s="25">
        <v>201726</v>
      </c>
    </row>
    <row r="917" spans="20:26" x14ac:dyDescent="0.25">
      <c r="T917" s="43">
        <v>42916</v>
      </c>
      <c r="U917" t="str">
        <f t="shared" si="14"/>
        <v>1726</v>
      </c>
      <c r="V917" s="44" t="s">
        <v>87</v>
      </c>
      <c r="W917" s="44">
        <v>42911</v>
      </c>
      <c r="X917" s="24">
        <v>26</v>
      </c>
      <c r="Y917" s="24">
        <v>2017</v>
      </c>
      <c r="Z917" s="25">
        <v>201726</v>
      </c>
    </row>
    <row r="918" spans="20:26" x14ac:dyDescent="0.25">
      <c r="T918" s="43">
        <v>42917</v>
      </c>
      <c r="U918" t="str">
        <f t="shared" si="14"/>
        <v>1726</v>
      </c>
      <c r="V918" s="44" t="s">
        <v>88</v>
      </c>
      <c r="W918" s="44">
        <v>42911</v>
      </c>
      <c r="X918" s="24">
        <v>26</v>
      </c>
      <c r="Y918" s="24">
        <v>2017</v>
      </c>
      <c r="Z918" s="25">
        <v>201726</v>
      </c>
    </row>
    <row r="919" spans="20:26" x14ac:dyDescent="0.25">
      <c r="T919" s="43">
        <v>42918</v>
      </c>
      <c r="U919" t="str">
        <f t="shared" si="14"/>
        <v>1727</v>
      </c>
      <c r="V919" s="44" t="s">
        <v>82</v>
      </c>
      <c r="W919" s="44">
        <v>42918</v>
      </c>
      <c r="X919" s="24">
        <v>27</v>
      </c>
      <c r="Y919" s="24">
        <v>2017</v>
      </c>
      <c r="Z919" s="25">
        <v>201727</v>
      </c>
    </row>
    <row r="920" spans="20:26" x14ac:dyDescent="0.25">
      <c r="T920" s="43">
        <v>42919</v>
      </c>
      <c r="U920" t="str">
        <f t="shared" si="14"/>
        <v>1727</v>
      </c>
      <c r="V920" s="44" t="s">
        <v>83</v>
      </c>
      <c r="W920" s="44">
        <v>42918</v>
      </c>
      <c r="X920" s="24">
        <v>27</v>
      </c>
      <c r="Y920" s="24">
        <v>2017</v>
      </c>
      <c r="Z920" s="25">
        <v>201727</v>
      </c>
    </row>
    <row r="921" spans="20:26" x14ac:dyDescent="0.25">
      <c r="T921" s="43">
        <v>42920</v>
      </c>
      <c r="U921" t="str">
        <f t="shared" si="14"/>
        <v>1727</v>
      </c>
      <c r="V921" s="44" t="s">
        <v>84</v>
      </c>
      <c r="W921" s="44">
        <v>42918</v>
      </c>
      <c r="X921" s="24">
        <v>27</v>
      </c>
      <c r="Y921" s="24">
        <v>2017</v>
      </c>
      <c r="Z921" s="25">
        <v>201727</v>
      </c>
    </row>
    <row r="922" spans="20:26" x14ac:dyDescent="0.25">
      <c r="T922" s="43">
        <v>42921</v>
      </c>
      <c r="U922" t="str">
        <f t="shared" si="14"/>
        <v>1727</v>
      </c>
      <c r="V922" s="44" t="s">
        <v>85</v>
      </c>
      <c r="W922" s="44">
        <v>42918</v>
      </c>
      <c r="X922" s="24">
        <v>27</v>
      </c>
      <c r="Y922" s="24">
        <v>2017</v>
      </c>
      <c r="Z922" s="25">
        <v>201727</v>
      </c>
    </row>
    <row r="923" spans="20:26" x14ac:dyDescent="0.25">
      <c r="T923" s="43">
        <v>42922</v>
      </c>
      <c r="U923" t="str">
        <f t="shared" si="14"/>
        <v>1727</v>
      </c>
      <c r="V923" s="44" t="s">
        <v>86</v>
      </c>
      <c r="W923" s="44">
        <v>42918</v>
      </c>
      <c r="X923" s="24">
        <v>27</v>
      </c>
      <c r="Y923" s="24">
        <v>2017</v>
      </c>
      <c r="Z923" s="25">
        <v>201727</v>
      </c>
    </row>
    <row r="924" spans="20:26" x14ac:dyDescent="0.25">
      <c r="T924" s="43">
        <v>42923</v>
      </c>
      <c r="U924" t="str">
        <f t="shared" si="14"/>
        <v>1727</v>
      </c>
      <c r="V924" s="44" t="s">
        <v>87</v>
      </c>
      <c r="W924" s="44">
        <v>42918</v>
      </c>
      <c r="X924" s="24">
        <v>27</v>
      </c>
      <c r="Y924" s="24">
        <v>2017</v>
      </c>
      <c r="Z924" s="25">
        <v>201727</v>
      </c>
    </row>
    <row r="925" spans="20:26" x14ac:dyDescent="0.25">
      <c r="T925" s="43">
        <v>42924</v>
      </c>
      <c r="U925" t="str">
        <f t="shared" si="14"/>
        <v>1727</v>
      </c>
      <c r="V925" s="44" t="s">
        <v>88</v>
      </c>
      <c r="W925" s="44">
        <v>42918</v>
      </c>
      <c r="X925" s="24">
        <v>27</v>
      </c>
      <c r="Y925" s="24">
        <v>2017</v>
      </c>
      <c r="Z925" s="25">
        <v>201727</v>
      </c>
    </row>
    <row r="926" spans="20:26" x14ac:dyDescent="0.25">
      <c r="T926" s="43">
        <v>42925</v>
      </c>
      <c r="U926" t="str">
        <f t="shared" si="14"/>
        <v>1728</v>
      </c>
      <c r="V926" s="44" t="s">
        <v>82</v>
      </c>
      <c r="W926" s="44">
        <v>42925</v>
      </c>
      <c r="X926" s="24">
        <v>28</v>
      </c>
      <c r="Y926" s="24">
        <v>2017</v>
      </c>
      <c r="Z926" s="25">
        <v>201728</v>
      </c>
    </row>
    <row r="927" spans="20:26" x14ac:dyDescent="0.25">
      <c r="T927" s="43">
        <v>42926</v>
      </c>
      <c r="U927" t="str">
        <f t="shared" si="14"/>
        <v>1728</v>
      </c>
      <c r="V927" s="44" t="s">
        <v>83</v>
      </c>
      <c r="W927" s="44">
        <v>42925</v>
      </c>
      <c r="X927" s="24">
        <v>28</v>
      </c>
      <c r="Y927" s="24">
        <v>2017</v>
      </c>
      <c r="Z927" s="25">
        <v>201728</v>
      </c>
    </row>
    <row r="928" spans="20:26" x14ac:dyDescent="0.25">
      <c r="T928" s="43">
        <v>42927</v>
      </c>
      <c r="U928" t="str">
        <f t="shared" si="14"/>
        <v>1728</v>
      </c>
      <c r="V928" s="44" t="s">
        <v>84</v>
      </c>
      <c r="W928" s="44">
        <v>42925</v>
      </c>
      <c r="X928" s="24">
        <v>28</v>
      </c>
      <c r="Y928" s="24">
        <v>2017</v>
      </c>
      <c r="Z928" s="25">
        <v>201728</v>
      </c>
    </row>
    <row r="929" spans="20:26" x14ac:dyDescent="0.25">
      <c r="T929" s="43">
        <v>42928</v>
      </c>
      <c r="U929" t="str">
        <f t="shared" si="14"/>
        <v>1728</v>
      </c>
      <c r="V929" s="44" t="s">
        <v>85</v>
      </c>
      <c r="W929" s="44">
        <v>42925</v>
      </c>
      <c r="X929" s="24">
        <v>28</v>
      </c>
      <c r="Y929" s="24">
        <v>2017</v>
      </c>
      <c r="Z929" s="25">
        <v>201728</v>
      </c>
    </row>
    <row r="930" spans="20:26" x14ac:dyDescent="0.25">
      <c r="T930" s="43">
        <v>42929</v>
      </c>
      <c r="U930" t="str">
        <f t="shared" si="14"/>
        <v>1728</v>
      </c>
      <c r="V930" s="44" t="s">
        <v>86</v>
      </c>
      <c r="W930" s="44">
        <v>42925</v>
      </c>
      <c r="X930" s="24">
        <v>28</v>
      </c>
      <c r="Y930" s="24">
        <v>2017</v>
      </c>
      <c r="Z930" s="25">
        <v>201728</v>
      </c>
    </row>
    <row r="931" spans="20:26" x14ac:dyDescent="0.25">
      <c r="T931" s="43">
        <v>42930</v>
      </c>
      <c r="U931" t="str">
        <f t="shared" si="14"/>
        <v>1728</v>
      </c>
      <c r="V931" s="44" t="s">
        <v>87</v>
      </c>
      <c r="W931" s="44">
        <v>42925</v>
      </c>
      <c r="X931" s="24">
        <v>28</v>
      </c>
      <c r="Y931" s="24">
        <v>2017</v>
      </c>
      <c r="Z931" s="25">
        <v>201728</v>
      </c>
    </row>
    <row r="932" spans="20:26" x14ac:dyDescent="0.25">
      <c r="T932" s="43">
        <v>42931</v>
      </c>
      <c r="U932" t="str">
        <f t="shared" si="14"/>
        <v>1728</v>
      </c>
      <c r="V932" s="44" t="s">
        <v>88</v>
      </c>
      <c r="W932" s="44">
        <v>42925</v>
      </c>
      <c r="X932" s="24">
        <v>28</v>
      </c>
      <c r="Y932" s="24">
        <v>2017</v>
      </c>
      <c r="Z932" s="25">
        <v>201728</v>
      </c>
    </row>
    <row r="933" spans="20:26" x14ac:dyDescent="0.25">
      <c r="T933" s="43">
        <v>42932</v>
      </c>
      <c r="U933" t="str">
        <f t="shared" si="14"/>
        <v>1729</v>
      </c>
      <c r="V933" s="44" t="s">
        <v>82</v>
      </c>
      <c r="W933" s="44">
        <v>42932</v>
      </c>
      <c r="X933" s="24">
        <v>29</v>
      </c>
      <c r="Y933" s="24">
        <v>2017</v>
      </c>
      <c r="Z933" s="25">
        <v>201729</v>
      </c>
    </row>
    <row r="934" spans="20:26" x14ac:dyDescent="0.25">
      <c r="T934" s="43">
        <v>42933</v>
      </c>
      <c r="U934" t="str">
        <f t="shared" si="14"/>
        <v>1729</v>
      </c>
      <c r="V934" s="44" t="s">
        <v>83</v>
      </c>
      <c r="W934" s="44">
        <v>42932</v>
      </c>
      <c r="X934" s="24">
        <v>29</v>
      </c>
      <c r="Y934" s="24">
        <v>2017</v>
      </c>
      <c r="Z934" s="25">
        <v>201729</v>
      </c>
    </row>
    <row r="935" spans="20:26" x14ac:dyDescent="0.25">
      <c r="T935" s="43">
        <v>42934</v>
      </c>
      <c r="U935" t="str">
        <f t="shared" si="14"/>
        <v>1729</v>
      </c>
      <c r="V935" s="44" t="s">
        <v>84</v>
      </c>
      <c r="W935" s="44">
        <v>42932</v>
      </c>
      <c r="X935" s="24">
        <v>29</v>
      </c>
      <c r="Y935" s="24">
        <v>2017</v>
      </c>
      <c r="Z935" s="25">
        <v>201729</v>
      </c>
    </row>
    <row r="936" spans="20:26" x14ac:dyDescent="0.25">
      <c r="T936" s="43">
        <v>42935</v>
      </c>
      <c r="U936" t="str">
        <f t="shared" si="14"/>
        <v>1729</v>
      </c>
      <c r="V936" s="44" t="s">
        <v>85</v>
      </c>
      <c r="W936" s="44">
        <v>42932</v>
      </c>
      <c r="X936" s="24">
        <v>29</v>
      </c>
      <c r="Y936" s="24">
        <v>2017</v>
      </c>
      <c r="Z936" s="25">
        <v>201729</v>
      </c>
    </row>
    <row r="937" spans="20:26" x14ac:dyDescent="0.25">
      <c r="T937" s="43">
        <v>42936</v>
      </c>
      <c r="U937" t="str">
        <f t="shared" si="14"/>
        <v>1729</v>
      </c>
      <c r="V937" s="44" t="s">
        <v>86</v>
      </c>
      <c r="W937" s="44">
        <v>42932</v>
      </c>
      <c r="X937" s="24">
        <v>29</v>
      </c>
      <c r="Y937" s="24">
        <v>2017</v>
      </c>
      <c r="Z937" s="25">
        <v>201729</v>
      </c>
    </row>
    <row r="938" spans="20:26" x14ac:dyDescent="0.25">
      <c r="T938" s="43">
        <v>42937</v>
      </c>
      <c r="U938" t="str">
        <f t="shared" si="14"/>
        <v>1729</v>
      </c>
      <c r="V938" s="44" t="s">
        <v>87</v>
      </c>
      <c r="W938" s="44">
        <v>42932</v>
      </c>
      <c r="X938" s="24">
        <v>29</v>
      </c>
      <c r="Y938" s="24">
        <v>2017</v>
      </c>
      <c r="Z938" s="25">
        <v>201729</v>
      </c>
    </row>
    <row r="939" spans="20:26" x14ac:dyDescent="0.25">
      <c r="T939" s="43">
        <v>42938</v>
      </c>
      <c r="U939" t="str">
        <f t="shared" si="14"/>
        <v>1729</v>
      </c>
      <c r="V939" s="44" t="s">
        <v>88</v>
      </c>
      <c r="W939" s="44">
        <v>42932</v>
      </c>
      <c r="X939" s="24">
        <v>29</v>
      </c>
      <c r="Y939" s="24">
        <v>2017</v>
      </c>
      <c r="Z939" s="25">
        <v>201729</v>
      </c>
    </row>
    <row r="940" spans="20:26" x14ac:dyDescent="0.25">
      <c r="T940" s="43">
        <v>42939</v>
      </c>
      <c r="U940" t="str">
        <f t="shared" si="14"/>
        <v>1730</v>
      </c>
      <c r="V940" s="44" t="s">
        <v>82</v>
      </c>
      <c r="W940" s="44">
        <v>42939</v>
      </c>
      <c r="X940" s="24">
        <v>30</v>
      </c>
      <c r="Y940" s="24">
        <v>2017</v>
      </c>
      <c r="Z940" s="25">
        <v>201730</v>
      </c>
    </row>
    <row r="941" spans="20:26" x14ac:dyDescent="0.25">
      <c r="T941" s="43">
        <v>42940</v>
      </c>
      <c r="U941" t="str">
        <f t="shared" si="14"/>
        <v>1730</v>
      </c>
      <c r="V941" s="44" t="s">
        <v>83</v>
      </c>
      <c r="W941" s="44">
        <v>42939</v>
      </c>
      <c r="X941" s="24">
        <v>30</v>
      </c>
      <c r="Y941" s="24">
        <v>2017</v>
      </c>
      <c r="Z941" s="25">
        <v>201730</v>
      </c>
    </row>
    <row r="942" spans="20:26" x14ac:dyDescent="0.25">
      <c r="T942" s="43">
        <v>42941</v>
      </c>
      <c r="U942" t="str">
        <f t="shared" si="14"/>
        <v>1730</v>
      </c>
      <c r="V942" s="44" t="s">
        <v>84</v>
      </c>
      <c r="W942" s="44">
        <v>42939</v>
      </c>
      <c r="X942" s="24">
        <v>30</v>
      </c>
      <c r="Y942" s="24">
        <v>2017</v>
      </c>
      <c r="Z942" s="25">
        <v>201730</v>
      </c>
    </row>
    <row r="943" spans="20:26" x14ac:dyDescent="0.25">
      <c r="T943" s="43">
        <v>42942</v>
      </c>
      <c r="U943" t="str">
        <f t="shared" si="14"/>
        <v>1730</v>
      </c>
      <c r="V943" s="44" t="s">
        <v>85</v>
      </c>
      <c r="W943" s="44">
        <v>42939</v>
      </c>
      <c r="X943" s="24">
        <v>30</v>
      </c>
      <c r="Y943" s="24">
        <v>2017</v>
      </c>
      <c r="Z943" s="25">
        <v>201730</v>
      </c>
    </row>
    <row r="944" spans="20:26" x14ac:dyDescent="0.25">
      <c r="T944" s="43">
        <v>42943</v>
      </c>
      <c r="U944" t="str">
        <f t="shared" si="14"/>
        <v>1730</v>
      </c>
      <c r="V944" s="44" t="s">
        <v>86</v>
      </c>
      <c r="W944" s="44">
        <v>42939</v>
      </c>
      <c r="X944" s="24">
        <v>30</v>
      </c>
      <c r="Y944" s="24">
        <v>2017</v>
      </c>
      <c r="Z944" s="25">
        <v>201730</v>
      </c>
    </row>
    <row r="945" spans="20:26" x14ac:dyDescent="0.25">
      <c r="T945" s="43">
        <v>42944</v>
      </c>
      <c r="U945" t="str">
        <f t="shared" si="14"/>
        <v>1730</v>
      </c>
      <c r="V945" s="44" t="s">
        <v>87</v>
      </c>
      <c r="W945" s="44">
        <v>42939</v>
      </c>
      <c r="X945" s="24">
        <v>30</v>
      </c>
      <c r="Y945" s="24">
        <v>2017</v>
      </c>
      <c r="Z945" s="25">
        <v>201730</v>
      </c>
    </row>
    <row r="946" spans="20:26" x14ac:dyDescent="0.25">
      <c r="T946" s="43">
        <v>42945</v>
      </c>
      <c r="U946" t="str">
        <f t="shared" si="14"/>
        <v>1730</v>
      </c>
      <c r="V946" s="44" t="s">
        <v>88</v>
      </c>
      <c r="W946" s="44">
        <v>42939</v>
      </c>
      <c r="X946" s="24">
        <v>30</v>
      </c>
      <c r="Y946" s="24">
        <v>2017</v>
      </c>
      <c r="Z946" s="25">
        <v>201730</v>
      </c>
    </row>
    <row r="947" spans="20:26" x14ac:dyDescent="0.25">
      <c r="T947" s="43">
        <v>42946</v>
      </c>
      <c r="U947" t="str">
        <f t="shared" si="14"/>
        <v>1731</v>
      </c>
      <c r="V947" s="44" t="s">
        <v>82</v>
      </c>
      <c r="W947" s="44">
        <v>42946</v>
      </c>
      <c r="X947" s="24">
        <v>31</v>
      </c>
      <c r="Y947" s="24">
        <v>2017</v>
      </c>
      <c r="Z947" s="25">
        <v>201731</v>
      </c>
    </row>
    <row r="948" spans="20:26" x14ac:dyDescent="0.25">
      <c r="T948" s="43">
        <v>42947</v>
      </c>
      <c r="U948" t="str">
        <f t="shared" si="14"/>
        <v>1731</v>
      </c>
      <c r="V948" s="44" t="s">
        <v>83</v>
      </c>
      <c r="W948" s="44">
        <v>42946</v>
      </c>
      <c r="X948" s="24">
        <v>31</v>
      </c>
      <c r="Y948" s="24">
        <v>2017</v>
      </c>
      <c r="Z948" s="25">
        <v>201731</v>
      </c>
    </row>
    <row r="949" spans="20:26" x14ac:dyDescent="0.25">
      <c r="T949" s="43">
        <v>42948</v>
      </c>
      <c r="U949" t="str">
        <f t="shared" si="14"/>
        <v>1731</v>
      </c>
      <c r="V949" s="44" t="s">
        <v>84</v>
      </c>
      <c r="W949" s="44">
        <v>42946</v>
      </c>
      <c r="X949" s="24">
        <v>31</v>
      </c>
      <c r="Y949" s="24">
        <v>2017</v>
      </c>
      <c r="Z949" s="25">
        <v>201731</v>
      </c>
    </row>
    <row r="950" spans="20:26" x14ac:dyDescent="0.25">
      <c r="T950" s="43">
        <v>42949</v>
      </c>
      <c r="U950" t="str">
        <f t="shared" si="14"/>
        <v>1731</v>
      </c>
      <c r="V950" s="44" t="s">
        <v>85</v>
      </c>
      <c r="W950" s="44">
        <v>42946</v>
      </c>
      <c r="X950" s="24">
        <v>31</v>
      </c>
      <c r="Y950" s="24">
        <v>2017</v>
      </c>
      <c r="Z950" s="25">
        <v>201731</v>
      </c>
    </row>
    <row r="951" spans="20:26" x14ac:dyDescent="0.25">
      <c r="T951" s="43">
        <v>42950</v>
      </c>
      <c r="U951" t="str">
        <f t="shared" si="14"/>
        <v>1731</v>
      </c>
      <c r="V951" s="44" t="s">
        <v>86</v>
      </c>
      <c r="W951" s="44">
        <v>42946</v>
      </c>
      <c r="X951" s="24">
        <v>31</v>
      </c>
      <c r="Y951" s="24">
        <v>2017</v>
      </c>
      <c r="Z951" s="25">
        <v>201731</v>
      </c>
    </row>
    <row r="952" spans="20:26" x14ac:dyDescent="0.25">
      <c r="T952" s="43">
        <v>42951</v>
      </c>
      <c r="U952" t="str">
        <f t="shared" si="14"/>
        <v>1731</v>
      </c>
      <c r="V952" s="44" t="s">
        <v>87</v>
      </c>
      <c r="W952" s="44">
        <v>42946</v>
      </c>
      <c r="X952" s="24">
        <v>31</v>
      </c>
      <c r="Y952" s="24">
        <v>2017</v>
      </c>
      <c r="Z952" s="25">
        <v>201731</v>
      </c>
    </row>
    <row r="953" spans="20:26" x14ac:dyDescent="0.25">
      <c r="T953" s="43">
        <v>42952</v>
      </c>
      <c r="U953" t="str">
        <f t="shared" si="14"/>
        <v>1731</v>
      </c>
      <c r="V953" s="44" t="s">
        <v>88</v>
      </c>
      <c r="W953" s="44">
        <v>42946</v>
      </c>
      <c r="X953" s="24">
        <v>31</v>
      </c>
      <c r="Y953" s="24">
        <v>2017</v>
      </c>
      <c r="Z953" s="25">
        <v>201731</v>
      </c>
    </row>
    <row r="954" spans="20:26" x14ac:dyDescent="0.25">
      <c r="T954" s="43">
        <v>42953</v>
      </c>
      <c r="U954" t="str">
        <f t="shared" si="14"/>
        <v>1732</v>
      </c>
      <c r="V954" s="44" t="s">
        <v>82</v>
      </c>
      <c r="W954" s="44">
        <v>42953</v>
      </c>
      <c r="X954" s="24">
        <v>32</v>
      </c>
      <c r="Y954" s="24">
        <v>2017</v>
      </c>
      <c r="Z954" s="25">
        <v>201732</v>
      </c>
    </row>
    <row r="955" spans="20:26" x14ac:dyDescent="0.25">
      <c r="T955" s="43">
        <v>42954</v>
      </c>
      <c r="U955" t="str">
        <f t="shared" si="14"/>
        <v>1732</v>
      </c>
      <c r="V955" s="44" t="s">
        <v>83</v>
      </c>
      <c r="W955" s="44">
        <v>42953</v>
      </c>
      <c r="X955" s="24">
        <v>32</v>
      </c>
      <c r="Y955" s="24">
        <v>2017</v>
      </c>
      <c r="Z955" s="25">
        <v>201732</v>
      </c>
    </row>
    <row r="956" spans="20:26" x14ac:dyDescent="0.25">
      <c r="T956" s="43">
        <v>42955</v>
      </c>
      <c r="U956" t="str">
        <f t="shared" si="14"/>
        <v>1732</v>
      </c>
      <c r="V956" s="44" t="s">
        <v>84</v>
      </c>
      <c r="W956" s="44">
        <v>42953</v>
      </c>
      <c r="X956" s="24">
        <v>32</v>
      </c>
      <c r="Y956" s="24">
        <v>2017</v>
      </c>
      <c r="Z956" s="25">
        <v>201732</v>
      </c>
    </row>
    <row r="957" spans="20:26" x14ac:dyDescent="0.25">
      <c r="T957" s="43">
        <v>42956</v>
      </c>
      <c r="U957" t="str">
        <f t="shared" si="14"/>
        <v>1732</v>
      </c>
      <c r="V957" s="44" t="s">
        <v>85</v>
      </c>
      <c r="W957" s="44">
        <v>42953</v>
      </c>
      <c r="X957" s="24">
        <v>32</v>
      </c>
      <c r="Y957" s="24">
        <v>2017</v>
      </c>
      <c r="Z957" s="25">
        <v>201732</v>
      </c>
    </row>
    <row r="958" spans="20:26" x14ac:dyDescent="0.25">
      <c r="T958" s="43">
        <v>42957</v>
      </c>
      <c r="U958" t="str">
        <f t="shared" si="14"/>
        <v>1732</v>
      </c>
      <c r="V958" s="44" t="s">
        <v>86</v>
      </c>
      <c r="W958" s="44">
        <v>42953</v>
      </c>
      <c r="X958" s="24">
        <v>32</v>
      </c>
      <c r="Y958" s="24">
        <v>2017</v>
      </c>
      <c r="Z958" s="25">
        <v>201732</v>
      </c>
    </row>
    <row r="959" spans="20:26" x14ac:dyDescent="0.25">
      <c r="T959" s="43">
        <v>42958</v>
      </c>
      <c r="U959" t="str">
        <f t="shared" si="14"/>
        <v>1732</v>
      </c>
      <c r="V959" s="44" t="s">
        <v>87</v>
      </c>
      <c r="W959" s="44">
        <v>42953</v>
      </c>
      <c r="X959" s="24">
        <v>32</v>
      </c>
      <c r="Y959" s="24">
        <v>2017</v>
      </c>
      <c r="Z959" s="25">
        <v>201732</v>
      </c>
    </row>
    <row r="960" spans="20:26" x14ac:dyDescent="0.25">
      <c r="T960" s="43">
        <v>42959</v>
      </c>
      <c r="U960" t="str">
        <f t="shared" si="14"/>
        <v>1732</v>
      </c>
      <c r="V960" s="44" t="s">
        <v>88</v>
      </c>
      <c r="W960" s="44">
        <v>42953</v>
      </c>
      <c r="X960" s="24">
        <v>32</v>
      </c>
      <c r="Y960" s="24">
        <v>2017</v>
      </c>
      <c r="Z960" s="25">
        <v>201732</v>
      </c>
    </row>
    <row r="961" spans="20:26" x14ac:dyDescent="0.25">
      <c r="T961" s="43">
        <v>42960</v>
      </c>
      <c r="U961" t="str">
        <f t="shared" si="14"/>
        <v>1733</v>
      </c>
      <c r="V961" s="44" t="s">
        <v>82</v>
      </c>
      <c r="W961" s="44">
        <v>42960</v>
      </c>
      <c r="X961" s="24">
        <v>33</v>
      </c>
      <c r="Y961" s="24">
        <v>2017</v>
      </c>
      <c r="Z961" s="25">
        <v>201733</v>
      </c>
    </row>
    <row r="962" spans="20:26" x14ac:dyDescent="0.25">
      <c r="T962" s="43">
        <v>42961</v>
      </c>
      <c r="U962" t="str">
        <f t="shared" ref="U962:U1025" si="15">RIGHT(Z962,4)</f>
        <v>1733</v>
      </c>
      <c r="V962" s="44" t="s">
        <v>83</v>
      </c>
      <c r="W962" s="44">
        <v>42960</v>
      </c>
      <c r="X962" s="24">
        <v>33</v>
      </c>
      <c r="Y962" s="24">
        <v>2017</v>
      </c>
      <c r="Z962" s="25">
        <v>201733</v>
      </c>
    </row>
    <row r="963" spans="20:26" x14ac:dyDescent="0.25">
      <c r="T963" s="43">
        <v>42962</v>
      </c>
      <c r="U963" t="str">
        <f t="shared" si="15"/>
        <v>1733</v>
      </c>
      <c r="V963" s="44" t="s">
        <v>84</v>
      </c>
      <c r="W963" s="44">
        <v>42960</v>
      </c>
      <c r="X963" s="24">
        <v>33</v>
      </c>
      <c r="Y963" s="24">
        <v>2017</v>
      </c>
      <c r="Z963" s="25">
        <v>201733</v>
      </c>
    </row>
    <row r="964" spans="20:26" x14ac:dyDescent="0.25">
      <c r="T964" s="43">
        <v>42963</v>
      </c>
      <c r="U964" t="str">
        <f t="shared" si="15"/>
        <v>1733</v>
      </c>
      <c r="V964" s="44" t="s">
        <v>85</v>
      </c>
      <c r="W964" s="44">
        <v>42960</v>
      </c>
      <c r="X964" s="24">
        <v>33</v>
      </c>
      <c r="Y964" s="24">
        <v>2017</v>
      </c>
      <c r="Z964" s="25">
        <v>201733</v>
      </c>
    </row>
    <row r="965" spans="20:26" x14ac:dyDescent="0.25">
      <c r="T965" s="43">
        <v>42964</v>
      </c>
      <c r="U965" t="str">
        <f t="shared" si="15"/>
        <v>1733</v>
      </c>
      <c r="V965" s="44" t="s">
        <v>86</v>
      </c>
      <c r="W965" s="44">
        <v>42960</v>
      </c>
      <c r="X965" s="24">
        <v>33</v>
      </c>
      <c r="Y965" s="24">
        <v>2017</v>
      </c>
      <c r="Z965" s="25">
        <v>201733</v>
      </c>
    </row>
    <row r="966" spans="20:26" x14ac:dyDescent="0.25">
      <c r="T966" s="43">
        <v>42965</v>
      </c>
      <c r="U966" t="str">
        <f t="shared" si="15"/>
        <v>1733</v>
      </c>
      <c r="V966" s="44" t="s">
        <v>87</v>
      </c>
      <c r="W966" s="44">
        <v>42960</v>
      </c>
      <c r="X966" s="24">
        <v>33</v>
      </c>
      <c r="Y966" s="24">
        <v>2017</v>
      </c>
      <c r="Z966" s="25">
        <v>201733</v>
      </c>
    </row>
    <row r="967" spans="20:26" x14ac:dyDescent="0.25">
      <c r="T967" s="43">
        <v>42966</v>
      </c>
      <c r="U967" t="str">
        <f t="shared" si="15"/>
        <v>1733</v>
      </c>
      <c r="V967" s="44" t="s">
        <v>88</v>
      </c>
      <c r="W967" s="44">
        <v>42960</v>
      </c>
      <c r="X967" s="24">
        <v>33</v>
      </c>
      <c r="Y967" s="24">
        <v>2017</v>
      </c>
      <c r="Z967" s="25">
        <v>201733</v>
      </c>
    </row>
    <row r="968" spans="20:26" x14ac:dyDescent="0.25">
      <c r="T968" s="43">
        <v>42967</v>
      </c>
      <c r="U968" t="str">
        <f t="shared" si="15"/>
        <v>1734</v>
      </c>
      <c r="V968" s="44" t="s">
        <v>82</v>
      </c>
      <c r="W968" s="44">
        <v>42967</v>
      </c>
      <c r="X968" s="24">
        <v>34</v>
      </c>
      <c r="Y968" s="24">
        <v>2017</v>
      </c>
      <c r="Z968" s="25">
        <v>201734</v>
      </c>
    </row>
    <row r="969" spans="20:26" x14ac:dyDescent="0.25">
      <c r="T969" s="43">
        <v>42968</v>
      </c>
      <c r="U969" t="str">
        <f t="shared" si="15"/>
        <v>1734</v>
      </c>
      <c r="V969" s="44" t="s">
        <v>83</v>
      </c>
      <c r="W969" s="44">
        <v>42967</v>
      </c>
      <c r="X969" s="24">
        <v>34</v>
      </c>
      <c r="Y969" s="24">
        <v>2017</v>
      </c>
      <c r="Z969" s="25">
        <v>201734</v>
      </c>
    </row>
    <row r="970" spans="20:26" x14ac:dyDescent="0.25">
      <c r="T970" s="43">
        <v>42969</v>
      </c>
      <c r="U970" t="str">
        <f t="shared" si="15"/>
        <v>1734</v>
      </c>
      <c r="V970" s="44" t="s">
        <v>84</v>
      </c>
      <c r="W970" s="44">
        <v>42967</v>
      </c>
      <c r="X970" s="24">
        <v>34</v>
      </c>
      <c r="Y970" s="24">
        <v>2017</v>
      </c>
      <c r="Z970" s="25">
        <v>201734</v>
      </c>
    </row>
    <row r="971" spans="20:26" x14ac:dyDescent="0.25">
      <c r="T971" s="43">
        <v>42970</v>
      </c>
      <c r="U971" t="str">
        <f t="shared" si="15"/>
        <v>1734</v>
      </c>
      <c r="V971" s="44" t="s">
        <v>85</v>
      </c>
      <c r="W971" s="44">
        <v>42967</v>
      </c>
      <c r="X971" s="24">
        <v>34</v>
      </c>
      <c r="Y971" s="24">
        <v>2017</v>
      </c>
      <c r="Z971" s="25">
        <v>201734</v>
      </c>
    </row>
    <row r="972" spans="20:26" x14ac:dyDescent="0.25">
      <c r="T972" s="43">
        <v>42971</v>
      </c>
      <c r="U972" t="str">
        <f t="shared" si="15"/>
        <v>1734</v>
      </c>
      <c r="V972" s="44" t="s">
        <v>86</v>
      </c>
      <c r="W972" s="44">
        <v>42967</v>
      </c>
      <c r="X972" s="24">
        <v>34</v>
      </c>
      <c r="Y972" s="24">
        <v>2017</v>
      </c>
      <c r="Z972" s="25">
        <v>201734</v>
      </c>
    </row>
    <row r="973" spans="20:26" x14ac:dyDescent="0.25">
      <c r="T973" s="43">
        <v>42972</v>
      </c>
      <c r="U973" t="str">
        <f t="shared" si="15"/>
        <v>1734</v>
      </c>
      <c r="V973" s="44" t="s">
        <v>87</v>
      </c>
      <c r="W973" s="44">
        <v>42967</v>
      </c>
      <c r="X973" s="24">
        <v>34</v>
      </c>
      <c r="Y973" s="24">
        <v>2017</v>
      </c>
      <c r="Z973" s="25">
        <v>201734</v>
      </c>
    </row>
    <row r="974" spans="20:26" x14ac:dyDescent="0.25">
      <c r="T974" s="43">
        <v>42973</v>
      </c>
      <c r="U974" t="str">
        <f t="shared" si="15"/>
        <v>1734</v>
      </c>
      <c r="V974" s="44" t="s">
        <v>88</v>
      </c>
      <c r="W974" s="44">
        <v>42967</v>
      </c>
      <c r="X974" s="24">
        <v>34</v>
      </c>
      <c r="Y974" s="24">
        <v>2017</v>
      </c>
      <c r="Z974" s="25">
        <v>201734</v>
      </c>
    </row>
    <row r="975" spans="20:26" x14ac:dyDescent="0.25">
      <c r="T975" s="43">
        <v>42974</v>
      </c>
      <c r="U975" t="str">
        <f t="shared" si="15"/>
        <v>1735</v>
      </c>
      <c r="V975" s="44" t="s">
        <v>82</v>
      </c>
      <c r="W975" s="44">
        <v>42974</v>
      </c>
      <c r="X975" s="24">
        <v>35</v>
      </c>
      <c r="Y975" s="24">
        <v>2017</v>
      </c>
      <c r="Z975" s="25">
        <v>201735</v>
      </c>
    </row>
    <row r="976" spans="20:26" x14ac:dyDescent="0.25">
      <c r="T976" s="43">
        <v>42975</v>
      </c>
      <c r="U976" t="str">
        <f t="shared" si="15"/>
        <v>1735</v>
      </c>
      <c r="V976" s="44" t="s">
        <v>83</v>
      </c>
      <c r="W976" s="44">
        <v>42974</v>
      </c>
      <c r="X976" s="24">
        <v>35</v>
      </c>
      <c r="Y976" s="24">
        <v>2017</v>
      </c>
      <c r="Z976" s="25">
        <v>201735</v>
      </c>
    </row>
    <row r="977" spans="20:26" x14ac:dyDescent="0.25">
      <c r="T977" s="43">
        <v>42976</v>
      </c>
      <c r="U977" t="str">
        <f t="shared" si="15"/>
        <v>1735</v>
      </c>
      <c r="V977" s="44" t="s">
        <v>84</v>
      </c>
      <c r="W977" s="44">
        <v>42974</v>
      </c>
      <c r="X977" s="24">
        <v>35</v>
      </c>
      <c r="Y977" s="24">
        <v>2017</v>
      </c>
      <c r="Z977" s="25">
        <v>201735</v>
      </c>
    </row>
    <row r="978" spans="20:26" x14ac:dyDescent="0.25">
      <c r="T978" s="43">
        <v>42977</v>
      </c>
      <c r="U978" t="str">
        <f t="shared" si="15"/>
        <v>1735</v>
      </c>
      <c r="V978" s="44" t="s">
        <v>85</v>
      </c>
      <c r="W978" s="44">
        <v>42974</v>
      </c>
      <c r="X978" s="24">
        <v>35</v>
      </c>
      <c r="Y978" s="24">
        <v>2017</v>
      </c>
      <c r="Z978" s="25">
        <v>201735</v>
      </c>
    </row>
    <row r="979" spans="20:26" x14ac:dyDescent="0.25">
      <c r="T979" s="43">
        <v>42978</v>
      </c>
      <c r="U979" t="str">
        <f t="shared" si="15"/>
        <v>1735</v>
      </c>
      <c r="V979" s="44" t="s">
        <v>86</v>
      </c>
      <c r="W979" s="44">
        <v>42974</v>
      </c>
      <c r="X979" s="24">
        <v>35</v>
      </c>
      <c r="Y979" s="24">
        <v>2017</v>
      </c>
      <c r="Z979" s="25">
        <v>201735</v>
      </c>
    </row>
    <row r="980" spans="20:26" x14ac:dyDescent="0.25">
      <c r="T980" s="43">
        <v>42979</v>
      </c>
      <c r="U980" t="str">
        <f t="shared" si="15"/>
        <v>1735</v>
      </c>
      <c r="V980" s="44" t="s">
        <v>87</v>
      </c>
      <c r="W980" s="44">
        <v>42974</v>
      </c>
      <c r="X980" s="24">
        <v>35</v>
      </c>
      <c r="Y980" s="24">
        <v>2017</v>
      </c>
      <c r="Z980" s="25">
        <v>201735</v>
      </c>
    </row>
    <row r="981" spans="20:26" x14ac:dyDescent="0.25">
      <c r="T981" s="43">
        <v>42980</v>
      </c>
      <c r="U981" t="str">
        <f t="shared" si="15"/>
        <v>1735</v>
      </c>
      <c r="V981" s="44" t="s">
        <v>88</v>
      </c>
      <c r="W981" s="44">
        <v>42974</v>
      </c>
      <c r="X981" s="24">
        <v>35</v>
      </c>
      <c r="Y981" s="24">
        <v>2017</v>
      </c>
      <c r="Z981" s="25">
        <v>201735</v>
      </c>
    </row>
    <row r="982" spans="20:26" x14ac:dyDescent="0.25">
      <c r="T982" s="43">
        <v>42981</v>
      </c>
      <c r="U982" t="str">
        <f t="shared" si="15"/>
        <v>1736</v>
      </c>
      <c r="V982" s="44" t="s">
        <v>82</v>
      </c>
      <c r="W982" s="44">
        <v>42981</v>
      </c>
      <c r="X982" s="24">
        <v>36</v>
      </c>
      <c r="Y982" s="24">
        <v>2017</v>
      </c>
      <c r="Z982" s="25">
        <v>201736</v>
      </c>
    </row>
    <row r="983" spans="20:26" x14ac:dyDescent="0.25">
      <c r="T983" s="43">
        <v>42982</v>
      </c>
      <c r="U983" t="str">
        <f t="shared" si="15"/>
        <v>1736</v>
      </c>
      <c r="V983" s="44" t="s">
        <v>83</v>
      </c>
      <c r="W983" s="44">
        <v>42981</v>
      </c>
      <c r="X983" s="24">
        <v>36</v>
      </c>
      <c r="Y983" s="24">
        <v>2017</v>
      </c>
      <c r="Z983" s="25">
        <v>201736</v>
      </c>
    </row>
    <row r="984" spans="20:26" x14ac:dyDescent="0.25">
      <c r="T984" s="43">
        <v>42983</v>
      </c>
      <c r="U984" t="str">
        <f t="shared" si="15"/>
        <v>1736</v>
      </c>
      <c r="V984" s="44" t="s">
        <v>84</v>
      </c>
      <c r="W984" s="44">
        <v>42981</v>
      </c>
      <c r="X984" s="24">
        <v>36</v>
      </c>
      <c r="Y984" s="24">
        <v>2017</v>
      </c>
      <c r="Z984" s="25">
        <v>201736</v>
      </c>
    </row>
    <row r="985" spans="20:26" x14ac:dyDescent="0.25">
      <c r="T985" s="43">
        <v>42984</v>
      </c>
      <c r="U985" t="str">
        <f t="shared" si="15"/>
        <v>1736</v>
      </c>
      <c r="V985" s="44" t="s">
        <v>85</v>
      </c>
      <c r="W985" s="44">
        <v>42981</v>
      </c>
      <c r="X985" s="24">
        <v>36</v>
      </c>
      <c r="Y985" s="24">
        <v>2017</v>
      </c>
      <c r="Z985" s="25">
        <v>201736</v>
      </c>
    </row>
    <row r="986" spans="20:26" x14ac:dyDescent="0.25">
      <c r="T986" s="43">
        <v>42985</v>
      </c>
      <c r="U986" t="str">
        <f t="shared" si="15"/>
        <v>1736</v>
      </c>
      <c r="V986" s="44" t="s">
        <v>86</v>
      </c>
      <c r="W986" s="44">
        <v>42981</v>
      </c>
      <c r="X986" s="24">
        <v>36</v>
      </c>
      <c r="Y986" s="24">
        <v>2017</v>
      </c>
      <c r="Z986" s="25">
        <v>201736</v>
      </c>
    </row>
    <row r="987" spans="20:26" x14ac:dyDescent="0.25">
      <c r="T987" s="43">
        <v>42986</v>
      </c>
      <c r="U987" t="str">
        <f t="shared" si="15"/>
        <v>1736</v>
      </c>
      <c r="V987" s="44" t="s">
        <v>87</v>
      </c>
      <c r="W987" s="44">
        <v>42981</v>
      </c>
      <c r="X987" s="24">
        <v>36</v>
      </c>
      <c r="Y987" s="24">
        <v>2017</v>
      </c>
      <c r="Z987" s="25">
        <v>201736</v>
      </c>
    </row>
    <row r="988" spans="20:26" x14ac:dyDescent="0.25">
      <c r="T988" s="43">
        <v>42987</v>
      </c>
      <c r="U988" t="str">
        <f t="shared" si="15"/>
        <v>1736</v>
      </c>
      <c r="V988" s="44" t="s">
        <v>88</v>
      </c>
      <c r="W988" s="44">
        <v>42981</v>
      </c>
      <c r="X988" s="24">
        <v>36</v>
      </c>
      <c r="Y988" s="24">
        <v>2017</v>
      </c>
      <c r="Z988" s="25">
        <v>201736</v>
      </c>
    </row>
    <row r="989" spans="20:26" x14ac:dyDescent="0.25">
      <c r="T989" s="43">
        <v>42988</v>
      </c>
      <c r="U989" t="str">
        <f t="shared" si="15"/>
        <v>1737</v>
      </c>
      <c r="V989" s="44" t="s">
        <v>82</v>
      </c>
      <c r="W989" s="44">
        <v>42988</v>
      </c>
      <c r="X989" s="24">
        <v>37</v>
      </c>
      <c r="Y989" s="24">
        <v>2017</v>
      </c>
      <c r="Z989" s="25">
        <v>201737</v>
      </c>
    </row>
    <row r="990" spans="20:26" x14ac:dyDescent="0.25">
      <c r="T990" s="43">
        <v>42989</v>
      </c>
      <c r="U990" t="str">
        <f t="shared" si="15"/>
        <v>1737</v>
      </c>
      <c r="V990" s="44" t="s">
        <v>83</v>
      </c>
      <c r="W990" s="44">
        <v>42988</v>
      </c>
      <c r="X990" s="24">
        <v>37</v>
      </c>
      <c r="Y990" s="24">
        <v>2017</v>
      </c>
      <c r="Z990" s="25">
        <v>201737</v>
      </c>
    </row>
    <row r="991" spans="20:26" x14ac:dyDescent="0.25">
      <c r="T991" s="43">
        <v>42990</v>
      </c>
      <c r="U991" t="str">
        <f t="shared" si="15"/>
        <v>1737</v>
      </c>
      <c r="V991" s="44" t="s">
        <v>84</v>
      </c>
      <c r="W991" s="44">
        <v>42988</v>
      </c>
      <c r="X991" s="24">
        <v>37</v>
      </c>
      <c r="Y991" s="24">
        <v>2017</v>
      </c>
      <c r="Z991" s="25">
        <v>201737</v>
      </c>
    </row>
    <row r="992" spans="20:26" x14ac:dyDescent="0.25">
      <c r="T992" s="43">
        <v>42991</v>
      </c>
      <c r="U992" t="str">
        <f t="shared" si="15"/>
        <v>1737</v>
      </c>
      <c r="V992" s="44" t="s">
        <v>85</v>
      </c>
      <c r="W992" s="44">
        <v>42988</v>
      </c>
      <c r="X992" s="24">
        <v>37</v>
      </c>
      <c r="Y992" s="24">
        <v>2017</v>
      </c>
      <c r="Z992" s="25">
        <v>201737</v>
      </c>
    </row>
    <row r="993" spans="20:26" x14ac:dyDescent="0.25">
      <c r="T993" s="43">
        <v>42992</v>
      </c>
      <c r="U993" t="str">
        <f t="shared" si="15"/>
        <v>1737</v>
      </c>
      <c r="V993" s="44" t="s">
        <v>86</v>
      </c>
      <c r="W993" s="44">
        <v>42988</v>
      </c>
      <c r="X993" s="24">
        <v>37</v>
      </c>
      <c r="Y993" s="24">
        <v>2017</v>
      </c>
      <c r="Z993" s="25">
        <v>201737</v>
      </c>
    </row>
    <row r="994" spans="20:26" x14ac:dyDescent="0.25">
      <c r="T994" s="43">
        <v>42993</v>
      </c>
      <c r="U994" t="str">
        <f t="shared" si="15"/>
        <v>1737</v>
      </c>
      <c r="V994" s="44" t="s">
        <v>87</v>
      </c>
      <c r="W994" s="44">
        <v>42988</v>
      </c>
      <c r="X994" s="24">
        <v>37</v>
      </c>
      <c r="Y994" s="24">
        <v>2017</v>
      </c>
      <c r="Z994" s="25">
        <v>201737</v>
      </c>
    </row>
    <row r="995" spans="20:26" x14ac:dyDescent="0.25">
      <c r="T995" s="43">
        <v>42994</v>
      </c>
      <c r="U995" t="str">
        <f t="shared" si="15"/>
        <v>1737</v>
      </c>
      <c r="V995" s="44" t="s">
        <v>88</v>
      </c>
      <c r="W995" s="44">
        <v>42988</v>
      </c>
      <c r="X995" s="24">
        <v>37</v>
      </c>
      <c r="Y995" s="24">
        <v>2017</v>
      </c>
      <c r="Z995" s="25">
        <v>201737</v>
      </c>
    </row>
    <row r="996" spans="20:26" x14ac:dyDescent="0.25">
      <c r="T996" s="43">
        <v>42995</v>
      </c>
      <c r="U996" t="str">
        <f t="shared" si="15"/>
        <v>1738</v>
      </c>
      <c r="V996" s="44" t="s">
        <v>82</v>
      </c>
      <c r="W996" s="44">
        <v>42995</v>
      </c>
      <c r="X996" s="24">
        <v>38</v>
      </c>
      <c r="Y996" s="24">
        <v>2017</v>
      </c>
      <c r="Z996" s="25">
        <v>201738</v>
      </c>
    </row>
    <row r="997" spans="20:26" x14ac:dyDescent="0.25">
      <c r="T997" s="43">
        <v>42996</v>
      </c>
      <c r="U997" t="str">
        <f t="shared" si="15"/>
        <v>1738</v>
      </c>
      <c r="V997" s="44" t="s">
        <v>83</v>
      </c>
      <c r="W997" s="44">
        <v>42995</v>
      </c>
      <c r="X997" s="24">
        <v>38</v>
      </c>
      <c r="Y997" s="24">
        <v>2017</v>
      </c>
      <c r="Z997" s="25">
        <v>201738</v>
      </c>
    </row>
    <row r="998" spans="20:26" x14ac:dyDescent="0.25">
      <c r="T998" s="43">
        <v>42997</v>
      </c>
      <c r="U998" t="str">
        <f t="shared" si="15"/>
        <v>1738</v>
      </c>
      <c r="V998" s="44" t="s">
        <v>84</v>
      </c>
      <c r="W998" s="44">
        <v>42995</v>
      </c>
      <c r="X998" s="24">
        <v>38</v>
      </c>
      <c r="Y998" s="24">
        <v>2017</v>
      </c>
      <c r="Z998" s="25">
        <v>201738</v>
      </c>
    </row>
    <row r="999" spans="20:26" x14ac:dyDescent="0.25">
      <c r="T999" s="43">
        <v>42998</v>
      </c>
      <c r="U999" t="str">
        <f t="shared" si="15"/>
        <v>1738</v>
      </c>
      <c r="V999" s="44" t="s">
        <v>85</v>
      </c>
      <c r="W999" s="44">
        <v>42995</v>
      </c>
      <c r="X999" s="24">
        <v>38</v>
      </c>
      <c r="Y999" s="24">
        <v>2017</v>
      </c>
      <c r="Z999" s="25">
        <v>201738</v>
      </c>
    </row>
    <row r="1000" spans="20:26" x14ac:dyDescent="0.25">
      <c r="T1000" s="43">
        <v>42999</v>
      </c>
      <c r="U1000" t="str">
        <f t="shared" si="15"/>
        <v>1738</v>
      </c>
      <c r="V1000" s="44" t="s">
        <v>86</v>
      </c>
      <c r="W1000" s="44">
        <v>42995</v>
      </c>
      <c r="X1000" s="24">
        <v>38</v>
      </c>
      <c r="Y1000" s="24">
        <v>2017</v>
      </c>
      <c r="Z1000" s="25">
        <v>201738</v>
      </c>
    </row>
    <row r="1001" spans="20:26" x14ac:dyDescent="0.25">
      <c r="T1001" s="43">
        <v>43000</v>
      </c>
      <c r="U1001" t="str">
        <f t="shared" si="15"/>
        <v>1738</v>
      </c>
      <c r="V1001" s="44" t="s">
        <v>87</v>
      </c>
      <c r="W1001" s="44">
        <v>42995</v>
      </c>
      <c r="X1001" s="24">
        <v>38</v>
      </c>
      <c r="Y1001" s="24">
        <v>2017</v>
      </c>
      <c r="Z1001" s="25">
        <v>201738</v>
      </c>
    </row>
    <row r="1002" spans="20:26" x14ac:dyDescent="0.25">
      <c r="T1002" s="43">
        <v>43001</v>
      </c>
      <c r="U1002" t="str">
        <f t="shared" si="15"/>
        <v>1738</v>
      </c>
      <c r="V1002" s="44" t="s">
        <v>88</v>
      </c>
      <c r="W1002" s="44">
        <v>42995</v>
      </c>
      <c r="X1002" s="24">
        <v>38</v>
      </c>
      <c r="Y1002" s="24">
        <v>2017</v>
      </c>
      <c r="Z1002" s="25">
        <v>201738</v>
      </c>
    </row>
    <row r="1003" spans="20:26" x14ac:dyDescent="0.25">
      <c r="T1003" s="43">
        <v>43002</v>
      </c>
      <c r="U1003" t="str">
        <f t="shared" si="15"/>
        <v>1739</v>
      </c>
      <c r="V1003" s="44" t="s">
        <v>82</v>
      </c>
      <c r="W1003" s="44">
        <v>43002</v>
      </c>
      <c r="X1003" s="24">
        <v>39</v>
      </c>
      <c r="Y1003" s="24">
        <v>2017</v>
      </c>
      <c r="Z1003" s="25">
        <v>201739</v>
      </c>
    </row>
    <row r="1004" spans="20:26" x14ac:dyDescent="0.25">
      <c r="T1004" s="43">
        <v>43003</v>
      </c>
      <c r="U1004" t="str">
        <f t="shared" si="15"/>
        <v>1739</v>
      </c>
      <c r="V1004" s="44" t="s">
        <v>83</v>
      </c>
      <c r="W1004" s="44">
        <v>43002</v>
      </c>
      <c r="X1004" s="24">
        <v>39</v>
      </c>
      <c r="Y1004" s="24">
        <v>2017</v>
      </c>
      <c r="Z1004" s="25">
        <v>201739</v>
      </c>
    </row>
    <row r="1005" spans="20:26" x14ac:dyDescent="0.25">
      <c r="T1005" s="43">
        <v>43004</v>
      </c>
      <c r="U1005" t="str">
        <f t="shared" si="15"/>
        <v>1739</v>
      </c>
      <c r="V1005" s="44" t="s">
        <v>84</v>
      </c>
      <c r="W1005" s="44">
        <v>43002</v>
      </c>
      <c r="X1005" s="24">
        <v>39</v>
      </c>
      <c r="Y1005" s="24">
        <v>2017</v>
      </c>
      <c r="Z1005" s="25">
        <v>201739</v>
      </c>
    </row>
    <row r="1006" spans="20:26" x14ac:dyDescent="0.25">
      <c r="T1006" s="43">
        <v>43005</v>
      </c>
      <c r="U1006" t="str">
        <f t="shared" si="15"/>
        <v>1739</v>
      </c>
      <c r="V1006" s="44" t="s">
        <v>85</v>
      </c>
      <c r="W1006" s="44">
        <v>43002</v>
      </c>
      <c r="X1006" s="24">
        <v>39</v>
      </c>
      <c r="Y1006" s="24">
        <v>2017</v>
      </c>
      <c r="Z1006" s="25">
        <v>201739</v>
      </c>
    </row>
    <row r="1007" spans="20:26" x14ac:dyDescent="0.25">
      <c r="T1007" s="43">
        <v>43006</v>
      </c>
      <c r="U1007" t="str">
        <f t="shared" si="15"/>
        <v>1739</v>
      </c>
      <c r="V1007" s="44" t="s">
        <v>86</v>
      </c>
      <c r="W1007" s="44">
        <v>43002</v>
      </c>
      <c r="X1007" s="24">
        <v>39</v>
      </c>
      <c r="Y1007" s="24">
        <v>2017</v>
      </c>
      <c r="Z1007" s="25">
        <v>201739</v>
      </c>
    </row>
    <row r="1008" spans="20:26" x14ac:dyDescent="0.25">
      <c r="T1008" s="43">
        <v>43007</v>
      </c>
      <c r="U1008" t="str">
        <f t="shared" si="15"/>
        <v>1739</v>
      </c>
      <c r="V1008" s="44" t="s">
        <v>87</v>
      </c>
      <c r="W1008" s="44">
        <v>43002</v>
      </c>
      <c r="X1008" s="24">
        <v>39</v>
      </c>
      <c r="Y1008" s="24">
        <v>2017</v>
      </c>
      <c r="Z1008" s="25">
        <v>201739</v>
      </c>
    </row>
    <row r="1009" spans="20:26" x14ac:dyDescent="0.25">
      <c r="T1009" s="43">
        <v>43008</v>
      </c>
      <c r="U1009" t="str">
        <f t="shared" si="15"/>
        <v>1739</v>
      </c>
      <c r="V1009" s="44" t="s">
        <v>88</v>
      </c>
      <c r="W1009" s="44">
        <v>43002</v>
      </c>
      <c r="X1009" s="24">
        <v>39</v>
      </c>
      <c r="Y1009" s="24">
        <v>2017</v>
      </c>
      <c r="Z1009" s="25">
        <v>201739</v>
      </c>
    </row>
    <row r="1010" spans="20:26" x14ac:dyDescent="0.25">
      <c r="T1010" s="43">
        <v>43009</v>
      </c>
      <c r="U1010" t="str">
        <f t="shared" si="15"/>
        <v>1740</v>
      </c>
      <c r="V1010" s="44" t="s">
        <v>82</v>
      </c>
      <c r="W1010" s="44">
        <v>43009</v>
      </c>
      <c r="X1010" s="24">
        <v>40</v>
      </c>
      <c r="Y1010" s="24">
        <v>2017</v>
      </c>
      <c r="Z1010" s="25">
        <v>201740</v>
      </c>
    </row>
    <row r="1011" spans="20:26" x14ac:dyDescent="0.25">
      <c r="T1011" s="43">
        <v>43010</v>
      </c>
      <c r="U1011" t="str">
        <f t="shared" si="15"/>
        <v>1740</v>
      </c>
      <c r="V1011" s="44" t="s">
        <v>83</v>
      </c>
      <c r="W1011" s="44">
        <v>43009</v>
      </c>
      <c r="X1011" s="24">
        <v>40</v>
      </c>
      <c r="Y1011" s="24">
        <v>2017</v>
      </c>
      <c r="Z1011" s="25">
        <v>201740</v>
      </c>
    </row>
    <row r="1012" spans="20:26" x14ac:dyDescent="0.25">
      <c r="T1012" s="43">
        <v>43011</v>
      </c>
      <c r="U1012" t="str">
        <f t="shared" si="15"/>
        <v>1740</v>
      </c>
      <c r="V1012" s="44" t="s">
        <v>84</v>
      </c>
      <c r="W1012" s="44">
        <v>43009</v>
      </c>
      <c r="X1012" s="24">
        <v>40</v>
      </c>
      <c r="Y1012" s="24">
        <v>2017</v>
      </c>
      <c r="Z1012" s="25">
        <v>201740</v>
      </c>
    </row>
    <row r="1013" spans="20:26" x14ac:dyDescent="0.25">
      <c r="T1013" s="43">
        <v>43012</v>
      </c>
      <c r="U1013" t="str">
        <f t="shared" si="15"/>
        <v>1740</v>
      </c>
      <c r="V1013" s="44" t="s">
        <v>85</v>
      </c>
      <c r="W1013" s="44">
        <v>43009</v>
      </c>
      <c r="X1013" s="24">
        <v>40</v>
      </c>
      <c r="Y1013" s="24">
        <v>2017</v>
      </c>
      <c r="Z1013" s="25">
        <v>201740</v>
      </c>
    </row>
    <row r="1014" spans="20:26" x14ac:dyDescent="0.25">
      <c r="T1014" s="43">
        <v>43013</v>
      </c>
      <c r="U1014" t="str">
        <f t="shared" si="15"/>
        <v>1740</v>
      </c>
      <c r="V1014" s="44" t="s">
        <v>86</v>
      </c>
      <c r="W1014" s="44">
        <v>43009</v>
      </c>
      <c r="X1014" s="24">
        <v>40</v>
      </c>
      <c r="Y1014" s="24">
        <v>2017</v>
      </c>
      <c r="Z1014" s="25">
        <v>201740</v>
      </c>
    </row>
    <row r="1015" spans="20:26" x14ac:dyDescent="0.25">
      <c r="T1015" s="43">
        <v>43014</v>
      </c>
      <c r="U1015" t="str">
        <f t="shared" si="15"/>
        <v>1740</v>
      </c>
      <c r="V1015" s="44" t="s">
        <v>87</v>
      </c>
      <c r="W1015" s="44">
        <v>43009</v>
      </c>
      <c r="X1015" s="24">
        <v>40</v>
      </c>
      <c r="Y1015" s="24">
        <v>2017</v>
      </c>
      <c r="Z1015" s="25">
        <v>201740</v>
      </c>
    </row>
    <row r="1016" spans="20:26" x14ac:dyDescent="0.25">
      <c r="T1016" s="43">
        <v>43015</v>
      </c>
      <c r="U1016" t="str">
        <f t="shared" si="15"/>
        <v>1740</v>
      </c>
      <c r="V1016" s="44" t="s">
        <v>88</v>
      </c>
      <c r="W1016" s="44">
        <v>43009</v>
      </c>
      <c r="X1016" s="24">
        <v>40</v>
      </c>
      <c r="Y1016" s="24">
        <v>2017</v>
      </c>
      <c r="Z1016" s="25">
        <v>201740</v>
      </c>
    </row>
    <row r="1017" spans="20:26" x14ac:dyDescent="0.25">
      <c r="T1017" s="43">
        <v>43016</v>
      </c>
      <c r="U1017" t="str">
        <f t="shared" si="15"/>
        <v>1741</v>
      </c>
      <c r="V1017" s="44" t="s">
        <v>82</v>
      </c>
      <c r="W1017" s="44">
        <v>43016</v>
      </c>
      <c r="X1017" s="24">
        <v>41</v>
      </c>
      <c r="Y1017" s="24">
        <v>2017</v>
      </c>
      <c r="Z1017" s="25">
        <v>201741</v>
      </c>
    </row>
    <row r="1018" spans="20:26" x14ac:dyDescent="0.25">
      <c r="T1018" s="43">
        <v>43017</v>
      </c>
      <c r="U1018" t="str">
        <f t="shared" si="15"/>
        <v>1741</v>
      </c>
      <c r="V1018" s="44" t="s">
        <v>83</v>
      </c>
      <c r="W1018" s="44">
        <v>43016</v>
      </c>
      <c r="X1018" s="24">
        <v>41</v>
      </c>
      <c r="Y1018" s="24">
        <v>2017</v>
      </c>
      <c r="Z1018" s="25">
        <v>201741</v>
      </c>
    </row>
    <row r="1019" spans="20:26" x14ac:dyDescent="0.25">
      <c r="T1019" s="43">
        <v>43018</v>
      </c>
      <c r="U1019" t="str">
        <f t="shared" si="15"/>
        <v>1741</v>
      </c>
      <c r="V1019" s="44" t="s">
        <v>84</v>
      </c>
      <c r="W1019" s="44">
        <v>43016</v>
      </c>
      <c r="X1019" s="24">
        <v>41</v>
      </c>
      <c r="Y1019" s="24">
        <v>2017</v>
      </c>
      <c r="Z1019" s="25">
        <v>201741</v>
      </c>
    </row>
    <row r="1020" spans="20:26" x14ac:dyDescent="0.25">
      <c r="T1020" s="43">
        <v>43019</v>
      </c>
      <c r="U1020" t="str">
        <f t="shared" si="15"/>
        <v>1741</v>
      </c>
      <c r="V1020" s="44" t="s">
        <v>85</v>
      </c>
      <c r="W1020" s="44">
        <v>43016</v>
      </c>
      <c r="X1020" s="24">
        <v>41</v>
      </c>
      <c r="Y1020" s="24">
        <v>2017</v>
      </c>
      <c r="Z1020" s="25">
        <v>201741</v>
      </c>
    </row>
    <row r="1021" spans="20:26" x14ac:dyDescent="0.25">
      <c r="T1021" s="43">
        <v>43020</v>
      </c>
      <c r="U1021" t="str">
        <f t="shared" si="15"/>
        <v>1741</v>
      </c>
      <c r="V1021" s="44" t="s">
        <v>86</v>
      </c>
      <c r="W1021" s="44">
        <v>43016</v>
      </c>
      <c r="X1021" s="24">
        <v>41</v>
      </c>
      <c r="Y1021" s="24">
        <v>2017</v>
      </c>
      <c r="Z1021" s="25">
        <v>201741</v>
      </c>
    </row>
    <row r="1022" spans="20:26" x14ac:dyDescent="0.25">
      <c r="T1022" s="43">
        <v>43021</v>
      </c>
      <c r="U1022" t="str">
        <f t="shared" si="15"/>
        <v>1741</v>
      </c>
      <c r="V1022" s="44" t="s">
        <v>87</v>
      </c>
      <c r="W1022" s="44">
        <v>43016</v>
      </c>
      <c r="X1022" s="24">
        <v>41</v>
      </c>
      <c r="Y1022" s="24">
        <v>2017</v>
      </c>
      <c r="Z1022" s="25">
        <v>201741</v>
      </c>
    </row>
    <row r="1023" spans="20:26" x14ac:dyDescent="0.25">
      <c r="T1023" s="43">
        <v>43022</v>
      </c>
      <c r="U1023" t="str">
        <f t="shared" si="15"/>
        <v>1741</v>
      </c>
      <c r="V1023" s="44" t="s">
        <v>88</v>
      </c>
      <c r="W1023" s="44">
        <v>43016</v>
      </c>
      <c r="X1023" s="24">
        <v>41</v>
      </c>
      <c r="Y1023" s="24">
        <v>2017</v>
      </c>
      <c r="Z1023" s="25">
        <v>201741</v>
      </c>
    </row>
    <row r="1024" spans="20:26" x14ac:dyDescent="0.25">
      <c r="T1024" s="43">
        <v>43023</v>
      </c>
      <c r="U1024" t="str">
        <f t="shared" si="15"/>
        <v>1742</v>
      </c>
      <c r="V1024" s="44" t="s">
        <v>82</v>
      </c>
      <c r="W1024" s="44">
        <v>43023</v>
      </c>
      <c r="X1024" s="24">
        <v>42</v>
      </c>
      <c r="Y1024" s="24">
        <v>2017</v>
      </c>
      <c r="Z1024" s="25">
        <v>201742</v>
      </c>
    </row>
    <row r="1025" spans="20:26" x14ac:dyDescent="0.25">
      <c r="T1025" s="43">
        <v>43024</v>
      </c>
      <c r="U1025" t="str">
        <f t="shared" si="15"/>
        <v>1742</v>
      </c>
      <c r="V1025" s="44" t="s">
        <v>83</v>
      </c>
      <c r="W1025" s="44">
        <v>43023</v>
      </c>
      <c r="X1025" s="24">
        <v>42</v>
      </c>
      <c r="Y1025" s="24">
        <v>2017</v>
      </c>
      <c r="Z1025" s="25">
        <v>201742</v>
      </c>
    </row>
    <row r="1026" spans="20:26" x14ac:dyDescent="0.25">
      <c r="T1026" s="43">
        <v>43025</v>
      </c>
      <c r="U1026" t="str">
        <f t="shared" ref="U1026:U1089" si="16">RIGHT(Z1026,4)</f>
        <v>1742</v>
      </c>
      <c r="V1026" s="44" t="s">
        <v>84</v>
      </c>
      <c r="W1026" s="44">
        <v>43023</v>
      </c>
      <c r="X1026" s="24">
        <v>42</v>
      </c>
      <c r="Y1026" s="24">
        <v>2017</v>
      </c>
      <c r="Z1026" s="25">
        <v>201742</v>
      </c>
    </row>
    <row r="1027" spans="20:26" x14ac:dyDescent="0.25">
      <c r="T1027" s="43">
        <v>43026</v>
      </c>
      <c r="U1027" t="str">
        <f t="shared" si="16"/>
        <v>1742</v>
      </c>
      <c r="V1027" s="44" t="s">
        <v>85</v>
      </c>
      <c r="W1027" s="44">
        <v>43023</v>
      </c>
      <c r="X1027" s="24">
        <v>42</v>
      </c>
      <c r="Y1027" s="24">
        <v>2017</v>
      </c>
      <c r="Z1027" s="25">
        <v>201742</v>
      </c>
    </row>
    <row r="1028" spans="20:26" x14ac:dyDescent="0.25">
      <c r="T1028" s="43">
        <v>43027</v>
      </c>
      <c r="U1028" t="str">
        <f t="shared" si="16"/>
        <v>1742</v>
      </c>
      <c r="V1028" s="44" t="s">
        <v>86</v>
      </c>
      <c r="W1028" s="44">
        <v>43023</v>
      </c>
      <c r="X1028" s="24">
        <v>42</v>
      </c>
      <c r="Y1028" s="24">
        <v>2017</v>
      </c>
      <c r="Z1028" s="25">
        <v>201742</v>
      </c>
    </row>
    <row r="1029" spans="20:26" x14ac:dyDescent="0.25">
      <c r="T1029" s="43">
        <v>43028</v>
      </c>
      <c r="U1029" t="str">
        <f t="shared" si="16"/>
        <v>1742</v>
      </c>
      <c r="V1029" s="44" t="s">
        <v>87</v>
      </c>
      <c r="W1029" s="44">
        <v>43023</v>
      </c>
      <c r="X1029" s="24">
        <v>42</v>
      </c>
      <c r="Y1029" s="24">
        <v>2017</v>
      </c>
      <c r="Z1029" s="25">
        <v>201742</v>
      </c>
    </row>
    <row r="1030" spans="20:26" x14ac:dyDescent="0.25">
      <c r="T1030" s="43">
        <v>43029</v>
      </c>
      <c r="U1030" t="str">
        <f t="shared" si="16"/>
        <v>1742</v>
      </c>
      <c r="V1030" s="44" t="s">
        <v>88</v>
      </c>
      <c r="W1030" s="44">
        <v>43023</v>
      </c>
      <c r="X1030" s="24">
        <v>42</v>
      </c>
      <c r="Y1030" s="24">
        <v>2017</v>
      </c>
      <c r="Z1030" s="25">
        <v>201742</v>
      </c>
    </row>
    <row r="1031" spans="20:26" x14ac:dyDescent="0.25">
      <c r="T1031" s="43">
        <v>43030</v>
      </c>
      <c r="U1031" t="str">
        <f t="shared" si="16"/>
        <v>1743</v>
      </c>
      <c r="V1031" s="44" t="s">
        <v>82</v>
      </c>
      <c r="W1031" s="44">
        <v>43030</v>
      </c>
      <c r="X1031" s="24">
        <v>43</v>
      </c>
      <c r="Y1031" s="24">
        <v>2017</v>
      </c>
      <c r="Z1031" s="25">
        <v>201743</v>
      </c>
    </row>
    <row r="1032" spans="20:26" x14ac:dyDescent="0.25">
      <c r="T1032" s="43">
        <v>43031</v>
      </c>
      <c r="U1032" t="str">
        <f t="shared" si="16"/>
        <v>1743</v>
      </c>
      <c r="V1032" s="44" t="s">
        <v>83</v>
      </c>
      <c r="W1032" s="44">
        <v>43030</v>
      </c>
      <c r="X1032" s="24">
        <v>43</v>
      </c>
      <c r="Y1032" s="24">
        <v>2017</v>
      </c>
      <c r="Z1032" s="25">
        <v>201743</v>
      </c>
    </row>
    <row r="1033" spans="20:26" x14ac:dyDescent="0.25">
      <c r="T1033" s="43">
        <v>43032</v>
      </c>
      <c r="U1033" t="str">
        <f t="shared" si="16"/>
        <v>1743</v>
      </c>
      <c r="V1033" s="44" t="s">
        <v>84</v>
      </c>
      <c r="W1033" s="44">
        <v>43030</v>
      </c>
      <c r="X1033" s="24">
        <v>43</v>
      </c>
      <c r="Y1033" s="24">
        <v>2017</v>
      </c>
      <c r="Z1033" s="25">
        <v>201743</v>
      </c>
    </row>
    <row r="1034" spans="20:26" x14ac:dyDescent="0.25">
      <c r="T1034" s="43">
        <v>43033</v>
      </c>
      <c r="U1034" t="str">
        <f t="shared" si="16"/>
        <v>1743</v>
      </c>
      <c r="V1034" s="44" t="s">
        <v>85</v>
      </c>
      <c r="W1034" s="44">
        <v>43030</v>
      </c>
      <c r="X1034" s="24">
        <v>43</v>
      </c>
      <c r="Y1034" s="24">
        <v>2017</v>
      </c>
      <c r="Z1034" s="25">
        <v>201743</v>
      </c>
    </row>
    <row r="1035" spans="20:26" x14ac:dyDescent="0.25">
      <c r="T1035" s="43">
        <v>43034</v>
      </c>
      <c r="U1035" t="str">
        <f t="shared" si="16"/>
        <v>1743</v>
      </c>
      <c r="V1035" s="44" t="s">
        <v>86</v>
      </c>
      <c r="W1035" s="44">
        <v>43030</v>
      </c>
      <c r="X1035" s="24">
        <v>43</v>
      </c>
      <c r="Y1035" s="24">
        <v>2017</v>
      </c>
      <c r="Z1035" s="25">
        <v>201743</v>
      </c>
    </row>
    <row r="1036" spans="20:26" x14ac:dyDescent="0.25">
      <c r="T1036" s="43">
        <v>43035</v>
      </c>
      <c r="U1036" t="str">
        <f t="shared" si="16"/>
        <v>1743</v>
      </c>
      <c r="V1036" s="44" t="s">
        <v>87</v>
      </c>
      <c r="W1036" s="44">
        <v>43030</v>
      </c>
      <c r="X1036" s="24">
        <v>43</v>
      </c>
      <c r="Y1036" s="24">
        <v>2017</v>
      </c>
      <c r="Z1036" s="25">
        <v>201743</v>
      </c>
    </row>
    <row r="1037" spans="20:26" x14ac:dyDescent="0.25">
      <c r="T1037" s="43">
        <v>43036</v>
      </c>
      <c r="U1037" t="str">
        <f t="shared" si="16"/>
        <v>1743</v>
      </c>
      <c r="V1037" s="44" t="s">
        <v>88</v>
      </c>
      <c r="W1037" s="44">
        <v>43030</v>
      </c>
      <c r="X1037" s="24">
        <v>43</v>
      </c>
      <c r="Y1037" s="24">
        <v>2017</v>
      </c>
      <c r="Z1037" s="25">
        <v>201743</v>
      </c>
    </row>
    <row r="1038" spans="20:26" x14ac:dyDescent="0.25">
      <c r="T1038" s="43">
        <v>43037</v>
      </c>
      <c r="U1038" t="str">
        <f t="shared" si="16"/>
        <v>1744</v>
      </c>
      <c r="V1038" s="44" t="s">
        <v>82</v>
      </c>
      <c r="W1038" s="44">
        <v>43037</v>
      </c>
      <c r="X1038" s="24">
        <v>44</v>
      </c>
      <c r="Y1038" s="24">
        <v>2017</v>
      </c>
      <c r="Z1038" s="25">
        <v>201744</v>
      </c>
    </row>
    <row r="1039" spans="20:26" x14ac:dyDescent="0.25">
      <c r="T1039" s="43">
        <v>43038</v>
      </c>
      <c r="U1039" t="str">
        <f t="shared" si="16"/>
        <v>1744</v>
      </c>
      <c r="V1039" s="44" t="s">
        <v>83</v>
      </c>
      <c r="W1039" s="44">
        <v>43037</v>
      </c>
      <c r="X1039" s="24">
        <v>44</v>
      </c>
      <c r="Y1039" s="24">
        <v>2017</v>
      </c>
      <c r="Z1039" s="25">
        <v>201744</v>
      </c>
    </row>
    <row r="1040" spans="20:26" x14ac:dyDescent="0.25">
      <c r="T1040" s="43">
        <v>43039</v>
      </c>
      <c r="U1040" t="str">
        <f t="shared" si="16"/>
        <v>1744</v>
      </c>
      <c r="V1040" s="44" t="s">
        <v>84</v>
      </c>
      <c r="W1040" s="44">
        <v>43037</v>
      </c>
      <c r="X1040" s="24">
        <v>44</v>
      </c>
      <c r="Y1040" s="24">
        <v>2017</v>
      </c>
      <c r="Z1040" s="25">
        <v>201744</v>
      </c>
    </row>
    <row r="1041" spans="20:26" x14ac:dyDescent="0.25">
      <c r="T1041" s="43">
        <v>43040</v>
      </c>
      <c r="U1041" t="str">
        <f t="shared" si="16"/>
        <v>1744</v>
      </c>
      <c r="V1041" s="44" t="s">
        <v>85</v>
      </c>
      <c r="W1041" s="44">
        <v>43037</v>
      </c>
      <c r="X1041" s="24">
        <v>44</v>
      </c>
      <c r="Y1041" s="24">
        <v>2017</v>
      </c>
      <c r="Z1041" s="25">
        <v>201744</v>
      </c>
    </row>
    <row r="1042" spans="20:26" x14ac:dyDescent="0.25">
      <c r="T1042" s="43">
        <v>43041</v>
      </c>
      <c r="U1042" t="str">
        <f t="shared" si="16"/>
        <v>1744</v>
      </c>
      <c r="V1042" s="44" t="s">
        <v>86</v>
      </c>
      <c r="W1042" s="44">
        <v>43037</v>
      </c>
      <c r="X1042" s="24">
        <v>44</v>
      </c>
      <c r="Y1042" s="24">
        <v>2017</v>
      </c>
      <c r="Z1042" s="25">
        <v>201744</v>
      </c>
    </row>
    <row r="1043" spans="20:26" x14ac:dyDescent="0.25">
      <c r="T1043" s="43">
        <v>43042</v>
      </c>
      <c r="U1043" t="str">
        <f t="shared" si="16"/>
        <v>1744</v>
      </c>
      <c r="V1043" s="44" t="s">
        <v>87</v>
      </c>
      <c r="W1043" s="44">
        <v>43037</v>
      </c>
      <c r="X1043" s="24">
        <v>44</v>
      </c>
      <c r="Y1043" s="24">
        <v>2017</v>
      </c>
      <c r="Z1043" s="25">
        <v>201744</v>
      </c>
    </row>
    <row r="1044" spans="20:26" x14ac:dyDescent="0.25">
      <c r="T1044" s="43">
        <v>43043</v>
      </c>
      <c r="U1044" t="str">
        <f t="shared" si="16"/>
        <v>1744</v>
      </c>
      <c r="V1044" s="44" t="s">
        <v>88</v>
      </c>
      <c r="W1044" s="44">
        <v>43037</v>
      </c>
      <c r="X1044" s="24">
        <v>44</v>
      </c>
      <c r="Y1044" s="24">
        <v>2017</v>
      </c>
      <c r="Z1044" s="25">
        <v>201744</v>
      </c>
    </row>
    <row r="1045" spans="20:26" x14ac:dyDescent="0.25">
      <c r="T1045" s="43">
        <v>43044</v>
      </c>
      <c r="U1045" t="str">
        <f t="shared" si="16"/>
        <v>1745</v>
      </c>
      <c r="V1045" s="44" t="s">
        <v>82</v>
      </c>
      <c r="W1045" s="44">
        <v>43044</v>
      </c>
      <c r="X1045" s="24">
        <v>45</v>
      </c>
      <c r="Y1045" s="24">
        <v>2017</v>
      </c>
      <c r="Z1045" s="25">
        <v>201745</v>
      </c>
    </row>
    <row r="1046" spans="20:26" x14ac:dyDescent="0.25">
      <c r="T1046" s="43">
        <v>43045</v>
      </c>
      <c r="U1046" t="str">
        <f t="shared" si="16"/>
        <v>1745</v>
      </c>
      <c r="V1046" s="44" t="s">
        <v>83</v>
      </c>
      <c r="W1046" s="44">
        <v>43044</v>
      </c>
      <c r="X1046" s="24">
        <v>45</v>
      </c>
      <c r="Y1046" s="24">
        <v>2017</v>
      </c>
      <c r="Z1046" s="25">
        <v>201745</v>
      </c>
    </row>
    <row r="1047" spans="20:26" x14ac:dyDescent="0.25">
      <c r="T1047" s="43">
        <v>43046</v>
      </c>
      <c r="U1047" t="str">
        <f t="shared" si="16"/>
        <v>1745</v>
      </c>
      <c r="V1047" s="44" t="s">
        <v>84</v>
      </c>
      <c r="W1047" s="44">
        <v>43044</v>
      </c>
      <c r="X1047" s="24">
        <v>45</v>
      </c>
      <c r="Y1047" s="24">
        <v>2017</v>
      </c>
      <c r="Z1047" s="25">
        <v>201745</v>
      </c>
    </row>
    <row r="1048" spans="20:26" x14ac:dyDescent="0.25">
      <c r="T1048" s="43">
        <v>43047</v>
      </c>
      <c r="U1048" t="str">
        <f t="shared" si="16"/>
        <v>1745</v>
      </c>
      <c r="V1048" s="44" t="s">
        <v>85</v>
      </c>
      <c r="W1048" s="44">
        <v>43044</v>
      </c>
      <c r="X1048" s="24">
        <v>45</v>
      </c>
      <c r="Y1048" s="24">
        <v>2017</v>
      </c>
      <c r="Z1048" s="25">
        <v>201745</v>
      </c>
    </row>
    <row r="1049" spans="20:26" x14ac:dyDescent="0.25">
      <c r="T1049" s="43">
        <v>43048</v>
      </c>
      <c r="U1049" t="str">
        <f t="shared" si="16"/>
        <v>1745</v>
      </c>
      <c r="V1049" s="44" t="s">
        <v>86</v>
      </c>
      <c r="W1049" s="44">
        <v>43044</v>
      </c>
      <c r="X1049" s="24">
        <v>45</v>
      </c>
      <c r="Y1049" s="24">
        <v>2017</v>
      </c>
      <c r="Z1049" s="25">
        <v>201745</v>
      </c>
    </row>
    <row r="1050" spans="20:26" x14ac:dyDescent="0.25">
      <c r="T1050" s="43">
        <v>43049</v>
      </c>
      <c r="U1050" t="str">
        <f t="shared" si="16"/>
        <v>1745</v>
      </c>
      <c r="V1050" s="44" t="s">
        <v>87</v>
      </c>
      <c r="W1050" s="44">
        <v>43044</v>
      </c>
      <c r="X1050" s="24">
        <v>45</v>
      </c>
      <c r="Y1050" s="24">
        <v>2017</v>
      </c>
      <c r="Z1050" s="25">
        <v>201745</v>
      </c>
    </row>
    <row r="1051" spans="20:26" x14ac:dyDescent="0.25">
      <c r="T1051" s="43">
        <v>43050</v>
      </c>
      <c r="U1051" t="str">
        <f t="shared" si="16"/>
        <v>1745</v>
      </c>
      <c r="V1051" s="44" t="s">
        <v>88</v>
      </c>
      <c r="W1051" s="44">
        <v>43044</v>
      </c>
      <c r="X1051" s="24">
        <v>45</v>
      </c>
      <c r="Y1051" s="24">
        <v>2017</v>
      </c>
      <c r="Z1051" s="25">
        <v>201745</v>
      </c>
    </row>
    <row r="1052" spans="20:26" x14ac:dyDescent="0.25">
      <c r="T1052" s="43">
        <v>43051</v>
      </c>
      <c r="U1052" t="str">
        <f t="shared" si="16"/>
        <v>1746</v>
      </c>
      <c r="V1052" s="44" t="s">
        <v>82</v>
      </c>
      <c r="W1052" s="44">
        <v>43051</v>
      </c>
      <c r="X1052" s="24">
        <v>46</v>
      </c>
      <c r="Y1052" s="24">
        <v>2017</v>
      </c>
      <c r="Z1052" s="25">
        <v>201746</v>
      </c>
    </row>
    <row r="1053" spans="20:26" x14ac:dyDescent="0.25">
      <c r="T1053" s="43">
        <v>43052</v>
      </c>
      <c r="U1053" t="str">
        <f t="shared" si="16"/>
        <v>1746</v>
      </c>
      <c r="V1053" s="44" t="s">
        <v>83</v>
      </c>
      <c r="W1053" s="44">
        <v>43051</v>
      </c>
      <c r="X1053" s="24">
        <v>46</v>
      </c>
      <c r="Y1053" s="24">
        <v>2017</v>
      </c>
      <c r="Z1053" s="25">
        <v>201746</v>
      </c>
    </row>
    <row r="1054" spans="20:26" x14ac:dyDescent="0.25">
      <c r="T1054" s="43">
        <v>43053</v>
      </c>
      <c r="U1054" t="str">
        <f t="shared" si="16"/>
        <v>1746</v>
      </c>
      <c r="V1054" s="44" t="s">
        <v>84</v>
      </c>
      <c r="W1054" s="44">
        <v>43051</v>
      </c>
      <c r="X1054" s="24">
        <v>46</v>
      </c>
      <c r="Y1054" s="24">
        <v>2017</v>
      </c>
      <c r="Z1054" s="25">
        <v>201746</v>
      </c>
    </row>
    <row r="1055" spans="20:26" x14ac:dyDescent="0.25">
      <c r="T1055" s="43">
        <v>43054</v>
      </c>
      <c r="U1055" t="str">
        <f t="shared" si="16"/>
        <v>1746</v>
      </c>
      <c r="V1055" s="44" t="s">
        <v>85</v>
      </c>
      <c r="W1055" s="44">
        <v>43051</v>
      </c>
      <c r="X1055" s="24">
        <v>46</v>
      </c>
      <c r="Y1055" s="24">
        <v>2017</v>
      </c>
      <c r="Z1055" s="25">
        <v>201746</v>
      </c>
    </row>
    <row r="1056" spans="20:26" x14ac:dyDescent="0.25">
      <c r="T1056" s="43">
        <v>43055</v>
      </c>
      <c r="U1056" t="str">
        <f t="shared" si="16"/>
        <v>1746</v>
      </c>
      <c r="V1056" s="44" t="s">
        <v>86</v>
      </c>
      <c r="W1056" s="44">
        <v>43051</v>
      </c>
      <c r="X1056" s="24">
        <v>46</v>
      </c>
      <c r="Y1056" s="24">
        <v>2017</v>
      </c>
      <c r="Z1056" s="25">
        <v>201746</v>
      </c>
    </row>
    <row r="1057" spans="20:26" x14ac:dyDescent="0.25">
      <c r="T1057" s="43">
        <v>43056</v>
      </c>
      <c r="U1057" t="str">
        <f t="shared" si="16"/>
        <v>1746</v>
      </c>
      <c r="V1057" s="44" t="s">
        <v>87</v>
      </c>
      <c r="W1057" s="44">
        <v>43051</v>
      </c>
      <c r="X1057" s="24">
        <v>46</v>
      </c>
      <c r="Y1057" s="24">
        <v>2017</v>
      </c>
      <c r="Z1057" s="25">
        <v>201746</v>
      </c>
    </row>
    <row r="1058" spans="20:26" x14ac:dyDescent="0.25">
      <c r="T1058" s="43">
        <v>43057</v>
      </c>
      <c r="U1058" t="str">
        <f t="shared" si="16"/>
        <v>1746</v>
      </c>
      <c r="V1058" s="44" t="s">
        <v>88</v>
      </c>
      <c r="W1058" s="44">
        <v>43051</v>
      </c>
      <c r="X1058" s="24">
        <v>46</v>
      </c>
      <c r="Y1058" s="24">
        <v>2017</v>
      </c>
      <c r="Z1058" s="25">
        <v>201746</v>
      </c>
    </row>
    <row r="1059" spans="20:26" x14ac:dyDescent="0.25">
      <c r="T1059" s="43">
        <v>43058</v>
      </c>
      <c r="U1059" t="str">
        <f t="shared" si="16"/>
        <v>1747</v>
      </c>
      <c r="V1059" s="44" t="s">
        <v>82</v>
      </c>
      <c r="W1059" s="44">
        <v>43058</v>
      </c>
      <c r="X1059" s="24">
        <v>47</v>
      </c>
      <c r="Y1059" s="24">
        <v>2017</v>
      </c>
      <c r="Z1059" s="25">
        <v>201747</v>
      </c>
    </row>
    <row r="1060" spans="20:26" x14ac:dyDescent="0.25">
      <c r="T1060" s="43">
        <v>43059</v>
      </c>
      <c r="U1060" t="str">
        <f t="shared" si="16"/>
        <v>1747</v>
      </c>
      <c r="V1060" s="44" t="s">
        <v>83</v>
      </c>
      <c r="W1060" s="44">
        <v>43058</v>
      </c>
      <c r="X1060" s="24">
        <v>47</v>
      </c>
      <c r="Y1060" s="24">
        <v>2017</v>
      </c>
      <c r="Z1060" s="25">
        <v>201747</v>
      </c>
    </row>
    <row r="1061" spans="20:26" x14ac:dyDescent="0.25">
      <c r="T1061" s="43">
        <v>43060</v>
      </c>
      <c r="U1061" t="str">
        <f t="shared" si="16"/>
        <v>1747</v>
      </c>
      <c r="V1061" s="44" t="s">
        <v>84</v>
      </c>
      <c r="W1061" s="44">
        <v>43058</v>
      </c>
      <c r="X1061" s="24">
        <v>47</v>
      </c>
      <c r="Y1061" s="24">
        <v>2017</v>
      </c>
      <c r="Z1061" s="25">
        <v>201747</v>
      </c>
    </row>
    <row r="1062" spans="20:26" x14ac:dyDescent="0.25">
      <c r="T1062" s="43">
        <v>43061</v>
      </c>
      <c r="U1062" t="str">
        <f t="shared" si="16"/>
        <v>1747</v>
      </c>
      <c r="V1062" s="44" t="s">
        <v>85</v>
      </c>
      <c r="W1062" s="44">
        <v>43058</v>
      </c>
      <c r="X1062" s="24">
        <v>47</v>
      </c>
      <c r="Y1062" s="24">
        <v>2017</v>
      </c>
      <c r="Z1062" s="25">
        <v>201747</v>
      </c>
    </row>
    <row r="1063" spans="20:26" x14ac:dyDescent="0.25">
      <c r="T1063" s="43">
        <v>43062</v>
      </c>
      <c r="U1063" t="str">
        <f t="shared" si="16"/>
        <v>1747</v>
      </c>
      <c r="V1063" s="44" t="s">
        <v>86</v>
      </c>
      <c r="W1063" s="44">
        <v>43058</v>
      </c>
      <c r="X1063" s="24">
        <v>47</v>
      </c>
      <c r="Y1063" s="24">
        <v>2017</v>
      </c>
      <c r="Z1063" s="25">
        <v>201747</v>
      </c>
    </row>
    <row r="1064" spans="20:26" x14ac:dyDescent="0.25">
      <c r="T1064" s="43">
        <v>43063</v>
      </c>
      <c r="U1064" t="str">
        <f t="shared" si="16"/>
        <v>1747</v>
      </c>
      <c r="V1064" s="44" t="s">
        <v>87</v>
      </c>
      <c r="W1064" s="44">
        <v>43058</v>
      </c>
      <c r="X1064" s="24">
        <v>47</v>
      </c>
      <c r="Y1064" s="24">
        <v>2017</v>
      </c>
      <c r="Z1064" s="25">
        <v>201747</v>
      </c>
    </row>
    <row r="1065" spans="20:26" x14ac:dyDescent="0.25">
      <c r="T1065" s="43">
        <v>43064</v>
      </c>
      <c r="U1065" t="str">
        <f t="shared" si="16"/>
        <v>1747</v>
      </c>
      <c r="V1065" s="44" t="s">
        <v>88</v>
      </c>
      <c r="W1065" s="44">
        <v>43058</v>
      </c>
      <c r="X1065" s="24">
        <v>47</v>
      </c>
      <c r="Y1065" s="24">
        <v>2017</v>
      </c>
      <c r="Z1065" s="25">
        <v>201747</v>
      </c>
    </row>
    <row r="1066" spans="20:26" x14ac:dyDescent="0.25">
      <c r="T1066" s="43">
        <v>43065</v>
      </c>
      <c r="U1066" t="str">
        <f t="shared" si="16"/>
        <v>1748</v>
      </c>
      <c r="V1066" s="44" t="s">
        <v>82</v>
      </c>
      <c r="W1066" s="44">
        <v>43065</v>
      </c>
      <c r="X1066" s="24">
        <v>48</v>
      </c>
      <c r="Y1066" s="24">
        <v>2017</v>
      </c>
      <c r="Z1066" s="25">
        <v>201748</v>
      </c>
    </row>
    <row r="1067" spans="20:26" x14ac:dyDescent="0.25">
      <c r="T1067" s="43">
        <v>43066</v>
      </c>
      <c r="U1067" t="str">
        <f t="shared" si="16"/>
        <v>1748</v>
      </c>
      <c r="V1067" s="44" t="s">
        <v>83</v>
      </c>
      <c r="W1067" s="44">
        <v>43065</v>
      </c>
      <c r="X1067" s="24">
        <v>48</v>
      </c>
      <c r="Y1067" s="24">
        <v>2017</v>
      </c>
      <c r="Z1067" s="25">
        <v>201748</v>
      </c>
    </row>
    <row r="1068" spans="20:26" x14ac:dyDescent="0.25">
      <c r="T1068" s="43">
        <v>43067</v>
      </c>
      <c r="U1068" t="str">
        <f t="shared" si="16"/>
        <v>1748</v>
      </c>
      <c r="V1068" s="44" t="s">
        <v>84</v>
      </c>
      <c r="W1068" s="44">
        <v>43065</v>
      </c>
      <c r="X1068" s="24">
        <v>48</v>
      </c>
      <c r="Y1068" s="24">
        <v>2017</v>
      </c>
      <c r="Z1068" s="25">
        <v>201748</v>
      </c>
    </row>
    <row r="1069" spans="20:26" x14ac:dyDescent="0.25">
      <c r="T1069" s="43">
        <v>43068</v>
      </c>
      <c r="U1069" t="str">
        <f t="shared" si="16"/>
        <v>1748</v>
      </c>
      <c r="V1069" s="44" t="s">
        <v>85</v>
      </c>
      <c r="W1069" s="44">
        <v>43065</v>
      </c>
      <c r="X1069" s="24">
        <v>48</v>
      </c>
      <c r="Y1069" s="24">
        <v>2017</v>
      </c>
      <c r="Z1069" s="25">
        <v>201748</v>
      </c>
    </row>
    <row r="1070" spans="20:26" x14ac:dyDescent="0.25">
      <c r="T1070" s="43">
        <v>43069</v>
      </c>
      <c r="U1070" t="str">
        <f t="shared" si="16"/>
        <v>1748</v>
      </c>
      <c r="V1070" s="44" t="s">
        <v>86</v>
      </c>
      <c r="W1070" s="44">
        <v>43065</v>
      </c>
      <c r="X1070" s="24">
        <v>48</v>
      </c>
      <c r="Y1070" s="24">
        <v>2017</v>
      </c>
      <c r="Z1070" s="25">
        <v>201748</v>
      </c>
    </row>
    <row r="1071" spans="20:26" x14ac:dyDescent="0.25">
      <c r="T1071" s="43">
        <v>43070</v>
      </c>
      <c r="U1071" t="str">
        <f t="shared" si="16"/>
        <v>1748</v>
      </c>
      <c r="V1071" s="44" t="s">
        <v>87</v>
      </c>
      <c r="W1071" s="44">
        <v>43065</v>
      </c>
      <c r="X1071" s="24">
        <v>48</v>
      </c>
      <c r="Y1071" s="24">
        <v>2017</v>
      </c>
      <c r="Z1071" s="25">
        <v>201748</v>
      </c>
    </row>
    <row r="1072" spans="20:26" x14ac:dyDescent="0.25">
      <c r="T1072" s="43">
        <v>43071</v>
      </c>
      <c r="U1072" t="str">
        <f t="shared" si="16"/>
        <v>1748</v>
      </c>
      <c r="V1072" s="44" t="s">
        <v>88</v>
      </c>
      <c r="W1072" s="44">
        <v>43065</v>
      </c>
      <c r="X1072" s="24">
        <v>48</v>
      </c>
      <c r="Y1072" s="24">
        <v>2017</v>
      </c>
      <c r="Z1072" s="25">
        <v>201748</v>
      </c>
    </row>
    <row r="1073" spans="20:26" x14ac:dyDescent="0.25">
      <c r="T1073" s="43">
        <v>43072</v>
      </c>
      <c r="U1073" t="str">
        <f t="shared" si="16"/>
        <v>1749</v>
      </c>
      <c r="V1073" s="44" t="s">
        <v>82</v>
      </c>
      <c r="W1073" s="44">
        <v>43072</v>
      </c>
      <c r="X1073" s="24">
        <v>49</v>
      </c>
      <c r="Y1073" s="24">
        <v>2017</v>
      </c>
      <c r="Z1073" s="25">
        <v>201749</v>
      </c>
    </row>
    <row r="1074" spans="20:26" x14ac:dyDescent="0.25">
      <c r="T1074" s="43">
        <v>43073</v>
      </c>
      <c r="U1074" t="str">
        <f t="shared" si="16"/>
        <v>1749</v>
      </c>
      <c r="V1074" s="44" t="s">
        <v>83</v>
      </c>
      <c r="W1074" s="44">
        <v>43072</v>
      </c>
      <c r="X1074" s="24">
        <v>49</v>
      </c>
      <c r="Y1074" s="24">
        <v>2017</v>
      </c>
      <c r="Z1074" s="25">
        <v>201749</v>
      </c>
    </row>
    <row r="1075" spans="20:26" x14ac:dyDescent="0.25">
      <c r="T1075" s="43">
        <v>43074</v>
      </c>
      <c r="U1075" t="str">
        <f t="shared" si="16"/>
        <v>1749</v>
      </c>
      <c r="V1075" s="44" t="s">
        <v>84</v>
      </c>
      <c r="W1075" s="44">
        <v>43072</v>
      </c>
      <c r="X1075" s="24">
        <v>49</v>
      </c>
      <c r="Y1075" s="24">
        <v>2017</v>
      </c>
      <c r="Z1075" s="25">
        <v>201749</v>
      </c>
    </row>
    <row r="1076" spans="20:26" x14ac:dyDescent="0.25">
      <c r="T1076" s="43">
        <v>43075</v>
      </c>
      <c r="U1076" t="str">
        <f t="shared" si="16"/>
        <v>1749</v>
      </c>
      <c r="V1076" s="44" t="s">
        <v>85</v>
      </c>
      <c r="W1076" s="44">
        <v>43072</v>
      </c>
      <c r="X1076" s="24">
        <v>49</v>
      </c>
      <c r="Y1076" s="24">
        <v>2017</v>
      </c>
      <c r="Z1076" s="25">
        <v>201749</v>
      </c>
    </row>
    <row r="1077" spans="20:26" x14ac:dyDescent="0.25">
      <c r="T1077" s="43">
        <v>43076</v>
      </c>
      <c r="U1077" t="str">
        <f t="shared" si="16"/>
        <v>1749</v>
      </c>
      <c r="V1077" s="44" t="s">
        <v>86</v>
      </c>
      <c r="W1077" s="44">
        <v>43072</v>
      </c>
      <c r="X1077" s="24">
        <v>49</v>
      </c>
      <c r="Y1077" s="24">
        <v>2017</v>
      </c>
      <c r="Z1077" s="25">
        <v>201749</v>
      </c>
    </row>
    <row r="1078" spans="20:26" x14ac:dyDescent="0.25">
      <c r="T1078" s="43">
        <v>43077</v>
      </c>
      <c r="U1078" t="str">
        <f t="shared" si="16"/>
        <v>1749</v>
      </c>
      <c r="V1078" s="44" t="s">
        <v>87</v>
      </c>
      <c r="W1078" s="44">
        <v>43072</v>
      </c>
      <c r="X1078" s="24">
        <v>49</v>
      </c>
      <c r="Y1078" s="24">
        <v>2017</v>
      </c>
      <c r="Z1078" s="25">
        <v>201749</v>
      </c>
    </row>
    <row r="1079" spans="20:26" x14ac:dyDescent="0.25">
      <c r="T1079" s="43">
        <v>43078</v>
      </c>
      <c r="U1079" t="str">
        <f t="shared" si="16"/>
        <v>1749</v>
      </c>
      <c r="V1079" s="44" t="s">
        <v>88</v>
      </c>
      <c r="W1079" s="44">
        <v>43072</v>
      </c>
      <c r="X1079" s="24">
        <v>49</v>
      </c>
      <c r="Y1079" s="24">
        <v>2017</v>
      </c>
      <c r="Z1079" s="25">
        <v>201749</v>
      </c>
    </row>
    <row r="1080" spans="20:26" x14ac:dyDescent="0.25">
      <c r="T1080" s="43">
        <v>43079</v>
      </c>
      <c r="U1080" t="str">
        <f t="shared" si="16"/>
        <v>1750</v>
      </c>
      <c r="V1080" s="44" t="s">
        <v>82</v>
      </c>
      <c r="W1080" s="44">
        <v>43079</v>
      </c>
      <c r="X1080" s="24">
        <v>50</v>
      </c>
      <c r="Y1080" s="24">
        <v>2017</v>
      </c>
      <c r="Z1080" s="25">
        <v>201750</v>
      </c>
    </row>
    <row r="1081" spans="20:26" x14ac:dyDescent="0.25">
      <c r="T1081" s="43">
        <v>43080</v>
      </c>
      <c r="U1081" t="str">
        <f t="shared" si="16"/>
        <v>1750</v>
      </c>
      <c r="V1081" s="44" t="s">
        <v>83</v>
      </c>
      <c r="W1081" s="44">
        <v>43079</v>
      </c>
      <c r="X1081" s="24">
        <v>50</v>
      </c>
      <c r="Y1081" s="24">
        <v>2017</v>
      </c>
      <c r="Z1081" s="25">
        <v>201750</v>
      </c>
    </row>
    <row r="1082" spans="20:26" x14ac:dyDescent="0.25">
      <c r="T1082" s="43">
        <v>43081</v>
      </c>
      <c r="U1082" t="str">
        <f t="shared" si="16"/>
        <v>1750</v>
      </c>
      <c r="V1082" s="44" t="s">
        <v>84</v>
      </c>
      <c r="W1082" s="44">
        <v>43079</v>
      </c>
      <c r="X1082" s="24">
        <v>50</v>
      </c>
      <c r="Y1082" s="24">
        <v>2017</v>
      </c>
      <c r="Z1082" s="25">
        <v>201750</v>
      </c>
    </row>
    <row r="1083" spans="20:26" x14ac:dyDescent="0.25">
      <c r="T1083" s="43">
        <v>43082</v>
      </c>
      <c r="U1083" t="str">
        <f t="shared" si="16"/>
        <v>1750</v>
      </c>
      <c r="V1083" s="44" t="s">
        <v>85</v>
      </c>
      <c r="W1083" s="44">
        <v>43079</v>
      </c>
      <c r="X1083" s="24">
        <v>50</v>
      </c>
      <c r="Y1083" s="24">
        <v>2017</v>
      </c>
      <c r="Z1083" s="25">
        <v>201750</v>
      </c>
    </row>
    <row r="1084" spans="20:26" x14ac:dyDescent="0.25">
      <c r="T1084" s="43">
        <v>43083</v>
      </c>
      <c r="U1084" t="str">
        <f t="shared" si="16"/>
        <v>1750</v>
      </c>
      <c r="V1084" s="44" t="s">
        <v>86</v>
      </c>
      <c r="W1084" s="44">
        <v>43079</v>
      </c>
      <c r="X1084" s="24">
        <v>50</v>
      </c>
      <c r="Y1084" s="24">
        <v>2017</v>
      </c>
      <c r="Z1084" s="25">
        <v>201750</v>
      </c>
    </row>
    <row r="1085" spans="20:26" x14ac:dyDescent="0.25">
      <c r="T1085" s="43">
        <v>43084</v>
      </c>
      <c r="U1085" t="str">
        <f t="shared" si="16"/>
        <v>1750</v>
      </c>
      <c r="V1085" s="44" t="s">
        <v>87</v>
      </c>
      <c r="W1085" s="44">
        <v>43079</v>
      </c>
      <c r="X1085" s="24">
        <v>50</v>
      </c>
      <c r="Y1085" s="24">
        <v>2017</v>
      </c>
      <c r="Z1085" s="25">
        <v>201750</v>
      </c>
    </row>
    <row r="1086" spans="20:26" x14ac:dyDescent="0.25">
      <c r="T1086" s="43">
        <v>43085</v>
      </c>
      <c r="U1086" t="str">
        <f t="shared" si="16"/>
        <v>1750</v>
      </c>
      <c r="V1086" s="44" t="s">
        <v>88</v>
      </c>
      <c r="W1086" s="44">
        <v>43079</v>
      </c>
      <c r="X1086" s="24">
        <v>50</v>
      </c>
      <c r="Y1086" s="24">
        <v>2017</v>
      </c>
      <c r="Z1086" s="25">
        <v>201750</v>
      </c>
    </row>
    <row r="1087" spans="20:26" x14ac:dyDescent="0.25">
      <c r="T1087" s="43">
        <v>43086</v>
      </c>
      <c r="U1087" t="str">
        <f t="shared" si="16"/>
        <v>1751</v>
      </c>
      <c r="V1087" s="44" t="s">
        <v>82</v>
      </c>
      <c r="W1087" s="44">
        <v>43086</v>
      </c>
      <c r="X1087" s="24">
        <v>51</v>
      </c>
      <c r="Y1087" s="24">
        <v>2017</v>
      </c>
      <c r="Z1087" s="25">
        <v>201751</v>
      </c>
    </row>
    <row r="1088" spans="20:26" x14ac:dyDescent="0.25">
      <c r="T1088" s="43">
        <v>43087</v>
      </c>
      <c r="U1088" t="str">
        <f t="shared" si="16"/>
        <v>1751</v>
      </c>
      <c r="V1088" s="44" t="s">
        <v>83</v>
      </c>
      <c r="W1088" s="44">
        <v>43086</v>
      </c>
      <c r="X1088" s="24">
        <v>51</v>
      </c>
      <c r="Y1088" s="24">
        <v>2017</v>
      </c>
      <c r="Z1088" s="25">
        <v>201751</v>
      </c>
    </row>
    <row r="1089" spans="20:26" x14ac:dyDescent="0.25">
      <c r="T1089" s="43">
        <v>43088</v>
      </c>
      <c r="U1089" t="str">
        <f t="shared" si="16"/>
        <v>1751</v>
      </c>
      <c r="V1089" s="44" t="s">
        <v>84</v>
      </c>
      <c r="W1089" s="44">
        <v>43086</v>
      </c>
      <c r="X1089" s="24">
        <v>51</v>
      </c>
      <c r="Y1089" s="24">
        <v>2017</v>
      </c>
      <c r="Z1089" s="25">
        <v>201751</v>
      </c>
    </row>
    <row r="1090" spans="20:26" x14ac:dyDescent="0.25">
      <c r="T1090" s="43">
        <v>43089</v>
      </c>
      <c r="U1090" t="str">
        <f t="shared" ref="U1090:U1153" si="17">RIGHT(Z1090,4)</f>
        <v>1751</v>
      </c>
      <c r="V1090" s="44" t="s">
        <v>85</v>
      </c>
      <c r="W1090" s="44">
        <v>43086</v>
      </c>
      <c r="X1090" s="24">
        <v>51</v>
      </c>
      <c r="Y1090" s="24">
        <v>2017</v>
      </c>
      <c r="Z1090" s="25">
        <v>201751</v>
      </c>
    </row>
    <row r="1091" spans="20:26" x14ac:dyDescent="0.25">
      <c r="T1091" s="43">
        <v>43090</v>
      </c>
      <c r="U1091" t="str">
        <f t="shared" si="17"/>
        <v>1751</v>
      </c>
      <c r="V1091" s="44" t="s">
        <v>86</v>
      </c>
      <c r="W1091" s="44">
        <v>43086</v>
      </c>
      <c r="X1091" s="24">
        <v>51</v>
      </c>
      <c r="Y1091" s="24">
        <v>2017</v>
      </c>
      <c r="Z1091" s="25">
        <v>201751</v>
      </c>
    </row>
    <row r="1092" spans="20:26" x14ac:dyDescent="0.25">
      <c r="T1092" s="43">
        <v>43091</v>
      </c>
      <c r="U1092" t="str">
        <f t="shared" si="17"/>
        <v>1751</v>
      </c>
      <c r="V1092" s="44" t="s">
        <v>87</v>
      </c>
      <c r="W1092" s="44">
        <v>43086</v>
      </c>
      <c r="X1092" s="24">
        <v>51</v>
      </c>
      <c r="Y1092" s="24">
        <v>2017</v>
      </c>
      <c r="Z1092" s="25">
        <v>201751</v>
      </c>
    </row>
    <row r="1093" spans="20:26" x14ac:dyDescent="0.25">
      <c r="T1093" s="43">
        <v>43092</v>
      </c>
      <c r="U1093" t="str">
        <f t="shared" si="17"/>
        <v>1751</v>
      </c>
      <c r="V1093" s="44" t="s">
        <v>88</v>
      </c>
      <c r="W1093" s="44">
        <v>43086</v>
      </c>
      <c r="X1093" s="24">
        <v>51</v>
      </c>
      <c r="Y1093" s="24">
        <v>2017</v>
      </c>
      <c r="Z1093" s="25">
        <v>201751</v>
      </c>
    </row>
    <row r="1094" spans="20:26" x14ac:dyDescent="0.25">
      <c r="T1094" s="43">
        <v>43093</v>
      </c>
      <c r="U1094" t="str">
        <f t="shared" si="17"/>
        <v>1752</v>
      </c>
      <c r="V1094" s="44" t="s">
        <v>82</v>
      </c>
      <c r="W1094" s="44">
        <v>43093</v>
      </c>
      <c r="X1094" s="24">
        <v>52</v>
      </c>
      <c r="Y1094" s="24">
        <v>2017</v>
      </c>
      <c r="Z1094" s="25">
        <v>201752</v>
      </c>
    </row>
    <row r="1095" spans="20:26" x14ac:dyDescent="0.25">
      <c r="T1095" s="43">
        <v>43094</v>
      </c>
      <c r="U1095" t="str">
        <f t="shared" si="17"/>
        <v>1752</v>
      </c>
      <c r="V1095" s="44" t="s">
        <v>83</v>
      </c>
      <c r="W1095" s="44">
        <v>43093</v>
      </c>
      <c r="X1095" s="24">
        <v>52</v>
      </c>
      <c r="Y1095" s="24">
        <v>2017</v>
      </c>
      <c r="Z1095" s="25">
        <v>201752</v>
      </c>
    </row>
    <row r="1096" spans="20:26" x14ac:dyDescent="0.25">
      <c r="T1096" s="43">
        <v>43095</v>
      </c>
      <c r="U1096" t="str">
        <f t="shared" si="17"/>
        <v>1752</v>
      </c>
      <c r="V1096" s="44" t="s">
        <v>84</v>
      </c>
      <c r="W1096" s="44">
        <v>43093</v>
      </c>
      <c r="X1096" s="24">
        <v>52</v>
      </c>
      <c r="Y1096" s="24">
        <v>2017</v>
      </c>
      <c r="Z1096" s="25">
        <v>201752</v>
      </c>
    </row>
    <row r="1097" spans="20:26" x14ac:dyDescent="0.25">
      <c r="T1097" s="43">
        <v>43096</v>
      </c>
      <c r="U1097" t="str">
        <f t="shared" si="17"/>
        <v>1752</v>
      </c>
      <c r="V1097" s="44" t="s">
        <v>85</v>
      </c>
      <c r="W1097" s="44">
        <v>43093</v>
      </c>
      <c r="X1097" s="24">
        <v>52</v>
      </c>
      <c r="Y1097" s="24">
        <v>2017</v>
      </c>
      <c r="Z1097" s="25">
        <v>201752</v>
      </c>
    </row>
    <row r="1098" spans="20:26" x14ac:dyDescent="0.25">
      <c r="T1098" s="43">
        <v>43097</v>
      </c>
      <c r="U1098" t="str">
        <f t="shared" si="17"/>
        <v>1752</v>
      </c>
      <c r="V1098" s="44" t="s">
        <v>86</v>
      </c>
      <c r="W1098" s="44">
        <v>43093</v>
      </c>
      <c r="X1098" s="24">
        <v>52</v>
      </c>
      <c r="Y1098" s="24">
        <v>2017</v>
      </c>
      <c r="Z1098" s="25">
        <v>201752</v>
      </c>
    </row>
    <row r="1099" spans="20:26" x14ac:dyDescent="0.25">
      <c r="T1099" s="43">
        <v>43098</v>
      </c>
      <c r="U1099" t="str">
        <f t="shared" si="17"/>
        <v>1752</v>
      </c>
      <c r="V1099" s="44" t="s">
        <v>87</v>
      </c>
      <c r="W1099" s="44">
        <v>43093</v>
      </c>
      <c r="X1099" s="24">
        <v>52</v>
      </c>
      <c r="Y1099" s="24">
        <v>2017</v>
      </c>
      <c r="Z1099" s="25">
        <v>201752</v>
      </c>
    </row>
    <row r="1100" spans="20:26" x14ac:dyDescent="0.25">
      <c r="T1100" s="43">
        <v>43099</v>
      </c>
      <c r="U1100" t="str">
        <f t="shared" si="17"/>
        <v>1752</v>
      </c>
      <c r="V1100" s="44" t="s">
        <v>88</v>
      </c>
      <c r="W1100" s="44">
        <v>43093</v>
      </c>
      <c r="X1100" s="24">
        <v>52</v>
      </c>
      <c r="Y1100" s="24">
        <v>2017</v>
      </c>
      <c r="Z1100" s="25">
        <v>201752</v>
      </c>
    </row>
    <row r="1101" spans="20:26" x14ac:dyDescent="0.25">
      <c r="T1101" s="43">
        <v>43100</v>
      </c>
      <c r="U1101" t="str">
        <f t="shared" si="17"/>
        <v>1801</v>
      </c>
      <c r="V1101" s="44" t="s">
        <v>82</v>
      </c>
      <c r="W1101" s="44">
        <v>43100</v>
      </c>
      <c r="X1101" s="24">
        <v>1</v>
      </c>
      <c r="Y1101" s="24">
        <v>2018</v>
      </c>
      <c r="Z1101" s="25">
        <v>201801</v>
      </c>
    </row>
    <row r="1102" spans="20:26" x14ac:dyDescent="0.25">
      <c r="T1102" s="43">
        <v>43101</v>
      </c>
      <c r="U1102" t="str">
        <f t="shared" si="17"/>
        <v>1801</v>
      </c>
      <c r="V1102" s="44" t="s">
        <v>83</v>
      </c>
      <c r="W1102" s="44">
        <v>43100</v>
      </c>
      <c r="X1102" s="24">
        <v>1</v>
      </c>
      <c r="Y1102" s="24">
        <v>2018</v>
      </c>
      <c r="Z1102" s="25">
        <v>201801</v>
      </c>
    </row>
    <row r="1103" spans="20:26" x14ac:dyDescent="0.25">
      <c r="T1103" s="43">
        <v>43102</v>
      </c>
      <c r="U1103" t="str">
        <f t="shared" si="17"/>
        <v>1801</v>
      </c>
      <c r="V1103" s="44" t="s">
        <v>84</v>
      </c>
      <c r="W1103" s="44">
        <v>43100</v>
      </c>
      <c r="X1103" s="24">
        <v>1</v>
      </c>
      <c r="Y1103" s="24">
        <v>2018</v>
      </c>
      <c r="Z1103" s="25">
        <v>201801</v>
      </c>
    </row>
    <row r="1104" spans="20:26" x14ac:dyDescent="0.25">
      <c r="T1104" s="43">
        <v>43103</v>
      </c>
      <c r="U1104" t="str">
        <f t="shared" si="17"/>
        <v>1801</v>
      </c>
      <c r="V1104" s="44" t="s">
        <v>85</v>
      </c>
      <c r="W1104" s="44">
        <v>43100</v>
      </c>
      <c r="X1104" s="24">
        <v>1</v>
      </c>
      <c r="Y1104" s="24">
        <v>2018</v>
      </c>
      <c r="Z1104" s="25">
        <v>201801</v>
      </c>
    </row>
    <row r="1105" spans="20:26" x14ac:dyDescent="0.25">
      <c r="T1105" s="43">
        <v>43104</v>
      </c>
      <c r="U1105" t="str">
        <f t="shared" si="17"/>
        <v>1801</v>
      </c>
      <c r="V1105" s="44" t="s">
        <v>86</v>
      </c>
      <c r="W1105" s="44">
        <v>43100</v>
      </c>
      <c r="X1105" s="24">
        <v>1</v>
      </c>
      <c r="Y1105" s="24">
        <v>2018</v>
      </c>
      <c r="Z1105" s="25">
        <v>201801</v>
      </c>
    </row>
    <row r="1106" spans="20:26" x14ac:dyDescent="0.25">
      <c r="T1106" s="43">
        <v>43105</v>
      </c>
      <c r="U1106" t="str">
        <f t="shared" si="17"/>
        <v>1801</v>
      </c>
      <c r="V1106" s="44" t="s">
        <v>87</v>
      </c>
      <c r="W1106" s="44">
        <v>43100</v>
      </c>
      <c r="X1106" s="24">
        <v>1</v>
      </c>
      <c r="Y1106" s="24">
        <v>2018</v>
      </c>
      <c r="Z1106" s="25">
        <v>201801</v>
      </c>
    </row>
    <row r="1107" spans="20:26" x14ac:dyDescent="0.25">
      <c r="T1107" s="43">
        <v>43106</v>
      </c>
      <c r="U1107" t="str">
        <f t="shared" si="17"/>
        <v>1801</v>
      </c>
      <c r="V1107" s="44" t="s">
        <v>88</v>
      </c>
      <c r="W1107" s="44">
        <v>43100</v>
      </c>
      <c r="X1107" s="24">
        <v>1</v>
      </c>
      <c r="Y1107" s="24">
        <v>2018</v>
      </c>
      <c r="Z1107" s="25">
        <v>201801</v>
      </c>
    </row>
    <row r="1108" spans="20:26" x14ac:dyDescent="0.25">
      <c r="T1108" s="43">
        <v>43107</v>
      </c>
      <c r="U1108" t="str">
        <f t="shared" si="17"/>
        <v>1802</v>
      </c>
      <c r="V1108" s="44" t="s">
        <v>82</v>
      </c>
      <c r="W1108" s="44">
        <v>43107</v>
      </c>
      <c r="X1108" s="24">
        <v>2</v>
      </c>
      <c r="Y1108" s="24">
        <v>2018</v>
      </c>
      <c r="Z1108" s="25">
        <v>201802</v>
      </c>
    </row>
    <row r="1109" spans="20:26" x14ac:dyDescent="0.25">
      <c r="T1109" s="43">
        <v>43108</v>
      </c>
      <c r="U1109" t="str">
        <f t="shared" si="17"/>
        <v>1802</v>
      </c>
      <c r="V1109" s="44" t="s">
        <v>83</v>
      </c>
      <c r="W1109" s="44">
        <v>43107</v>
      </c>
      <c r="X1109" s="24">
        <v>2</v>
      </c>
      <c r="Y1109" s="24">
        <v>2018</v>
      </c>
      <c r="Z1109" s="25">
        <v>201802</v>
      </c>
    </row>
    <row r="1110" spans="20:26" x14ac:dyDescent="0.25">
      <c r="T1110" s="43">
        <v>43109</v>
      </c>
      <c r="U1110" t="str">
        <f t="shared" si="17"/>
        <v>1802</v>
      </c>
      <c r="V1110" s="44" t="s">
        <v>84</v>
      </c>
      <c r="W1110" s="44">
        <v>43107</v>
      </c>
      <c r="X1110" s="24">
        <v>2</v>
      </c>
      <c r="Y1110" s="24">
        <v>2018</v>
      </c>
      <c r="Z1110" s="25">
        <v>201802</v>
      </c>
    </row>
    <row r="1111" spans="20:26" x14ac:dyDescent="0.25">
      <c r="T1111" s="43">
        <v>43110</v>
      </c>
      <c r="U1111" t="str">
        <f t="shared" si="17"/>
        <v>1802</v>
      </c>
      <c r="V1111" s="44" t="s">
        <v>85</v>
      </c>
      <c r="W1111" s="44">
        <v>43107</v>
      </c>
      <c r="X1111" s="24">
        <v>2</v>
      </c>
      <c r="Y1111" s="24">
        <v>2018</v>
      </c>
      <c r="Z1111" s="25">
        <v>201802</v>
      </c>
    </row>
    <row r="1112" spans="20:26" x14ac:dyDescent="0.25">
      <c r="T1112" s="43">
        <v>43111</v>
      </c>
      <c r="U1112" t="str">
        <f t="shared" si="17"/>
        <v>1802</v>
      </c>
      <c r="V1112" s="44" t="s">
        <v>86</v>
      </c>
      <c r="W1112" s="44">
        <v>43107</v>
      </c>
      <c r="X1112" s="24">
        <v>2</v>
      </c>
      <c r="Y1112" s="24">
        <v>2018</v>
      </c>
      <c r="Z1112" s="25">
        <v>201802</v>
      </c>
    </row>
    <row r="1113" spans="20:26" x14ac:dyDescent="0.25">
      <c r="T1113" s="43">
        <v>43112</v>
      </c>
      <c r="U1113" t="str">
        <f t="shared" si="17"/>
        <v>1802</v>
      </c>
      <c r="V1113" s="44" t="s">
        <v>87</v>
      </c>
      <c r="W1113" s="44">
        <v>43107</v>
      </c>
      <c r="X1113" s="24">
        <v>2</v>
      </c>
      <c r="Y1113" s="24">
        <v>2018</v>
      </c>
      <c r="Z1113" s="25">
        <v>201802</v>
      </c>
    </row>
    <row r="1114" spans="20:26" x14ac:dyDescent="0.25">
      <c r="T1114" s="43">
        <v>43113</v>
      </c>
      <c r="U1114" t="str">
        <f t="shared" si="17"/>
        <v>1802</v>
      </c>
      <c r="V1114" s="44" t="s">
        <v>88</v>
      </c>
      <c r="W1114" s="44">
        <v>43107</v>
      </c>
      <c r="X1114" s="24">
        <v>2</v>
      </c>
      <c r="Y1114" s="24">
        <v>2018</v>
      </c>
      <c r="Z1114" s="25">
        <v>201802</v>
      </c>
    </row>
    <row r="1115" spans="20:26" x14ac:dyDescent="0.25">
      <c r="T1115" s="43">
        <v>43114</v>
      </c>
      <c r="U1115" t="str">
        <f t="shared" si="17"/>
        <v>1803</v>
      </c>
      <c r="V1115" s="44" t="s">
        <v>82</v>
      </c>
      <c r="W1115" s="44">
        <v>43114</v>
      </c>
      <c r="X1115" s="24">
        <v>3</v>
      </c>
      <c r="Y1115" s="24">
        <v>2018</v>
      </c>
      <c r="Z1115" s="25">
        <v>201803</v>
      </c>
    </row>
    <row r="1116" spans="20:26" x14ac:dyDescent="0.25">
      <c r="T1116" s="43">
        <v>43115</v>
      </c>
      <c r="U1116" t="str">
        <f t="shared" si="17"/>
        <v>1803</v>
      </c>
      <c r="V1116" s="44" t="s">
        <v>83</v>
      </c>
      <c r="W1116" s="44">
        <v>43114</v>
      </c>
      <c r="X1116" s="24">
        <v>3</v>
      </c>
      <c r="Y1116" s="24">
        <v>2018</v>
      </c>
      <c r="Z1116" s="25">
        <v>201803</v>
      </c>
    </row>
    <row r="1117" spans="20:26" x14ac:dyDescent="0.25">
      <c r="T1117" s="43">
        <v>43116</v>
      </c>
      <c r="U1117" t="str">
        <f t="shared" si="17"/>
        <v>1803</v>
      </c>
      <c r="V1117" s="44" t="s">
        <v>84</v>
      </c>
      <c r="W1117" s="44">
        <v>43114</v>
      </c>
      <c r="X1117" s="24">
        <v>3</v>
      </c>
      <c r="Y1117" s="24">
        <v>2018</v>
      </c>
      <c r="Z1117" s="25">
        <v>201803</v>
      </c>
    </row>
    <row r="1118" spans="20:26" x14ac:dyDescent="0.25">
      <c r="T1118" s="43">
        <v>43117</v>
      </c>
      <c r="U1118" t="str">
        <f t="shared" si="17"/>
        <v>1803</v>
      </c>
      <c r="V1118" s="44" t="s">
        <v>85</v>
      </c>
      <c r="W1118" s="44">
        <v>43114</v>
      </c>
      <c r="X1118" s="24">
        <v>3</v>
      </c>
      <c r="Y1118" s="24">
        <v>2018</v>
      </c>
      <c r="Z1118" s="25">
        <v>201803</v>
      </c>
    </row>
    <row r="1119" spans="20:26" x14ac:dyDescent="0.25">
      <c r="T1119" s="43">
        <v>43118</v>
      </c>
      <c r="U1119" t="str">
        <f t="shared" si="17"/>
        <v>1803</v>
      </c>
      <c r="V1119" s="44" t="s">
        <v>86</v>
      </c>
      <c r="W1119" s="44">
        <v>43114</v>
      </c>
      <c r="X1119" s="24">
        <v>3</v>
      </c>
      <c r="Y1119" s="24">
        <v>2018</v>
      </c>
      <c r="Z1119" s="25">
        <v>201803</v>
      </c>
    </row>
    <row r="1120" spans="20:26" x14ac:dyDescent="0.25">
      <c r="T1120" s="43">
        <v>43119</v>
      </c>
      <c r="U1120" t="str">
        <f t="shared" si="17"/>
        <v>1803</v>
      </c>
      <c r="V1120" s="44" t="s">
        <v>87</v>
      </c>
      <c r="W1120" s="44">
        <v>43114</v>
      </c>
      <c r="X1120" s="24">
        <v>3</v>
      </c>
      <c r="Y1120" s="24">
        <v>2018</v>
      </c>
      <c r="Z1120" s="25">
        <v>201803</v>
      </c>
    </row>
    <row r="1121" spans="20:26" x14ac:dyDescent="0.25">
      <c r="T1121" s="43">
        <v>43120</v>
      </c>
      <c r="U1121" t="str">
        <f t="shared" si="17"/>
        <v>1803</v>
      </c>
      <c r="V1121" s="44" t="s">
        <v>88</v>
      </c>
      <c r="W1121" s="44">
        <v>43114</v>
      </c>
      <c r="X1121" s="24">
        <v>3</v>
      </c>
      <c r="Y1121" s="24">
        <v>2018</v>
      </c>
      <c r="Z1121" s="25">
        <v>201803</v>
      </c>
    </row>
    <row r="1122" spans="20:26" x14ac:dyDescent="0.25">
      <c r="T1122" s="43">
        <v>43121</v>
      </c>
      <c r="U1122" t="str">
        <f t="shared" si="17"/>
        <v>1804</v>
      </c>
      <c r="V1122" s="44" t="s">
        <v>82</v>
      </c>
      <c r="W1122" s="44">
        <v>43121</v>
      </c>
      <c r="X1122" s="24">
        <v>4</v>
      </c>
      <c r="Y1122" s="24">
        <v>2018</v>
      </c>
      <c r="Z1122" s="25">
        <v>201804</v>
      </c>
    </row>
    <row r="1123" spans="20:26" x14ac:dyDescent="0.25">
      <c r="T1123" s="43">
        <v>43122</v>
      </c>
      <c r="U1123" t="str">
        <f t="shared" si="17"/>
        <v>1804</v>
      </c>
      <c r="V1123" s="44" t="s">
        <v>83</v>
      </c>
      <c r="W1123" s="44">
        <v>43121</v>
      </c>
      <c r="X1123" s="24">
        <v>4</v>
      </c>
      <c r="Y1123" s="24">
        <v>2018</v>
      </c>
      <c r="Z1123" s="25">
        <v>201804</v>
      </c>
    </row>
    <row r="1124" spans="20:26" x14ac:dyDescent="0.25">
      <c r="T1124" s="43">
        <v>43123</v>
      </c>
      <c r="U1124" t="str">
        <f t="shared" si="17"/>
        <v>1804</v>
      </c>
      <c r="V1124" s="44" t="s">
        <v>84</v>
      </c>
      <c r="W1124" s="44">
        <v>43121</v>
      </c>
      <c r="X1124" s="24">
        <v>4</v>
      </c>
      <c r="Y1124" s="24">
        <v>2018</v>
      </c>
      <c r="Z1124" s="25">
        <v>201804</v>
      </c>
    </row>
    <row r="1125" spans="20:26" x14ac:dyDescent="0.25">
      <c r="T1125" s="43">
        <v>43124</v>
      </c>
      <c r="U1125" t="str">
        <f t="shared" si="17"/>
        <v>1804</v>
      </c>
      <c r="V1125" s="44" t="s">
        <v>85</v>
      </c>
      <c r="W1125" s="44">
        <v>43121</v>
      </c>
      <c r="X1125" s="24">
        <v>4</v>
      </c>
      <c r="Y1125" s="24">
        <v>2018</v>
      </c>
      <c r="Z1125" s="25">
        <v>201804</v>
      </c>
    </row>
    <row r="1126" spans="20:26" x14ac:dyDescent="0.25">
      <c r="T1126" s="43">
        <v>43125</v>
      </c>
      <c r="U1126" t="str">
        <f t="shared" si="17"/>
        <v>1804</v>
      </c>
      <c r="V1126" s="44" t="s">
        <v>86</v>
      </c>
      <c r="W1126" s="44">
        <v>43121</v>
      </c>
      <c r="X1126" s="24">
        <v>4</v>
      </c>
      <c r="Y1126" s="24">
        <v>2018</v>
      </c>
      <c r="Z1126" s="25">
        <v>201804</v>
      </c>
    </row>
    <row r="1127" spans="20:26" x14ac:dyDescent="0.25">
      <c r="T1127" s="43">
        <v>43126</v>
      </c>
      <c r="U1127" t="str">
        <f t="shared" si="17"/>
        <v>1804</v>
      </c>
      <c r="V1127" s="44" t="s">
        <v>87</v>
      </c>
      <c r="W1127" s="44">
        <v>43121</v>
      </c>
      <c r="X1127" s="24">
        <v>4</v>
      </c>
      <c r="Y1127" s="24">
        <v>2018</v>
      </c>
      <c r="Z1127" s="25">
        <v>201804</v>
      </c>
    </row>
    <row r="1128" spans="20:26" x14ac:dyDescent="0.25">
      <c r="T1128" s="43">
        <v>43127</v>
      </c>
      <c r="U1128" t="str">
        <f t="shared" si="17"/>
        <v>1804</v>
      </c>
      <c r="V1128" s="44" t="s">
        <v>88</v>
      </c>
      <c r="W1128" s="44">
        <v>43121</v>
      </c>
      <c r="X1128" s="24">
        <v>4</v>
      </c>
      <c r="Y1128" s="24">
        <v>2018</v>
      </c>
      <c r="Z1128" s="25">
        <v>201804</v>
      </c>
    </row>
    <row r="1129" spans="20:26" x14ac:dyDescent="0.25">
      <c r="T1129" s="43">
        <v>43128</v>
      </c>
      <c r="U1129" t="str">
        <f t="shared" si="17"/>
        <v>1805</v>
      </c>
      <c r="V1129" s="44" t="s">
        <v>82</v>
      </c>
      <c r="W1129" s="44">
        <v>43128</v>
      </c>
      <c r="X1129" s="24">
        <v>5</v>
      </c>
      <c r="Y1129" s="24">
        <v>2018</v>
      </c>
      <c r="Z1129" s="25">
        <v>201805</v>
      </c>
    </row>
    <row r="1130" spans="20:26" x14ac:dyDescent="0.25">
      <c r="T1130" s="43">
        <v>43129</v>
      </c>
      <c r="U1130" t="str">
        <f t="shared" si="17"/>
        <v>1805</v>
      </c>
      <c r="V1130" s="44" t="s">
        <v>83</v>
      </c>
      <c r="W1130" s="44">
        <v>43128</v>
      </c>
      <c r="X1130" s="24">
        <v>5</v>
      </c>
      <c r="Y1130" s="24">
        <v>2018</v>
      </c>
      <c r="Z1130" s="25">
        <v>201805</v>
      </c>
    </row>
    <row r="1131" spans="20:26" x14ac:dyDescent="0.25">
      <c r="T1131" s="43">
        <v>43130</v>
      </c>
      <c r="U1131" t="str">
        <f t="shared" si="17"/>
        <v>1805</v>
      </c>
      <c r="V1131" s="44" t="s">
        <v>84</v>
      </c>
      <c r="W1131" s="44">
        <v>43128</v>
      </c>
      <c r="X1131" s="24">
        <v>5</v>
      </c>
      <c r="Y1131" s="24">
        <v>2018</v>
      </c>
      <c r="Z1131" s="25">
        <v>201805</v>
      </c>
    </row>
    <row r="1132" spans="20:26" x14ac:dyDescent="0.25">
      <c r="T1132" s="43">
        <v>43131</v>
      </c>
      <c r="U1132" t="str">
        <f t="shared" si="17"/>
        <v>1805</v>
      </c>
      <c r="V1132" s="44" t="s">
        <v>85</v>
      </c>
      <c r="W1132" s="44">
        <v>43128</v>
      </c>
      <c r="X1132" s="24">
        <v>5</v>
      </c>
      <c r="Y1132" s="24">
        <v>2018</v>
      </c>
      <c r="Z1132" s="25">
        <v>201805</v>
      </c>
    </row>
    <row r="1133" spans="20:26" x14ac:dyDescent="0.25">
      <c r="T1133" s="43">
        <v>43132</v>
      </c>
      <c r="U1133" t="str">
        <f t="shared" si="17"/>
        <v>1805</v>
      </c>
      <c r="V1133" s="44" t="s">
        <v>86</v>
      </c>
      <c r="W1133" s="44">
        <v>43128</v>
      </c>
      <c r="X1133" s="24">
        <v>5</v>
      </c>
      <c r="Y1133" s="24">
        <v>2018</v>
      </c>
      <c r="Z1133" s="25">
        <v>201805</v>
      </c>
    </row>
    <row r="1134" spans="20:26" x14ac:dyDescent="0.25">
      <c r="T1134" s="43">
        <v>43133</v>
      </c>
      <c r="U1134" t="str">
        <f t="shared" si="17"/>
        <v>1805</v>
      </c>
      <c r="V1134" s="44" t="s">
        <v>87</v>
      </c>
      <c r="W1134" s="44">
        <v>43128</v>
      </c>
      <c r="X1134" s="24">
        <v>5</v>
      </c>
      <c r="Y1134" s="24">
        <v>2018</v>
      </c>
      <c r="Z1134" s="25">
        <v>201805</v>
      </c>
    </row>
    <row r="1135" spans="20:26" x14ac:dyDescent="0.25">
      <c r="T1135" s="43">
        <v>43134</v>
      </c>
      <c r="U1135" t="str">
        <f t="shared" si="17"/>
        <v>1805</v>
      </c>
      <c r="V1135" s="44" t="s">
        <v>88</v>
      </c>
      <c r="W1135" s="44">
        <v>43128</v>
      </c>
      <c r="X1135" s="24">
        <v>5</v>
      </c>
      <c r="Y1135" s="24">
        <v>2018</v>
      </c>
      <c r="Z1135" s="25">
        <v>201805</v>
      </c>
    </row>
    <row r="1136" spans="20:26" x14ac:dyDescent="0.25">
      <c r="T1136" s="43">
        <v>43135</v>
      </c>
      <c r="U1136" t="str">
        <f t="shared" si="17"/>
        <v>1806</v>
      </c>
      <c r="V1136" s="44" t="s">
        <v>82</v>
      </c>
      <c r="W1136" s="44">
        <v>43135</v>
      </c>
      <c r="X1136" s="24">
        <v>6</v>
      </c>
      <c r="Y1136" s="24">
        <v>2018</v>
      </c>
      <c r="Z1136" s="25">
        <v>201806</v>
      </c>
    </row>
    <row r="1137" spans="20:26" x14ac:dyDescent="0.25">
      <c r="T1137" s="43">
        <v>43136</v>
      </c>
      <c r="U1137" t="str">
        <f t="shared" si="17"/>
        <v>1806</v>
      </c>
      <c r="V1137" s="44" t="s">
        <v>83</v>
      </c>
      <c r="W1137" s="44">
        <v>43135</v>
      </c>
      <c r="X1137" s="24">
        <v>6</v>
      </c>
      <c r="Y1137" s="24">
        <v>2018</v>
      </c>
      <c r="Z1137" s="25">
        <v>201806</v>
      </c>
    </row>
    <row r="1138" spans="20:26" x14ac:dyDescent="0.25">
      <c r="T1138" s="43">
        <v>43137</v>
      </c>
      <c r="U1138" t="str">
        <f t="shared" si="17"/>
        <v>1806</v>
      </c>
      <c r="V1138" s="44" t="s">
        <v>84</v>
      </c>
      <c r="W1138" s="44">
        <v>43135</v>
      </c>
      <c r="X1138" s="24">
        <v>6</v>
      </c>
      <c r="Y1138" s="24">
        <v>2018</v>
      </c>
      <c r="Z1138" s="25">
        <v>201806</v>
      </c>
    </row>
    <row r="1139" spans="20:26" x14ac:dyDescent="0.25">
      <c r="T1139" s="43">
        <v>43138</v>
      </c>
      <c r="U1139" t="str">
        <f t="shared" si="17"/>
        <v>1806</v>
      </c>
      <c r="V1139" s="44" t="s">
        <v>85</v>
      </c>
      <c r="W1139" s="44">
        <v>43135</v>
      </c>
      <c r="X1139" s="24">
        <v>6</v>
      </c>
      <c r="Y1139" s="24">
        <v>2018</v>
      </c>
      <c r="Z1139" s="25">
        <v>201806</v>
      </c>
    </row>
    <row r="1140" spans="20:26" x14ac:dyDescent="0.25">
      <c r="T1140" s="43">
        <v>43139</v>
      </c>
      <c r="U1140" t="str">
        <f t="shared" si="17"/>
        <v>1806</v>
      </c>
      <c r="V1140" s="44" t="s">
        <v>86</v>
      </c>
      <c r="W1140" s="44">
        <v>43135</v>
      </c>
      <c r="X1140" s="24">
        <v>6</v>
      </c>
      <c r="Y1140" s="24">
        <v>2018</v>
      </c>
      <c r="Z1140" s="25">
        <v>201806</v>
      </c>
    </row>
    <row r="1141" spans="20:26" x14ac:dyDescent="0.25">
      <c r="T1141" s="43">
        <v>43140</v>
      </c>
      <c r="U1141" t="str">
        <f t="shared" si="17"/>
        <v>1806</v>
      </c>
      <c r="V1141" s="44" t="s">
        <v>87</v>
      </c>
      <c r="W1141" s="44">
        <v>43135</v>
      </c>
      <c r="X1141" s="24">
        <v>6</v>
      </c>
      <c r="Y1141" s="24">
        <v>2018</v>
      </c>
      <c r="Z1141" s="25">
        <v>201806</v>
      </c>
    </row>
    <row r="1142" spans="20:26" x14ac:dyDescent="0.25">
      <c r="T1142" s="43">
        <v>43141</v>
      </c>
      <c r="U1142" t="str">
        <f t="shared" si="17"/>
        <v>1806</v>
      </c>
      <c r="V1142" s="44" t="s">
        <v>88</v>
      </c>
      <c r="W1142" s="44">
        <v>43135</v>
      </c>
      <c r="X1142" s="24">
        <v>6</v>
      </c>
      <c r="Y1142" s="24">
        <v>2018</v>
      </c>
      <c r="Z1142" s="25">
        <v>201806</v>
      </c>
    </row>
    <row r="1143" spans="20:26" x14ac:dyDescent="0.25">
      <c r="T1143" s="43">
        <v>43142</v>
      </c>
      <c r="U1143" t="str">
        <f t="shared" si="17"/>
        <v>1807</v>
      </c>
      <c r="V1143" s="44" t="s">
        <v>82</v>
      </c>
      <c r="W1143" s="44">
        <v>43142</v>
      </c>
      <c r="X1143" s="24">
        <v>7</v>
      </c>
      <c r="Y1143" s="24">
        <v>2018</v>
      </c>
      <c r="Z1143" s="25">
        <v>201807</v>
      </c>
    </row>
    <row r="1144" spans="20:26" x14ac:dyDescent="0.25">
      <c r="T1144" s="43">
        <v>43143</v>
      </c>
      <c r="U1144" t="str">
        <f t="shared" si="17"/>
        <v>1807</v>
      </c>
      <c r="V1144" s="44" t="s">
        <v>83</v>
      </c>
      <c r="W1144" s="44">
        <v>43142</v>
      </c>
      <c r="X1144" s="24">
        <v>7</v>
      </c>
      <c r="Y1144" s="24">
        <v>2018</v>
      </c>
      <c r="Z1144" s="25">
        <v>201807</v>
      </c>
    </row>
    <row r="1145" spans="20:26" x14ac:dyDescent="0.25">
      <c r="T1145" s="43">
        <v>43144</v>
      </c>
      <c r="U1145" t="str">
        <f t="shared" si="17"/>
        <v>1807</v>
      </c>
      <c r="V1145" s="44" t="s">
        <v>84</v>
      </c>
      <c r="W1145" s="44">
        <v>43142</v>
      </c>
      <c r="X1145" s="24">
        <v>7</v>
      </c>
      <c r="Y1145" s="24">
        <v>2018</v>
      </c>
      <c r="Z1145" s="25">
        <v>201807</v>
      </c>
    </row>
    <row r="1146" spans="20:26" x14ac:dyDescent="0.25">
      <c r="T1146" s="43">
        <v>43145</v>
      </c>
      <c r="U1146" t="str">
        <f t="shared" si="17"/>
        <v>1807</v>
      </c>
      <c r="V1146" s="44" t="s">
        <v>85</v>
      </c>
      <c r="W1146" s="44">
        <v>43142</v>
      </c>
      <c r="X1146" s="24">
        <v>7</v>
      </c>
      <c r="Y1146" s="24">
        <v>2018</v>
      </c>
      <c r="Z1146" s="25">
        <v>201807</v>
      </c>
    </row>
    <row r="1147" spans="20:26" x14ac:dyDescent="0.25">
      <c r="T1147" s="43">
        <v>43146</v>
      </c>
      <c r="U1147" t="str">
        <f t="shared" si="17"/>
        <v>1807</v>
      </c>
      <c r="V1147" s="44" t="s">
        <v>86</v>
      </c>
      <c r="W1147" s="44">
        <v>43142</v>
      </c>
      <c r="X1147" s="24">
        <v>7</v>
      </c>
      <c r="Y1147" s="24">
        <v>2018</v>
      </c>
      <c r="Z1147" s="25">
        <v>201807</v>
      </c>
    </row>
    <row r="1148" spans="20:26" x14ac:dyDescent="0.25">
      <c r="T1148" s="43">
        <v>43147</v>
      </c>
      <c r="U1148" t="str">
        <f t="shared" si="17"/>
        <v>1807</v>
      </c>
      <c r="V1148" s="44" t="s">
        <v>87</v>
      </c>
      <c r="W1148" s="44">
        <v>43142</v>
      </c>
      <c r="X1148" s="24">
        <v>7</v>
      </c>
      <c r="Y1148" s="24">
        <v>2018</v>
      </c>
      <c r="Z1148" s="25">
        <v>201807</v>
      </c>
    </row>
    <row r="1149" spans="20:26" x14ac:dyDescent="0.25">
      <c r="T1149" s="43">
        <v>43148</v>
      </c>
      <c r="U1149" t="str">
        <f t="shared" si="17"/>
        <v>1807</v>
      </c>
      <c r="V1149" s="44" t="s">
        <v>88</v>
      </c>
      <c r="W1149" s="44">
        <v>43142</v>
      </c>
      <c r="X1149" s="24">
        <v>7</v>
      </c>
      <c r="Y1149" s="24">
        <v>2018</v>
      </c>
      <c r="Z1149" s="25">
        <v>201807</v>
      </c>
    </row>
    <row r="1150" spans="20:26" x14ac:dyDescent="0.25">
      <c r="T1150" s="43">
        <v>43149</v>
      </c>
      <c r="U1150" t="str">
        <f t="shared" si="17"/>
        <v>1808</v>
      </c>
      <c r="V1150" s="44" t="s">
        <v>82</v>
      </c>
      <c r="W1150" s="44">
        <v>43149</v>
      </c>
      <c r="X1150" s="24">
        <v>8</v>
      </c>
      <c r="Y1150" s="24">
        <v>2018</v>
      </c>
      <c r="Z1150" s="25">
        <v>201808</v>
      </c>
    </row>
    <row r="1151" spans="20:26" x14ac:dyDescent="0.25">
      <c r="T1151" s="43">
        <v>43150</v>
      </c>
      <c r="U1151" t="str">
        <f t="shared" si="17"/>
        <v>1808</v>
      </c>
      <c r="V1151" s="44" t="s">
        <v>83</v>
      </c>
      <c r="W1151" s="44">
        <v>43149</v>
      </c>
      <c r="X1151" s="24">
        <v>8</v>
      </c>
      <c r="Y1151" s="24">
        <v>2018</v>
      </c>
      <c r="Z1151" s="25">
        <v>201808</v>
      </c>
    </row>
    <row r="1152" spans="20:26" x14ac:dyDescent="0.25">
      <c r="T1152" s="43">
        <v>43151</v>
      </c>
      <c r="U1152" t="str">
        <f t="shared" si="17"/>
        <v>1808</v>
      </c>
      <c r="V1152" s="44" t="s">
        <v>84</v>
      </c>
      <c r="W1152" s="44">
        <v>43149</v>
      </c>
      <c r="X1152" s="24">
        <v>8</v>
      </c>
      <c r="Y1152" s="24">
        <v>2018</v>
      </c>
      <c r="Z1152" s="25">
        <v>201808</v>
      </c>
    </row>
    <row r="1153" spans="20:26" x14ac:dyDescent="0.25">
      <c r="T1153" s="43">
        <v>43152</v>
      </c>
      <c r="U1153" t="str">
        <f t="shared" si="17"/>
        <v>1808</v>
      </c>
      <c r="V1153" s="44" t="s">
        <v>85</v>
      </c>
      <c r="W1153" s="44">
        <v>43149</v>
      </c>
      <c r="X1153" s="24">
        <v>8</v>
      </c>
      <c r="Y1153" s="24">
        <v>2018</v>
      </c>
      <c r="Z1153" s="25">
        <v>201808</v>
      </c>
    </row>
    <row r="1154" spans="20:26" x14ac:dyDescent="0.25">
      <c r="T1154" s="43">
        <v>43153</v>
      </c>
      <c r="U1154" t="str">
        <f t="shared" ref="U1154:U1217" si="18">RIGHT(Z1154,4)</f>
        <v>1808</v>
      </c>
      <c r="V1154" s="44" t="s">
        <v>86</v>
      </c>
      <c r="W1154" s="44">
        <v>43149</v>
      </c>
      <c r="X1154" s="24">
        <v>8</v>
      </c>
      <c r="Y1154" s="24">
        <v>2018</v>
      </c>
      <c r="Z1154" s="25">
        <v>201808</v>
      </c>
    </row>
    <row r="1155" spans="20:26" x14ac:dyDescent="0.25">
      <c r="T1155" s="43">
        <v>43154</v>
      </c>
      <c r="U1155" t="str">
        <f t="shared" si="18"/>
        <v>1808</v>
      </c>
      <c r="V1155" s="44" t="s">
        <v>87</v>
      </c>
      <c r="W1155" s="44">
        <v>43149</v>
      </c>
      <c r="X1155" s="24">
        <v>8</v>
      </c>
      <c r="Y1155" s="24">
        <v>2018</v>
      </c>
      <c r="Z1155" s="25">
        <v>201808</v>
      </c>
    </row>
    <row r="1156" spans="20:26" x14ac:dyDescent="0.25">
      <c r="T1156" s="43">
        <v>43155</v>
      </c>
      <c r="U1156" t="str">
        <f t="shared" si="18"/>
        <v>1808</v>
      </c>
      <c r="V1156" s="44" t="s">
        <v>88</v>
      </c>
      <c r="W1156" s="44">
        <v>43149</v>
      </c>
      <c r="X1156" s="24">
        <v>8</v>
      </c>
      <c r="Y1156" s="24">
        <v>2018</v>
      </c>
      <c r="Z1156" s="25">
        <v>201808</v>
      </c>
    </row>
    <row r="1157" spans="20:26" x14ac:dyDescent="0.25">
      <c r="T1157" s="43">
        <v>43156</v>
      </c>
      <c r="U1157" t="str">
        <f t="shared" si="18"/>
        <v>1809</v>
      </c>
      <c r="V1157" s="44" t="s">
        <v>82</v>
      </c>
      <c r="W1157" s="44">
        <v>43156</v>
      </c>
      <c r="X1157" s="24">
        <v>9</v>
      </c>
      <c r="Y1157" s="24">
        <v>2018</v>
      </c>
      <c r="Z1157" s="25">
        <v>201809</v>
      </c>
    </row>
    <row r="1158" spans="20:26" x14ac:dyDescent="0.25">
      <c r="T1158" s="43">
        <v>43157</v>
      </c>
      <c r="U1158" t="str">
        <f t="shared" si="18"/>
        <v>1809</v>
      </c>
      <c r="V1158" s="44" t="s">
        <v>83</v>
      </c>
      <c r="W1158" s="44">
        <v>43156</v>
      </c>
      <c r="X1158" s="24">
        <v>9</v>
      </c>
      <c r="Y1158" s="24">
        <v>2018</v>
      </c>
      <c r="Z1158" s="25">
        <v>201809</v>
      </c>
    </row>
    <row r="1159" spans="20:26" x14ac:dyDescent="0.25">
      <c r="T1159" s="43">
        <v>43158</v>
      </c>
      <c r="U1159" t="str">
        <f t="shared" si="18"/>
        <v>1809</v>
      </c>
      <c r="V1159" s="44" t="s">
        <v>84</v>
      </c>
      <c r="W1159" s="44">
        <v>43156</v>
      </c>
      <c r="X1159" s="24">
        <v>9</v>
      </c>
      <c r="Y1159" s="24">
        <v>2018</v>
      </c>
      <c r="Z1159" s="25">
        <v>201809</v>
      </c>
    </row>
    <row r="1160" spans="20:26" x14ac:dyDescent="0.25">
      <c r="T1160" s="43">
        <v>43159</v>
      </c>
      <c r="U1160" t="str">
        <f t="shared" si="18"/>
        <v>1809</v>
      </c>
      <c r="V1160" s="44" t="s">
        <v>85</v>
      </c>
      <c r="W1160" s="44">
        <v>43156</v>
      </c>
      <c r="X1160" s="24">
        <v>9</v>
      </c>
      <c r="Y1160" s="24">
        <v>2018</v>
      </c>
      <c r="Z1160" s="25">
        <v>201809</v>
      </c>
    </row>
    <row r="1161" spans="20:26" x14ac:dyDescent="0.25">
      <c r="T1161" s="43">
        <v>43160</v>
      </c>
      <c r="U1161" t="str">
        <f t="shared" si="18"/>
        <v>1809</v>
      </c>
      <c r="V1161" s="44" t="s">
        <v>86</v>
      </c>
      <c r="W1161" s="44">
        <v>43156</v>
      </c>
      <c r="X1161" s="24">
        <v>9</v>
      </c>
      <c r="Y1161" s="24">
        <v>2018</v>
      </c>
      <c r="Z1161" s="25">
        <v>201809</v>
      </c>
    </row>
    <row r="1162" spans="20:26" x14ac:dyDescent="0.25">
      <c r="T1162" s="43">
        <v>43161</v>
      </c>
      <c r="U1162" t="str">
        <f t="shared" si="18"/>
        <v>1809</v>
      </c>
      <c r="V1162" s="44" t="s">
        <v>87</v>
      </c>
      <c r="W1162" s="44">
        <v>43156</v>
      </c>
      <c r="X1162" s="24">
        <v>9</v>
      </c>
      <c r="Y1162" s="24">
        <v>2018</v>
      </c>
      <c r="Z1162" s="25">
        <v>201809</v>
      </c>
    </row>
    <row r="1163" spans="20:26" x14ac:dyDescent="0.25">
      <c r="T1163" s="43">
        <v>43162</v>
      </c>
      <c r="U1163" t="str">
        <f t="shared" si="18"/>
        <v>1809</v>
      </c>
      <c r="V1163" s="44" t="s">
        <v>88</v>
      </c>
      <c r="W1163" s="44">
        <v>43156</v>
      </c>
      <c r="X1163" s="24">
        <v>9</v>
      </c>
      <c r="Y1163" s="24">
        <v>2018</v>
      </c>
      <c r="Z1163" s="25">
        <v>201809</v>
      </c>
    </row>
    <row r="1164" spans="20:26" x14ac:dyDescent="0.25">
      <c r="T1164" s="43">
        <v>43163</v>
      </c>
      <c r="U1164" t="str">
        <f t="shared" si="18"/>
        <v>1810</v>
      </c>
      <c r="V1164" s="44" t="s">
        <v>82</v>
      </c>
      <c r="W1164" s="44">
        <v>43163</v>
      </c>
      <c r="X1164" s="24">
        <v>10</v>
      </c>
      <c r="Y1164" s="24">
        <v>2018</v>
      </c>
      <c r="Z1164" s="25">
        <v>201810</v>
      </c>
    </row>
    <row r="1165" spans="20:26" x14ac:dyDescent="0.25">
      <c r="T1165" s="43">
        <v>43164</v>
      </c>
      <c r="U1165" t="str">
        <f t="shared" si="18"/>
        <v>1810</v>
      </c>
      <c r="V1165" s="44" t="s">
        <v>83</v>
      </c>
      <c r="W1165" s="44">
        <v>43163</v>
      </c>
      <c r="X1165" s="24">
        <v>10</v>
      </c>
      <c r="Y1165" s="24">
        <v>2018</v>
      </c>
      <c r="Z1165" s="25">
        <v>201810</v>
      </c>
    </row>
    <row r="1166" spans="20:26" x14ac:dyDescent="0.25">
      <c r="T1166" s="43">
        <v>43165</v>
      </c>
      <c r="U1166" t="str">
        <f t="shared" si="18"/>
        <v>1810</v>
      </c>
      <c r="V1166" s="44" t="s">
        <v>84</v>
      </c>
      <c r="W1166" s="44">
        <v>43163</v>
      </c>
      <c r="X1166" s="24">
        <v>10</v>
      </c>
      <c r="Y1166" s="24">
        <v>2018</v>
      </c>
      <c r="Z1166" s="25">
        <v>201810</v>
      </c>
    </row>
    <row r="1167" spans="20:26" x14ac:dyDescent="0.25">
      <c r="T1167" s="43">
        <v>43166</v>
      </c>
      <c r="U1167" t="str">
        <f t="shared" si="18"/>
        <v>1810</v>
      </c>
      <c r="V1167" s="44" t="s">
        <v>85</v>
      </c>
      <c r="W1167" s="44">
        <v>43163</v>
      </c>
      <c r="X1167" s="24">
        <v>10</v>
      </c>
      <c r="Y1167" s="24">
        <v>2018</v>
      </c>
      <c r="Z1167" s="25">
        <v>201810</v>
      </c>
    </row>
    <row r="1168" spans="20:26" x14ac:dyDescent="0.25">
      <c r="T1168" s="43">
        <v>43167</v>
      </c>
      <c r="U1168" t="str">
        <f t="shared" si="18"/>
        <v>1810</v>
      </c>
      <c r="V1168" s="44" t="s">
        <v>86</v>
      </c>
      <c r="W1168" s="44">
        <v>43163</v>
      </c>
      <c r="X1168" s="24">
        <v>10</v>
      </c>
      <c r="Y1168" s="24">
        <v>2018</v>
      </c>
      <c r="Z1168" s="25">
        <v>201810</v>
      </c>
    </row>
    <row r="1169" spans="20:26" x14ac:dyDescent="0.25">
      <c r="T1169" s="43">
        <v>43168</v>
      </c>
      <c r="U1169" t="str">
        <f t="shared" si="18"/>
        <v>1810</v>
      </c>
      <c r="V1169" s="44" t="s">
        <v>87</v>
      </c>
      <c r="W1169" s="44">
        <v>43163</v>
      </c>
      <c r="X1169" s="24">
        <v>10</v>
      </c>
      <c r="Y1169" s="24">
        <v>2018</v>
      </c>
      <c r="Z1169" s="25">
        <v>201810</v>
      </c>
    </row>
    <row r="1170" spans="20:26" x14ac:dyDescent="0.25">
      <c r="T1170" s="43">
        <v>43169</v>
      </c>
      <c r="U1170" t="str">
        <f t="shared" si="18"/>
        <v>1810</v>
      </c>
      <c r="V1170" s="44" t="s">
        <v>88</v>
      </c>
      <c r="W1170" s="44">
        <v>43163</v>
      </c>
      <c r="X1170" s="24">
        <v>10</v>
      </c>
      <c r="Y1170" s="24">
        <v>2018</v>
      </c>
      <c r="Z1170" s="25">
        <v>201810</v>
      </c>
    </row>
    <row r="1171" spans="20:26" x14ac:dyDescent="0.25">
      <c r="T1171" s="43">
        <v>43170</v>
      </c>
      <c r="U1171" t="str">
        <f t="shared" si="18"/>
        <v>1811</v>
      </c>
      <c r="V1171" s="44" t="s">
        <v>82</v>
      </c>
      <c r="W1171" s="44">
        <v>43170</v>
      </c>
      <c r="X1171" s="24">
        <v>11</v>
      </c>
      <c r="Y1171" s="24">
        <v>2018</v>
      </c>
      <c r="Z1171" s="25">
        <v>201811</v>
      </c>
    </row>
    <row r="1172" spans="20:26" x14ac:dyDescent="0.25">
      <c r="T1172" s="43">
        <v>43171</v>
      </c>
      <c r="U1172" t="str">
        <f t="shared" si="18"/>
        <v>1811</v>
      </c>
      <c r="V1172" s="44" t="s">
        <v>83</v>
      </c>
      <c r="W1172" s="44">
        <v>43170</v>
      </c>
      <c r="X1172" s="24">
        <v>11</v>
      </c>
      <c r="Y1172" s="24">
        <v>2018</v>
      </c>
      <c r="Z1172" s="25">
        <v>201811</v>
      </c>
    </row>
    <row r="1173" spans="20:26" x14ac:dyDescent="0.25">
      <c r="T1173" s="43">
        <v>43172</v>
      </c>
      <c r="U1173" t="str">
        <f t="shared" si="18"/>
        <v>1811</v>
      </c>
      <c r="V1173" s="44" t="s">
        <v>84</v>
      </c>
      <c r="W1173" s="44">
        <v>43170</v>
      </c>
      <c r="X1173" s="24">
        <v>11</v>
      </c>
      <c r="Y1173" s="24">
        <v>2018</v>
      </c>
      <c r="Z1173" s="25">
        <v>201811</v>
      </c>
    </row>
    <row r="1174" spans="20:26" x14ac:dyDescent="0.25">
      <c r="T1174" s="43">
        <v>43173</v>
      </c>
      <c r="U1174" t="str">
        <f t="shared" si="18"/>
        <v>1811</v>
      </c>
      <c r="V1174" s="44" t="s">
        <v>85</v>
      </c>
      <c r="W1174" s="44">
        <v>43170</v>
      </c>
      <c r="X1174" s="24">
        <v>11</v>
      </c>
      <c r="Y1174" s="24">
        <v>2018</v>
      </c>
      <c r="Z1174" s="25">
        <v>201811</v>
      </c>
    </row>
    <row r="1175" spans="20:26" x14ac:dyDescent="0.25">
      <c r="T1175" s="43">
        <v>43174</v>
      </c>
      <c r="U1175" t="str">
        <f t="shared" si="18"/>
        <v>1811</v>
      </c>
      <c r="V1175" s="44" t="s">
        <v>86</v>
      </c>
      <c r="W1175" s="44">
        <v>43170</v>
      </c>
      <c r="X1175" s="24">
        <v>11</v>
      </c>
      <c r="Y1175" s="24">
        <v>2018</v>
      </c>
      <c r="Z1175" s="25">
        <v>201811</v>
      </c>
    </row>
    <row r="1176" spans="20:26" x14ac:dyDescent="0.25">
      <c r="T1176" s="43">
        <v>43175</v>
      </c>
      <c r="U1176" t="str">
        <f t="shared" si="18"/>
        <v>1811</v>
      </c>
      <c r="V1176" s="44" t="s">
        <v>87</v>
      </c>
      <c r="W1176" s="44">
        <v>43170</v>
      </c>
      <c r="X1176" s="24">
        <v>11</v>
      </c>
      <c r="Y1176" s="24">
        <v>2018</v>
      </c>
      <c r="Z1176" s="25">
        <v>201811</v>
      </c>
    </row>
    <row r="1177" spans="20:26" x14ac:dyDescent="0.25">
      <c r="T1177" s="43">
        <v>43176</v>
      </c>
      <c r="U1177" t="str">
        <f t="shared" si="18"/>
        <v>1811</v>
      </c>
      <c r="V1177" s="44" t="s">
        <v>88</v>
      </c>
      <c r="W1177" s="44">
        <v>43170</v>
      </c>
      <c r="X1177" s="24">
        <v>11</v>
      </c>
      <c r="Y1177" s="24">
        <v>2018</v>
      </c>
      <c r="Z1177" s="25">
        <v>201811</v>
      </c>
    </row>
    <row r="1178" spans="20:26" x14ac:dyDescent="0.25">
      <c r="T1178" s="43">
        <v>43177</v>
      </c>
      <c r="U1178" t="str">
        <f t="shared" si="18"/>
        <v>1812</v>
      </c>
      <c r="V1178" s="44" t="s">
        <v>82</v>
      </c>
      <c r="W1178" s="44">
        <v>43177</v>
      </c>
      <c r="X1178" s="24">
        <v>12</v>
      </c>
      <c r="Y1178" s="24">
        <v>2018</v>
      </c>
      <c r="Z1178" s="25">
        <v>201812</v>
      </c>
    </row>
    <row r="1179" spans="20:26" x14ac:dyDescent="0.25">
      <c r="T1179" s="43">
        <v>43178</v>
      </c>
      <c r="U1179" t="str">
        <f t="shared" si="18"/>
        <v>1812</v>
      </c>
      <c r="V1179" s="44" t="s">
        <v>83</v>
      </c>
      <c r="W1179" s="44">
        <v>43177</v>
      </c>
      <c r="X1179" s="24">
        <v>12</v>
      </c>
      <c r="Y1179" s="24">
        <v>2018</v>
      </c>
      <c r="Z1179" s="25">
        <v>201812</v>
      </c>
    </row>
    <row r="1180" spans="20:26" x14ac:dyDescent="0.25">
      <c r="T1180" s="43">
        <v>43179</v>
      </c>
      <c r="U1180" t="str">
        <f t="shared" si="18"/>
        <v>1812</v>
      </c>
      <c r="V1180" s="44" t="s">
        <v>84</v>
      </c>
      <c r="W1180" s="44">
        <v>43177</v>
      </c>
      <c r="X1180" s="24">
        <v>12</v>
      </c>
      <c r="Y1180" s="24">
        <v>2018</v>
      </c>
      <c r="Z1180" s="25">
        <v>201812</v>
      </c>
    </row>
    <row r="1181" spans="20:26" x14ac:dyDescent="0.25">
      <c r="T1181" s="43">
        <v>43180</v>
      </c>
      <c r="U1181" t="str">
        <f t="shared" si="18"/>
        <v>1812</v>
      </c>
      <c r="V1181" s="44" t="s">
        <v>85</v>
      </c>
      <c r="W1181" s="44">
        <v>43177</v>
      </c>
      <c r="X1181" s="24">
        <v>12</v>
      </c>
      <c r="Y1181" s="24">
        <v>2018</v>
      </c>
      <c r="Z1181" s="25">
        <v>201812</v>
      </c>
    </row>
    <row r="1182" spans="20:26" x14ac:dyDescent="0.25">
      <c r="T1182" s="43">
        <v>43181</v>
      </c>
      <c r="U1182" t="str">
        <f t="shared" si="18"/>
        <v>1812</v>
      </c>
      <c r="V1182" s="44" t="s">
        <v>86</v>
      </c>
      <c r="W1182" s="44">
        <v>43177</v>
      </c>
      <c r="X1182" s="24">
        <v>12</v>
      </c>
      <c r="Y1182" s="24">
        <v>2018</v>
      </c>
      <c r="Z1182" s="25">
        <v>201812</v>
      </c>
    </row>
    <row r="1183" spans="20:26" x14ac:dyDescent="0.25">
      <c r="T1183" s="43">
        <v>43182</v>
      </c>
      <c r="U1183" t="str">
        <f t="shared" si="18"/>
        <v>1812</v>
      </c>
      <c r="V1183" s="44" t="s">
        <v>87</v>
      </c>
      <c r="W1183" s="44">
        <v>43177</v>
      </c>
      <c r="X1183" s="24">
        <v>12</v>
      </c>
      <c r="Y1183" s="24">
        <v>2018</v>
      </c>
      <c r="Z1183" s="25">
        <v>201812</v>
      </c>
    </row>
    <row r="1184" spans="20:26" x14ac:dyDescent="0.25">
      <c r="T1184" s="43">
        <v>43183</v>
      </c>
      <c r="U1184" t="str">
        <f t="shared" si="18"/>
        <v>1812</v>
      </c>
      <c r="V1184" s="44" t="s">
        <v>88</v>
      </c>
      <c r="W1184" s="44">
        <v>43177</v>
      </c>
      <c r="X1184" s="24">
        <v>12</v>
      </c>
      <c r="Y1184" s="24">
        <v>2018</v>
      </c>
      <c r="Z1184" s="25">
        <v>201812</v>
      </c>
    </row>
    <row r="1185" spans="20:26" x14ac:dyDescent="0.25">
      <c r="T1185" s="43">
        <v>43184</v>
      </c>
      <c r="U1185" t="str">
        <f t="shared" si="18"/>
        <v>1813</v>
      </c>
      <c r="V1185" s="44" t="s">
        <v>82</v>
      </c>
      <c r="W1185" s="44">
        <v>43184</v>
      </c>
      <c r="X1185" s="24">
        <v>13</v>
      </c>
      <c r="Y1185" s="24">
        <v>2018</v>
      </c>
      <c r="Z1185" s="25">
        <v>201813</v>
      </c>
    </row>
    <row r="1186" spans="20:26" x14ac:dyDescent="0.25">
      <c r="T1186" s="43">
        <v>43185</v>
      </c>
      <c r="U1186" t="str">
        <f t="shared" si="18"/>
        <v>1813</v>
      </c>
      <c r="V1186" s="44" t="s">
        <v>83</v>
      </c>
      <c r="W1186" s="44">
        <v>43184</v>
      </c>
      <c r="X1186" s="24">
        <v>13</v>
      </c>
      <c r="Y1186" s="24">
        <v>2018</v>
      </c>
      <c r="Z1186" s="25">
        <v>201813</v>
      </c>
    </row>
    <row r="1187" spans="20:26" x14ac:dyDescent="0.25">
      <c r="T1187" s="43">
        <v>43186</v>
      </c>
      <c r="U1187" t="str">
        <f t="shared" si="18"/>
        <v>1813</v>
      </c>
      <c r="V1187" s="44" t="s">
        <v>84</v>
      </c>
      <c r="W1187" s="44">
        <v>43184</v>
      </c>
      <c r="X1187" s="24">
        <v>13</v>
      </c>
      <c r="Y1187" s="24">
        <v>2018</v>
      </c>
      <c r="Z1187" s="25">
        <v>201813</v>
      </c>
    </row>
    <row r="1188" spans="20:26" x14ac:dyDescent="0.25">
      <c r="T1188" s="43">
        <v>43187</v>
      </c>
      <c r="U1188" t="str">
        <f t="shared" si="18"/>
        <v>1813</v>
      </c>
      <c r="V1188" s="44" t="s">
        <v>85</v>
      </c>
      <c r="W1188" s="44">
        <v>43184</v>
      </c>
      <c r="X1188" s="24">
        <v>13</v>
      </c>
      <c r="Y1188" s="24">
        <v>2018</v>
      </c>
      <c r="Z1188" s="25">
        <v>201813</v>
      </c>
    </row>
    <row r="1189" spans="20:26" x14ac:dyDescent="0.25">
      <c r="T1189" s="43">
        <v>43188</v>
      </c>
      <c r="U1189" t="str">
        <f t="shared" si="18"/>
        <v>1813</v>
      </c>
      <c r="V1189" s="44" t="s">
        <v>86</v>
      </c>
      <c r="W1189" s="44">
        <v>43184</v>
      </c>
      <c r="X1189" s="24">
        <v>13</v>
      </c>
      <c r="Y1189" s="24">
        <v>2018</v>
      </c>
      <c r="Z1189" s="25">
        <v>201813</v>
      </c>
    </row>
    <row r="1190" spans="20:26" x14ac:dyDescent="0.25">
      <c r="T1190" s="43">
        <v>43189</v>
      </c>
      <c r="U1190" t="str">
        <f t="shared" si="18"/>
        <v>1813</v>
      </c>
      <c r="V1190" s="44" t="s">
        <v>87</v>
      </c>
      <c r="W1190" s="44">
        <v>43184</v>
      </c>
      <c r="X1190" s="24">
        <v>13</v>
      </c>
      <c r="Y1190" s="24">
        <v>2018</v>
      </c>
      <c r="Z1190" s="25">
        <v>201813</v>
      </c>
    </row>
    <row r="1191" spans="20:26" x14ac:dyDescent="0.25">
      <c r="T1191" s="43">
        <v>43190</v>
      </c>
      <c r="U1191" t="str">
        <f t="shared" si="18"/>
        <v>1813</v>
      </c>
      <c r="V1191" s="44" t="s">
        <v>88</v>
      </c>
      <c r="W1191" s="44">
        <v>43184</v>
      </c>
      <c r="X1191" s="24">
        <v>13</v>
      </c>
      <c r="Y1191" s="24">
        <v>2018</v>
      </c>
      <c r="Z1191" s="25">
        <v>201813</v>
      </c>
    </row>
    <row r="1192" spans="20:26" x14ac:dyDescent="0.25">
      <c r="T1192" s="43">
        <v>43191</v>
      </c>
      <c r="U1192" t="str">
        <f t="shared" si="18"/>
        <v/>
      </c>
      <c r="V1192" s="44" t="s">
        <v>82</v>
      </c>
      <c r="W1192" s="44">
        <v>43191</v>
      </c>
      <c r="X1192" s="24"/>
      <c r="Y1192" s="24"/>
      <c r="Z1192" s="25"/>
    </row>
    <row r="1193" spans="20:26" x14ac:dyDescent="0.25">
      <c r="T1193" s="43">
        <v>43192</v>
      </c>
      <c r="U1193" t="str">
        <f t="shared" si="18"/>
        <v/>
      </c>
      <c r="V1193" s="44" t="s">
        <v>83</v>
      </c>
      <c r="W1193" s="44">
        <v>43191</v>
      </c>
      <c r="X1193" s="24"/>
      <c r="Y1193" s="24"/>
      <c r="Z1193" s="25"/>
    </row>
    <row r="1194" spans="20:26" x14ac:dyDescent="0.25">
      <c r="T1194" s="43">
        <v>43193</v>
      </c>
      <c r="U1194" t="str">
        <f t="shared" si="18"/>
        <v/>
      </c>
      <c r="V1194" s="44" t="s">
        <v>84</v>
      </c>
      <c r="W1194" s="44">
        <v>43191</v>
      </c>
      <c r="X1194" s="24"/>
      <c r="Y1194" s="24"/>
      <c r="Z1194" s="25"/>
    </row>
    <row r="1195" spans="20:26" x14ac:dyDescent="0.25">
      <c r="T1195" s="43">
        <v>43194</v>
      </c>
      <c r="U1195" t="str">
        <f t="shared" si="18"/>
        <v/>
      </c>
      <c r="V1195" s="44" t="s">
        <v>85</v>
      </c>
      <c r="W1195" s="44">
        <v>43191</v>
      </c>
      <c r="X1195" s="24"/>
      <c r="Y1195" s="24"/>
      <c r="Z1195" s="25"/>
    </row>
    <row r="1196" spans="20:26" x14ac:dyDescent="0.25">
      <c r="T1196" s="43">
        <v>43195</v>
      </c>
      <c r="U1196" t="str">
        <f t="shared" si="18"/>
        <v/>
      </c>
      <c r="V1196" s="44" t="s">
        <v>86</v>
      </c>
      <c r="W1196" s="44">
        <v>43191</v>
      </c>
      <c r="X1196" s="24"/>
      <c r="Y1196" s="24"/>
      <c r="Z1196" s="25"/>
    </row>
    <row r="1197" spans="20:26" x14ac:dyDescent="0.25">
      <c r="T1197" s="43">
        <v>43196</v>
      </c>
      <c r="U1197" t="str">
        <f t="shared" si="18"/>
        <v/>
      </c>
      <c r="V1197" s="44" t="s">
        <v>87</v>
      </c>
      <c r="W1197" s="44">
        <v>43191</v>
      </c>
      <c r="X1197" s="24"/>
      <c r="Y1197" s="24"/>
      <c r="Z1197" s="25"/>
    </row>
    <row r="1198" spans="20:26" x14ac:dyDescent="0.25">
      <c r="T1198" s="43">
        <v>43197</v>
      </c>
      <c r="U1198" t="str">
        <f t="shared" si="18"/>
        <v/>
      </c>
      <c r="V1198" s="44" t="s">
        <v>88</v>
      </c>
      <c r="W1198" s="44">
        <v>43191</v>
      </c>
      <c r="X1198" s="24"/>
      <c r="Y1198" s="24"/>
      <c r="Z1198" s="25"/>
    </row>
    <row r="1199" spans="20:26" x14ac:dyDescent="0.25">
      <c r="T1199" s="43">
        <v>43198</v>
      </c>
      <c r="U1199" t="str">
        <f t="shared" si="18"/>
        <v/>
      </c>
      <c r="V1199" s="44" t="s">
        <v>82</v>
      </c>
      <c r="W1199" s="44">
        <v>43198</v>
      </c>
      <c r="X1199" s="24"/>
      <c r="Y1199" s="24"/>
      <c r="Z1199" s="25"/>
    </row>
    <row r="1200" spans="20:26" x14ac:dyDescent="0.25">
      <c r="T1200" s="43">
        <v>43199</v>
      </c>
      <c r="U1200" t="str">
        <f t="shared" si="18"/>
        <v/>
      </c>
      <c r="V1200" s="44" t="s">
        <v>83</v>
      </c>
      <c r="W1200" s="44">
        <v>43198</v>
      </c>
      <c r="X1200" s="24"/>
      <c r="Y1200" s="24"/>
      <c r="Z1200" s="25"/>
    </row>
    <row r="1201" spans="20:26" x14ac:dyDescent="0.25">
      <c r="T1201" s="43">
        <v>43200</v>
      </c>
      <c r="U1201" t="str">
        <f t="shared" si="18"/>
        <v/>
      </c>
      <c r="V1201" s="44" t="s">
        <v>84</v>
      </c>
      <c r="W1201" s="44">
        <v>43198</v>
      </c>
      <c r="X1201" s="24"/>
      <c r="Y1201" s="24"/>
      <c r="Z1201" s="25"/>
    </row>
    <row r="1202" spans="20:26" x14ac:dyDescent="0.25">
      <c r="T1202" s="43">
        <v>43201</v>
      </c>
      <c r="U1202" t="str">
        <f t="shared" si="18"/>
        <v/>
      </c>
      <c r="V1202" s="44" t="s">
        <v>85</v>
      </c>
      <c r="W1202" s="44">
        <v>43198</v>
      </c>
      <c r="X1202" s="24"/>
      <c r="Y1202" s="24"/>
      <c r="Z1202" s="25"/>
    </row>
    <row r="1203" spans="20:26" x14ac:dyDescent="0.25">
      <c r="T1203" s="43">
        <v>43202</v>
      </c>
      <c r="U1203" t="str">
        <f t="shared" si="18"/>
        <v/>
      </c>
      <c r="V1203" s="44" t="s">
        <v>86</v>
      </c>
      <c r="W1203" s="44">
        <v>43198</v>
      </c>
      <c r="X1203" s="24"/>
      <c r="Y1203" s="24"/>
      <c r="Z1203" s="25"/>
    </row>
    <row r="1204" spans="20:26" x14ac:dyDescent="0.25">
      <c r="T1204" s="43">
        <v>43203</v>
      </c>
      <c r="U1204" t="str">
        <f t="shared" si="18"/>
        <v/>
      </c>
      <c r="V1204" s="44" t="s">
        <v>87</v>
      </c>
      <c r="W1204" s="44">
        <v>43198</v>
      </c>
      <c r="X1204" s="24"/>
      <c r="Y1204" s="24"/>
      <c r="Z1204" s="25"/>
    </row>
    <row r="1205" spans="20:26" x14ac:dyDescent="0.25">
      <c r="T1205" s="43">
        <v>43204</v>
      </c>
      <c r="U1205" t="str">
        <f t="shared" si="18"/>
        <v/>
      </c>
      <c r="V1205" s="44" t="s">
        <v>88</v>
      </c>
      <c r="W1205" s="44">
        <v>43198</v>
      </c>
      <c r="X1205" s="24"/>
      <c r="Y1205" s="24"/>
      <c r="Z1205" s="25"/>
    </row>
    <row r="1206" spans="20:26" x14ac:dyDescent="0.25">
      <c r="T1206" s="43">
        <v>43205</v>
      </c>
      <c r="U1206" t="str">
        <f t="shared" si="18"/>
        <v/>
      </c>
      <c r="V1206" s="44" t="s">
        <v>82</v>
      </c>
      <c r="W1206" s="44">
        <v>43205</v>
      </c>
      <c r="X1206" s="24"/>
      <c r="Y1206" s="24"/>
      <c r="Z1206" s="25"/>
    </row>
    <row r="1207" spans="20:26" x14ac:dyDescent="0.25">
      <c r="T1207" s="43">
        <v>43206</v>
      </c>
      <c r="U1207" t="str">
        <f t="shared" si="18"/>
        <v/>
      </c>
      <c r="V1207" s="44" t="s">
        <v>83</v>
      </c>
      <c r="W1207" s="44">
        <v>43205</v>
      </c>
      <c r="X1207" s="24"/>
      <c r="Y1207" s="24"/>
      <c r="Z1207" s="25"/>
    </row>
    <row r="1208" spans="20:26" x14ac:dyDescent="0.25">
      <c r="T1208" s="43">
        <v>43207</v>
      </c>
      <c r="U1208" t="str">
        <f t="shared" si="18"/>
        <v/>
      </c>
      <c r="V1208" s="44" t="s">
        <v>84</v>
      </c>
      <c r="W1208" s="44">
        <v>43205</v>
      </c>
      <c r="X1208" s="24"/>
      <c r="Y1208" s="24"/>
      <c r="Z1208" s="25"/>
    </row>
    <row r="1209" spans="20:26" x14ac:dyDescent="0.25">
      <c r="T1209" s="43">
        <v>43208</v>
      </c>
      <c r="U1209" t="str">
        <f t="shared" si="18"/>
        <v/>
      </c>
      <c r="V1209" s="44" t="s">
        <v>85</v>
      </c>
      <c r="W1209" s="44">
        <v>43205</v>
      </c>
      <c r="X1209" s="24"/>
      <c r="Y1209" s="24"/>
      <c r="Z1209" s="25"/>
    </row>
    <row r="1210" spans="20:26" x14ac:dyDescent="0.25">
      <c r="T1210" s="43">
        <v>43209</v>
      </c>
      <c r="U1210" t="str">
        <f t="shared" si="18"/>
        <v/>
      </c>
      <c r="V1210" s="44" t="s">
        <v>86</v>
      </c>
      <c r="W1210" s="44">
        <v>43205</v>
      </c>
      <c r="X1210" s="24"/>
      <c r="Y1210" s="24"/>
      <c r="Z1210" s="25"/>
    </row>
    <row r="1211" spans="20:26" x14ac:dyDescent="0.25">
      <c r="T1211" s="43">
        <v>43210</v>
      </c>
      <c r="U1211" t="str">
        <f t="shared" si="18"/>
        <v/>
      </c>
      <c r="V1211" s="44" t="s">
        <v>87</v>
      </c>
      <c r="W1211" s="44">
        <v>43205</v>
      </c>
      <c r="X1211" s="24"/>
      <c r="Y1211" s="24"/>
      <c r="Z1211" s="25"/>
    </row>
    <row r="1212" spans="20:26" x14ac:dyDescent="0.25">
      <c r="T1212" s="43">
        <v>43211</v>
      </c>
      <c r="U1212" t="str">
        <f t="shared" si="18"/>
        <v/>
      </c>
      <c r="V1212" s="44" t="s">
        <v>88</v>
      </c>
      <c r="W1212" s="44">
        <v>43205</v>
      </c>
      <c r="X1212" s="24"/>
      <c r="Y1212" s="24"/>
      <c r="Z1212" s="25"/>
    </row>
    <row r="1213" spans="20:26" x14ac:dyDescent="0.25">
      <c r="T1213" s="43">
        <v>43212</v>
      </c>
      <c r="U1213" t="str">
        <f t="shared" si="18"/>
        <v/>
      </c>
      <c r="V1213" s="44" t="s">
        <v>82</v>
      </c>
      <c r="W1213" s="44">
        <v>43212</v>
      </c>
      <c r="X1213" s="24"/>
      <c r="Y1213" s="24"/>
      <c r="Z1213" s="25"/>
    </row>
    <row r="1214" spans="20:26" x14ac:dyDescent="0.25">
      <c r="T1214" s="43">
        <v>43213</v>
      </c>
      <c r="U1214" t="str">
        <f t="shared" si="18"/>
        <v/>
      </c>
      <c r="V1214" s="44" t="s">
        <v>83</v>
      </c>
      <c r="W1214" s="44">
        <v>43212</v>
      </c>
      <c r="X1214" s="24"/>
      <c r="Y1214" s="24"/>
      <c r="Z1214" s="25"/>
    </row>
    <row r="1215" spans="20:26" x14ac:dyDescent="0.25">
      <c r="T1215" s="43">
        <v>43214</v>
      </c>
      <c r="U1215" t="str">
        <f t="shared" si="18"/>
        <v/>
      </c>
      <c r="V1215" s="44" t="s">
        <v>84</v>
      </c>
      <c r="W1215" s="44">
        <v>43212</v>
      </c>
      <c r="X1215" s="24"/>
      <c r="Y1215" s="24"/>
      <c r="Z1215" s="25"/>
    </row>
    <row r="1216" spans="20:26" x14ac:dyDescent="0.25">
      <c r="T1216" s="43">
        <v>43215</v>
      </c>
      <c r="U1216" t="str">
        <f t="shared" si="18"/>
        <v/>
      </c>
      <c r="V1216" s="44" t="s">
        <v>85</v>
      </c>
      <c r="W1216" s="44">
        <v>43212</v>
      </c>
      <c r="X1216" s="24"/>
      <c r="Y1216" s="24"/>
      <c r="Z1216" s="25"/>
    </row>
    <row r="1217" spans="20:26" x14ac:dyDescent="0.25">
      <c r="T1217" s="43">
        <v>43216</v>
      </c>
      <c r="U1217" t="str">
        <f t="shared" si="18"/>
        <v/>
      </c>
      <c r="V1217" s="44" t="s">
        <v>86</v>
      </c>
      <c r="W1217" s="44">
        <v>43212</v>
      </c>
      <c r="X1217" s="24"/>
      <c r="Y1217" s="24"/>
      <c r="Z1217" s="25"/>
    </row>
    <row r="1218" spans="20:26" x14ac:dyDescent="0.25">
      <c r="T1218" s="43">
        <v>43217</v>
      </c>
      <c r="U1218" t="str">
        <f t="shared" ref="U1218:U1281" si="19">RIGHT(Z1218,4)</f>
        <v/>
      </c>
      <c r="V1218" s="44" t="s">
        <v>87</v>
      </c>
      <c r="W1218" s="44">
        <v>43212</v>
      </c>
      <c r="X1218" s="24"/>
      <c r="Y1218" s="24"/>
      <c r="Z1218" s="25"/>
    </row>
    <row r="1219" spans="20:26" x14ac:dyDescent="0.25">
      <c r="T1219" s="43">
        <v>43218</v>
      </c>
      <c r="U1219" t="str">
        <f t="shared" si="19"/>
        <v/>
      </c>
      <c r="V1219" s="44" t="s">
        <v>88</v>
      </c>
      <c r="W1219" s="44">
        <v>43212</v>
      </c>
      <c r="X1219" s="24"/>
      <c r="Y1219" s="24"/>
      <c r="Z1219" s="25"/>
    </row>
    <row r="1220" spans="20:26" x14ac:dyDescent="0.25">
      <c r="T1220" s="43">
        <v>43219</v>
      </c>
      <c r="U1220" t="str">
        <f t="shared" si="19"/>
        <v/>
      </c>
      <c r="V1220" s="44" t="s">
        <v>82</v>
      </c>
      <c r="W1220" s="44">
        <v>43219</v>
      </c>
      <c r="X1220" s="24"/>
      <c r="Y1220" s="24"/>
      <c r="Z1220" s="25"/>
    </row>
    <row r="1221" spans="20:26" x14ac:dyDescent="0.25">
      <c r="T1221" s="43">
        <v>43220</v>
      </c>
      <c r="U1221" t="str">
        <f t="shared" si="19"/>
        <v/>
      </c>
      <c r="V1221" s="44" t="s">
        <v>83</v>
      </c>
      <c r="W1221" s="44">
        <v>43219</v>
      </c>
      <c r="X1221" s="24"/>
      <c r="Y1221" s="24"/>
      <c r="Z1221" s="25"/>
    </row>
    <row r="1222" spans="20:26" x14ac:dyDescent="0.25">
      <c r="T1222" s="43">
        <v>43221</v>
      </c>
      <c r="U1222" t="str">
        <f t="shared" si="19"/>
        <v/>
      </c>
      <c r="V1222" s="44" t="s">
        <v>84</v>
      </c>
      <c r="W1222" s="44">
        <v>43219</v>
      </c>
      <c r="X1222" s="24"/>
      <c r="Y1222" s="24"/>
      <c r="Z1222" s="25"/>
    </row>
    <row r="1223" spans="20:26" x14ac:dyDescent="0.25">
      <c r="T1223" s="43">
        <v>43222</v>
      </c>
      <c r="U1223" t="str">
        <f t="shared" si="19"/>
        <v/>
      </c>
      <c r="V1223" s="44" t="s">
        <v>85</v>
      </c>
      <c r="W1223" s="44">
        <v>43219</v>
      </c>
      <c r="X1223" s="24"/>
      <c r="Y1223" s="24"/>
      <c r="Z1223" s="25"/>
    </row>
    <row r="1224" spans="20:26" x14ac:dyDescent="0.25">
      <c r="T1224" s="43">
        <v>43223</v>
      </c>
      <c r="U1224" t="str">
        <f t="shared" si="19"/>
        <v/>
      </c>
      <c r="V1224" s="44" t="s">
        <v>86</v>
      </c>
      <c r="W1224" s="44">
        <v>43219</v>
      </c>
      <c r="X1224" s="24"/>
      <c r="Y1224" s="24"/>
      <c r="Z1224" s="25"/>
    </row>
    <row r="1225" spans="20:26" x14ac:dyDescent="0.25">
      <c r="T1225" s="43">
        <v>43224</v>
      </c>
      <c r="U1225" t="str">
        <f t="shared" si="19"/>
        <v/>
      </c>
      <c r="V1225" s="44" t="s">
        <v>87</v>
      </c>
      <c r="W1225" s="44">
        <v>43219</v>
      </c>
      <c r="X1225" s="24"/>
      <c r="Y1225" s="24"/>
      <c r="Z1225" s="25"/>
    </row>
    <row r="1226" spans="20:26" x14ac:dyDescent="0.25">
      <c r="T1226" s="43">
        <v>43225</v>
      </c>
      <c r="U1226" t="str">
        <f t="shared" si="19"/>
        <v/>
      </c>
      <c r="V1226" s="44" t="s">
        <v>88</v>
      </c>
      <c r="W1226" s="44">
        <v>43219</v>
      </c>
      <c r="X1226" s="24"/>
      <c r="Y1226" s="24"/>
      <c r="Z1226" s="25"/>
    </row>
    <row r="1227" spans="20:26" x14ac:dyDescent="0.25">
      <c r="T1227" s="43">
        <v>43226</v>
      </c>
      <c r="U1227" t="str">
        <f t="shared" si="19"/>
        <v/>
      </c>
      <c r="V1227" s="44" t="s">
        <v>82</v>
      </c>
      <c r="W1227" s="44">
        <v>43226</v>
      </c>
      <c r="X1227" s="24"/>
      <c r="Y1227" s="24"/>
      <c r="Z1227" s="25"/>
    </row>
    <row r="1228" spans="20:26" x14ac:dyDescent="0.25">
      <c r="T1228" s="43">
        <v>43227</v>
      </c>
      <c r="U1228" t="str">
        <f t="shared" si="19"/>
        <v/>
      </c>
      <c r="V1228" s="44" t="s">
        <v>83</v>
      </c>
      <c r="W1228" s="44">
        <v>43226</v>
      </c>
      <c r="X1228" s="24"/>
      <c r="Y1228" s="24"/>
      <c r="Z1228" s="25"/>
    </row>
    <row r="1229" spans="20:26" x14ac:dyDescent="0.25">
      <c r="T1229" s="43">
        <v>43228</v>
      </c>
      <c r="U1229" t="str">
        <f t="shared" si="19"/>
        <v/>
      </c>
      <c r="V1229" s="44" t="s">
        <v>84</v>
      </c>
      <c r="W1229" s="44">
        <v>43226</v>
      </c>
      <c r="X1229" s="24"/>
      <c r="Y1229" s="24"/>
      <c r="Z1229" s="25"/>
    </row>
    <row r="1230" spans="20:26" x14ac:dyDescent="0.25">
      <c r="T1230" s="43">
        <v>43229</v>
      </c>
      <c r="U1230" t="str">
        <f t="shared" si="19"/>
        <v/>
      </c>
      <c r="V1230" s="44" t="s">
        <v>85</v>
      </c>
      <c r="W1230" s="44">
        <v>43226</v>
      </c>
      <c r="X1230" s="24"/>
      <c r="Y1230" s="24"/>
      <c r="Z1230" s="25"/>
    </row>
    <row r="1231" spans="20:26" x14ac:dyDescent="0.25">
      <c r="T1231" s="43">
        <v>43230</v>
      </c>
      <c r="U1231" t="str">
        <f t="shared" si="19"/>
        <v/>
      </c>
      <c r="V1231" s="44" t="s">
        <v>86</v>
      </c>
      <c r="W1231" s="44">
        <v>43226</v>
      </c>
      <c r="X1231" s="24"/>
      <c r="Y1231" s="24"/>
      <c r="Z1231" s="25"/>
    </row>
    <row r="1232" spans="20:26" x14ac:dyDescent="0.25">
      <c r="T1232" s="43">
        <v>43231</v>
      </c>
      <c r="U1232" t="str">
        <f t="shared" si="19"/>
        <v/>
      </c>
      <c r="V1232" s="44" t="s">
        <v>87</v>
      </c>
      <c r="W1232" s="44">
        <v>43226</v>
      </c>
      <c r="X1232" s="24"/>
      <c r="Y1232" s="24"/>
      <c r="Z1232" s="25"/>
    </row>
    <row r="1233" spans="20:26" x14ac:dyDescent="0.25">
      <c r="T1233" s="43">
        <v>43232</v>
      </c>
      <c r="U1233" t="str">
        <f t="shared" si="19"/>
        <v/>
      </c>
      <c r="V1233" s="44" t="s">
        <v>88</v>
      </c>
      <c r="W1233" s="44">
        <v>43226</v>
      </c>
      <c r="X1233" s="24"/>
      <c r="Y1233" s="24"/>
      <c r="Z1233" s="25"/>
    </row>
    <row r="1234" spans="20:26" x14ac:dyDescent="0.25">
      <c r="T1234" s="43">
        <v>43233</v>
      </c>
      <c r="U1234" t="str">
        <f t="shared" si="19"/>
        <v/>
      </c>
      <c r="V1234" s="44" t="s">
        <v>82</v>
      </c>
      <c r="W1234" s="44">
        <v>43233</v>
      </c>
      <c r="X1234" s="24"/>
      <c r="Y1234" s="24"/>
      <c r="Z1234" s="25"/>
    </row>
    <row r="1235" spans="20:26" x14ac:dyDescent="0.25">
      <c r="T1235" s="43">
        <v>43234</v>
      </c>
      <c r="U1235" t="str">
        <f t="shared" si="19"/>
        <v/>
      </c>
      <c r="V1235" s="44" t="s">
        <v>83</v>
      </c>
      <c r="W1235" s="44">
        <v>43233</v>
      </c>
      <c r="X1235" s="24"/>
      <c r="Y1235" s="24"/>
      <c r="Z1235" s="25"/>
    </row>
    <row r="1236" spans="20:26" x14ac:dyDescent="0.25">
      <c r="T1236" s="43">
        <v>43235</v>
      </c>
      <c r="U1236" t="str">
        <f t="shared" si="19"/>
        <v/>
      </c>
      <c r="V1236" s="44" t="s">
        <v>84</v>
      </c>
      <c r="W1236" s="44">
        <v>43233</v>
      </c>
      <c r="X1236" s="24"/>
      <c r="Y1236" s="24"/>
      <c r="Z1236" s="25"/>
    </row>
    <row r="1237" spans="20:26" x14ac:dyDescent="0.25">
      <c r="T1237" s="43">
        <v>43236</v>
      </c>
      <c r="U1237" t="str">
        <f t="shared" si="19"/>
        <v/>
      </c>
      <c r="V1237" s="44" t="s">
        <v>85</v>
      </c>
      <c r="W1237" s="44">
        <v>43233</v>
      </c>
      <c r="X1237" s="24"/>
      <c r="Y1237" s="24"/>
      <c r="Z1237" s="25"/>
    </row>
    <row r="1238" spans="20:26" x14ac:dyDescent="0.25">
      <c r="T1238" s="43">
        <v>43237</v>
      </c>
      <c r="U1238" t="str">
        <f t="shared" si="19"/>
        <v/>
      </c>
      <c r="V1238" s="44" t="s">
        <v>86</v>
      </c>
      <c r="W1238" s="44">
        <v>43233</v>
      </c>
      <c r="X1238" s="24"/>
      <c r="Y1238" s="24"/>
      <c r="Z1238" s="25"/>
    </row>
    <row r="1239" spans="20:26" x14ac:dyDescent="0.25">
      <c r="T1239" s="43">
        <v>43238</v>
      </c>
      <c r="U1239" t="str">
        <f t="shared" si="19"/>
        <v/>
      </c>
      <c r="V1239" s="44" t="s">
        <v>87</v>
      </c>
      <c r="W1239" s="44">
        <v>43233</v>
      </c>
      <c r="X1239" s="24"/>
      <c r="Y1239" s="24"/>
      <c r="Z1239" s="25"/>
    </row>
    <row r="1240" spans="20:26" x14ac:dyDescent="0.25">
      <c r="T1240" s="43">
        <v>43239</v>
      </c>
      <c r="U1240" t="str">
        <f t="shared" si="19"/>
        <v/>
      </c>
      <c r="V1240" s="44" t="s">
        <v>88</v>
      </c>
      <c r="W1240" s="44">
        <v>43233</v>
      </c>
      <c r="X1240" s="24"/>
      <c r="Y1240" s="24"/>
      <c r="Z1240" s="25"/>
    </row>
    <row r="1241" spans="20:26" x14ac:dyDescent="0.25">
      <c r="T1241" s="43">
        <v>43240</v>
      </c>
      <c r="U1241" t="str">
        <f t="shared" si="19"/>
        <v/>
      </c>
      <c r="V1241" s="44" t="s">
        <v>82</v>
      </c>
      <c r="W1241" s="44">
        <v>43240</v>
      </c>
      <c r="X1241" s="24"/>
      <c r="Y1241" s="24"/>
      <c r="Z1241" s="25"/>
    </row>
    <row r="1242" spans="20:26" x14ac:dyDescent="0.25">
      <c r="T1242" s="43">
        <v>43241</v>
      </c>
      <c r="U1242" t="str">
        <f t="shared" si="19"/>
        <v/>
      </c>
      <c r="V1242" s="44" t="s">
        <v>83</v>
      </c>
      <c r="W1242" s="44">
        <v>43240</v>
      </c>
      <c r="X1242" s="24"/>
      <c r="Y1242" s="24"/>
      <c r="Z1242" s="25"/>
    </row>
    <row r="1243" spans="20:26" x14ac:dyDescent="0.25">
      <c r="T1243" s="43">
        <v>43242</v>
      </c>
      <c r="U1243" t="str">
        <f t="shared" si="19"/>
        <v/>
      </c>
      <c r="V1243" s="44" t="s">
        <v>84</v>
      </c>
      <c r="W1243" s="44">
        <v>43240</v>
      </c>
      <c r="X1243" s="24"/>
      <c r="Y1243" s="24"/>
      <c r="Z1243" s="25"/>
    </row>
    <row r="1244" spans="20:26" x14ac:dyDescent="0.25">
      <c r="T1244" s="43">
        <v>43243</v>
      </c>
      <c r="U1244" t="str">
        <f t="shared" si="19"/>
        <v/>
      </c>
      <c r="V1244" s="44" t="s">
        <v>85</v>
      </c>
      <c r="W1244" s="44">
        <v>43240</v>
      </c>
      <c r="X1244" s="24"/>
      <c r="Y1244" s="24"/>
      <c r="Z1244" s="25"/>
    </row>
    <row r="1245" spans="20:26" x14ac:dyDescent="0.25">
      <c r="T1245" s="43">
        <v>43244</v>
      </c>
      <c r="U1245" t="str">
        <f t="shared" si="19"/>
        <v/>
      </c>
      <c r="V1245" s="44" t="s">
        <v>86</v>
      </c>
      <c r="W1245" s="44">
        <v>43240</v>
      </c>
      <c r="X1245" s="24"/>
      <c r="Y1245" s="24"/>
      <c r="Z1245" s="25"/>
    </row>
    <row r="1246" spans="20:26" x14ac:dyDescent="0.25">
      <c r="T1246" s="43">
        <v>43245</v>
      </c>
      <c r="U1246" t="str">
        <f t="shared" si="19"/>
        <v/>
      </c>
      <c r="V1246" s="44" t="s">
        <v>87</v>
      </c>
      <c r="W1246" s="44">
        <v>43240</v>
      </c>
      <c r="X1246" s="24"/>
      <c r="Y1246" s="24"/>
      <c r="Z1246" s="25"/>
    </row>
    <row r="1247" spans="20:26" x14ac:dyDescent="0.25">
      <c r="T1247" s="43">
        <v>43246</v>
      </c>
      <c r="U1247" t="str">
        <f t="shared" si="19"/>
        <v/>
      </c>
      <c r="V1247" s="44" t="s">
        <v>88</v>
      </c>
      <c r="W1247" s="44">
        <v>43240</v>
      </c>
      <c r="X1247" s="24"/>
      <c r="Y1247" s="24"/>
      <c r="Z1247" s="25"/>
    </row>
    <row r="1248" spans="20:26" x14ac:dyDescent="0.25">
      <c r="T1248" s="43">
        <v>43247</v>
      </c>
      <c r="U1248" t="str">
        <f t="shared" si="19"/>
        <v/>
      </c>
      <c r="V1248" s="44" t="s">
        <v>82</v>
      </c>
      <c r="W1248" s="44">
        <v>43247</v>
      </c>
      <c r="X1248" s="24"/>
      <c r="Y1248" s="24"/>
      <c r="Z1248" s="25"/>
    </row>
    <row r="1249" spans="20:26" x14ac:dyDescent="0.25">
      <c r="T1249" s="43">
        <v>43248</v>
      </c>
      <c r="U1249" t="str">
        <f t="shared" si="19"/>
        <v/>
      </c>
      <c r="V1249" s="44" t="s">
        <v>83</v>
      </c>
      <c r="W1249" s="44">
        <v>43247</v>
      </c>
      <c r="X1249" s="24"/>
      <c r="Y1249" s="24"/>
      <c r="Z1249" s="25"/>
    </row>
    <row r="1250" spans="20:26" x14ac:dyDescent="0.25">
      <c r="T1250" s="43">
        <v>43249</v>
      </c>
      <c r="U1250" t="str">
        <f t="shared" si="19"/>
        <v/>
      </c>
      <c r="V1250" s="44" t="s">
        <v>84</v>
      </c>
      <c r="W1250" s="44">
        <v>43247</v>
      </c>
      <c r="X1250" s="24"/>
      <c r="Y1250" s="24"/>
      <c r="Z1250" s="25"/>
    </row>
    <row r="1251" spans="20:26" x14ac:dyDescent="0.25">
      <c r="T1251" s="43">
        <v>43250</v>
      </c>
      <c r="U1251" t="str">
        <f t="shared" si="19"/>
        <v/>
      </c>
      <c r="V1251" s="44" t="s">
        <v>85</v>
      </c>
      <c r="W1251" s="44">
        <v>43247</v>
      </c>
      <c r="X1251" s="24"/>
      <c r="Y1251" s="24"/>
      <c r="Z1251" s="25"/>
    </row>
    <row r="1252" spans="20:26" x14ac:dyDescent="0.25">
      <c r="T1252" s="43">
        <v>43251</v>
      </c>
      <c r="U1252" t="str">
        <f t="shared" si="19"/>
        <v/>
      </c>
      <c r="V1252" s="44" t="s">
        <v>86</v>
      </c>
      <c r="W1252" s="44">
        <v>43247</v>
      </c>
      <c r="X1252" s="24"/>
      <c r="Y1252" s="24"/>
      <c r="Z1252" s="25"/>
    </row>
    <row r="1253" spans="20:26" x14ac:dyDescent="0.25">
      <c r="T1253" s="43">
        <v>43252</v>
      </c>
      <c r="U1253" t="str">
        <f t="shared" si="19"/>
        <v/>
      </c>
      <c r="V1253" s="44" t="s">
        <v>87</v>
      </c>
      <c r="W1253" s="44">
        <v>43247</v>
      </c>
      <c r="X1253" s="24"/>
      <c r="Y1253" s="24"/>
      <c r="Z1253" s="25"/>
    </row>
    <row r="1254" spans="20:26" x14ac:dyDescent="0.25">
      <c r="T1254" s="43">
        <v>43253</v>
      </c>
      <c r="U1254" t="str">
        <f t="shared" si="19"/>
        <v/>
      </c>
      <c r="V1254" s="44" t="s">
        <v>88</v>
      </c>
      <c r="W1254" s="44">
        <v>43247</v>
      </c>
      <c r="X1254" s="24"/>
      <c r="Y1254" s="24"/>
      <c r="Z1254" s="25"/>
    </row>
    <row r="1255" spans="20:26" x14ac:dyDescent="0.25">
      <c r="T1255" s="43">
        <v>43254</v>
      </c>
      <c r="U1255" t="str">
        <f t="shared" si="19"/>
        <v/>
      </c>
      <c r="V1255" s="44" t="s">
        <v>82</v>
      </c>
      <c r="W1255" s="44">
        <v>43254</v>
      </c>
      <c r="X1255" s="24"/>
      <c r="Y1255" s="24"/>
      <c r="Z1255" s="25"/>
    </row>
    <row r="1256" spans="20:26" x14ac:dyDescent="0.25">
      <c r="T1256" s="43">
        <v>43255</v>
      </c>
      <c r="U1256" t="str">
        <f t="shared" si="19"/>
        <v/>
      </c>
      <c r="V1256" s="44" t="s">
        <v>83</v>
      </c>
      <c r="W1256" s="44">
        <v>43254</v>
      </c>
      <c r="X1256" s="24"/>
      <c r="Y1256" s="24"/>
      <c r="Z1256" s="25"/>
    </row>
    <row r="1257" spans="20:26" x14ac:dyDescent="0.25">
      <c r="T1257" s="43">
        <v>43256</v>
      </c>
      <c r="U1257" t="str">
        <f t="shared" si="19"/>
        <v/>
      </c>
      <c r="V1257" s="44" t="s">
        <v>84</v>
      </c>
      <c r="W1257" s="44">
        <v>43254</v>
      </c>
      <c r="X1257" s="24"/>
      <c r="Y1257" s="24"/>
      <c r="Z1257" s="25"/>
    </row>
    <row r="1258" spans="20:26" x14ac:dyDescent="0.25">
      <c r="T1258" s="43">
        <v>43257</v>
      </c>
      <c r="U1258" t="str">
        <f t="shared" si="19"/>
        <v/>
      </c>
      <c r="V1258" s="44" t="s">
        <v>85</v>
      </c>
      <c r="W1258" s="44">
        <v>43254</v>
      </c>
      <c r="X1258" s="24"/>
      <c r="Y1258" s="24"/>
      <c r="Z1258" s="25"/>
    </row>
    <row r="1259" spans="20:26" x14ac:dyDescent="0.25">
      <c r="T1259" s="43">
        <v>43258</v>
      </c>
      <c r="U1259" t="str">
        <f t="shared" si="19"/>
        <v/>
      </c>
      <c r="V1259" s="44" t="s">
        <v>86</v>
      </c>
      <c r="W1259" s="44">
        <v>43254</v>
      </c>
      <c r="X1259" s="24"/>
      <c r="Y1259" s="24"/>
      <c r="Z1259" s="25"/>
    </row>
    <row r="1260" spans="20:26" x14ac:dyDescent="0.25">
      <c r="T1260" s="43">
        <v>43259</v>
      </c>
      <c r="U1260" t="str">
        <f t="shared" si="19"/>
        <v/>
      </c>
      <c r="V1260" s="44" t="s">
        <v>87</v>
      </c>
      <c r="W1260" s="44">
        <v>43254</v>
      </c>
      <c r="X1260" s="24"/>
      <c r="Y1260" s="24"/>
      <c r="Z1260" s="25"/>
    </row>
    <row r="1261" spans="20:26" x14ac:dyDescent="0.25">
      <c r="T1261" s="43">
        <v>43260</v>
      </c>
      <c r="U1261" t="str">
        <f t="shared" si="19"/>
        <v/>
      </c>
      <c r="V1261" s="44" t="s">
        <v>88</v>
      </c>
      <c r="W1261" s="44">
        <v>43254</v>
      </c>
      <c r="X1261" s="24"/>
      <c r="Y1261" s="24"/>
      <c r="Z1261" s="25"/>
    </row>
    <row r="1262" spans="20:26" x14ac:dyDescent="0.25">
      <c r="T1262" s="43">
        <v>43261</v>
      </c>
      <c r="U1262" t="str">
        <f t="shared" si="19"/>
        <v/>
      </c>
      <c r="V1262" s="44" t="s">
        <v>82</v>
      </c>
      <c r="W1262" s="44">
        <v>43261</v>
      </c>
      <c r="X1262" s="24"/>
      <c r="Y1262" s="24"/>
      <c r="Z1262" s="25"/>
    </row>
    <row r="1263" spans="20:26" x14ac:dyDescent="0.25">
      <c r="T1263" s="43">
        <v>43262</v>
      </c>
      <c r="U1263" t="str">
        <f t="shared" si="19"/>
        <v/>
      </c>
      <c r="V1263" s="44" t="s">
        <v>83</v>
      </c>
      <c r="W1263" s="44">
        <v>43261</v>
      </c>
      <c r="X1263" s="24"/>
      <c r="Y1263" s="24"/>
      <c r="Z1263" s="25"/>
    </row>
    <row r="1264" spans="20:26" x14ac:dyDescent="0.25">
      <c r="T1264" s="43">
        <v>43263</v>
      </c>
      <c r="U1264" t="str">
        <f t="shared" si="19"/>
        <v/>
      </c>
      <c r="V1264" s="44" t="s">
        <v>84</v>
      </c>
      <c r="W1264" s="44">
        <v>43261</v>
      </c>
      <c r="X1264" s="24"/>
      <c r="Y1264" s="24"/>
      <c r="Z1264" s="25"/>
    </row>
    <row r="1265" spans="20:26" x14ac:dyDescent="0.25">
      <c r="T1265" s="43">
        <v>43264</v>
      </c>
      <c r="U1265" t="str">
        <f t="shared" si="19"/>
        <v/>
      </c>
      <c r="V1265" s="44" t="s">
        <v>85</v>
      </c>
      <c r="W1265" s="44">
        <v>43261</v>
      </c>
      <c r="X1265" s="24"/>
      <c r="Y1265" s="24"/>
      <c r="Z1265" s="25"/>
    </row>
    <row r="1266" spans="20:26" x14ac:dyDescent="0.25">
      <c r="T1266" s="43">
        <v>43265</v>
      </c>
      <c r="U1266" t="str">
        <f t="shared" si="19"/>
        <v/>
      </c>
      <c r="V1266" s="44" t="s">
        <v>86</v>
      </c>
      <c r="W1266" s="44">
        <v>43261</v>
      </c>
      <c r="X1266" s="24"/>
      <c r="Y1266" s="24"/>
      <c r="Z1266" s="25"/>
    </row>
    <row r="1267" spans="20:26" x14ac:dyDescent="0.25">
      <c r="T1267" s="43">
        <v>43266</v>
      </c>
      <c r="U1267" t="str">
        <f t="shared" si="19"/>
        <v/>
      </c>
      <c r="V1267" s="44" t="s">
        <v>87</v>
      </c>
      <c r="W1267" s="44">
        <v>43261</v>
      </c>
      <c r="X1267" s="24"/>
      <c r="Y1267" s="24"/>
      <c r="Z1267" s="25"/>
    </row>
    <row r="1268" spans="20:26" x14ac:dyDescent="0.25">
      <c r="T1268" s="43">
        <v>43267</v>
      </c>
      <c r="U1268" t="str">
        <f t="shared" si="19"/>
        <v/>
      </c>
      <c r="V1268" s="44" t="s">
        <v>88</v>
      </c>
      <c r="W1268" s="44">
        <v>43261</v>
      </c>
      <c r="X1268" s="24"/>
      <c r="Y1268" s="24"/>
      <c r="Z1268" s="25"/>
    </row>
    <row r="1269" spans="20:26" x14ac:dyDescent="0.25">
      <c r="T1269" s="43">
        <v>43268</v>
      </c>
      <c r="U1269" t="str">
        <f t="shared" si="19"/>
        <v/>
      </c>
      <c r="V1269" s="44" t="s">
        <v>82</v>
      </c>
      <c r="W1269" s="44">
        <v>43268</v>
      </c>
      <c r="X1269" s="24"/>
      <c r="Y1269" s="24"/>
      <c r="Z1269" s="25"/>
    </row>
    <row r="1270" spans="20:26" x14ac:dyDescent="0.25">
      <c r="T1270" s="43">
        <v>43269</v>
      </c>
      <c r="U1270" t="str">
        <f t="shared" si="19"/>
        <v/>
      </c>
      <c r="V1270" s="44" t="s">
        <v>83</v>
      </c>
      <c r="W1270" s="44">
        <v>43268</v>
      </c>
      <c r="X1270" s="24"/>
      <c r="Y1270" s="24"/>
      <c r="Z1270" s="25"/>
    </row>
    <row r="1271" spans="20:26" x14ac:dyDescent="0.25">
      <c r="T1271" s="43">
        <v>43270</v>
      </c>
      <c r="U1271" t="str">
        <f t="shared" si="19"/>
        <v/>
      </c>
      <c r="V1271" s="44" t="s">
        <v>84</v>
      </c>
      <c r="W1271" s="44">
        <v>43268</v>
      </c>
      <c r="X1271" s="24"/>
      <c r="Y1271" s="24"/>
      <c r="Z1271" s="25"/>
    </row>
    <row r="1272" spans="20:26" x14ac:dyDescent="0.25">
      <c r="T1272" s="43">
        <v>43271</v>
      </c>
      <c r="U1272" t="str">
        <f t="shared" si="19"/>
        <v/>
      </c>
      <c r="V1272" s="44" t="s">
        <v>85</v>
      </c>
      <c r="W1272" s="44">
        <v>43268</v>
      </c>
      <c r="X1272" s="24"/>
      <c r="Y1272" s="24"/>
      <c r="Z1272" s="25"/>
    </row>
    <row r="1273" spans="20:26" x14ac:dyDescent="0.25">
      <c r="T1273" s="43">
        <v>43272</v>
      </c>
      <c r="U1273" t="str">
        <f t="shared" si="19"/>
        <v/>
      </c>
      <c r="V1273" s="44" t="s">
        <v>86</v>
      </c>
      <c r="W1273" s="44">
        <v>43268</v>
      </c>
      <c r="X1273" s="24"/>
      <c r="Y1273" s="24"/>
      <c r="Z1273" s="25"/>
    </row>
    <row r="1274" spans="20:26" x14ac:dyDescent="0.25">
      <c r="T1274" s="43">
        <v>43273</v>
      </c>
      <c r="U1274" t="str">
        <f t="shared" si="19"/>
        <v/>
      </c>
      <c r="V1274" s="44" t="s">
        <v>87</v>
      </c>
      <c r="W1274" s="44">
        <v>43268</v>
      </c>
      <c r="X1274" s="24"/>
      <c r="Y1274" s="24"/>
      <c r="Z1274" s="25"/>
    </row>
    <row r="1275" spans="20:26" x14ac:dyDescent="0.25">
      <c r="T1275" s="43">
        <v>43274</v>
      </c>
      <c r="U1275" t="str">
        <f t="shared" si="19"/>
        <v/>
      </c>
      <c r="V1275" s="44" t="s">
        <v>88</v>
      </c>
      <c r="W1275" s="44">
        <v>43268</v>
      </c>
      <c r="X1275" s="24"/>
      <c r="Y1275" s="24"/>
      <c r="Z1275" s="25"/>
    </row>
    <row r="1276" spans="20:26" x14ac:dyDescent="0.25">
      <c r="T1276" s="43">
        <v>43275</v>
      </c>
      <c r="U1276" t="str">
        <f t="shared" si="19"/>
        <v/>
      </c>
      <c r="V1276" s="44" t="s">
        <v>82</v>
      </c>
      <c r="W1276" s="44">
        <v>43275</v>
      </c>
      <c r="X1276" s="24"/>
      <c r="Y1276" s="24"/>
      <c r="Z1276" s="25"/>
    </row>
    <row r="1277" spans="20:26" x14ac:dyDescent="0.25">
      <c r="T1277" s="43">
        <v>43276</v>
      </c>
      <c r="U1277" t="str">
        <f t="shared" si="19"/>
        <v/>
      </c>
      <c r="V1277" s="44" t="s">
        <v>83</v>
      </c>
      <c r="W1277" s="44">
        <v>43275</v>
      </c>
      <c r="X1277" s="24"/>
      <c r="Y1277" s="24"/>
      <c r="Z1277" s="25"/>
    </row>
    <row r="1278" spans="20:26" x14ac:dyDescent="0.25">
      <c r="T1278" s="43">
        <v>43277</v>
      </c>
      <c r="U1278" t="str">
        <f t="shared" si="19"/>
        <v/>
      </c>
      <c r="V1278" s="44" t="s">
        <v>84</v>
      </c>
      <c r="W1278" s="44">
        <v>43275</v>
      </c>
      <c r="X1278" s="24"/>
      <c r="Y1278" s="24"/>
      <c r="Z1278" s="25"/>
    </row>
    <row r="1279" spans="20:26" x14ac:dyDescent="0.25">
      <c r="T1279" s="43">
        <v>43278</v>
      </c>
      <c r="U1279" t="str">
        <f t="shared" si="19"/>
        <v/>
      </c>
      <c r="V1279" s="44" t="s">
        <v>85</v>
      </c>
      <c r="W1279" s="44">
        <v>43275</v>
      </c>
      <c r="X1279" s="24"/>
      <c r="Y1279" s="24"/>
      <c r="Z1279" s="25"/>
    </row>
    <row r="1280" spans="20:26" x14ac:dyDescent="0.25">
      <c r="T1280" s="43">
        <v>43279</v>
      </c>
      <c r="U1280" t="str">
        <f t="shared" si="19"/>
        <v/>
      </c>
      <c r="V1280" s="44" t="s">
        <v>86</v>
      </c>
      <c r="W1280" s="44">
        <v>43275</v>
      </c>
      <c r="X1280" s="24"/>
      <c r="Y1280" s="24"/>
      <c r="Z1280" s="25"/>
    </row>
    <row r="1281" spans="20:26" x14ac:dyDescent="0.25">
      <c r="T1281" s="43">
        <v>43280</v>
      </c>
      <c r="U1281" t="str">
        <f t="shared" si="19"/>
        <v/>
      </c>
      <c r="V1281" s="44" t="s">
        <v>87</v>
      </c>
      <c r="W1281" s="44">
        <v>43275</v>
      </c>
      <c r="X1281" s="24"/>
      <c r="Y1281" s="24"/>
      <c r="Z1281" s="25"/>
    </row>
    <row r="1282" spans="20:26" x14ac:dyDescent="0.25">
      <c r="T1282" s="43">
        <v>43281</v>
      </c>
      <c r="U1282" t="str">
        <f t="shared" ref="U1282:U1345" si="20">RIGHT(Z1282,4)</f>
        <v/>
      </c>
      <c r="V1282" s="44" t="s">
        <v>88</v>
      </c>
      <c r="W1282" s="44">
        <v>43275</v>
      </c>
      <c r="X1282" s="24"/>
      <c r="Y1282" s="24"/>
      <c r="Z1282" s="25"/>
    </row>
    <row r="1283" spans="20:26" x14ac:dyDescent="0.25">
      <c r="T1283" s="43">
        <v>43282</v>
      </c>
      <c r="U1283" t="str">
        <f t="shared" si="20"/>
        <v/>
      </c>
      <c r="V1283" s="44" t="s">
        <v>82</v>
      </c>
      <c r="W1283" s="44">
        <v>43282</v>
      </c>
      <c r="X1283" s="24"/>
      <c r="Y1283" s="24"/>
      <c r="Z1283" s="25"/>
    </row>
    <row r="1284" spans="20:26" x14ac:dyDescent="0.25">
      <c r="T1284" s="43">
        <v>43283</v>
      </c>
      <c r="U1284" t="str">
        <f t="shared" si="20"/>
        <v/>
      </c>
      <c r="V1284" s="44" t="s">
        <v>83</v>
      </c>
      <c r="W1284" s="44">
        <v>43282</v>
      </c>
      <c r="X1284" s="24"/>
      <c r="Y1284" s="24"/>
      <c r="Z1284" s="25"/>
    </row>
    <row r="1285" spans="20:26" x14ac:dyDescent="0.25">
      <c r="T1285" s="43">
        <v>43284</v>
      </c>
      <c r="U1285" t="str">
        <f t="shared" si="20"/>
        <v/>
      </c>
      <c r="V1285" s="44" t="s">
        <v>84</v>
      </c>
      <c r="W1285" s="44">
        <v>43282</v>
      </c>
      <c r="X1285" s="24"/>
      <c r="Y1285" s="24"/>
      <c r="Z1285" s="25"/>
    </row>
    <row r="1286" spans="20:26" x14ac:dyDescent="0.25">
      <c r="T1286" s="43">
        <v>43285</v>
      </c>
      <c r="U1286" t="str">
        <f t="shared" si="20"/>
        <v/>
      </c>
      <c r="V1286" s="44" t="s">
        <v>85</v>
      </c>
      <c r="W1286" s="44">
        <v>43282</v>
      </c>
      <c r="X1286" s="24"/>
      <c r="Y1286" s="24"/>
      <c r="Z1286" s="25"/>
    </row>
    <row r="1287" spans="20:26" x14ac:dyDescent="0.25">
      <c r="T1287" s="43">
        <v>43286</v>
      </c>
      <c r="U1287" t="str">
        <f t="shared" si="20"/>
        <v/>
      </c>
      <c r="V1287" s="44" t="s">
        <v>86</v>
      </c>
      <c r="W1287" s="44">
        <v>43282</v>
      </c>
      <c r="X1287" s="24"/>
      <c r="Y1287" s="24"/>
      <c r="Z1287" s="25"/>
    </row>
    <row r="1288" spans="20:26" x14ac:dyDescent="0.25">
      <c r="T1288" s="43">
        <v>43287</v>
      </c>
      <c r="U1288" t="str">
        <f t="shared" si="20"/>
        <v/>
      </c>
      <c r="V1288" s="44" t="s">
        <v>87</v>
      </c>
      <c r="W1288" s="44">
        <v>43282</v>
      </c>
      <c r="X1288" s="24"/>
      <c r="Y1288" s="24"/>
      <c r="Z1288" s="25"/>
    </row>
    <row r="1289" spans="20:26" x14ac:dyDescent="0.25">
      <c r="T1289" s="43">
        <v>43288</v>
      </c>
      <c r="U1289" t="str">
        <f t="shared" si="20"/>
        <v/>
      </c>
      <c r="V1289" s="44" t="s">
        <v>88</v>
      </c>
      <c r="W1289" s="44">
        <v>43282</v>
      </c>
      <c r="X1289" s="24"/>
      <c r="Y1289" s="24"/>
      <c r="Z1289" s="25"/>
    </row>
    <row r="1290" spans="20:26" x14ac:dyDescent="0.25">
      <c r="T1290" s="43">
        <v>43289</v>
      </c>
      <c r="U1290" t="str">
        <f t="shared" si="20"/>
        <v/>
      </c>
      <c r="V1290" s="44" t="s">
        <v>82</v>
      </c>
      <c r="W1290" s="44">
        <v>43289</v>
      </c>
      <c r="X1290" s="24"/>
      <c r="Y1290" s="24"/>
      <c r="Z1290" s="25"/>
    </row>
    <row r="1291" spans="20:26" x14ac:dyDescent="0.25">
      <c r="T1291" s="43">
        <v>43290</v>
      </c>
      <c r="U1291" t="str">
        <f t="shared" si="20"/>
        <v/>
      </c>
      <c r="V1291" s="44" t="s">
        <v>83</v>
      </c>
      <c r="W1291" s="44">
        <v>43289</v>
      </c>
      <c r="X1291" s="24"/>
      <c r="Y1291" s="24"/>
      <c r="Z1291" s="25"/>
    </row>
    <row r="1292" spans="20:26" x14ac:dyDescent="0.25">
      <c r="T1292" s="43">
        <v>43291</v>
      </c>
      <c r="U1292" t="str">
        <f t="shared" si="20"/>
        <v/>
      </c>
      <c r="V1292" s="44" t="s">
        <v>84</v>
      </c>
      <c r="W1292" s="44">
        <v>43289</v>
      </c>
      <c r="X1292" s="24"/>
      <c r="Y1292" s="24"/>
      <c r="Z1292" s="25"/>
    </row>
    <row r="1293" spans="20:26" x14ac:dyDescent="0.25">
      <c r="T1293" s="43">
        <v>43292</v>
      </c>
      <c r="U1293" t="str">
        <f t="shared" si="20"/>
        <v/>
      </c>
      <c r="V1293" s="44" t="s">
        <v>85</v>
      </c>
      <c r="W1293" s="44">
        <v>43289</v>
      </c>
      <c r="X1293" s="24"/>
      <c r="Y1293" s="24"/>
      <c r="Z1293" s="25"/>
    </row>
    <row r="1294" spans="20:26" x14ac:dyDescent="0.25">
      <c r="T1294" s="43">
        <v>43293</v>
      </c>
      <c r="U1294" t="str">
        <f t="shared" si="20"/>
        <v/>
      </c>
      <c r="V1294" s="44" t="s">
        <v>86</v>
      </c>
      <c r="W1294" s="44">
        <v>43289</v>
      </c>
      <c r="X1294" s="24"/>
      <c r="Y1294" s="24"/>
      <c r="Z1294" s="25"/>
    </row>
    <row r="1295" spans="20:26" x14ac:dyDescent="0.25">
      <c r="T1295" s="43">
        <v>43294</v>
      </c>
      <c r="U1295" t="str">
        <f t="shared" si="20"/>
        <v/>
      </c>
      <c r="V1295" s="44" t="s">
        <v>87</v>
      </c>
      <c r="W1295" s="44">
        <v>43289</v>
      </c>
      <c r="X1295" s="24"/>
      <c r="Y1295" s="24"/>
      <c r="Z1295" s="25"/>
    </row>
    <row r="1296" spans="20:26" x14ac:dyDescent="0.25">
      <c r="T1296" s="43">
        <v>43295</v>
      </c>
      <c r="U1296" t="str">
        <f t="shared" si="20"/>
        <v/>
      </c>
      <c r="V1296" s="44" t="s">
        <v>88</v>
      </c>
      <c r="W1296" s="44">
        <v>43289</v>
      </c>
      <c r="X1296" s="24"/>
      <c r="Y1296" s="24"/>
      <c r="Z1296" s="25"/>
    </row>
    <row r="1297" spans="20:26" x14ac:dyDescent="0.25">
      <c r="T1297" s="43">
        <v>43296</v>
      </c>
      <c r="U1297" t="str">
        <f t="shared" si="20"/>
        <v/>
      </c>
      <c r="V1297" s="44" t="s">
        <v>82</v>
      </c>
      <c r="W1297" s="44">
        <v>43296</v>
      </c>
      <c r="X1297" s="24"/>
      <c r="Y1297" s="24"/>
      <c r="Z1297" s="25"/>
    </row>
    <row r="1298" spans="20:26" x14ac:dyDescent="0.25">
      <c r="T1298" s="43">
        <v>43297</v>
      </c>
      <c r="U1298" t="str">
        <f t="shared" si="20"/>
        <v/>
      </c>
      <c r="V1298" s="44" t="s">
        <v>83</v>
      </c>
      <c r="W1298" s="44">
        <v>43296</v>
      </c>
      <c r="X1298" s="24"/>
      <c r="Y1298" s="24"/>
      <c r="Z1298" s="25"/>
    </row>
    <row r="1299" spans="20:26" x14ac:dyDescent="0.25">
      <c r="T1299" s="43">
        <v>43298</v>
      </c>
      <c r="U1299" t="str">
        <f t="shared" si="20"/>
        <v/>
      </c>
      <c r="V1299" s="44" t="s">
        <v>84</v>
      </c>
      <c r="W1299" s="44">
        <v>43296</v>
      </c>
      <c r="X1299" s="24"/>
      <c r="Y1299" s="24"/>
      <c r="Z1299" s="25"/>
    </row>
    <row r="1300" spans="20:26" x14ac:dyDescent="0.25">
      <c r="T1300" s="43">
        <v>43299</v>
      </c>
      <c r="U1300" t="str">
        <f t="shared" si="20"/>
        <v/>
      </c>
      <c r="V1300" s="44" t="s">
        <v>85</v>
      </c>
      <c r="W1300" s="44">
        <v>43296</v>
      </c>
      <c r="X1300" s="24"/>
      <c r="Y1300" s="24"/>
      <c r="Z1300" s="25"/>
    </row>
    <row r="1301" spans="20:26" x14ac:dyDescent="0.25">
      <c r="T1301" s="43">
        <v>43300</v>
      </c>
      <c r="U1301" t="str">
        <f t="shared" si="20"/>
        <v/>
      </c>
      <c r="V1301" s="44" t="s">
        <v>86</v>
      </c>
      <c r="W1301" s="44">
        <v>43296</v>
      </c>
      <c r="X1301" s="24"/>
      <c r="Y1301" s="24"/>
      <c r="Z1301" s="25"/>
    </row>
    <row r="1302" spans="20:26" x14ac:dyDescent="0.25">
      <c r="T1302" s="43">
        <v>43301</v>
      </c>
      <c r="U1302" t="str">
        <f t="shared" si="20"/>
        <v/>
      </c>
      <c r="V1302" s="44" t="s">
        <v>87</v>
      </c>
      <c r="W1302" s="44">
        <v>43296</v>
      </c>
      <c r="X1302" s="24"/>
      <c r="Y1302" s="24"/>
      <c r="Z1302" s="25"/>
    </row>
    <row r="1303" spans="20:26" x14ac:dyDescent="0.25">
      <c r="T1303" s="43">
        <v>43302</v>
      </c>
      <c r="U1303" t="str">
        <f t="shared" si="20"/>
        <v/>
      </c>
      <c r="V1303" s="44" t="s">
        <v>88</v>
      </c>
      <c r="W1303" s="44">
        <v>43296</v>
      </c>
      <c r="X1303" s="24"/>
      <c r="Y1303" s="24"/>
      <c r="Z1303" s="25"/>
    </row>
    <row r="1304" spans="20:26" x14ac:dyDescent="0.25">
      <c r="T1304" s="43">
        <v>43303</v>
      </c>
      <c r="U1304" t="str">
        <f t="shared" si="20"/>
        <v/>
      </c>
      <c r="V1304" s="44" t="s">
        <v>82</v>
      </c>
      <c r="W1304" s="44">
        <v>43303</v>
      </c>
      <c r="X1304" s="24"/>
      <c r="Y1304" s="24"/>
      <c r="Z1304" s="25"/>
    </row>
    <row r="1305" spans="20:26" x14ac:dyDescent="0.25">
      <c r="T1305" s="43">
        <v>43304</v>
      </c>
      <c r="U1305" t="str">
        <f t="shared" si="20"/>
        <v/>
      </c>
      <c r="V1305" s="44" t="s">
        <v>83</v>
      </c>
      <c r="W1305" s="44">
        <v>43303</v>
      </c>
      <c r="X1305" s="24"/>
      <c r="Y1305" s="24"/>
      <c r="Z1305" s="25"/>
    </row>
    <row r="1306" spans="20:26" x14ac:dyDescent="0.25">
      <c r="T1306" s="43">
        <v>43305</v>
      </c>
      <c r="U1306" t="str">
        <f t="shared" si="20"/>
        <v/>
      </c>
      <c r="V1306" s="44" t="s">
        <v>84</v>
      </c>
      <c r="W1306" s="44">
        <v>43303</v>
      </c>
      <c r="X1306" s="24"/>
      <c r="Y1306" s="24"/>
      <c r="Z1306" s="25"/>
    </row>
    <row r="1307" spans="20:26" x14ac:dyDescent="0.25">
      <c r="T1307" s="43">
        <v>43306</v>
      </c>
      <c r="U1307" t="str">
        <f t="shared" si="20"/>
        <v/>
      </c>
      <c r="V1307" s="44" t="s">
        <v>85</v>
      </c>
      <c r="W1307" s="44">
        <v>43303</v>
      </c>
      <c r="X1307" s="24"/>
      <c r="Y1307" s="24"/>
      <c r="Z1307" s="25"/>
    </row>
    <row r="1308" spans="20:26" x14ac:dyDescent="0.25">
      <c r="T1308" s="43">
        <v>43307</v>
      </c>
      <c r="U1308" t="str">
        <f t="shared" si="20"/>
        <v/>
      </c>
      <c r="V1308" s="44" t="s">
        <v>86</v>
      </c>
      <c r="W1308" s="44">
        <v>43303</v>
      </c>
      <c r="X1308" s="24"/>
      <c r="Y1308" s="24"/>
      <c r="Z1308" s="25"/>
    </row>
    <row r="1309" spans="20:26" x14ac:dyDescent="0.25">
      <c r="T1309" s="43">
        <v>43308</v>
      </c>
      <c r="U1309" t="str">
        <f t="shared" si="20"/>
        <v/>
      </c>
      <c r="V1309" s="44" t="s">
        <v>87</v>
      </c>
      <c r="W1309" s="44">
        <v>43303</v>
      </c>
      <c r="X1309" s="24"/>
      <c r="Y1309" s="24"/>
      <c r="Z1309" s="25"/>
    </row>
    <row r="1310" spans="20:26" x14ac:dyDescent="0.25">
      <c r="T1310" s="43">
        <v>43309</v>
      </c>
      <c r="U1310" t="str">
        <f t="shared" si="20"/>
        <v/>
      </c>
      <c r="V1310" s="44" t="s">
        <v>88</v>
      </c>
      <c r="W1310" s="44">
        <v>43303</v>
      </c>
      <c r="X1310" s="24"/>
      <c r="Y1310" s="24"/>
      <c r="Z1310" s="25"/>
    </row>
    <row r="1311" spans="20:26" x14ac:dyDescent="0.25">
      <c r="T1311" s="43">
        <v>43310</v>
      </c>
      <c r="U1311" t="str">
        <f t="shared" si="20"/>
        <v/>
      </c>
      <c r="V1311" s="44" t="s">
        <v>82</v>
      </c>
      <c r="W1311" s="44">
        <v>43310</v>
      </c>
      <c r="X1311" s="24"/>
      <c r="Y1311" s="24"/>
      <c r="Z1311" s="25"/>
    </row>
    <row r="1312" spans="20:26" x14ac:dyDescent="0.25">
      <c r="T1312" s="43">
        <v>43311</v>
      </c>
      <c r="U1312" t="str">
        <f t="shared" si="20"/>
        <v/>
      </c>
      <c r="V1312" s="44" t="s">
        <v>83</v>
      </c>
      <c r="W1312" s="44">
        <v>43310</v>
      </c>
      <c r="X1312" s="24"/>
      <c r="Y1312" s="24"/>
      <c r="Z1312" s="25"/>
    </row>
    <row r="1313" spans="20:26" x14ac:dyDescent="0.25">
      <c r="T1313" s="43">
        <v>43312</v>
      </c>
      <c r="U1313" t="str">
        <f t="shared" si="20"/>
        <v/>
      </c>
      <c r="V1313" s="44" t="s">
        <v>84</v>
      </c>
      <c r="W1313" s="44">
        <v>43310</v>
      </c>
      <c r="X1313" s="24"/>
      <c r="Y1313" s="24"/>
      <c r="Z1313" s="25"/>
    </row>
    <row r="1314" spans="20:26" x14ac:dyDescent="0.25">
      <c r="T1314" s="43">
        <v>43313</v>
      </c>
      <c r="U1314" t="str">
        <f t="shared" si="20"/>
        <v/>
      </c>
      <c r="V1314" s="44" t="s">
        <v>85</v>
      </c>
      <c r="W1314" s="44">
        <v>43310</v>
      </c>
      <c r="X1314" s="24"/>
      <c r="Y1314" s="24"/>
      <c r="Z1314" s="25"/>
    </row>
    <row r="1315" spans="20:26" x14ac:dyDescent="0.25">
      <c r="T1315" s="43">
        <v>43314</v>
      </c>
      <c r="U1315" t="str">
        <f t="shared" si="20"/>
        <v/>
      </c>
      <c r="V1315" s="44" t="s">
        <v>86</v>
      </c>
      <c r="W1315" s="44">
        <v>43310</v>
      </c>
      <c r="X1315" s="24"/>
      <c r="Y1315" s="24"/>
      <c r="Z1315" s="25"/>
    </row>
    <row r="1316" spans="20:26" x14ac:dyDescent="0.25">
      <c r="T1316" s="43">
        <v>43315</v>
      </c>
      <c r="U1316" t="str">
        <f t="shared" si="20"/>
        <v/>
      </c>
      <c r="V1316" s="44" t="s">
        <v>87</v>
      </c>
      <c r="W1316" s="44">
        <v>43310</v>
      </c>
      <c r="X1316" s="24"/>
      <c r="Y1316" s="24"/>
      <c r="Z1316" s="25"/>
    </row>
    <row r="1317" spans="20:26" x14ac:dyDescent="0.25">
      <c r="T1317" s="43">
        <v>43316</v>
      </c>
      <c r="U1317" t="str">
        <f t="shared" si="20"/>
        <v/>
      </c>
      <c r="V1317" s="44" t="s">
        <v>88</v>
      </c>
      <c r="W1317" s="44">
        <v>43310</v>
      </c>
      <c r="X1317" s="24"/>
      <c r="Y1317" s="24"/>
      <c r="Z1317" s="25"/>
    </row>
    <row r="1318" spans="20:26" x14ac:dyDescent="0.25">
      <c r="T1318" s="43">
        <v>43317</v>
      </c>
      <c r="U1318" t="str">
        <f t="shared" si="20"/>
        <v/>
      </c>
      <c r="V1318" s="44" t="s">
        <v>82</v>
      </c>
      <c r="W1318" s="44">
        <v>43317</v>
      </c>
      <c r="X1318" s="24"/>
      <c r="Y1318" s="24"/>
      <c r="Z1318" s="25"/>
    </row>
    <row r="1319" spans="20:26" x14ac:dyDescent="0.25">
      <c r="T1319" s="43">
        <v>43318</v>
      </c>
      <c r="U1319" t="str">
        <f t="shared" si="20"/>
        <v/>
      </c>
      <c r="V1319" s="44" t="s">
        <v>83</v>
      </c>
      <c r="W1319" s="44">
        <v>43317</v>
      </c>
      <c r="X1319" s="24"/>
      <c r="Y1319" s="24"/>
      <c r="Z1319" s="25"/>
    </row>
    <row r="1320" spans="20:26" x14ac:dyDescent="0.25">
      <c r="T1320" s="43">
        <v>43319</v>
      </c>
      <c r="U1320" t="str">
        <f t="shared" si="20"/>
        <v/>
      </c>
      <c r="V1320" s="44" t="s">
        <v>84</v>
      </c>
      <c r="W1320" s="44">
        <v>43317</v>
      </c>
      <c r="X1320" s="24"/>
      <c r="Y1320" s="24"/>
      <c r="Z1320" s="25"/>
    </row>
    <row r="1321" spans="20:26" x14ac:dyDescent="0.25">
      <c r="T1321" s="43">
        <v>43320</v>
      </c>
      <c r="U1321" t="str">
        <f t="shared" si="20"/>
        <v/>
      </c>
      <c r="V1321" s="44" t="s">
        <v>85</v>
      </c>
      <c r="W1321" s="44">
        <v>43317</v>
      </c>
      <c r="X1321" s="24"/>
      <c r="Y1321" s="24"/>
      <c r="Z1321" s="25"/>
    </row>
    <row r="1322" spans="20:26" x14ac:dyDescent="0.25">
      <c r="T1322" s="43">
        <v>43321</v>
      </c>
      <c r="U1322" t="str">
        <f t="shared" si="20"/>
        <v/>
      </c>
      <c r="V1322" s="44" t="s">
        <v>86</v>
      </c>
      <c r="W1322" s="44">
        <v>43317</v>
      </c>
      <c r="X1322" s="24"/>
      <c r="Y1322" s="24"/>
      <c r="Z1322" s="25"/>
    </row>
    <row r="1323" spans="20:26" x14ac:dyDescent="0.25">
      <c r="T1323" s="43">
        <v>43322</v>
      </c>
      <c r="U1323" t="str">
        <f t="shared" si="20"/>
        <v/>
      </c>
      <c r="V1323" s="44" t="s">
        <v>87</v>
      </c>
      <c r="W1323" s="44">
        <v>43317</v>
      </c>
      <c r="X1323" s="24"/>
      <c r="Y1323" s="24"/>
      <c r="Z1323" s="25"/>
    </row>
    <row r="1324" spans="20:26" x14ac:dyDescent="0.25">
      <c r="T1324" s="43">
        <v>43323</v>
      </c>
      <c r="U1324" t="str">
        <f t="shared" si="20"/>
        <v/>
      </c>
      <c r="V1324" s="44" t="s">
        <v>88</v>
      </c>
      <c r="W1324" s="44">
        <v>43317</v>
      </c>
      <c r="X1324" s="24"/>
      <c r="Y1324" s="24"/>
      <c r="Z1324" s="25"/>
    </row>
    <row r="1325" spans="20:26" x14ac:dyDescent="0.25">
      <c r="T1325" s="43">
        <v>43324</v>
      </c>
      <c r="U1325" t="str">
        <f t="shared" si="20"/>
        <v/>
      </c>
      <c r="V1325" s="44" t="s">
        <v>82</v>
      </c>
      <c r="W1325" s="44">
        <v>43324</v>
      </c>
      <c r="X1325" s="24"/>
      <c r="Y1325" s="24"/>
      <c r="Z1325" s="25"/>
    </row>
    <row r="1326" spans="20:26" x14ac:dyDescent="0.25">
      <c r="T1326" s="43">
        <v>43325</v>
      </c>
      <c r="U1326" t="str">
        <f t="shared" si="20"/>
        <v/>
      </c>
      <c r="V1326" s="44" t="s">
        <v>83</v>
      </c>
      <c r="W1326" s="44">
        <v>43324</v>
      </c>
      <c r="X1326" s="24"/>
      <c r="Y1326" s="24"/>
      <c r="Z1326" s="25"/>
    </row>
    <row r="1327" spans="20:26" x14ac:dyDescent="0.25">
      <c r="T1327" s="43">
        <v>43326</v>
      </c>
      <c r="U1327" t="str">
        <f t="shared" si="20"/>
        <v/>
      </c>
      <c r="V1327" s="44" t="s">
        <v>84</v>
      </c>
      <c r="W1327" s="44">
        <v>43324</v>
      </c>
      <c r="X1327" s="24"/>
      <c r="Y1327" s="24"/>
      <c r="Z1327" s="25"/>
    </row>
    <row r="1328" spans="20:26" x14ac:dyDescent="0.25">
      <c r="T1328" s="43">
        <v>43327</v>
      </c>
      <c r="U1328" t="str">
        <f t="shared" si="20"/>
        <v/>
      </c>
      <c r="V1328" s="44" t="s">
        <v>85</v>
      </c>
      <c r="W1328" s="44">
        <v>43324</v>
      </c>
      <c r="X1328" s="24"/>
      <c r="Y1328" s="24"/>
      <c r="Z1328" s="25"/>
    </row>
    <row r="1329" spans="20:26" x14ac:dyDescent="0.25">
      <c r="T1329" s="43">
        <v>43328</v>
      </c>
      <c r="U1329" t="str">
        <f t="shared" si="20"/>
        <v/>
      </c>
      <c r="V1329" s="44" t="s">
        <v>86</v>
      </c>
      <c r="W1329" s="44">
        <v>43324</v>
      </c>
      <c r="X1329" s="24"/>
      <c r="Y1329" s="24"/>
      <c r="Z1329" s="25"/>
    </row>
    <row r="1330" spans="20:26" x14ac:dyDescent="0.25">
      <c r="T1330" s="43">
        <v>43329</v>
      </c>
      <c r="U1330" t="str">
        <f t="shared" si="20"/>
        <v/>
      </c>
      <c r="V1330" s="44" t="s">
        <v>87</v>
      </c>
      <c r="W1330" s="44">
        <v>43324</v>
      </c>
      <c r="X1330" s="24"/>
      <c r="Y1330" s="24"/>
      <c r="Z1330" s="25"/>
    </row>
    <row r="1331" spans="20:26" x14ac:dyDescent="0.25">
      <c r="T1331" s="43">
        <v>43330</v>
      </c>
      <c r="U1331" t="str">
        <f t="shared" si="20"/>
        <v/>
      </c>
      <c r="V1331" s="44" t="s">
        <v>88</v>
      </c>
      <c r="W1331" s="44">
        <v>43324</v>
      </c>
      <c r="X1331" s="24"/>
      <c r="Y1331" s="24"/>
      <c r="Z1331" s="25"/>
    </row>
    <row r="1332" spans="20:26" x14ac:dyDescent="0.25">
      <c r="T1332" s="43">
        <v>43331</v>
      </c>
      <c r="U1332" t="str">
        <f t="shared" si="20"/>
        <v/>
      </c>
      <c r="V1332" s="44" t="s">
        <v>82</v>
      </c>
      <c r="W1332" s="44">
        <v>43331</v>
      </c>
      <c r="X1332" s="24"/>
      <c r="Y1332" s="24"/>
      <c r="Z1332" s="25"/>
    </row>
    <row r="1333" spans="20:26" x14ac:dyDescent="0.25">
      <c r="T1333" s="43">
        <v>43332</v>
      </c>
      <c r="U1333" t="str">
        <f t="shared" si="20"/>
        <v/>
      </c>
      <c r="V1333" s="44" t="s">
        <v>83</v>
      </c>
      <c r="W1333" s="44">
        <v>43331</v>
      </c>
      <c r="X1333" s="24"/>
      <c r="Y1333" s="24"/>
      <c r="Z1333" s="25"/>
    </row>
    <row r="1334" spans="20:26" x14ac:dyDescent="0.25">
      <c r="T1334" s="43">
        <v>43333</v>
      </c>
      <c r="U1334" t="str">
        <f t="shared" si="20"/>
        <v/>
      </c>
      <c r="V1334" s="44" t="s">
        <v>84</v>
      </c>
      <c r="W1334" s="44">
        <v>43331</v>
      </c>
      <c r="X1334" s="24"/>
      <c r="Y1334" s="24"/>
      <c r="Z1334" s="25"/>
    </row>
    <row r="1335" spans="20:26" x14ac:dyDescent="0.25">
      <c r="T1335" s="43">
        <v>43334</v>
      </c>
      <c r="U1335" t="str">
        <f t="shared" si="20"/>
        <v/>
      </c>
      <c r="V1335" s="44" t="s">
        <v>85</v>
      </c>
      <c r="W1335" s="44">
        <v>43331</v>
      </c>
      <c r="X1335" s="24"/>
      <c r="Y1335" s="24"/>
      <c r="Z1335" s="25"/>
    </row>
    <row r="1336" spans="20:26" x14ac:dyDescent="0.25">
      <c r="T1336" s="43">
        <v>43335</v>
      </c>
      <c r="U1336" t="str">
        <f t="shared" si="20"/>
        <v/>
      </c>
      <c r="V1336" s="44" t="s">
        <v>86</v>
      </c>
      <c r="W1336" s="44">
        <v>43331</v>
      </c>
      <c r="X1336" s="24"/>
      <c r="Y1336" s="24"/>
      <c r="Z1336" s="25"/>
    </row>
    <row r="1337" spans="20:26" x14ac:dyDescent="0.25">
      <c r="T1337" s="43">
        <v>43336</v>
      </c>
      <c r="U1337" t="str">
        <f t="shared" si="20"/>
        <v/>
      </c>
      <c r="V1337" s="44" t="s">
        <v>87</v>
      </c>
      <c r="W1337" s="44">
        <v>43331</v>
      </c>
      <c r="X1337" s="24"/>
      <c r="Y1337" s="24"/>
      <c r="Z1337" s="25"/>
    </row>
    <row r="1338" spans="20:26" x14ac:dyDescent="0.25">
      <c r="T1338" s="43">
        <v>43337</v>
      </c>
      <c r="U1338" t="str">
        <f t="shared" si="20"/>
        <v/>
      </c>
      <c r="V1338" s="44" t="s">
        <v>88</v>
      </c>
      <c r="W1338" s="44">
        <v>43331</v>
      </c>
      <c r="X1338" s="24"/>
      <c r="Y1338" s="24"/>
      <c r="Z1338" s="25"/>
    </row>
    <row r="1339" spans="20:26" x14ac:dyDescent="0.25">
      <c r="T1339" s="43">
        <v>43338</v>
      </c>
      <c r="U1339" t="str">
        <f t="shared" si="20"/>
        <v/>
      </c>
      <c r="V1339" s="44" t="s">
        <v>82</v>
      </c>
      <c r="W1339" s="44">
        <v>43338</v>
      </c>
      <c r="X1339" s="24"/>
      <c r="Y1339" s="24"/>
      <c r="Z1339" s="25"/>
    </row>
    <row r="1340" spans="20:26" x14ac:dyDescent="0.25">
      <c r="T1340" s="43">
        <v>43339</v>
      </c>
      <c r="U1340" t="str">
        <f t="shared" si="20"/>
        <v/>
      </c>
      <c r="V1340" s="44" t="s">
        <v>83</v>
      </c>
      <c r="W1340" s="44">
        <v>43338</v>
      </c>
      <c r="X1340" s="24"/>
      <c r="Y1340" s="24"/>
      <c r="Z1340" s="25"/>
    </row>
    <row r="1341" spans="20:26" x14ac:dyDescent="0.25">
      <c r="T1341" s="43">
        <v>43340</v>
      </c>
      <c r="U1341" t="str">
        <f t="shared" si="20"/>
        <v/>
      </c>
      <c r="V1341" s="44" t="s">
        <v>84</v>
      </c>
      <c r="W1341" s="44">
        <v>43338</v>
      </c>
      <c r="X1341" s="24"/>
      <c r="Y1341" s="24"/>
      <c r="Z1341" s="25"/>
    </row>
    <row r="1342" spans="20:26" x14ac:dyDescent="0.25">
      <c r="T1342" s="43">
        <v>43341</v>
      </c>
      <c r="U1342" t="str">
        <f t="shared" si="20"/>
        <v/>
      </c>
      <c r="V1342" s="44" t="s">
        <v>85</v>
      </c>
      <c r="W1342" s="44">
        <v>43338</v>
      </c>
      <c r="X1342" s="24"/>
      <c r="Y1342" s="24"/>
      <c r="Z1342" s="25"/>
    </row>
    <row r="1343" spans="20:26" x14ac:dyDescent="0.25">
      <c r="T1343" s="43">
        <v>43342</v>
      </c>
      <c r="U1343" t="str">
        <f t="shared" si="20"/>
        <v/>
      </c>
      <c r="V1343" s="44" t="s">
        <v>86</v>
      </c>
      <c r="W1343" s="44">
        <v>43338</v>
      </c>
      <c r="X1343" s="24"/>
      <c r="Y1343" s="24"/>
      <c r="Z1343" s="25"/>
    </row>
    <row r="1344" spans="20:26" x14ac:dyDescent="0.25">
      <c r="T1344" s="43">
        <v>43343</v>
      </c>
      <c r="U1344" t="str">
        <f t="shared" si="20"/>
        <v/>
      </c>
      <c r="V1344" s="44" t="s">
        <v>87</v>
      </c>
      <c r="W1344" s="44">
        <v>43338</v>
      </c>
      <c r="X1344" s="24"/>
      <c r="Y1344" s="24"/>
      <c r="Z1344" s="25"/>
    </row>
    <row r="1345" spans="20:26" x14ac:dyDescent="0.25">
      <c r="T1345" s="43">
        <v>43344</v>
      </c>
      <c r="U1345" t="str">
        <f t="shared" si="20"/>
        <v/>
      </c>
      <c r="V1345" s="44" t="s">
        <v>88</v>
      </c>
      <c r="W1345" s="44">
        <v>43338</v>
      </c>
      <c r="X1345" s="24"/>
      <c r="Y1345" s="24"/>
      <c r="Z1345" s="25"/>
    </row>
    <row r="1346" spans="20:26" x14ac:dyDescent="0.25">
      <c r="T1346" s="43">
        <v>43345</v>
      </c>
      <c r="U1346" t="str">
        <f t="shared" ref="U1346:U1409" si="21">RIGHT(Z1346,4)</f>
        <v/>
      </c>
      <c r="V1346" s="44" t="s">
        <v>82</v>
      </c>
      <c r="W1346" s="44">
        <v>43345</v>
      </c>
      <c r="X1346" s="24"/>
      <c r="Y1346" s="24"/>
      <c r="Z1346" s="25"/>
    </row>
    <row r="1347" spans="20:26" x14ac:dyDescent="0.25">
      <c r="T1347" s="43">
        <v>43346</v>
      </c>
      <c r="U1347" t="str">
        <f t="shared" si="21"/>
        <v/>
      </c>
      <c r="V1347" s="44" t="s">
        <v>83</v>
      </c>
      <c r="W1347" s="44">
        <v>43345</v>
      </c>
      <c r="X1347" s="24"/>
      <c r="Y1347" s="24"/>
      <c r="Z1347" s="25"/>
    </row>
    <row r="1348" spans="20:26" x14ac:dyDescent="0.25">
      <c r="T1348" s="43">
        <v>43347</v>
      </c>
      <c r="U1348" t="str">
        <f t="shared" si="21"/>
        <v/>
      </c>
      <c r="V1348" s="44" t="s">
        <v>84</v>
      </c>
      <c r="W1348" s="44">
        <v>43345</v>
      </c>
      <c r="X1348" s="24"/>
      <c r="Y1348" s="24"/>
      <c r="Z1348" s="25"/>
    </row>
    <row r="1349" spans="20:26" x14ac:dyDescent="0.25">
      <c r="T1349" s="43">
        <v>43348</v>
      </c>
      <c r="U1349" t="str">
        <f t="shared" si="21"/>
        <v/>
      </c>
      <c r="V1349" s="44" t="s">
        <v>85</v>
      </c>
      <c r="W1349" s="44">
        <v>43345</v>
      </c>
      <c r="X1349" s="24"/>
      <c r="Y1349" s="24"/>
      <c r="Z1349" s="25"/>
    </row>
    <row r="1350" spans="20:26" x14ac:dyDescent="0.25">
      <c r="T1350" s="43">
        <v>43349</v>
      </c>
      <c r="U1350" t="str">
        <f t="shared" si="21"/>
        <v/>
      </c>
      <c r="V1350" s="44" t="s">
        <v>86</v>
      </c>
      <c r="W1350" s="44">
        <v>43345</v>
      </c>
      <c r="X1350" s="24"/>
      <c r="Y1350" s="24"/>
      <c r="Z1350" s="25"/>
    </row>
    <row r="1351" spans="20:26" x14ac:dyDescent="0.25">
      <c r="T1351" s="43">
        <v>43350</v>
      </c>
      <c r="U1351" t="str">
        <f t="shared" si="21"/>
        <v/>
      </c>
      <c r="V1351" s="44" t="s">
        <v>87</v>
      </c>
      <c r="W1351" s="44">
        <v>43345</v>
      </c>
      <c r="X1351" s="24"/>
      <c r="Y1351" s="24"/>
      <c r="Z1351" s="25"/>
    </row>
    <row r="1352" spans="20:26" x14ac:dyDescent="0.25">
      <c r="T1352" s="43">
        <v>43351</v>
      </c>
      <c r="U1352" t="str">
        <f t="shared" si="21"/>
        <v/>
      </c>
      <c r="V1352" s="44" t="s">
        <v>88</v>
      </c>
      <c r="W1352" s="44">
        <v>43345</v>
      </c>
      <c r="X1352" s="24"/>
      <c r="Y1352" s="24"/>
      <c r="Z1352" s="25"/>
    </row>
    <row r="1353" spans="20:26" x14ac:dyDescent="0.25">
      <c r="T1353" s="43">
        <v>43352</v>
      </c>
      <c r="U1353" t="str">
        <f t="shared" si="21"/>
        <v/>
      </c>
      <c r="V1353" s="44" t="s">
        <v>82</v>
      </c>
      <c r="W1353" s="44">
        <v>43352</v>
      </c>
      <c r="X1353" s="24"/>
      <c r="Y1353" s="24"/>
      <c r="Z1353" s="25"/>
    </row>
    <row r="1354" spans="20:26" x14ac:dyDescent="0.25">
      <c r="T1354" s="43">
        <v>43353</v>
      </c>
      <c r="U1354" t="str">
        <f t="shared" si="21"/>
        <v/>
      </c>
      <c r="V1354" s="44" t="s">
        <v>83</v>
      </c>
      <c r="W1354" s="44">
        <v>43352</v>
      </c>
      <c r="X1354" s="24"/>
      <c r="Y1354" s="24"/>
      <c r="Z1354" s="25"/>
    </row>
    <row r="1355" spans="20:26" x14ac:dyDescent="0.25">
      <c r="T1355" s="43">
        <v>43354</v>
      </c>
      <c r="U1355" t="str">
        <f t="shared" si="21"/>
        <v/>
      </c>
      <c r="V1355" s="44" t="s">
        <v>84</v>
      </c>
      <c r="W1355" s="44">
        <v>43352</v>
      </c>
      <c r="X1355" s="24"/>
      <c r="Y1355" s="24"/>
      <c r="Z1355" s="25"/>
    </row>
    <row r="1356" spans="20:26" x14ac:dyDescent="0.25">
      <c r="T1356" s="43">
        <v>43355</v>
      </c>
      <c r="U1356" t="str">
        <f t="shared" si="21"/>
        <v/>
      </c>
      <c r="V1356" s="44" t="s">
        <v>85</v>
      </c>
      <c r="W1356" s="44">
        <v>43352</v>
      </c>
      <c r="X1356" s="24"/>
      <c r="Y1356" s="24"/>
      <c r="Z1356" s="25"/>
    </row>
    <row r="1357" spans="20:26" x14ac:dyDescent="0.25">
      <c r="T1357" s="43">
        <v>43356</v>
      </c>
      <c r="U1357" t="str">
        <f t="shared" si="21"/>
        <v/>
      </c>
      <c r="V1357" s="44" t="s">
        <v>86</v>
      </c>
      <c r="W1357" s="44">
        <v>43352</v>
      </c>
      <c r="X1357" s="24"/>
      <c r="Y1357" s="24"/>
      <c r="Z1357" s="25"/>
    </row>
    <row r="1358" spans="20:26" x14ac:dyDescent="0.25">
      <c r="T1358" s="43">
        <v>43357</v>
      </c>
      <c r="U1358" t="str">
        <f t="shared" si="21"/>
        <v/>
      </c>
      <c r="V1358" s="44" t="s">
        <v>87</v>
      </c>
      <c r="W1358" s="44">
        <v>43352</v>
      </c>
      <c r="X1358" s="24"/>
      <c r="Y1358" s="24"/>
      <c r="Z1358" s="25"/>
    </row>
    <row r="1359" spans="20:26" x14ac:dyDescent="0.25">
      <c r="T1359" s="43">
        <v>43358</v>
      </c>
      <c r="U1359" t="str">
        <f t="shared" si="21"/>
        <v/>
      </c>
      <c r="V1359" s="44" t="s">
        <v>88</v>
      </c>
      <c r="W1359" s="44">
        <v>43352</v>
      </c>
      <c r="X1359" s="24"/>
      <c r="Y1359" s="24"/>
      <c r="Z1359" s="25"/>
    </row>
    <row r="1360" spans="20:26" x14ac:dyDescent="0.25">
      <c r="T1360" s="43">
        <v>43359</v>
      </c>
      <c r="U1360" t="str">
        <f t="shared" si="21"/>
        <v/>
      </c>
      <c r="V1360" s="44" t="s">
        <v>82</v>
      </c>
      <c r="W1360" s="44">
        <v>43359</v>
      </c>
      <c r="X1360" s="24"/>
      <c r="Y1360" s="24"/>
      <c r="Z1360" s="25"/>
    </row>
    <row r="1361" spans="20:26" x14ac:dyDescent="0.25">
      <c r="T1361" s="43">
        <v>43360</v>
      </c>
      <c r="U1361" t="str">
        <f t="shared" si="21"/>
        <v/>
      </c>
      <c r="V1361" s="44" t="s">
        <v>83</v>
      </c>
      <c r="W1361" s="44">
        <v>43359</v>
      </c>
      <c r="X1361" s="24"/>
      <c r="Y1361" s="24"/>
      <c r="Z1361" s="25"/>
    </row>
    <row r="1362" spans="20:26" x14ac:dyDescent="0.25">
      <c r="T1362" s="43">
        <v>43361</v>
      </c>
      <c r="U1362" t="str">
        <f t="shared" si="21"/>
        <v/>
      </c>
      <c r="V1362" s="44" t="s">
        <v>84</v>
      </c>
      <c r="W1362" s="44">
        <v>43359</v>
      </c>
      <c r="X1362" s="24"/>
      <c r="Y1362" s="24"/>
      <c r="Z1362" s="25"/>
    </row>
    <row r="1363" spans="20:26" x14ac:dyDescent="0.25">
      <c r="T1363" s="43">
        <v>43362</v>
      </c>
      <c r="U1363" t="str">
        <f t="shared" si="21"/>
        <v/>
      </c>
      <c r="V1363" s="44" t="s">
        <v>85</v>
      </c>
      <c r="W1363" s="44">
        <v>43359</v>
      </c>
      <c r="X1363" s="24"/>
      <c r="Y1363" s="24"/>
      <c r="Z1363" s="25"/>
    </row>
    <row r="1364" spans="20:26" x14ac:dyDescent="0.25">
      <c r="T1364" s="43">
        <v>43363</v>
      </c>
      <c r="U1364" t="str">
        <f t="shared" si="21"/>
        <v/>
      </c>
      <c r="V1364" s="44" t="s">
        <v>86</v>
      </c>
      <c r="W1364" s="44">
        <v>43359</v>
      </c>
      <c r="X1364" s="24"/>
      <c r="Y1364" s="24"/>
      <c r="Z1364" s="25"/>
    </row>
    <row r="1365" spans="20:26" x14ac:dyDescent="0.25">
      <c r="T1365" s="43">
        <v>43364</v>
      </c>
      <c r="U1365" t="str">
        <f t="shared" si="21"/>
        <v/>
      </c>
      <c r="V1365" s="44" t="s">
        <v>87</v>
      </c>
      <c r="W1365" s="44">
        <v>43359</v>
      </c>
      <c r="X1365" s="24"/>
      <c r="Y1365" s="24"/>
      <c r="Z1365" s="25"/>
    </row>
    <row r="1366" spans="20:26" x14ac:dyDescent="0.25">
      <c r="T1366" s="43">
        <v>43365</v>
      </c>
      <c r="U1366" t="str">
        <f t="shared" si="21"/>
        <v/>
      </c>
      <c r="V1366" s="44" t="s">
        <v>88</v>
      </c>
      <c r="W1366" s="44">
        <v>43359</v>
      </c>
      <c r="X1366" s="24"/>
      <c r="Y1366" s="24"/>
      <c r="Z1366" s="25"/>
    </row>
    <row r="1367" spans="20:26" x14ac:dyDescent="0.25">
      <c r="T1367" s="43">
        <v>43366</v>
      </c>
      <c r="U1367" t="str">
        <f t="shared" si="21"/>
        <v/>
      </c>
      <c r="V1367" s="44" t="s">
        <v>82</v>
      </c>
      <c r="W1367" s="44">
        <v>43366</v>
      </c>
      <c r="X1367" s="24"/>
      <c r="Y1367" s="24"/>
      <c r="Z1367" s="25"/>
    </row>
    <row r="1368" spans="20:26" x14ac:dyDescent="0.25">
      <c r="T1368" s="43">
        <v>43367</v>
      </c>
      <c r="U1368" t="str">
        <f t="shared" si="21"/>
        <v/>
      </c>
      <c r="V1368" s="44" t="s">
        <v>83</v>
      </c>
      <c r="W1368" s="44">
        <v>43366</v>
      </c>
      <c r="X1368" s="24"/>
      <c r="Y1368" s="24"/>
      <c r="Z1368" s="25"/>
    </row>
    <row r="1369" spans="20:26" x14ac:dyDescent="0.25">
      <c r="T1369" s="43">
        <v>43368</v>
      </c>
      <c r="U1369" t="str">
        <f t="shared" si="21"/>
        <v/>
      </c>
      <c r="V1369" s="44" t="s">
        <v>84</v>
      </c>
      <c r="W1369" s="44">
        <v>43366</v>
      </c>
      <c r="X1369" s="24"/>
      <c r="Y1369" s="24"/>
      <c r="Z1369" s="25"/>
    </row>
    <row r="1370" spans="20:26" x14ac:dyDescent="0.25">
      <c r="T1370" s="43">
        <v>43369</v>
      </c>
      <c r="U1370" t="str">
        <f t="shared" si="21"/>
        <v/>
      </c>
      <c r="V1370" s="44" t="s">
        <v>85</v>
      </c>
      <c r="W1370" s="44">
        <v>43366</v>
      </c>
      <c r="X1370" s="24"/>
      <c r="Y1370" s="24"/>
      <c r="Z1370" s="25"/>
    </row>
    <row r="1371" spans="20:26" x14ac:dyDescent="0.25">
      <c r="T1371" s="43">
        <v>43370</v>
      </c>
      <c r="U1371" t="str">
        <f t="shared" si="21"/>
        <v/>
      </c>
      <c r="V1371" s="44" t="s">
        <v>86</v>
      </c>
      <c r="W1371" s="44">
        <v>43366</v>
      </c>
      <c r="X1371" s="24"/>
      <c r="Y1371" s="24"/>
      <c r="Z1371" s="25"/>
    </row>
    <row r="1372" spans="20:26" x14ac:dyDescent="0.25">
      <c r="T1372" s="43">
        <v>43371</v>
      </c>
      <c r="U1372" t="str">
        <f t="shared" si="21"/>
        <v/>
      </c>
      <c r="V1372" s="44" t="s">
        <v>87</v>
      </c>
      <c r="W1372" s="44">
        <v>43366</v>
      </c>
      <c r="X1372" s="24"/>
      <c r="Y1372" s="24"/>
      <c r="Z1372" s="25"/>
    </row>
    <row r="1373" spans="20:26" x14ac:dyDescent="0.25">
      <c r="T1373" s="43">
        <v>43372</v>
      </c>
      <c r="U1373" t="str">
        <f t="shared" si="21"/>
        <v/>
      </c>
      <c r="V1373" s="44" t="s">
        <v>88</v>
      </c>
      <c r="W1373" s="44">
        <v>43366</v>
      </c>
      <c r="X1373" s="24"/>
      <c r="Y1373" s="24"/>
      <c r="Z1373" s="25"/>
    </row>
    <row r="1374" spans="20:26" x14ac:dyDescent="0.25">
      <c r="T1374" s="43">
        <v>43373</v>
      </c>
      <c r="U1374" t="str">
        <f t="shared" si="21"/>
        <v/>
      </c>
      <c r="V1374" s="44" t="s">
        <v>82</v>
      </c>
      <c r="W1374" s="44">
        <v>43373</v>
      </c>
      <c r="X1374" s="24"/>
      <c r="Y1374" s="24"/>
      <c r="Z1374" s="25"/>
    </row>
    <row r="1375" spans="20:26" x14ac:dyDescent="0.25">
      <c r="T1375" s="43">
        <v>43374</v>
      </c>
      <c r="U1375" t="str">
        <f t="shared" si="21"/>
        <v/>
      </c>
      <c r="V1375" s="44" t="s">
        <v>83</v>
      </c>
      <c r="W1375" s="44">
        <v>43373</v>
      </c>
      <c r="X1375" s="24"/>
      <c r="Y1375" s="24"/>
      <c r="Z1375" s="25"/>
    </row>
    <row r="1376" spans="20:26" x14ac:dyDescent="0.25">
      <c r="T1376" s="43">
        <v>43375</v>
      </c>
      <c r="U1376" t="str">
        <f t="shared" si="21"/>
        <v/>
      </c>
      <c r="V1376" s="44" t="s">
        <v>84</v>
      </c>
      <c r="W1376" s="44">
        <v>43373</v>
      </c>
      <c r="X1376" s="24"/>
      <c r="Y1376" s="24"/>
      <c r="Z1376" s="25"/>
    </row>
    <row r="1377" spans="20:26" x14ac:dyDescent="0.25">
      <c r="T1377" s="43">
        <v>43376</v>
      </c>
      <c r="U1377" t="str">
        <f t="shared" si="21"/>
        <v/>
      </c>
      <c r="V1377" s="44" t="s">
        <v>85</v>
      </c>
      <c r="W1377" s="44">
        <v>43373</v>
      </c>
      <c r="X1377" s="24"/>
      <c r="Y1377" s="24"/>
      <c r="Z1377" s="25"/>
    </row>
    <row r="1378" spans="20:26" x14ac:dyDescent="0.25">
      <c r="T1378" s="43">
        <v>43377</v>
      </c>
      <c r="U1378" t="str">
        <f t="shared" si="21"/>
        <v/>
      </c>
      <c r="V1378" s="44" t="s">
        <v>86</v>
      </c>
      <c r="W1378" s="44">
        <v>43373</v>
      </c>
      <c r="X1378" s="24"/>
      <c r="Y1378" s="24"/>
      <c r="Z1378" s="25"/>
    </row>
    <row r="1379" spans="20:26" x14ac:dyDescent="0.25">
      <c r="T1379" s="43">
        <v>43378</v>
      </c>
      <c r="U1379" t="str">
        <f t="shared" si="21"/>
        <v/>
      </c>
      <c r="V1379" s="44" t="s">
        <v>87</v>
      </c>
      <c r="W1379" s="44">
        <v>43373</v>
      </c>
      <c r="X1379" s="24"/>
      <c r="Y1379" s="24"/>
      <c r="Z1379" s="25"/>
    </row>
    <row r="1380" spans="20:26" x14ac:dyDescent="0.25">
      <c r="T1380" s="43">
        <v>43379</v>
      </c>
      <c r="U1380" t="str">
        <f t="shared" si="21"/>
        <v/>
      </c>
      <c r="V1380" s="44" t="s">
        <v>88</v>
      </c>
      <c r="W1380" s="44">
        <v>43373</v>
      </c>
      <c r="X1380" s="24"/>
      <c r="Y1380" s="24"/>
      <c r="Z1380" s="25"/>
    </row>
    <row r="1381" spans="20:26" x14ac:dyDescent="0.25">
      <c r="T1381" s="43">
        <v>43380</v>
      </c>
      <c r="U1381" t="str">
        <f t="shared" si="21"/>
        <v/>
      </c>
      <c r="V1381" s="44" t="s">
        <v>82</v>
      </c>
      <c r="W1381" s="44">
        <v>43380</v>
      </c>
      <c r="X1381" s="24"/>
      <c r="Y1381" s="24"/>
      <c r="Z1381" s="25"/>
    </row>
    <row r="1382" spans="20:26" x14ac:dyDescent="0.25">
      <c r="T1382" s="43">
        <v>43381</v>
      </c>
      <c r="U1382" t="str">
        <f t="shared" si="21"/>
        <v/>
      </c>
      <c r="V1382" s="44" t="s">
        <v>83</v>
      </c>
      <c r="W1382" s="44">
        <v>43380</v>
      </c>
      <c r="X1382" s="24"/>
      <c r="Y1382" s="24"/>
      <c r="Z1382" s="25"/>
    </row>
    <row r="1383" spans="20:26" x14ac:dyDescent="0.25">
      <c r="T1383" s="43">
        <v>43382</v>
      </c>
      <c r="U1383" t="str">
        <f t="shared" si="21"/>
        <v/>
      </c>
      <c r="V1383" s="44" t="s">
        <v>84</v>
      </c>
      <c r="W1383" s="44">
        <v>43380</v>
      </c>
      <c r="X1383" s="24"/>
      <c r="Y1383" s="24"/>
      <c r="Z1383" s="25"/>
    </row>
    <row r="1384" spans="20:26" x14ac:dyDescent="0.25">
      <c r="T1384" s="43">
        <v>43383</v>
      </c>
      <c r="U1384" t="str">
        <f t="shared" si="21"/>
        <v/>
      </c>
      <c r="V1384" s="44" t="s">
        <v>85</v>
      </c>
      <c r="W1384" s="44">
        <v>43380</v>
      </c>
      <c r="X1384" s="24"/>
      <c r="Y1384" s="24"/>
      <c r="Z1384" s="25"/>
    </row>
    <row r="1385" spans="20:26" x14ac:dyDescent="0.25">
      <c r="T1385" s="43">
        <v>43384</v>
      </c>
      <c r="U1385" t="str">
        <f t="shared" si="21"/>
        <v/>
      </c>
      <c r="V1385" s="44" t="s">
        <v>86</v>
      </c>
      <c r="W1385" s="44">
        <v>43380</v>
      </c>
      <c r="X1385" s="24"/>
      <c r="Y1385" s="24"/>
      <c r="Z1385" s="25"/>
    </row>
    <row r="1386" spans="20:26" x14ac:dyDescent="0.25">
      <c r="T1386" s="43">
        <v>43385</v>
      </c>
      <c r="U1386" t="str">
        <f t="shared" si="21"/>
        <v/>
      </c>
      <c r="V1386" s="44" t="s">
        <v>87</v>
      </c>
      <c r="W1386" s="44">
        <v>43380</v>
      </c>
      <c r="X1386" s="24"/>
      <c r="Y1386" s="24"/>
      <c r="Z1386" s="25"/>
    </row>
    <row r="1387" spans="20:26" x14ac:dyDescent="0.25">
      <c r="T1387" s="43">
        <v>43386</v>
      </c>
      <c r="U1387" t="str">
        <f t="shared" si="21"/>
        <v/>
      </c>
      <c r="V1387" s="44" t="s">
        <v>88</v>
      </c>
      <c r="W1387" s="44">
        <v>43380</v>
      </c>
      <c r="X1387" s="24"/>
      <c r="Y1387" s="24"/>
      <c r="Z1387" s="25"/>
    </row>
    <row r="1388" spans="20:26" x14ac:dyDescent="0.25">
      <c r="T1388" s="43">
        <v>43387</v>
      </c>
      <c r="U1388" t="str">
        <f t="shared" si="21"/>
        <v/>
      </c>
      <c r="V1388" s="44" t="s">
        <v>82</v>
      </c>
      <c r="W1388" s="44">
        <v>43387</v>
      </c>
      <c r="X1388" s="24"/>
      <c r="Y1388" s="24"/>
      <c r="Z1388" s="25"/>
    </row>
    <row r="1389" spans="20:26" x14ac:dyDescent="0.25">
      <c r="T1389" s="43">
        <v>43388</v>
      </c>
      <c r="U1389" t="str">
        <f t="shared" si="21"/>
        <v/>
      </c>
      <c r="V1389" s="44" t="s">
        <v>83</v>
      </c>
      <c r="W1389" s="44">
        <v>43387</v>
      </c>
      <c r="X1389" s="24"/>
      <c r="Y1389" s="24"/>
      <c r="Z1389" s="25"/>
    </row>
    <row r="1390" spans="20:26" x14ac:dyDescent="0.25">
      <c r="T1390" s="43">
        <v>43389</v>
      </c>
      <c r="U1390" t="str">
        <f t="shared" si="21"/>
        <v/>
      </c>
      <c r="V1390" s="44" t="s">
        <v>84</v>
      </c>
      <c r="W1390" s="44">
        <v>43387</v>
      </c>
      <c r="X1390" s="24"/>
      <c r="Y1390" s="24"/>
      <c r="Z1390" s="25"/>
    </row>
    <row r="1391" spans="20:26" x14ac:dyDescent="0.25">
      <c r="T1391" s="43">
        <v>43390</v>
      </c>
      <c r="U1391" t="str">
        <f t="shared" si="21"/>
        <v/>
      </c>
      <c r="V1391" s="44" t="s">
        <v>85</v>
      </c>
      <c r="W1391" s="44">
        <v>43387</v>
      </c>
      <c r="X1391" s="24"/>
      <c r="Y1391" s="24"/>
      <c r="Z1391" s="25"/>
    </row>
    <row r="1392" spans="20:26" x14ac:dyDescent="0.25">
      <c r="T1392" s="43">
        <v>43391</v>
      </c>
      <c r="U1392" t="str">
        <f t="shared" si="21"/>
        <v/>
      </c>
      <c r="V1392" s="44" t="s">
        <v>86</v>
      </c>
      <c r="W1392" s="44">
        <v>43387</v>
      </c>
      <c r="X1392" s="24"/>
      <c r="Y1392" s="24"/>
      <c r="Z1392" s="25"/>
    </row>
    <row r="1393" spans="20:26" x14ac:dyDescent="0.25">
      <c r="T1393" s="43">
        <v>43392</v>
      </c>
      <c r="U1393" t="str">
        <f t="shared" si="21"/>
        <v/>
      </c>
      <c r="V1393" s="44" t="s">
        <v>87</v>
      </c>
      <c r="W1393" s="44">
        <v>43387</v>
      </c>
      <c r="X1393" s="24"/>
      <c r="Y1393" s="24"/>
      <c r="Z1393" s="25"/>
    </row>
    <row r="1394" spans="20:26" x14ac:dyDescent="0.25">
      <c r="T1394" s="43">
        <v>43393</v>
      </c>
      <c r="U1394" t="str">
        <f t="shared" si="21"/>
        <v/>
      </c>
      <c r="V1394" s="44" t="s">
        <v>88</v>
      </c>
      <c r="W1394" s="44">
        <v>43387</v>
      </c>
      <c r="X1394" s="24"/>
      <c r="Y1394" s="24"/>
      <c r="Z1394" s="25"/>
    </row>
    <row r="1395" spans="20:26" x14ac:dyDescent="0.25">
      <c r="T1395" s="43">
        <v>43394</v>
      </c>
      <c r="U1395" t="str">
        <f t="shared" si="21"/>
        <v/>
      </c>
      <c r="V1395" s="44" t="s">
        <v>82</v>
      </c>
      <c r="W1395" s="44">
        <v>43394</v>
      </c>
      <c r="X1395" s="24"/>
      <c r="Y1395" s="24"/>
      <c r="Z1395" s="25"/>
    </row>
    <row r="1396" spans="20:26" x14ac:dyDescent="0.25">
      <c r="T1396" s="43">
        <v>43395</v>
      </c>
      <c r="U1396" t="str">
        <f t="shared" si="21"/>
        <v/>
      </c>
      <c r="V1396" s="44" t="s">
        <v>83</v>
      </c>
      <c r="W1396" s="44">
        <v>43394</v>
      </c>
      <c r="X1396" s="24"/>
      <c r="Y1396" s="24"/>
      <c r="Z1396" s="25"/>
    </row>
    <row r="1397" spans="20:26" x14ac:dyDescent="0.25">
      <c r="T1397" s="43">
        <v>43396</v>
      </c>
      <c r="U1397" t="str">
        <f t="shared" si="21"/>
        <v/>
      </c>
      <c r="V1397" s="44" t="s">
        <v>84</v>
      </c>
      <c r="W1397" s="44">
        <v>43394</v>
      </c>
      <c r="X1397" s="24"/>
      <c r="Y1397" s="24"/>
      <c r="Z1397" s="25"/>
    </row>
    <row r="1398" spans="20:26" x14ac:dyDescent="0.25">
      <c r="T1398" s="43">
        <v>43397</v>
      </c>
      <c r="U1398" t="str">
        <f t="shared" si="21"/>
        <v/>
      </c>
      <c r="V1398" s="44" t="s">
        <v>85</v>
      </c>
      <c r="W1398" s="44">
        <v>43394</v>
      </c>
      <c r="X1398" s="24"/>
      <c r="Y1398" s="24"/>
      <c r="Z1398" s="25"/>
    </row>
    <row r="1399" spans="20:26" x14ac:dyDescent="0.25">
      <c r="T1399" s="43">
        <v>43398</v>
      </c>
      <c r="U1399" t="str">
        <f t="shared" si="21"/>
        <v/>
      </c>
      <c r="V1399" s="44" t="s">
        <v>86</v>
      </c>
      <c r="W1399" s="44">
        <v>43394</v>
      </c>
      <c r="X1399" s="24"/>
      <c r="Y1399" s="24"/>
      <c r="Z1399" s="25"/>
    </row>
    <row r="1400" spans="20:26" x14ac:dyDescent="0.25">
      <c r="T1400" s="43">
        <v>43399</v>
      </c>
      <c r="U1400" t="str">
        <f t="shared" si="21"/>
        <v/>
      </c>
      <c r="V1400" s="44" t="s">
        <v>87</v>
      </c>
      <c r="W1400" s="44">
        <v>43394</v>
      </c>
      <c r="X1400" s="24"/>
      <c r="Y1400" s="24"/>
      <c r="Z1400" s="25"/>
    </row>
    <row r="1401" spans="20:26" x14ac:dyDescent="0.25">
      <c r="T1401" s="43">
        <v>43400</v>
      </c>
      <c r="U1401" t="str">
        <f t="shared" si="21"/>
        <v/>
      </c>
      <c r="V1401" s="44" t="s">
        <v>88</v>
      </c>
      <c r="W1401" s="44">
        <v>43394</v>
      </c>
      <c r="X1401" s="24"/>
      <c r="Y1401" s="24"/>
      <c r="Z1401" s="25"/>
    </row>
    <row r="1402" spans="20:26" x14ac:dyDescent="0.25">
      <c r="T1402" s="43">
        <v>43401</v>
      </c>
      <c r="U1402" t="str">
        <f t="shared" si="21"/>
        <v/>
      </c>
      <c r="V1402" s="44" t="s">
        <v>82</v>
      </c>
      <c r="W1402" s="44">
        <v>43401</v>
      </c>
      <c r="X1402" s="24"/>
      <c r="Y1402" s="24"/>
      <c r="Z1402" s="25"/>
    </row>
    <row r="1403" spans="20:26" x14ac:dyDescent="0.25">
      <c r="T1403" s="43">
        <v>43402</v>
      </c>
      <c r="U1403" t="str">
        <f t="shared" si="21"/>
        <v/>
      </c>
      <c r="V1403" s="44" t="s">
        <v>83</v>
      </c>
      <c r="W1403" s="44">
        <v>43401</v>
      </c>
      <c r="X1403" s="24"/>
      <c r="Y1403" s="24"/>
      <c r="Z1403" s="25"/>
    </row>
    <row r="1404" spans="20:26" x14ac:dyDescent="0.25">
      <c r="T1404" s="43">
        <v>43403</v>
      </c>
      <c r="U1404" t="str">
        <f t="shared" si="21"/>
        <v/>
      </c>
      <c r="V1404" s="44" t="s">
        <v>84</v>
      </c>
      <c r="W1404" s="44">
        <v>43401</v>
      </c>
      <c r="X1404" s="24"/>
      <c r="Y1404" s="24"/>
      <c r="Z1404" s="25"/>
    </row>
    <row r="1405" spans="20:26" x14ac:dyDescent="0.25">
      <c r="T1405" s="43">
        <v>43404</v>
      </c>
      <c r="U1405" t="str">
        <f t="shared" si="21"/>
        <v/>
      </c>
      <c r="V1405" s="44" t="s">
        <v>85</v>
      </c>
      <c r="W1405" s="44">
        <v>43401</v>
      </c>
      <c r="X1405" s="24"/>
      <c r="Y1405" s="24"/>
      <c r="Z1405" s="25"/>
    </row>
    <row r="1406" spans="20:26" x14ac:dyDescent="0.25">
      <c r="T1406" s="43">
        <v>43405</v>
      </c>
      <c r="U1406" t="str">
        <f t="shared" si="21"/>
        <v/>
      </c>
      <c r="V1406" s="44" t="s">
        <v>86</v>
      </c>
      <c r="W1406" s="44">
        <v>43401</v>
      </c>
      <c r="X1406" s="24"/>
      <c r="Y1406" s="24"/>
      <c r="Z1406" s="25"/>
    </row>
    <row r="1407" spans="20:26" x14ac:dyDescent="0.25">
      <c r="T1407" s="43">
        <v>43406</v>
      </c>
      <c r="U1407" t="str">
        <f t="shared" si="21"/>
        <v/>
      </c>
      <c r="V1407" s="44" t="s">
        <v>87</v>
      </c>
      <c r="W1407" s="44">
        <v>43401</v>
      </c>
      <c r="X1407" s="24"/>
      <c r="Y1407" s="24"/>
      <c r="Z1407" s="25"/>
    </row>
    <row r="1408" spans="20:26" x14ac:dyDescent="0.25">
      <c r="T1408" s="43">
        <v>43407</v>
      </c>
      <c r="U1408" t="str">
        <f t="shared" si="21"/>
        <v/>
      </c>
      <c r="V1408" s="44" t="s">
        <v>88</v>
      </c>
      <c r="W1408" s="44">
        <v>43401</v>
      </c>
      <c r="X1408" s="24"/>
      <c r="Y1408" s="24"/>
      <c r="Z1408" s="25"/>
    </row>
    <row r="1409" spans="20:26" x14ac:dyDescent="0.25">
      <c r="T1409" s="43">
        <v>43408</v>
      </c>
      <c r="U1409" t="str">
        <f t="shared" si="21"/>
        <v/>
      </c>
      <c r="V1409" s="44" t="s">
        <v>82</v>
      </c>
      <c r="W1409" s="44">
        <v>43408</v>
      </c>
      <c r="X1409" s="24"/>
      <c r="Y1409" s="24"/>
      <c r="Z1409" s="25"/>
    </row>
    <row r="1410" spans="20:26" x14ac:dyDescent="0.25">
      <c r="T1410" s="43">
        <v>43409</v>
      </c>
      <c r="U1410" t="str">
        <f t="shared" ref="U1410:U1473" si="22">RIGHT(Z1410,4)</f>
        <v/>
      </c>
      <c r="V1410" s="44" t="s">
        <v>83</v>
      </c>
      <c r="W1410" s="44">
        <v>43408</v>
      </c>
      <c r="X1410" s="24"/>
      <c r="Y1410" s="24"/>
      <c r="Z1410" s="25"/>
    </row>
    <row r="1411" spans="20:26" x14ac:dyDescent="0.25">
      <c r="T1411" s="43">
        <v>43410</v>
      </c>
      <c r="U1411" t="str">
        <f t="shared" si="22"/>
        <v/>
      </c>
      <c r="V1411" s="44" t="s">
        <v>84</v>
      </c>
      <c r="W1411" s="44">
        <v>43408</v>
      </c>
      <c r="X1411" s="24"/>
      <c r="Y1411" s="24"/>
      <c r="Z1411" s="25"/>
    </row>
    <row r="1412" spans="20:26" x14ac:dyDescent="0.25">
      <c r="T1412" s="43">
        <v>43411</v>
      </c>
      <c r="U1412" t="str">
        <f t="shared" si="22"/>
        <v/>
      </c>
      <c r="V1412" s="44" t="s">
        <v>85</v>
      </c>
      <c r="W1412" s="44">
        <v>43408</v>
      </c>
      <c r="X1412" s="24"/>
      <c r="Y1412" s="24"/>
      <c r="Z1412" s="25"/>
    </row>
    <row r="1413" spans="20:26" x14ac:dyDescent="0.25">
      <c r="T1413" s="43">
        <v>43412</v>
      </c>
      <c r="U1413" t="str">
        <f t="shared" si="22"/>
        <v/>
      </c>
      <c r="V1413" s="44" t="s">
        <v>86</v>
      </c>
      <c r="W1413" s="44">
        <v>43408</v>
      </c>
      <c r="X1413" s="24"/>
      <c r="Y1413" s="24"/>
      <c r="Z1413" s="25"/>
    </row>
    <row r="1414" spans="20:26" x14ac:dyDescent="0.25">
      <c r="T1414" s="43">
        <v>43413</v>
      </c>
      <c r="U1414" t="str">
        <f t="shared" si="22"/>
        <v/>
      </c>
      <c r="V1414" s="44" t="s">
        <v>87</v>
      </c>
      <c r="W1414" s="44">
        <v>43408</v>
      </c>
      <c r="X1414" s="24"/>
      <c r="Y1414" s="24"/>
      <c r="Z1414" s="25"/>
    </row>
    <row r="1415" spans="20:26" x14ac:dyDescent="0.25">
      <c r="T1415" s="43">
        <v>43414</v>
      </c>
      <c r="U1415" t="str">
        <f t="shared" si="22"/>
        <v/>
      </c>
      <c r="V1415" s="44" t="s">
        <v>88</v>
      </c>
      <c r="W1415" s="44">
        <v>43408</v>
      </c>
      <c r="X1415" s="24"/>
      <c r="Y1415" s="24"/>
      <c r="Z1415" s="25"/>
    </row>
    <row r="1416" spans="20:26" x14ac:dyDescent="0.25">
      <c r="T1416" s="43">
        <v>43415</v>
      </c>
      <c r="U1416" t="str">
        <f t="shared" si="22"/>
        <v/>
      </c>
      <c r="V1416" s="44" t="s">
        <v>82</v>
      </c>
      <c r="W1416" s="44">
        <v>43415</v>
      </c>
      <c r="X1416" s="24"/>
      <c r="Y1416" s="24"/>
      <c r="Z1416" s="25"/>
    </row>
    <row r="1417" spans="20:26" x14ac:dyDescent="0.25">
      <c r="T1417" s="43">
        <v>43416</v>
      </c>
      <c r="U1417" t="str">
        <f t="shared" si="22"/>
        <v/>
      </c>
      <c r="V1417" s="44" t="s">
        <v>83</v>
      </c>
      <c r="W1417" s="44">
        <v>43415</v>
      </c>
      <c r="X1417" s="24"/>
      <c r="Y1417" s="24"/>
      <c r="Z1417" s="25"/>
    </row>
    <row r="1418" spans="20:26" x14ac:dyDescent="0.25">
      <c r="T1418" s="43">
        <v>43417</v>
      </c>
      <c r="U1418" t="str">
        <f t="shared" si="22"/>
        <v/>
      </c>
      <c r="V1418" s="44" t="s">
        <v>84</v>
      </c>
      <c r="W1418" s="44">
        <v>43415</v>
      </c>
      <c r="X1418" s="24"/>
      <c r="Y1418" s="24"/>
      <c r="Z1418" s="25"/>
    </row>
    <row r="1419" spans="20:26" x14ac:dyDescent="0.25">
      <c r="T1419" s="43">
        <v>43418</v>
      </c>
      <c r="U1419" t="str">
        <f t="shared" si="22"/>
        <v/>
      </c>
      <c r="V1419" s="44" t="s">
        <v>85</v>
      </c>
      <c r="W1419" s="44">
        <v>43415</v>
      </c>
      <c r="X1419" s="24"/>
      <c r="Y1419" s="24"/>
      <c r="Z1419" s="25"/>
    </row>
    <row r="1420" spans="20:26" x14ac:dyDescent="0.25">
      <c r="T1420" s="43">
        <v>43419</v>
      </c>
      <c r="U1420" t="str">
        <f t="shared" si="22"/>
        <v/>
      </c>
      <c r="V1420" s="44" t="s">
        <v>86</v>
      </c>
      <c r="W1420" s="44">
        <v>43415</v>
      </c>
      <c r="X1420" s="24"/>
      <c r="Y1420" s="24"/>
      <c r="Z1420" s="25"/>
    </row>
    <row r="1421" spans="20:26" x14ac:dyDescent="0.25">
      <c r="T1421" s="43">
        <v>43420</v>
      </c>
      <c r="U1421" t="str">
        <f t="shared" si="22"/>
        <v/>
      </c>
      <c r="V1421" s="44" t="s">
        <v>87</v>
      </c>
      <c r="W1421" s="44">
        <v>43415</v>
      </c>
      <c r="X1421" s="24"/>
      <c r="Y1421" s="24"/>
      <c r="Z1421" s="25"/>
    </row>
    <row r="1422" spans="20:26" x14ac:dyDescent="0.25">
      <c r="T1422" s="43">
        <v>43421</v>
      </c>
      <c r="U1422" t="str">
        <f t="shared" si="22"/>
        <v/>
      </c>
      <c r="V1422" s="44" t="s">
        <v>88</v>
      </c>
      <c r="W1422" s="44">
        <v>43415</v>
      </c>
      <c r="X1422" s="24"/>
      <c r="Y1422" s="24"/>
      <c r="Z1422" s="25"/>
    </row>
    <row r="1423" spans="20:26" x14ac:dyDescent="0.25">
      <c r="T1423" s="43">
        <v>43422</v>
      </c>
      <c r="U1423" t="str">
        <f t="shared" si="22"/>
        <v/>
      </c>
      <c r="V1423" s="44" t="s">
        <v>82</v>
      </c>
      <c r="W1423" s="44">
        <v>43422</v>
      </c>
      <c r="X1423" s="24"/>
      <c r="Y1423" s="24"/>
      <c r="Z1423" s="25"/>
    </row>
    <row r="1424" spans="20:26" x14ac:dyDescent="0.25">
      <c r="T1424" s="43">
        <v>43423</v>
      </c>
      <c r="U1424" t="str">
        <f t="shared" si="22"/>
        <v/>
      </c>
      <c r="V1424" s="44" t="s">
        <v>83</v>
      </c>
      <c r="W1424" s="44">
        <v>43422</v>
      </c>
      <c r="X1424" s="24"/>
      <c r="Y1424" s="24"/>
      <c r="Z1424" s="25"/>
    </row>
    <row r="1425" spans="20:26" x14ac:dyDescent="0.25">
      <c r="T1425" s="43">
        <v>43424</v>
      </c>
      <c r="U1425" t="str">
        <f t="shared" si="22"/>
        <v/>
      </c>
      <c r="V1425" s="44" t="s">
        <v>84</v>
      </c>
      <c r="W1425" s="44">
        <v>43422</v>
      </c>
      <c r="X1425" s="24"/>
      <c r="Y1425" s="24"/>
      <c r="Z1425" s="25"/>
    </row>
    <row r="1426" spans="20:26" x14ac:dyDescent="0.25">
      <c r="T1426" s="43">
        <v>43425</v>
      </c>
      <c r="U1426" t="str">
        <f t="shared" si="22"/>
        <v/>
      </c>
      <c r="V1426" s="44" t="s">
        <v>85</v>
      </c>
      <c r="W1426" s="44">
        <v>43422</v>
      </c>
      <c r="X1426" s="24"/>
      <c r="Y1426" s="24"/>
      <c r="Z1426" s="25"/>
    </row>
    <row r="1427" spans="20:26" x14ac:dyDescent="0.25">
      <c r="T1427" s="43">
        <v>43426</v>
      </c>
      <c r="U1427" t="str">
        <f t="shared" si="22"/>
        <v/>
      </c>
      <c r="V1427" s="44" t="s">
        <v>86</v>
      </c>
      <c r="W1427" s="44">
        <v>43422</v>
      </c>
      <c r="X1427" s="24"/>
      <c r="Y1427" s="24"/>
      <c r="Z1427" s="25"/>
    </row>
    <row r="1428" spans="20:26" x14ac:dyDescent="0.25">
      <c r="T1428" s="43">
        <v>43427</v>
      </c>
      <c r="U1428" t="str">
        <f t="shared" si="22"/>
        <v/>
      </c>
      <c r="V1428" s="44" t="s">
        <v>87</v>
      </c>
      <c r="W1428" s="44">
        <v>43422</v>
      </c>
      <c r="X1428" s="24"/>
      <c r="Y1428" s="24"/>
      <c r="Z1428" s="25"/>
    </row>
    <row r="1429" spans="20:26" x14ac:dyDescent="0.25">
      <c r="T1429" s="43">
        <v>43428</v>
      </c>
      <c r="U1429" t="str">
        <f t="shared" si="22"/>
        <v/>
      </c>
      <c r="V1429" s="44" t="s">
        <v>88</v>
      </c>
      <c r="W1429" s="44">
        <v>43422</v>
      </c>
      <c r="X1429" s="24"/>
      <c r="Y1429" s="24"/>
      <c r="Z1429" s="25"/>
    </row>
    <row r="1430" spans="20:26" x14ac:dyDescent="0.25">
      <c r="T1430" s="43">
        <v>43429</v>
      </c>
      <c r="U1430" t="str">
        <f t="shared" si="22"/>
        <v/>
      </c>
      <c r="V1430" s="44" t="s">
        <v>82</v>
      </c>
      <c r="W1430" s="44">
        <v>43429</v>
      </c>
      <c r="X1430" s="24"/>
      <c r="Y1430" s="24"/>
      <c r="Z1430" s="25"/>
    </row>
    <row r="1431" spans="20:26" x14ac:dyDescent="0.25">
      <c r="T1431" s="43">
        <v>43430</v>
      </c>
      <c r="U1431" t="str">
        <f t="shared" si="22"/>
        <v/>
      </c>
      <c r="V1431" s="44" t="s">
        <v>83</v>
      </c>
      <c r="W1431" s="44">
        <v>43429</v>
      </c>
      <c r="X1431" s="24"/>
      <c r="Y1431" s="24"/>
      <c r="Z1431" s="25"/>
    </row>
    <row r="1432" spans="20:26" x14ac:dyDescent="0.25">
      <c r="T1432" s="43">
        <v>43431</v>
      </c>
      <c r="U1432" t="str">
        <f t="shared" si="22"/>
        <v/>
      </c>
      <c r="V1432" s="44" t="s">
        <v>84</v>
      </c>
      <c r="W1432" s="44">
        <v>43429</v>
      </c>
      <c r="X1432" s="24"/>
      <c r="Y1432" s="24"/>
      <c r="Z1432" s="25"/>
    </row>
    <row r="1433" spans="20:26" x14ac:dyDescent="0.25">
      <c r="T1433" s="43">
        <v>43432</v>
      </c>
      <c r="U1433" t="str">
        <f t="shared" si="22"/>
        <v/>
      </c>
      <c r="V1433" s="44" t="s">
        <v>85</v>
      </c>
      <c r="W1433" s="44">
        <v>43429</v>
      </c>
      <c r="X1433" s="24"/>
      <c r="Y1433" s="24"/>
      <c r="Z1433" s="25"/>
    </row>
    <row r="1434" spans="20:26" x14ac:dyDescent="0.25">
      <c r="T1434" s="43">
        <v>43433</v>
      </c>
      <c r="U1434" t="str">
        <f t="shared" si="22"/>
        <v/>
      </c>
      <c r="V1434" s="44" t="s">
        <v>86</v>
      </c>
      <c r="W1434" s="44">
        <v>43429</v>
      </c>
      <c r="X1434" s="24"/>
      <c r="Y1434" s="24"/>
      <c r="Z1434" s="25"/>
    </row>
    <row r="1435" spans="20:26" x14ac:dyDescent="0.25">
      <c r="T1435" s="43">
        <v>43434</v>
      </c>
      <c r="U1435" t="str">
        <f t="shared" si="22"/>
        <v/>
      </c>
      <c r="V1435" s="44" t="s">
        <v>87</v>
      </c>
      <c r="W1435" s="44">
        <v>43429</v>
      </c>
      <c r="X1435" s="24"/>
      <c r="Y1435" s="24"/>
      <c r="Z1435" s="25"/>
    </row>
    <row r="1436" spans="20:26" x14ac:dyDescent="0.25">
      <c r="T1436" s="43">
        <v>43435</v>
      </c>
      <c r="U1436" t="str">
        <f t="shared" si="22"/>
        <v/>
      </c>
      <c r="V1436" s="44" t="s">
        <v>88</v>
      </c>
      <c r="W1436" s="44">
        <v>43429</v>
      </c>
      <c r="X1436" s="24"/>
      <c r="Y1436" s="24"/>
      <c r="Z1436" s="25"/>
    </row>
    <row r="1437" spans="20:26" x14ac:dyDescent="0.25">
      <c r="T1437" s="43">
        <v>43436</v>
      </c>
      <c r="U1437" t="str">
        <f t="shared" si="22"/>
        <v/>
      </c>
      <c r="V1437" s="44" t="s">
        <v>82</v>
      </c>
      <c r="W1437" s="44">
        <v>43436</v>
      </c>
      <c r="X1437" s="24"/>
      <c r="Y1437" s="24"/>
      <c r="Z1437" s="25"/>
    </row>
    <row r="1438" spans="20:26" x14ac:dyDescent="0.25">
      <c r="T1438" s="43">
        <v>43437</v>
      </c>
      <c r="U1438" t="str">
        <f t="shared" si="22"/>
        <v/>
      </c>
      <c r="V1438" s="44" t="s">
        <v>83</v>
      </c>
      <c r="W1438" s="44">
        <v>43436</v>
      </c>
      <c r="X1438" s="24"/>
      <c r="Y1438" s="24"/>
      <c r="Z1438" s="25"/>
    </row>
    <row r="1439" spans="20:26" x14ac:dyDescent="0.25">
      <c r="T1439" s="43">
        <v>43438</v>
      </c>
      <c r="U1439" t="str">
        <f t="shared" si="22"/>
        <v/>
      </c>
      <c r="V1439" s="44" t="s">
        <v>84</v>
      </c>
      <c r="W1439" s="44">
        <v>43436</v>
      </c>
      <c r="X1439" s="24"/>
      <c r="Y1439" s="24"/>
      <c r="Z1439" s="25"/>
    </row>
    <row r="1440" spans="20:26" x14ac:dyDescent="0.25">
      <c r="T1440" s="43">
        <v>43439</v>
      </c>
      <c r="U1440" t="str">
        <f t="shared" si="22"/>
        <v/>
      </c>
      <c r="V1440" s="44" t="s">
        <v>85</v>
      </c>
      <c r="W1440" s="44">
        <v>43436</v>
      </c>
      <c r="X1440" s="24"/>
      <c r="Y1440" s="24"/>
      <c r="Z1440" s="25"/>
    </row>
    <row r="1441" spans="20:26" x14ac:dyDescent="0.25">
      <c r="T1441" s="43">
        <v>43440</v>
      </c>
      <c r="U1441" t="str">
        <f t="shared" si="22"/>
        <v/>
      </c>
      <c r="V1441" s="44" t="s">
        <v>86</v>
      </c>
      <c r="W1441" s="44">
        <v>43436</v>
      </c>
      <c r="X1441" s="24"/>
      <c r="Y1441" s="24"/>
      <c r="Z1441" s="25"/>
    </row>
    <row r="1442" spans="20:26" x14ac:dyDescent="0.25">
      <c r="T1442" s="43">
        <v>43441</v>
      </c>
      <c r="U1442" t="str">
        <f t="shared" si="22"/>
        <v/>
      </c>
      <c r="V1442" s="44" t="s">
        <v>87</v>
      </c>
      <c r="W1442" s="44">
        <v>43436</v>
      </c>
      <c r="X1442" s="24"/>
      <c r="Y1442" s="24"/>
      <c r="Z1442" s="25"/>
    </row>
    <row r="1443" spans="20:26" x14ac:dyDescent="0.25">
      <c r="T1443" s="43">
        <v>43442</v>
      </c>
      <c r="U1443" t="str">
        <f t="shared" si="22"/>
        <v/>
      </c>
      <c r="V1443" s="44" t="s">
        <v>88</v>
      </c>
      <c r="W1443" s="44">
        <v>43436</v>
      </c>
      <c r="X1443" s="24"/>
      <c r="Y1443" s="24"/>
      <c r="Z1443" s="25"/>
    </row>
    <row r="1444" spans="20:26" x14ac:dyDescent="0.25">
      <c r="T1444" s="43">
        <v>43443</v>
      </c>
      <c r="U1444" t="str">
        <f t="shared" si="22"/>
        <v/>
      </c>
      <c r="V1444" s="44" t="s">
        <v>82</v>
      </c>
      <c r="W1444" s="44">
        <v>43443</v>
      </c>
      <c r="X1444" s="24"/>
      <c r="Y1444" s="24"/>
      <c r="Z1444" s="25"/>
    </row>
    <row r="1445" spans="20:26" x14ac:dyDescent="0.25">
      <c r="T1445" s="43">
        <v>43444</v>
      </c>
      <c r="U1445" t="str">
        <f t="shared" si="22"/>
        <v/>
      </c>
      <c r="V1445" s="44" t="s">
        <v>83</v>
      </c>
      <c r="W1445" s="44">
        <v>43443</v>
      </c>
      <c r="X1445" s="24"/>
      <c r="Y1445" s="24"/>
      <c r="Z1445" s="25"/>
    </row>
    <row r="1446" spans="20:26" x14ac:dyDescent="0.25">
      <c r="T1446" s="43">
        <v>43445</v>
      </c>
      <c r="U1446" t="str">
        <f t="shared" si="22"/>
        <v/>
      </c>
      <c r="V1446" s="44" t="s">
        <v>84</v>
      </c>
      <c r="W1446" s="44">
        <v>43443</v>
      </c>
      <c r="X1446" s="24"/>
      <c r="Y1446" s="24"/>
      <c r="Z1446" s="25"/>
    </row>
    <row r="1447" spans="20:26" x14ac:dyDescent="0.25">
      <c r="T1447" s="43">
        <v>43446</v>
      </c>
      <c r="U1447" t="str">
        <f t="shared" si="22"/>
        <v/>
      </c>
      <c r="V1447" s="44" t="s">
        <v>85</v>
      </c>
      <c r="W1447" s="44">
        <v>43443</v>
      </c>
      <c r="X1447" s="24"/>
      <c r="Y1447" s="24"/>
      <c r="Z1447" s="25"/>
    </row>
    <row r="1448" spans="20:26" x14ac:dyDescent="0.25">
      <c r="T1448" s="43">
        <v>43447</v>
      </c>
      <c r="U1448" t="str">
        <f t="shared" si="22"/>
        <v/>
      </c>
      <c r="V1448" s="44" t="s">
        <v>86</v>
      </c>
      <c r="W1448" s="44">
        <v>43443</v>
      </c>
      <c r="X1448" s="24"/>
      <c r="Y1448" s="24"/>
      <c r="Z1448" s="25"/>
    </row>
    <row r="1449" spans="20:26" x14ac:dyDescent="0.25">
      <c r="T1449" s="43">
        <v>43448</v>
      </c>
      <c r="U1449" t="str">
        <f t="shared" si="22"/>
        <v/>
      </c>
      <c r="V1449" s="44" t="s">
        <v>87</v>
      </c>
      <c r="W1449" s="44">
        <v>43443</v>
      </c>
      <c r="X1449" s="24"/>
      <c r="Y1449" s="24"/>
      <c r="Z1449" s="25"/>
    </row>
    <row r="1450" spans="20:26" x14ac:dyDescent="0.25">
      <c r="T1450" s="43">
        <v>43449</v>
      </c>
      <c r="U1450" t="str">
        <f t="shared" si="22"/>
        <v/>
      </c>
      <c r="V1450" s="44" t="s">
        <v>88</v>
      </c>
      <c r="W1450" s="44">
        <v>43443</v>
      </c>
      <c r="X1450" s="24"/>
      <c r="Y1450" s="24"/>
      <c r="Z1450" s="25"/>
    </row>
    <row r="1451" spans="20:26" x14ac:dyDescent="0.25">
      <c r="T1451" s="43">
        <v>43450</v>
      </c>
      <c r="U1451" t="str">
        <f t="shared" si="22"/>
        <v/>
      </c>
      <c r="V1451" s="44" t="s">
        <v>82</v>
      </c>
      <c r="W1451" s="44">
        <v>43450</v>
      </c>
      <c r="X1451" s="24"/>
      <c r="Y1451" s="24"/>
      <c r="Z1451" s="25"/>
    </row>
    <row r="1452" spans="20:26" x14ac:dyDescent="0.25">
      <c r="T1452" s="43">
        <v>43451</v>
      </c>
      <c r="U1452" t="str">
        <f t="shared" si="22"/>
        <v/>
      </c>
      <c r="V1452" s="44" t="s">
        <v>83</v>
      </c>
      <c r="W1452" s="44">
        <v>43450</v>
      </c>
      <c r="X1452" s="24"/>
      <c r="Y1452" s="24"/>
      <c r="Z1452" s="25"/>
    </row>
    <row r="1453" spans="20:26" x14ac:dyDescent="0.25">
      <c r="T1453" s="43">
        <v>43452</v>
      </c>
      <c r="U1453" t="str">
        <f t="shared" si="22"/>
        <v/>
      </c>
      <c r="V1453" s="44" t="s">
        <v>84</v>
      </c>
      <c r="W1453" s="44">
        <v>43450</v>
      </c>
      <c r="X1453" s="24"/>
      <c r="Y1453" s="24"/>
      <c r="Z1453" s="25"/>
    </row>
    <row r="1454" spans="20:26" x14ac:dyDescent="0.25">
      <c r="T1454" s="43">
        <v>43453</v>
      </c>
      <c r="U1454" t="str">
        <f t="shared" si="22"/>
        <v/>
      </c>
      <c r="V1454" s="44" t="s">
        <v>85</v>
      </c>
      <c r="W1454" s="44">
        <v>43450</v>
      </c>
      <c r="X1454" s="24"/>
      <c r="Y1454" s="24"/>
      <c r="Z1454" s="25"/>
    </row>
    <row r="1455" spans="20:26" x14ac:dyDescent="0.25">
      <c r="T1455" s="43">
        <v>43454</v>
      </c>
      <c r="U1455" t="str">
        <f t="shared" si="22"/>
        <v/>
      </c>
      <c r="V1455" s="44" t="s">
        <v>86</v>
      </c>
      <c r="W1455" s="44">
        <v>43450</v>
      </c>
      <c r="X1455" s="24"/>
      <c r="Y1455" s="24"/>
      <c r="Z1455" s="25"/>
    </row>
    <row r="1456" spans="20:26" x14ac:dyDescent="0.25">
      <c r="T1456" s="43">
        <v>43455</v>
      </c>
      <c r="U1456" t="str">
        <f t="shared" si="22"/>
        <v/>
      </c>
      <c r="V1456" s="44" t="s">
        <v>87</v>
      </c>
      <c r="W1456" s="44">
        <v>43450</v>
      </c>
      <c r="X1456" s="24"/>
      <c r="Y1456" s="24"/>
      <c r="Z1456" s="25"/>
    </row>
    <row r="1457" spans="20:26" x14ac:dyDescent="0.25">
      <c r="T1457" s="43">
        <v>43456</v>
      </c>
      <c r="U1457" t="str">
        <f t="shared" si="22"/>
        <v/>
      </c>
      <c r="V1457" s="44" t="s">
        <v>88</v>
      </c>
      <c r="W1457" s="44">
        <v>43450</v>
      </c>
      <c r="X1457" s="24"/>
      <c r="Y1457" s="24"/>
      <c r="Z1457" s="25"/>
    </row>
    <row r="1458" spans="20:26" x14ac:dyDescent="0.25">
      <c r="T1458" s="43">
        <v>43457</v>
      </c>
      <c r="U1458" t="str">
        <f t="shared" si="22"/>
        <v/>
      </c>
      <c r="V1458" s="44" t="s">
        <v>82</v>
      </c>
      <c r="W1458" s="44">
        <v>43457</v>
      </c>
      <c r="X1458" s="24"/>
      <c r="Y1458" s="24"/>
      <c r="Z1458" s="25"/>
    </row>
    <row r="1459" spans="20:26" x14ac:dyDescent="0.25">
      <c r="T1459" s="43">
        <v>43458</v>
      </c>
      <c r="U1459" t="str">
        <f t="shared" si="22"/>
        <v/>
      </c>
      <c r="V1459" s="44" t="s">
        <v>83</v>
      </c>
      <c r="W1459" s="44">
        <v>43457</v>
      </c>
      <c r="X1459" s="24"/>
      <c r="Y1459" s="24"/>
      <c r="Z1459" s="25"/>
    </row>
    <row r="1460" spans="20:26" x14ac:dyDescent="0.25">
      <c r="T1460" s="43">
        <v>43459</v>
      </c>
      <c r="U1460" t="str">
        <f t="shared" si="22"/>
        <v/>
      </c>
      <c r="V1460" s="44" t="s">
        <v>84</v>
      </c>
      <c r="W1460" s="44">
        <v>43457</v>
      </c>
      <c r="X1460" s="24"/>
      <c r="Y1460" s="24"/>
      <c r="Z1460" s="25"/>
    </row>
    <row r="1461" spans="20:26" x14ac:dyDescent="0.25">
      <c r="T1461" s="43">
        <v>43460</v>
      </c>
      <c r="U1461" t="str">
        <f t="shared" si="22"/>
        <v/>
      </c>
      <c r="V1461" s="44" t="s">
        <v>85</v>
      </c>
      <c r="W1461" s="44">
        <v>43457</v>
      </c>
      <c r="X1461" s="24"/>
      <c r="Y1461" s="24"/>
      <c r="Z1461" s="25"/>
    </row>
    <row r="1462" spans="20:26" x14ac:dyDescent="0.25">
      <c r="T1462" s="43">
        <v>43461</v>
      </c>
      <c r="U1462" t="str">
        <f t="shared" si="22"/>
        <v/>
      </c>
      <c r="V1462" s="44" t="s">
        <v>86</v>
      </c>
      <c r="W1462" s="44">
        <v>43457</v>
      </c>
      <c r="X1462" s="24"/>
      <c r="Y1462" s="24"/>
      <c r="Z1462" s="25"/>
    </row>
    <row r="1463" spans="20:26" x14ac:dyDescent="0.25">
      <c r="T1463" s="43">
        <v>43462</v>
      </c>
      <c r="U1463" t="str">
        <f t="shared" si="22"/>
        <v/>
      </c>
      <c r="V1463" s="44" t="s">
        <v>87</v>
      </c>
      <c r="W1463" s="44">
        <v>43457</v>
      </c>
      <c r="X1463" s="24"/>
      <c r="Y1463" s="24"/>
      <c r="Z1463" s="25"/>
    </row>
    <row r="1464" spans="20:26" x14ac:dyDescent="0.25">
      <c r="T1464" s="43">
        <v>43463</v>
      </c>
      <c r="U1464" t="str">
        <f t="shared" si="22"/>
        <v/>
      </c>
      <c r="V1464" s="44" t="s">
        <v>88</v>
      </c>
      <c r="W1464" s="44">
        <v>43457</v>
      </c>
      <c r="X1464" s="24"/>
      <c r="Y1464" s="24"/>
      <c r="Z1464" s="25"/>
    </row>
    <row r="1465" spans="20:26" x14ac:dyDescent="0.25">
      <c r="T1465" s="43">
        <v>43464</v>
      </c>
      <c r="U1465" t="str">
        <f t="shared" si="22"/>
        <v/>
      </c>
      <c r="V1465" s="44" t="s">
        <v>82</v>
      </c>
      <c r="W1465" s="44">
        <v>43464</v>
      </c>
      <c r="X1465" s="24"/>
      <c r="Y1465" s="24"/>
      <c r="Z1465" s="25"/>
    </row>
    <row r="1466" spans="20:26" x14ac:dyDescent="0.25">
      <c r="T1466" s="43">
        <v>43465</v>
      </c>
      <c r="U1466" t="str">
        <f t="shared" si="22"/>
        <v/>
      </c>
      <c r="V1466" s="44" t="s">
        <v>83</v>
      </c>
      <c r="W1466" s="44">
        <v>43464</v>
      </c>
      <c r="X1466" s="24"/>
      <c r="Y1466" s="24"/>
      <c r="Z1466" s="25"/>
    </row>
    <row r="1467" spans="20:26" x14ac:dyDescent="0.25">
      <c r="T1467" s="43">
        <v>43466</v>
      </c>
      <c r="U1467" t="str">
        <f t="shared" si="22"/>
        <v/>
      </c>
      <c r="V1467" s="44" t="s">
        <v>84</v>
      </c>
      <c r="W1467" s="44">
        <v>43464</v>
      </c>
      <c r="X1467" s="24"/>
      <c r="Y1467" s="24"/>
      <c r="Z1467" s="25"/>
    </row>
    <row r="1468" spans="20:26" x14ac:dyDescent="0.25">
      <c r="T1468" s="43">
        <v>43467</v>
      </c>
      <c r="U1468" t="str">
        <f t="shared" si="22"/>
        <v/>
      </c>
      <c r="V1468" s="44" t="s">
        <v>85</v>
      </c>
      <c r="W1468" s="44">
        <v>43464</v>
      </c>
      <c r="X1468" s="24"/>
      <c r="Y1468" s="24"/>
      <c r="Z1468" s="25"/>
    </row>
    <row r="1469" spans="20:26" x14ac:dyDescent="0.25">
      <c r="T1469" s="43">
        <v>43468</v>
      </c>
      <c r="U1469" t="str">
        <f t="shared" si="22"/>
        <v/>
      </c>
      <c r="V1469" s="44" t="s">
        <v>86</v>
      </c>
      <c r="W1469" s="44">
        <v>43464</v>
      </c>
      <c r="X1469" s="24"/>
      <c r="Y1469" s="24"/>
      <c r="Z1469" s="25"/>
    </row>
    <row r="1470" spans="20:26" x14ac:dyDescent="0.25">
      <c r="T1470" s="43">
        <v>43469</v>
      </c>
      <c r="U1470" t="str">
        <f t="shared" si="22"/>
        <v/>
      </c>
      <c r="V1470" s="44" t="s">
        <v>87</v>
      </c>
      <c r="W1470" s="44">
        <v>43464</v>
      </c>
      <c r="X1470" s="24"/>
      <c r="Y1470" s="24"/>
      <c r="Z1470" s="25"/>
    </row>
    <row r="1471" spans="20:26" x14ac:dyDescent="0.25">
      <c r="T1471" s="43">
        <v>43470</v>
      </c>
      <c r="U1471" t="str">
        <f t="shared" si="22"/>
        <v/>
      </c>
      <c r="V1471" s="44" t="s">
        <v>88</v>
      </c>
      <c r="W1471" s="44">
        <v>43464</v>
      </c>
      <c r="X1471" s="24"/>
      <c r="Y1471" s="24"/>
      <c r="Z1471" s="25"/>
    </row>
    <row r="1472" spans="20:26" x14ac:dyDescent="0.25">
      <c r="T1472" s="43">
        <v>43471</v>
      </c>
      <c r="U1472" t="str">
        <f t="shared" si="22"/>
        <v/>
      </c>
      <c r="V1472" s="44" t="s">
        <v>82</v>
      </c>
      <c r="W1472" s="44">
        <v>43471</v>
      </c>
      <c r="X1472" s="24"/>
      <c r="Y1472" s="24"/>
      <c r="Z1472" s="25"/>
    </row>
    <row r="1473" spans="20:26" x14ac:dyDescent="0.25">
      <c r="T1473" s="43">
        <v>43472</v>
      </c>
      <c r="U1473" t="str">
        <f t="shared" si="22"/>
        <v/>
      </c>
      <c r="V1473" s="44" t="s">
        <v>83</v>
      </c>
      <c r="W1473" s="44">
        <v>43471</v>
      </c>
      <c r="X1473" s="24"/>
      <c r="Y1473" s="24"/>
      <c r="Z1473" s="25"/>
    </row>
    <row r="1474" spans="20:26" x14ac:dyDescent="0.25">
      <c r="T1474" s="43">
        <v>43473</v>
      </c>
      <c r="U1474" t="str">
        <f t="shared" ref="U1474:U1537" si="23">RIGHT(Z1474,4)</f>
        <v/>
      </c>
      <c r="V1474" s="44" t="s">
        <v>84</v>
      </c>
      <c r="W1474" s="44">
        <v>43471</v>
      </c>
      <c r="X1474" s="24"/>
      <c r="Y1474" s="24"/>
      <c r="Z1474" s="25"/>
    </row>
    <row r="1475" spans="20:26" x14ac:dyDescent="0.25">
      <c r="T1475" s="43">
        <v>43474</v>
      </c>
      <c r="U1475" t="str">
        <f t="shared" si="23"/>
        <v/>
      </c>
      <c r="V1475" s="44" t="s">
        <v>85</v>
      </c>
      <c r="W1475" s="44">
        <v>43471</v>
      </c>
      <c r="X1475" s="24"/>
      <c r="Y1475" s="24"/>
      <c r="Z1475" s="25"/>
    </row>
    <row r="1476" spans="20:26" x14ac:dyDescent="0.25">
      <c r="T1476" s="43">
        <v>43475</v>
      </c>
      <c r="U1476" t="str">
        <f t="shared" si="23"/>
        <v/>
      </c>
      <c r="V1476" s="44" t="s">
        <v>86</v>
      </c>
      <c r="W1476" s="44">
        <v>43471</v>
      </c>
      <c r="X1476" s="24"/>
      <c r="Y1476" s="24"/>
      <c r="Z1476" s="25"/>
    </row>
    <row r="1477" spans="20:26" x14ac:dyDescent="0.25">
      <c r="T1477" s="43">
        <v>43476</v>
      </c>
      <c r="U1477" t="str">
        <f t="shared" si="23"/>
        <v/>
      </c>
      <c r="V1477" s="44" t="s">
        <v>87</v>
      </c>
      <c r="W1477" s="44">
        <v>43471</v>
      </c>
      <c r="X1477" s="24"/>
      <c r="Y1477" s="24"/>
      <c r="Z1477" s="25"/>
    </row>
    <row r="1478" spans="20:26" x14ac:dyDescent="0.25">
      <c r="T1478" s="43">
        <v>43477</v>
      </c>
      <c r="U1478" t="str">
        <f t="shared" si="23"/>
        <v/>
      </c>
      <c r="V1478" s="44" t="s">
        <v>88</v>
      </c>
      <c r="W1478" s="44">
        <v>43471</v>
      </c>
      <c r="X1478" s="24"/>
      <c r="Y1478" s="24"/>
      <c r="Z1478" s="25"/>
    </row>
    <row r="1479" spans="20:26" x14ac:dyDescent="0.25">
      <c r="T1479" s="43">
        <v>43478</v>
      </c>
      <c r="U1479" t="str">
        <f t="shared" si="23"/>
        <v/>
      </c>
      <c r="V1479" s="44" t="s">
        <v>82</v>
      </c>
      <c r="W1479" s="44">
        <v>43478</v>
      </c>
      <c r="X1479" s="24"/>
      <c r="Y1479" s="24"/>
      <c r="Z1479" s="25"/>
    </row>
    <row r="1480" spans="20:26" x14ac:dyDescent="0.25">
      <c r="T1480" s="43">
        <v>43479</v>
      </c>
      <c r="U1480" t="str">
        <f t="shared" si="23"/>
        <v/>
      </c>
      <c r="V1480" s="44" t="s">
        <v>83</v>
      </c>
      <c r="W1480" s="44">
        <v>43478</v>
      </c>
      <c r="X1480" s="24"/>
      <c r="Y1480" s="24"/>
      <c r="Z1480" s="25"/>
    </row>
    <row r="1481" spans="20:26" x14ac:dyDescent="0.25">
      <c r="T1481" s="43">
        <v>43480</v>
      </c>
      <c r="U1481" t="str">
        <f t="shared" si="23"/>
        <v/>
      </c>
      <c r="V1481" s="44" t="s">
        <v>84</v>
      </c>
      <c r="W1481" s="44">
        <v>43478</v>
      </c>
      <c r="X1481" s="24"/>
      <c r="Y1481" s="24"/>
      <c r="Z1481" s="25"/>
    </row>
    <row r="1482" spans="20:26" x14ac:dyDescent="0.25">
      <c r="T1482" s="43">
        <v>43481</v>
      </c>
      <c r="U1482" t="str">
        <f t="shared" si="23"/>
        <v/>
      </c>
      <c r="V1482" s="44" t="s">
        <v>85</v>
      </c>
      <c r="W1482" s="44">
        <v>43478</v>
      </c>
      <c r="X1482" s="24"/>
      <c r="Y1482" s="24"/>
      <c r="Z1482" s="25"/>
    </row>
    <row r="1483" spans="20:26" x14ac:dyDescent="0.25">
      <c r="T1483" s="43">
        <v>43482</v>
      </c>
      <c r="U1483" t="str">
        <f t="shared" si="23"/>
        <v/>
      </c>
      <c r="V1483" s="44" t="s">
        <v>86</v>
      </c>
      <c r="W1483" s="44">
        <v>43478</v>
      </c>
      <c r="X1483" s="24"/>
      <c r="Y1483" s="24"/>
      <c r="Z1483" s="25"/>
    </row>
    <row r="1484" spans="20:26" x14ac:dyDescent="0.25">
      <c r="T1484" s="43">
        <v>43483</v>
      </c>
      <c r="U1484" t="str">
        <f t="shared" si="23"/>
        <v/>
      </c>
      <c r="V1484" s="44" t="s">
        <v>87</v>
      </c>
      <c r="W1484" s="44">
        <v>43478</v>
      </c>
      <c r="X1484" s="24"/>
      <c r="Y1484" s="24"/>
      <c r="Z1484" s="25"/>
    </row>
    <row r="1485" spans="20:26" x14ac:dyDescent="0.25">
      <c r="T1485" s="43">
        <v>43484</v>
      </c>
      <c r="U1485" t="str">
        <f t="shared" si="23"/>
        <v/>
      </c>
      <c r="V1485" s="44" t="s">
        <v>88</v>
      </c>
      <c r="W1485" s="44">
        <v>43478</v>
      </c>
      <c r="X1485" s="24"/>
      <c r="Y1485" s="24"/>
      <c r="Z1485" s="25"/>
    </row>
    <row r="1486" spans="20:26" x14ac:dyDescent="0.25">
      <c r="T1486" s="43">
        <v>43485</v>
      </c>
      <c r="U1486" t="str">
        <f t="shared" si="23"/>
        <v/>
      </c>
      <c r="V1486" s="44" t="s">
        <v>82</v>
      </c>
      <c r="W1486" s="44">
        <v>43485</v>
      </c>
      <c r="X1486" s="24"/>
      <c r="Y1486" s="24"/>
      <c r="Z1486" s="25"/>
    </row>
    <row r="1487" spans="20:26" x14ac:dyDescent="0.25">
      <c r="T1487" s="43">
        <v>43486</v>
      </c>
      <c r="U1487" t="str">
        <f t="shared" si="23"/>
        <v/>
      </c>
      <c r="V1487" s="44" t="s">
        <v>83</v>
      </c>
      <c r="W1487" s="44">
        <v>43485</v>
      </c>
      <c r="X1487" s="24"/>
      <c r="Y1487" s="24"/>
      <c r="Z1487" s="25"/>
    </row>
    <row r="1488" spans="20:26" x14ac:dyDescent="0.25">
      <c r="T1488" s="43">
        <v>43487</v>
      </c>
      <c r="U1488" t="str">
        <f t="shared" si="23"/>
        <v/>
      </c>
      <c r="V1488" s="44" t="s">
        <v>84</v>
      </c>
      <c r="W1488" s="44">
        <v>43485</v>
      </c>
      <c r="X1488" s="24"/>
      <c r="Y1488" s="24"/>
      <c r="Z1488" s="25"/>
    </row>
    <row r="1489" spans="20:26" x14ac:dyDescent="0.25">
      <c r="T1489" s="43">
        <v>43488</v>
      </c>
      <c r="U1489" t="str">
        <f t="shared" si="23"/>
        <v/>
      </c>
      <c r="V1489" s="44" t="s">
        <v>85</v>
      </c>
      <c r="W1489" s="44">
        <v>43485</v>
      </c>
      <c r="X1489" s="24"/>
      <c r="Y1489" s="24"/>
      <c r="Z1489" s="25"/>
    </row>
    <row r="1490" spans="20:26" x14ac:dyDescent="0.25">
      <c r="T1490" s="43">
        <v>43489</v>
      </c>
      <c r="U1490" t="str">
        <f t="shared" si="23"/>
        <v/>
      </c>
      <c r="V1490" s="44" t="s">
        <v>86</v>
      </c>
      <c r="W1490" s="44">
        <v>43485</v>
      </c>
      <c r="X1490" s="24"/>
      <c r="Y1490" s="24"/>
      <c r="Z1490" s="25"/>
    </row>
    <row r="1491" spans="20:26" x14ac:dyDescent="0.25">
      <c r="T1491" s="43">
        <v>43490</v>
      </c>
      <c r="U1491" t="str">
        <f t="shared" si="23"/>
        <v/>
      </c>
      <c r="V1491" s="44" t="s">
        <v>87</v>
      </c>
      <c r="W1491" s="44">
        <v>43485</v>
      </c>
      <c r="X1491" s="24"/>
      <c r="Y1491" s="24"/>
      <c r="Z1491" s="25"/>
    </row>
    <row r="1492" spans="20:26" x14ac:dyDescent="0.25">
      <c r="T1492" s="43">
        <v>43491</v>
      </c>
      <c r="U1492" t="str">
        <f t="shared" si="23"/>
        <v/>
      </c>
      <c r="V1492" s="44" t="s">
        <v>88</v>
      </c>
      <c r="W1492" s="44">
        <v>43485</v>
      </c>
      <c r="X1492" s="24"/>
      <c r="Y1492" s="24"/>
      <c r="Z1492" s="25"/>
    </row>
    <row r="1493" spans="20:26" x14ac:dyDescent="0.25">
      <c r="T1493" s="43">
        <v>43492</v>
      </c>
      <c r="U1493" t="str">
        <f t="shared" si="23"/>
        <v/>
      </c>
      <c r="V1493" s="44" t="s">
        <v>82</v>
      </c>
      <c r="W1493" s="44">
        <v>43492</v>
      </c>
      <c r="X1493" s="24"/>
      <c r="Y1493" s="24"/>
      <c r="Z1493" s="25"/>
    </row>
    <row r="1494" spans="20:26" x14ac:dyDescent="0.25">
      <c r="T1494" s="43">
        <v>43493</v>
      </c>
      <c r="U1494" t="str">
        <f t="shared" si="23"/>
        <v/>
      </c>
      <c r="V1494" s="44" t="s">
        <v>83</v>
      </c>
      <c r="W1494" s="44">
        <v>43492</v>
      </c>
      <c r="X1494" s="24"/>
      <c r="Y1494" s="24"/>
      <c r="Z1494" s="25"/>
    </row>
    <row r="1495" spans="20:26" x14ac:dyDescent="0.25">
      <c r="T1495" s="43">
        <v>43494</v>
      </c>
      <c r="U1495" t="str">
        <f t="shared" si="23"/>
        <v/>
      </c>
      <c r="V1495" s="44" t="s">
        <v>84</v>
      </c>
      <c r="W1495" s="44">
        <v>43492</v>
      </c>
      <c r="X1495" s="24"/>
      <c r="Y1495" s="24"/>
      <c r="Z1495" s="25"/>
    </row>
    <row r="1496" spans="20:26" x14ac:dyDescent="0.25">
      <c r="T1496" s="43">
        <v>43495</v>
      </c>
      <c r="U1496" t="str">
        <f t="shared" si="23"/>
        <v/>
      </c>
      <c r="V1496" s="44" t="s">
        <v>85</v>
      </c>
      <c r="W1496" s="44">
        <v>43492</v>
      </c>
      <c r="X1496" s="24"/>
      <c r="Y1496" s="24"/>
      <c r="Z1496" s="25"/>
    </row>
    <row r="1497" spans="20:26" x14ac:dyDescent="0.25">
      <c r="T1497" s="43">
        <v>43496</v>
      </c>
      <c r="U1497" t="str">
        <f t="shared" si="23"/>
        <v/>
      </c>
      <c r="V1497" s="44" t="s">
        <v>86</v>
      </c>
      <c r="W1497" s="44">
        <v>43492</v>
      </c>
      <c r="X1497" s="24"/>
      <c r="Y1497" s="24"/>
      <c r="Z1497" s="25"/>
    </row>
    <row r="1498" spans="20:26" x14ac:dyDescent="0.25">
      <c r="T1498" s="43">
        <v>43497</v>
      </c>
      <c r="U1498" t="str">
        <f t="shared" si="23"/>
        <v/>
      </c>
      <c r="V1498" s="44" t="s">
        <v>87</v>
      </c>
      <c r="W1498" s="44">
        <v>43492</v>
      </c>
      <c r="X1498" s="24"/>
      <c r="Y1498" s="24"/>
      <c r="Z1498" s="25"/>
    </row>
    <row r="1499" spans="20:26" x14ac:dyDescent="0.25">
      <c r="T1499" s="43">
        <v>43498</v>
      </c>
      <c r="U1499" t="str">
        <f t="shared" si="23"/>
        <v/>
      </c>
      <c r="V1499" s="44" t="s">
        <v>88</v>
      </c>
      <c r="W1499" s="44">
        <v>43492</v>
      </c>
      <c r="X1499" s="24"/>
      <c r="Y1499" s="24"/>
      <c r="Z1499" s="25"/>
    </row>
    <row r="1500" spans="20:26" x14ac:dyDescent="0.25">
      <c r="T1500" s="43">
        <v>43499</v>
      </c>
      <c r="U1500" t="str">
        <f t="shared" si="23"/>
        <v/>
      </c>
      <c r="V1500" s="44" t="s">
        <v>82</v>
      </c>
      <c r="W1500" s="44">
        <v>43499</v>
      </c>
      <c r="X1500" s="24"/>
      <c r="Y1500" s="24"/>
      <c r="Z1500" s="25"/>
    </row>
    <row r="1501" spans="20:26" x14ac:dyDescent="0.25">
      <c r="T1501" s="43">
        <v>43500</v>
      </c>
      <c r="U1501" t="str">
        <f t="shared" si="23"/>
        <v/>
      </c>
      <c r="V1501" s="44" t="s">
        <v>83</v>
      </c>
      <c r="W1501" s="44">
        <v>43499</v>
      </c>
      <c r="X1501" s="24"/>
      <c r="Y1501" s="24"/>
      <c r="Z1501" s="25"/>
    </row>
    <row r="1502" spans="20:26" x14ac:dyDescent="0.25">
      <c r="T1502" s="43">
        <v>43501</v>
      </c>
      <c r="U1502" t="str">
        <f t="shared" si="23"/>
        <v/>
      </c>
      <c r="V1502" s="44" t="s">
        <v>84</v>
      </c>
      <c r="W1502" s="44">
        <v>43499</v>
      </c>
      <c r="X1502" s="24"/>
      <c r="Y1502" s="24"/>
      <c r="Z1502" s="25"/>
    </row>
    <row r="1503" spans="20:26" x14ac:dyDescent="0.25">
      <c r="T1503" s="43">
        <v>43502</v>
      </c>
      <c r="U1503" t="str">
        <f t="shared" si="23"/>
        <v/>
      </c>
      <c r="V1503" s="44" t="s">
        <v>85</v>
      </c>
      <c r="W1503" s="44">
        <v>43499</v>
      </c>
      <c r="X1503" s="24"/>
      <c r="Y1503" s="24"/>
      <c r="Z1503" s="25"/>
    </row>
    <row r="1504" spans="20:26" x14ac:dyDescent="0.25">
      <c r="T1504" s="43">
        <v>43503</v>
      </c>
      <c r="U1504" t="str">
        <f t="shared" si="23"/>
        <v/>
      </c>
      <c r="V1504" s="44" t="s">
        <v>86</v>
      </c>
      <c r="W1504" s="44">
        <v>43499</v>
      </c>
      <c r="X1504" s="24"/>
      <c r="Y1504" s="24"/>
      <c r="Z1504" s="25"/>
    </row>
    <row r="1505" spans="20:26" x14ac:dyDescent="0.25">
      <c r="T1505" s="43">
        <v>43504</v>
      </c>
      <c r="U1505" t="str">
        <f t="shared" si="23"/>
        <v/>
      </c>
      <c r="V1505" s="44" t="s">
        <v>87</v>
      </c>
      <c r="W1505" s="44">
        <v>43499</v>
      </c>
      <c r="X1505" s="24"/>
      <c r="Y1505" s="24"/>
      <c r="Z1505" s="25"/>
    </row>
    <row r="1506" spans="20:26" x14ac:dyDescent="0.25">
      <c r="T1506" s="43">
        <v>43505</v>
      </c>
      <c r="U1506" t="str">
        <f t="shared" si="23"/>
        <v/>
      </c>
      <c r="V1506" s="44" t="s">
        <v>88</v>
      </c>
      <c r="W1506" s="44">
        <v>43499</v>
      </c>
      <c r="X1506" s="24"/>
      <c r="Y1506" s="24"/>
      <c r="Z1506" s="25"/>
    </row>
    <row r="1507" spans="20:26" x14ac:dyDescent="0.25">
      <c r="T1507" s="43">
        <v>43506</v>
      </c>
      <c r="U1507" t="str">
        <f t="shared" si="23"/>
        <v/>
      </c>
      <c r="V1507" s="44" t="s">
        <v>82</v>
      </c>
      <c r="W1507" s="44">
        <v>43506</v>
      </c>
      <c r="X1507" s="24"/>
      <c r="Y1507" s="24"/>
      <c r="Z1507" s="25"/>
    </row>
    <row r="1508" spans="20:26" x14ac:dyDescent="0.25">
      <c r="T1508" s="43">
        <v>43507</v>
      </c>
      <c r="U1508" t="str">
        <f t="shared" si="23"/>
        <v/>
      </c>
      <c r="V1508" s="44" t="s">
        <v>83</v>
      </c>
      <c r="W1508" s="44">
        <v>43506</v>
      </c>
      <c r="X1508" s="24"/>
      <c r="Y1508" s="24"/>
      <c r="Z1508" s="25"/>
    </row>
    <row r="1509" spans="20:26" x14ac:dyDescent="0.25">
      <c r="T1509" s="43">
        <v>43508</v>
      </c>
      <c r="U1509" t="str">
        <f t="shared" si="23"/>
        <v/>
      </c>
      <c r="V1509" s="44" t="s">
        <v>84</v>
      </c>
      <c r="W1509" s="44">
        <v>43506</v>
      </c>
      <c r="X1509" s="24"/>
      <c r="Y1509" s="24"/>
      <c r="Z1509" s="25"/>
    </row>
    <row r="1510" spans="20:26" x14ac:dyDescent="0.25">
      <c r="T1510" s="43">
        <v>43509</v>
      </c>
      <c r="U1510" t="str">
        <f t="shared" si="23"/>
        <v/>
      </c>
      <c r="V1510" s="44" t="s">
        <v>85</v>
      </c>
      <c r="W1510" s="44">
        <v>43506</v>
      </c>
      <c r="X1510" s="24"/>
      <c r="Y1510" s="24"/>
      <c r="Z1510" s="25"/>
    </row>
    <row r="1511" spans="20:26" x14ac:dyDescent="0.25">
      <c r="T1511" s="43">
        <v>43510</v>
      </c>
      <c r="U1511" t="str">
        <f t="shared" si="23"/>
        <v/>
      </c>
      <c r="V1511" s="44" t="s">
        <v>86</v>
      </c>
      <c r="W1511" s="44">
        <v>43506</v>
      </c>
      <c r="X1511" s="24"/>
      <c r="Y1511" s="24"/>
      <c r="Z1511" s="25"/>
    </row>
    <row r="1512" spans="20:26" x14ac:dyDescent="0.25">
      <c r="T1512" s="43">
        <v>43511</v>
      </c>
      <c r="U1512" t="str">
        <f t="shared" si="23"/>
        <v/>
      </c>
      <c r="V1512" s="44" t="s">
        <v>87</v>
      </c>
      <c r="W1512" s="44">
        <v>43506</v>
      </c>
      <c r="X1512" s="24"/>
      <c r="Y1512" s="24"/>
      <c r="Z1512" s="25"/>
    </row>
    <row r="1513" spans="20:26" x14ac:dyDescent="0.25">
      <c r="T1513" s="43">
        <v>43512</v>
      </c>
      <c r="U1513" t="str">
        <f t="shared" si="23"/>
        <v/>
      </c>
      <c r="V1513" s="44" t="s">
        <v>88</v>
      </c>
      <c r="W1513" s="44">
        <v>43506</v>
      </c>
      <c r="X1513" s="24"/>
      <c r="Y1513" s="24"/>
      <c r="Z1513" s="25"/>
    </row>
    <row r="1514" spans="20:26" x14ac:dyDescent="0.25">
      <c r="T1514" s="43">
        <v>43513</v>
      </c>
      <c r="U1514" t="str">
        <f t="shared" si="23"/>
        <v/>
      </c>
      <c r="V1514" s="44" t="s">
        <v>82</v>
      </c>
      <c r="W1514" s="44">
        <v>43513</v>
      </c>
      <c r="X1514" s="24"/>
      <c r="Y1514" s="24"/>
      <c r="Z1514" s="25"/>
    </row>
    <row r="1515" spans="20:26" x14ac:dyDescent="0.25">
      <c r="T1515" s="43">
        <v>43514</v>
      </c>
      <c r="U1515" t="str">
        <f t="shared" si="23"/>
        <v/>
      </c>
      <c r="V1515" s="44" t="s">
        <v>83</v>
      </c>
      <c r="W1515" s="44">
        <v>43513</v>
      </c>
      <c r="X1515" s="24"/>
      <c r="Y1515" s="24"/>
      <c r="Z1515" s="25"/>
    </row>
    <row r="1516" spans="20:26" x14ac:dyDescent="0.25">
      <c r="T1516" s="43">
        <v>43515</v>
      </c>
      <c r="U1516" t="str">
        <f t="shared" si="23"/>
        <v/>
      </c>
      <c r="V1516" s="44" t="s">
        <v>84</v>
      </c>
      <c r="W1516" s="44">
        <v>43513</v>
      </c>
      <c r="X1516" s="24"/>
      <c r="Y1516" s="24"/>
      <c r="Z1516" s="25"/>
    </row>
    <row r="1517" spans="20:26" x14ac:dyDescent="0.25">
      <c r="T1517" s="43">
        <v>43516</v>
      </c>
      <c r="U1517" t="str">
        <f t="shared" si="23"/>
        <v/>
      </c>
      <c r="V1517" s="44" t="s">
        <v>85</v>
      </c>
      <c r="W1517" s="44">
        <v>43513</v>
      </c>
      <c r="X1517" s="24"/>
      <c r="Y1517" s="24"/>
      <c r="Z1517" s="25"/>
    </row>
    <row r="1518" spans="20:26" x14ac:dyDescent="0.25">
      <c r="T1518" s="43">
        <v>43517</v>
      </c>
      <c r="U1518" t="str">
        <f t="shared" si="23"/>
        <v/>
      </c>
      <c r="V1518" s="44" t="s">
        <v>86</v>
      </c>
      <c r="W1518" s="44">
        <v>43513</v>
      </c>
      <c r="X1518" s="24"/>
      <c r="Y1518" s="24"/>
      <c r="Z1518" s="25"/>
    </row>
    <row r="1519" spans="20:26" x14ac:dyDescent="0.25">
      <c r="T1519" s="43">
        <v>43518</v>
      </c>
      <c r="U1519" t="str">
        <f t="shared" si="23"/>
        <v/>
      </c>
      <c r="V1519" s="44" t="s">
        <v>87</v>
      </c>
      <c r="W1519" s="44">
        <v>43513</v>
      </c>
      <c r="X1519" s="24"/>
      <c r="Y1519" s="24"/>
      <c r="Z1519" s="25"/>
    </row>
    <row r="1520" spans="20:26" x14ac:dyDescent="0.25">
      <c r="T1520" s="43">
        <v>43519</v>
      </c>
      <c r="U1520" t="str">
        <f t="shared" si="23"/>
        <v/>
      </c>
      <c r="V1520" s="44" t="s">
        <v>88</v>
      </c>
      <c r="W1520" s="44">
        <v>43513</v>
      </c>
      <c r="X1520" s="24"/>
      <c r="Y1520" s="24"/>
      <c r="Z1520" s="25"/>
    </row>
    <row r="1521" spans="20:26" x14ac:dyDescent="0.25">
      <c r="T1521" s="43">
        <v>43520</v>
      </c>
      <c r="U1521" t="str">
        <f t="shared" si="23"/>
        <v/>
      </c>
      <c r="V1521" s="44" t="s">
        <v>82</v>
      </c>
      <c r="W1521" s="44">
        <v>43520</v>
      </c>
      <c r="X1521" s="24"/>
      <c r="Y1521" s="24"/>
      <c r="Z1521" s="25"/>
    </row>
    <row r="1522" spans="20:26" x14ac:dyDescent="0.25">
      <c r="T1522" s="43">
        <v>43521</v>
      </c>
      <c r="U1522" t="str">
        <f t="shared" si="23"/>
        <v/>
      </c>
      <c r="V1522" s="44" t="s">
        <v>83</v>
      </c>
      <c r="W1522" s="44">
        <v>43520</v>
      </c>
      <c r="X1522" s="24"/>
      <c r="Y1522" s="24"/>
      <c r="Z1522" s="25"/>
    </row>
    <row r="1523" spans="20:26" x14ac:dyDescent="0.25">
      <c r="T1523" s="43">
        <v>43522</v>
      </c>
      <c r="U1523" t="str">
        <f t="shared" si="23"/>
        <v/>
      </c>
      <c r="V1523" s="44" t="s">
        <v>84</v>
      </c>
      <c r="W1523" s="44">
        <v>43520</v>
      </c>
      <c r="X1523" s="24"/>
      <c r="Y1523" s="24"/>
      <c r="Z1523" s="25"/>
    </row>
    <row r="1524" spans="20:26" x14ac:dyDescent="0.25">
      <c r="T1524" s="43">
        <v>43523</v>
      </c>
      <c r="U1524" t="str">
        <f t="shared" si="23"/>
        <v/>
      </c>
      <c r="V1524" s="44" t="s">
        <v>85</v>
      </c>
      <c r="W1524" s="44">
        <v>43520</v>
      </c>
      <c r="X1524" s="24"/>
      <c r="Y1524" s="24"/>
      <c r="Z1524" s="25"/>
    </row>
    <row r="1525" spans="20:26" x14ac:dyDescent="0.25">
      <c r="T1525" s="43">
        <v>43524</v>
      </c>
      <c r="U1525" t="str">
        <f t="shared" si="23"/>
        <v/>
      </c>
      <c r="V1525" s="44" t="s">
        <v>86</v>
      </c>
      <c r="W1525" s="44">
        <v>43520</v>
      </c>
      <c r="X1525" s="24"/>
      <c r="Y1525" s="24"/>
      <c r="Z1525" s="25"/>
    </row>
    <row r="1526" spans="20:26" x14ac:dyDescent="0.25">
      <c r="T1526" s="43">
        <v>43525</v>
      </c>
      <c r="U1526" t="str">
        <f t="shared" si="23"/>
        <v/>
      </c>
      <c r="V1526" s="44" t="s">
        <v>87</v>
      </c>
      <c r="W1526" s="44">
        <v>43520</v>
      </c>
      <c r="X1526" s="24"/>
      <c r="Y1526" s="24"/>
      <c r="Z1526" s="25"/>
    </row>
    <row r="1527" spans="20:26" x14ac:dyDescent="0.25">
      <c r="T1527" s="43">
        <v>43526</v>
      </c>
      <c r="U1527" t="str">
        <f t="shared" si="23"/>
        <v/>
      </c>
      <c r="V1527" s="44" t="s">
        <v>88</v>
      </c>
      <c r="W1527" s="44">
        <v>43520</v>
      </c>
      <c r="X1527" s="24"/>
      <c r="Y1527" s="24"/>
      <c r="Z1527" s="25"/>
    </row>
    <row r="1528" spans="20:26" x14ac:dyDescent="0.25">
      <c r="T1528" s="43">
        <v>43527</v>
      </c>
      <c r="U1528" t="str">
        <f t="shared" si="23"/>
        <v/>
      </c>
      <c r="V1528" s="44" t="s">
        <v>82</v>
      </c>
      <c r="W1528" s="44">
        <v>43527</v>
      </c>
      <c r="X1528" s="24"/>
      <c r="Y1528" s="24"/>
      <c r="Z1528" s="25"/>
    </row>
    <row r="1529" spans="20:26" x14ac:dyDescent="0.25">
      <c r="T1529" s="43">
        <v>43528</v>
      </c>
      <c r="U1529" t="str">
        <f t="shared" si="23"/>
        <v/>
      </c>
      <c r="V1529" s="44" t="s">
        <v>83</v>
      </c>
      <c r="W1529" s="44">
        <v>43527</v>
      </c>
      <c r="X1529" s="24"/>
      <c r="Y1529" s="24"/>
      <c r="Z1529" s="25"/>
    </row>
    <row r="1530" spans="20:26" x14ac:dyDescent="0.25">
      <c r="T1530" s="43">
        <v>43529</v>
      </c>
      <c r="U1530" t="str">
        <f t="shared" si="23"/>
        <v/>
      </c>
      <c r="V1530" s="44" t="s">
        <v>84</v>
      </c>
      <c r="W1530" s="44">
        <v>43527</v>
      </c>
      <c r="X1530" s="24"/>
      <c r="Y1530" s="24"/>
      <c r="Z1530" s="25"/>
    </row>
    <row r="1531" spans="20:26" x14ac:dyDescent="0.25">
      <c r="T1531" s="43">
        <v>43530</v>
      </c>
      <c r="U1531" t="str">
        <f t="shared" si="23"/>
        <v/>
      </c>
      <c r="V1531" s="44" t="s">
        <v>85</v>
      </c>
      <c r="W1531" s="44">
        <v>43527</v>
      </c>
      <c r="X1531" s="24"/>
      <c r="Y1531" s="24"/>
      <c r="Z1531" s="25"/>
    </row>
    <row r="1532" spans="20:26" x14ac:dyDescent="0.25">
      <c r="T1532" s="43">
        <v>43531</v>
      </c>
      <c r="U1532" t="str">
        <f t="shared" si="23"/>
        <v/>
      </c>
      <c r="V1532" s="44" t="s">
        <v>86</v>
      </c>
      <c r="W1532" s="44">
        <v>43527</v>
      </c>
      <c r="X1532" s="24"/>
      <c r="Y1532" s="24"/>
      <c r="Z1532" s="25"/>
    </row>
    <row r="1533" spans="20:26" x14ac:dyDescent="0.25">
      <c r="T1533" s="43">
        <v>43532</v>
      </c>
      <c r="U1533" t="str">
        <f t="shared" si="23"/>
        <v/>
      </c>
      <c r="V1533" s="44" t="s">
        <v>87</v>
      </c>
      <c r="W1533" s="44">
        <v>43527</v>
      </c>
      <c r="X1533" s="24"/>
      <c r="Y1533" s="24"/>
      <c r="Z1533" s="25"/>
    </row>
    <row r="1534" spans="20:26" x14ac:dyDescent="0.25">
      <c r="T1534" s="43">
        <v>43533</v>
      </c>
      <c r="U1534" t="str">
        <f t="shared" si="23"/>
        <v/>
      </c>
      <c r="V1534" s="44" t="s">
        <v>88</v>
      </c>
      <c r="W1534" s="44">
        <v>43527</v>
      </c>
      <c r="X1534" s="24"/>
      <c r="Y1534" s="24"/>
      <c r="Z1534" s="25"/>
    </row>
    <row r="1535" spans="20:26" x14ac:dyDescent="0.25">
      <c r="T1535" s="43">
        <v>43534</v>
      </c>
      <c r="U1535" t="str">
        <f t="shared" si="23"/>
        <v/>
      </c>
      <c r="V1535" s="44" t="s">
        <v>82</v>
      </c>
      <c r="W1535" s="44">
        <v>43534</v>
      </c>
      <c r="X1535" s="24"/>
      <c r="Y1535" s="24"/>
      <c r="Z1535" s="25"/>
    </row>
    <row r="1536" spans="20:26" x14ac:dyDescent="0.25">
      <c r="T1536" s="43">
        <v>43535</v>
      </c>
      <c r="U1536" t="str">
        <f t="shared" si="23"/>
        <v/>
      </c>
      <c r="V1536" s="44" t="s">
        <v>83</v>
      </c>
      <c r="W1536" s="44">
        <v>43534</v>
      </c>
      <c r="X1536" s="24"/>
      <c r="Y1536" s="24"/>
      <c r="Z1536" s="25"/>
    </row>
    <row r="1537" spans="20:26" x14ac:dyDescent="0.25">
      <c r="T1537" s="43">
        <v>43536</v>
      </c>
      <c r="U1537" t="str">
        <f t="shared" si="23"/>
        <v/>
      </c>
      <c r="V1537" s="44" t="s">
        <v>84</v>
      </c>
      <c r="W1537" s="44">
        <v>43534</v>
      </c>
      <c r="X1537" s="24"/>
      <c r="Y1537" s="24"/>
      <c r="Z1537" s="25"/>
    </row>
    <row r="1538" spans="20:26" x14ac:dyDescent="0.25">
      <c r="T1538" s="43">
        <v>43537</v>
      </c>
      <c r="U1538" t="str">
        <f t="shared" ref="U1538:U1601" si="24">RIGHT(Z1538,4)</f>
        <v/>
      </c>
      <c r="V1538" s="44" t="s">
        <v>85</v>
      </c>
      <c r="W1538" s="44">
        <v>43534</v>
      </c>
      <c r="X1538" s="24"/>
      <c r="Y1538" s="24"/>
      <c r="Z1538" s="25"/>
    </row>
    <row r="1539" spans="20:26" x14ac:dyDescent="0.25">
      <c r="T1539" s="43">
        <v>43538</v>
      </c>
      <c r="U1539" t="str">
        <f t="shared" si="24"/>
        <v/>
      </c>
      <c r="V1539" s="44" t="s">
        <v>86</v>
      </c>
      <c r="W1539" s="44">
        <v>43534</v>
      </c>
      <c r="X1539" s="24"/>
      <c r="Y1539" s="24"/>
      <c r="Z1539" s="25"/>
    </row>
    <row r="1540" spans="20:26" x14ac:dyDescent="0.25">
      <c r="T1540" s="43">
        <v>43539</v>
      </c>
      <c r="U1540" t="str">
        <f t="shared" si="24"/>
        <v/>
      </c>
      <c r="V1540" s="44" t="s">
        <v>87</v>
      </c>
      <c r="W1540" s="44">
        <v>43534</v>
      </c>
      <c r="X1540" s="24"/>
      <c r="Y1540" s="24"/>
      <c r="Z1540" s="25"/>
    </row>
    <row r="1541" spans="20:26" x14ac:dyDescent="0.25">
      <c r="T1541" s="43">
        <v>43540</v>
      </c>
      <c r="U1541" t="str">
        <f t="shared" si="24"/>
        <v/>
      </c>
      <c r="V1541" s="44" t="s">
        <v>88</v>
      </c>
      <c r="W1541" s="44">
        <v>43534</v>
      </c>
      <c r="X1541" s="24"/>
      <c r="Y1541" s="24"/>
      <c r="Z1541" s="25"/>
    </row>
    <row r="1542" spans="20:26" x14ac:dyDescent="0.25">
      <c r="T1542" s="43">
        <v>43541</v>
      </c>
      <c r="U1542" t="str">
        <f t="shared" si="24"/>
        <v/>
      </c>
      <c r="V1542" s="44" t="s">
        <v>82</v>
      </c>
      <c r="W1542" s="44">
        <v>43541</v>
      </c>
      <c r="X1542" s="24"/>
      <c r="Y1542" s="24"/>
      <c r="Z1542" s="25"/>
    </row>
    <row r="1543" spans="20:26" x14ac:dyDescent="0.25">
      <c r="T1543" s="43">
        <v>43542</v>
      </c>
      <c r="U1543" t="str">
        <f t="shared" si="24"/>
        <v/>
      </c>
      <c r="V1543" s="44" t="s">
        <v>83</v>
      </c>
      <c r="W1543" s="44">
        <v>43541</v>
      </c>
      <c r="X1543" s="24"/>
      <c r="Y1543" s="24"/>
      <c r="Z1543" s="25"/>
    </row>
    <row r="1544" spans="20:26" x14ac:dyDescent="0.25">
      <c r="T1544" s="43">
        <v>43543</v>
      </c>
      <c r="U1544" t="str">
        <f t="shared" si="24"/>
        <v/>
      </c>
      <c r="V1544" s="44" t="s">
        <v>84</v>
      </c>
      <c r="W1544" s="44">
        <v>43541</v>
      </c>
      <c r="X1544" s="24"/>
      <c r="Y1544" s="24"/>
      <c r="Z1544" s="25"/>
    </row>
    <row r="1545" spans="20:26" x14ac:dyDescent="0.25">
      <c r="T1545" s="43">
        <v>43544</v>
      </c>
      <c r="U1545" t="str">
        <f t="shared" si="24"/>
        <v/>
      </c>
      <c r="V1545" s="44" t="s">
        <v>85</v>
      </c>
      <c r="W1545" s="44">
        <v>43541</v>
      </c>
      <c r="X1545" s="24"/>
      <c r="Y1545" s="24"/>
      <c r="Z1545" s="25"/>
    </row>
    <row r="1546" spans="20:26" x14ac:dyDescent="0.25">
      <c r="T1546" s="43">
        <v>43545</v>
      </c>
      <c r="U1546" t="str">
        <f t="shared" si="24"/>
        <v/>
      </c>
      <c r="V1546" s="44" t="s">
        <v>86</v>
      </c>
      <c r="W1546" s="44">
        <v>43541</v>
      </c>
      <c r="X1546" s="24"/>
      <c r="Y1546" s="24"/>
      <c r="Z1546" s="25"/>
    </row>
    <row r="1547" spans="20:26" x14ac:dyDescent="0.25">
      <c r="T1547" s="43">
        <v>43546</v>
      </c>
      <c r="U1547" t="str">
        <f t="shared" si="24"/>
        <v/>
      </c>
      <c r="V1547" s="44" t="s">
        <v>87</v>
      </c>
      <c r="W1547" s="44">
        <v>43541</v>
      </c>
      <c r="X1547" s="24"/>
      <c r="Y1547" s="24"/>
      <c r="Z1547" s="25"/>
    </row>
    <row r="1548" spans="20:26" x14ac:dyDescent="0.25">
      <c r="T1548" s="43">
        <v>43547</v>
      </c>
      <c r="U1548" t="str">
        <f t="shared" si="24"/>
        <v/>
      </c>
      <c r="V1548" s="44" t="s">
        <v>88</v>
      </c>
      <c r="W1548" s="44">
        <v>43541</v>
      </c>
      <c r="X1548" s="24"/>
      <c r="Y1548" s="24"/>
      <c r="Z1548" s="25"/>
    </row>
    <row r="1549" spans="20:26" x14ac:dyDescent="0.25">
      <c r="T1549" s="43">
        <v>43548</v>
      </c>
      <c r="U1549" t="str">
        <f t="shared" si="24"/>
        <v/>
      </c>
      <c r="V1549" s="44" t="s">
        <v>82</v>
      </c>
      <c r="W1549" s="44">
        <v>43548</v>
      </c>
      <c r="X1549" s="24"/>
      <c r="Y1549" s="24"/>
      <c r="Z1549" s="25"/>
    </row>
    <row r="1550" spans="20:26" x14ac:dyDescent="0.25">
      <c r="T1550" s="43">
        <v>43549</v>
      </c>
      <c r="U1550" t="str">
        <f t="shared" si="24"/>
        <v/>
      </c>
      <c r="V1550" s="44" t="s">
        <v>83</v>
      </c>
      <c r="W1550" s="44">
        <v>43548</v>
      </c>
      <c r="X1550" s="24"/>
      <c r="Y1550" s="24"/>
      <c r="Z1550" s="25"/>
    </row>
    <row r="1551" spans="20:26" x14ac:dyDescent="0.25">
      <c r="T1551" s="43">
        <v>43550</v>
      </c>
      <c r="U1551" t="str">
        <f t="shared" si="24"/>
        <v/>
      </c>
      <c r="V1551" s="44" t="s">
        <v>84</v>
      </c>
      <c r="W1551" s="44">
        <v>43548</v>
      </c>
      <c r="X1551" s="24"/>
      <c r="Y1551" s="24"/>
      <c r="Z1551" s="25"/>
    </row>
    <row r="1552" spans="20:26" x14ac:dyDescent="0.25">
      <c r="T1552" s="43">
        <v>43551</v>
      </c>
      <c r="U1552" t="str">
        <f t="shared" si="24"/>
        <v/>
      </c>
      <c r="V1552" s="44" t="s">
        <v>85</v>
      </c>
      <c r="W1552" s="44">
        <v>43548</v>
      </c>
      <c r="X1552" s="24"/>
      <c r="Y1552" s="24"/>
      <c r="Z1552" s="25"/>
    </row>
    <row r="1553" spans="20:26" x14ac:dyDescent="0.25">
      <c r="T1553" s="43">
        <v>43552</v>
      </c>
      <c r="U1553" t="str">
        <f t="shared" si="24"/>
        <v/>
      </c>
      <c r="V1553" s="44" t="s">
        <v>86</v>
      </c>
      <c r="W1553" s="44">
        <v>43548</v>
      </c>
      <c r="X1553" s="24"/>
      <c r="Y1553" s="24"/>
      <c r="Z1553" s="25"/>
    </row>
    <row r="1554" spans="20:26" x14ac:dyDescent="0.25">
      <c r="T1554" s="43">
        <v>43553</v>
      </c>
      <c r="U1554" t="str">
        <f t="shared" si="24"/>
        <v/>
      </c>
      <c r="V1554" s="44" t="s">
        <v>87</v>
      </c>
      <c r="W1554" s="44">
        <v>43548</v>
      </c>
      <c r="X1554" s="24"/>
      <c r="Y1554" s="24"/>
      <c r="Z1554" s="25"/>
    </row>
    <row r="1555" spans="20:26" x14ac:dyDescent="0.25">
      <c r="T1555" s="43">
        <v>43554</v>
      </c>
      <c r="U1555" t="str">
        <f t="shared" si="24"/>
        <v/>
      </c>
      <c r="V1555" s="44" t="s">
        <v>88</v>
      </c>
      <c r="W1555" s="44">
        <v>43548</v>
      </c>
      <c r="X1555" s="24"/>
      <c r="Y1555" s="24"/>
      <c r="Z1555" s="25"/>
    </row>
    <row r="1556" spans="20:26" x14ac:dyDescent="0.25">
      <c r="T1556" s="43">
        <v>43555</v>
      </c>
      <c r="U1556" t="str">
        <f t="shared" si="24"/>
        <v/>
      </c>
      <c r="V1556" s="44" t="s">
        <v>82</v>
      </c>
      <c r="W1556" s="44">
        <v>43555</v>
      </c>
      <c r="X1556" s="24"/>
      <c r="Y1556" s="24"/>
      <c r="Z1556" s="25"/>
    </row>
    <row r="1557" spans="20:26" x14ac:dyDescent="0.25">
      <c r="T1557" s="43">
        <v>43556</v>
      </c>
      <c r="U1557" t="str">
        <f t="shared" si="24"/>
        <v/>
      </c>
      <c r="V1557" s="44" t="s">
        <v>83</v>
      </c>
      <c r="W1557" s="44">
        <v>43555</v>
      </c>
      <c r="X1557" s="24"/>
      <c r="Y1557" s="24"/>
      <c r="Z1557" s="25"/>
    </row>
    <row r="1558" spans="20:26" x14ac:dyDescent="0.25">
      <c r="T1558" s="43">
        <v>43557</v>
      </c>
      <c r="U1558" t="str">
        <f t="shared" si="24"/>
        <v/>
      </c>
      <c r="V1558" s="44" t="s">
        <v>84</v>
      </c>
      <c r="W1558" s="44">
        <v>43555</v>
      </c>
      <c r="X1558" s="24"/>
      <c r="Y1558" s="24"/>
      <c r="Z1558" s="25"/>
    </row>
    <row r="1559" spans="20:26" x14ac:dyDescent="0.25">
      <c r="T1559" s="43">
        <v>43558</v>
      </c>
      <c r="U1559" t="str">
        <f t="shared" si="24"/>
        <v/>
      </c>
      <c r="V1559" s="44" t="s">
        <v>85</v>
      </c>
      <c r="W1559" s="44">
        <v>43555</v>
      </c>
      <c r="X1559" s="24"/>
      <c r="Y1559" s="24"/>
      <c r="Z1559" s="25"/>
    </row>
    <row r="1560" spans="20:26" x14ac:dyDescent="0.25">
      <c r="T1560" s="43">
        <v>43559</v>
      </c>
      <c r="U1560" t="str">
        <f t="shared" si="24"/>
        <v/>
      </c>
      <c r="V1560" s="44" t="s">
        <v>86</v>
      </c>
      <c r="W1560" s="44">
        <v>43555</v>
      </c>
      <c r="X1560" s="24"/>
      <c r="Y1560" s="24"/>
      <c r="Z1560" s="25"/>
    </row>
    <row r="1561" spans="20:26" x14ac:dyDescent="0.25">
      <c r="T1561" s="43">
        <v>43560</v>
      </c>
      <c r="U1561" t="str">
        <f t="shared" si="24"/>
        <v/>
      </c>
      <c r="V1561" s="44" t="s">
        <v>87</v>
      </c>
      <c r="W1561" s="44">
        <v>43555</v>
      </c>
      <c r="X1561" s="24"/>
      <c r="Y1561" s="24"/>
      <c r="Z1561" s="25"/>
    </row>
    <row r="1562" spans="20:26" x14ac:dyDescent="0.25">
      <c r="T1562" s="43">
        <v>43561</v>
      </c>
      <c r="U1562" t="str">
        <f t="shared" si="24"/>
        <v/>
      </c>
      <c r="V1562" s="44" t="s">
        <v>88</v>
      </c>
      <c r="W1562" s="44">
        <v>43555</v>
      </c>
      <c r="X1562" s="24"/>
      <c r="Y1562" s="24"/>
      <c r="Z1562" s="25"/>
    </row>
    <row r="1563" spans="20:26" x14ac:dyDescent="0.25">
      <c r="T1563" s="43">
        <v>43562</v>
      </c>
      <c r="U1563" t="str">
        <f t="shared" si="24"/>
        <v/>
      </c>
      <c r="V1563" s="44" t="s">
        <v>82</v>
      </c>
      <c r="W1563" s="44">
        <v>43562</v>
      </c>
      <c r="X1563" s="24"/>
      <c r="Y1563" s="24"/>
      <c r="Z1563" s="25"/>
    </row>
    <row r="1564" spans="20:26" x14ac:dyDescent="0.25">
      <c r="T1564" s="43">
        <v>43563</v>
      </c>
      <c r="U1564" t="str">
        <f t="shared" si="24"/>
        <v/>
      </c>
      <c r="V1564" s="44" t="s">
        <v>83</v>
      </c>
      <c r="W1564" s="44">
        <v>43562</v>
      </c>
      <c r="X1564" s="24"/>
      <c r="Y1564" s="24"/>
      <c r="Z1564" s="25"/>
    </row>
    <row r="1565" spans="20:26" x14ac:dyDescent="0.25">
      <c r="T1565" s="43">
        <v>43564</v>
      </c>
      <c r="U1565" t="str">
        <f t="shared" si="24"/>
        <v/>
      </c>
      <c r="V1565" s="44" t="s">
        <v>84</v>
      </c>
      <c r="W1565" s="44">
        <v>43562</v>
      </c>
      <c r="X1565" s="24"/>
      <c r="Y1565" s="24"/>
      <c r="Z1565" s="25"/>
    </row>
    <row r="1566" spans="20:26" x14ac:dyDescent="0.25">
      <c r="T1566" s="43">
        <v>43565</v>
      </c>
      <c r="U1566" t="str">
        <f t="shared" si="24"/>
        <v/>
      </c>
      <c r="V1566" s="44" t="s">
        <v>85</v>
      </c>
      <c r="W1566" s="44">
        <v>43562</v>
      </c>
      <c r="X1566" s="24"/>
      <c r="Y1566" s="24"/>
      <c r="Z1566" s="25"/>
    </row>
    <row r="1567" spans="20:26" x14ac:dyDescent="0.25">
      <c r="T1567" s="43">
        <v>43566</v>
      </c>
      <c r="U1567" t="str">
        <f t="shared" si="24"/>
        <v/>
      </c>
      <c r="V1567" s="44" t="s">
        <v>86</v>
      </c>
      <c r="W1567" s="44">
        <v>43562</v>
      </c>
      <c r="X1567" s="24"/>
      <c r="Y1567" s="24"/>
      <c r="Z1567" s="25"/>
    </row>
    <row r="1568" spans="20:26" x14ac:dyDescent="0.25">
      <c r="T1568" s="43">
        <v>43567</v>
      </c>
      <c r="U1568" t="str">
        <f t="shared" si="24"/>
        <v/>
      </c>
      <c r="V1568" s="44" t="s">
        <v>87</v>
      </c>
      <c r="W1568" s="44">
        <v>43562</v>
      </c>
      <c r="X1568" s="24"/>
      <c r="Y1568" s="24"/>
      <c r="Z1568" s="25"/>
    </row>
    <row r="1569" spans="20:26" x14ac:dyDescent="0.25">
      <c r="T1569" s="43">
        <v>43568</v>
      </c>
      <c r="U1569" t="str">
        <f t="shared" si="24"/>
        <v/>
      </c>
      <c r="V1569" s="44" t="s">
        <v>88</v>
      </c>
      <c r="W1569" s="44">
        <v>43562</v>
      </c>
      <c r="X1569" s="24"/>
      <c r="Y1569" s="24"/>
      <c r="Z1569" s="25"/>
    </row>
    <row r="1570" spans="20:26" x14ac:dyDescent="0.25">
      <c r="T1570" s="43">
        <v>43569</v>
      </c>
      <c r="U1570" t="str">
        <f t="shared" si="24"/>
        <v/>
      </c>
      <c r="V1570" s="44" t="s">
        <v>82</v>
      </c>
      <c r="W1570" s="44">
        <v>43569</v>
      </c>
      <c r="X1570" s="24"/>
      <c r="Y1570" s="24"/>
      <c r="Z1570" s="25"/>
    </row>
    <row r="1571" spans="20:26" x14ac:dyDescent="0.25">
      <c r="T1571" s="43">
        <v>43570</v>
      </c>
      <c r="U1571" t="str">
        <f t="shared" si="24"/>
        <v/>
      </c>
      <c r="V1571" s="44" t="s">
        <v>83</v>
      </c>
      <c r="W1571" s="44">
        <v>43569</v>
      </c>
      <c r="X1571" s="24"/>
      <c r="Y1571" s="24"/>
      <c r="Z1571" s="25"/>
    </row>
    <row r="1572" spans="20:26" x14ac:dyDescent="0.25">
      <c r="T1572" s="43">
        <v>43571</v>
      </c>
      <c r="U1572" t="str">
        <f t="shared" si="24"/>
        <v/>
      </c>
      <c r="V1572" s="44" t="s">
        <v>84</v>
      </c>
      <c r="W1572" s="44">
        <v>43569</v>
      </c>
      <c r="X1572" s="24"/>
      <c r="Y1572" s="24"/>
      <c r="Z1572" s="25"/>
    </row>
    <row r="1573" spans="20:26" x14ac:dyDescent="0.25">
      <c r="T1573" s="43">
        <v>43572</v>
      </c>
      <c r="U1573" t="str">
        <f t="shared" si="24"/>
        <v/>
      </c>
      <c r="V1573" s="44" t="s">
        <v>85</v>
      </c>
      <c r="W1573" s="44">
        <v>43569</v>
      </c>
      <c r="X1573" s="24"/>
      <c r="Y1573" s="24"/>
      <c r="Z1573" s="25"/>
    </row>
    <row r="1574" spans="20:26" x14ac:dyDescent="0.25">
      <c r="T1574" s="43">
        <v>43573</v>
      </c>
      <c r="U1574" t="str">
        <f t="shared" si="24"/>
        <v/>
      </c>
      <c r="V1574" s="44" t="s">
        <v>86</v>
      </c>
      <c r="W1574" s="44">
        <v>43569</v>
      </c>
      <c r="X1574" s="24"/>
      <c r="Y1574" s="24"/>
      <c r="Z1574" s="25"/>
    </row>
    <row r="1575" spans="20:26" x14ac:dyDescent="0.25">
      <c r="T1575" s="43">
        <v>43574</v>
      </c>
      <c r="U1575" t="str">
        <f t="shared" si="24"/>
        <v/>
      </c>
      <c r="V1575" s="44" t="s">
        <v>87</v>
      </c>
      <c r="W1575" s="44">
        <v>43569</v>
      </c>
      <c r="X1575" s="24"/>
      <c r="Y1575" s="24"/>
      <c r="Z1575" s="25"/>
    </row>
    <row r="1576" spans="20:26" x14ac:dyDescent="0.25">
      <c r="T1576" s="43">
        <v>43575</v>
      </c>
      <c r="U1576" t="str">
        <f t="shared" si="24"/>
        <v/>
      </c>
      <c r="V1576" s="44" t="s">
        <v>88</v>
      </c>
      <c r="W1576" s="44">
        <v>43569</v>
      </c>
      <c r="X1576" s="24"/>
      <c r="Y1576" s="24"/>
      <c r="Z1576" s="25"/>
    </row>
    <row r="1577" spans="20:26" x14ac:dyDescent="0.25">
      <c r="T1577" s="43">
        <v>43576</v>
      </c>
      <c r="U1577" t="str">
        <f t="shared" si="24"/>
        <v/>
      </c>
      <c r="V1577" s="44" t="s">
        <v>82</v>
      </c>
      <c r="W1577" s="44">
        <v>43576</v>
      </c>
      <c r="X1577" s="24"/>
      <c r="Y1577" s="24"/>
      <c r="Z1577" s="25"/>
    </row>
    <row r="1578" spans="20:26" x14ac:dyDescent="0.25">
      <c r="T1578" s="43">
        <v>43577</v>
      </c>
      <c r="U1578" t="str">
        <f t="shared" si="24"/>
        <v/>
      </c>
      <c r="V1578" s="44" t="s">
        <v>83</v>
      </c>
      <c r="W1578" s="44">
        <v>43576</v>
      </c>
      <c r="X1578" s="24"/>
      <c r="Y1578" s="24"/>
      <c r="Z1578" s="25"/>
    </row>
    <row r="1579" spans="20:26" x14ac:dyDescent="0.25">
      <c r="T1579" s="43">
        <v>43578</v>
      </c>
      <c r="U1579" t="str">
        <f t="shared" si="24"/>
        <v/>
      </c>
      <c r="V1579" s="44" t="s">
        <v>84</v>
      </c>
      <c r="W1579" s="44">
        <v>43576</v>
      </c>
      <c r="X1579" s="24"/>
      <c r="Y1579" s="24"/>
      <c r="Z1579" s="25"/>
    </row>
    <row r="1580" spans="20:26" x14ac:dyDescent="0.25">
      <c r="T1580" s="43">
        <v>43579</v>
      </c>
      <c r="U1580" t="str">
        <f t="shared" si="24"/>
        <v/>
      </c>
      <c r="V1580" s="44" t="s">
        <v>85</v>
      </c>
      <c r="W1580" s="44">
        <v>43576</v>
      </c>
      <c r="X1580" s="24"/>
      <c r="Y1580" s="24"/>
      <c r="Z1580" s="25"/>
    </row>
    <row r="1581" spans="20:26" x14ac:dyDescent="0.25">
      <c r="T1581" s="43">
        <v>43580</v>
      </c>
      <c r="U1581" t="str">
        <f t="shared" si="24"/>
        <v/>
      </c>
      <c r="V1581" s="44" t="s">
        <v>86</v>
      </c>
      <c r="W1581" s="44">
        <v>43576</v>
      </c>
      <c r="X1581" s="24"/>
      <c r="Y1581" s="24"/>
      <c r="Z1581" s="25"/>
    </row>
    <row r="1582" spans="20:26" x14ac:dyDescent="0.25">
      <c r="T1582" s="43">
        <v>43581</v>
      </c>
      <c r="U1582" t="str">
        <f t="shared" si="24"/>
        <v/>
      </c>
      <c r="V1582" s="44" t="s">
        <v>87</v>
      </c>
      <c r="W1582" s="44">
        <v>43576</v>
      </c>
      <c r="X1582" s="24"/>
      <c r="Y1582" s="24"/>
      <c r="Z1582" s="25"/>
    </row>
    <row r="1583" spans="20:26" x14ac:dyDescent="0.25">
      <c r="T1583" s="43">
        <v>43582</v>
      </c>
      <c r="U1583" t="str">
        <f t="shared" si="24"/>
        <v/>
      </c>
      <c r="V1583" s="44" t="s">
        <v>88</v>
      </c>
      <c r="W1583" s="44">
        <v>43576</v>
      </c>
      <c r="X1583" s="24"/>
      <c r="Y1583" s="24"/>
      <c r="Z1583" s="25"/>
    </row>
    <row r="1584" spans="20:26" x14ac:dyDescent="0.25">
      <c r="T1584" s="43">
        <v>43583</v>
      </c>
      <c r="U1584" t="str">
        <f t="shared" si="24"/>
        <v/>
      </c>
      <c r="V1584" s="44" t="s">
        <v>82</v>
      </c>
      <c r="W1584" s="44">
        <v>43583</v>
      </c>
      <c r="X1584" s="24"/>
      <c r="Y1584" s="24"/>
      <c r="Z1584" s="25"/>
    </row>
    <row r="1585" spans="20:26" x14ac:dyDescent="0.25">
      <c r="T1585" s="43">
        <v>43584</v>
      </c>
      <c r="U1585" t="str">
        <f t="shared" si="24"/>
        <v/>
      </c>
      <c r="V1585" s="44" t="s">
        <v>83</v>
      </c>
      <c r="W1585" s="44">
        <v>43583</v>
      </c>
      <c r="X1585" s="24"/>
      <c r="Y1585" s="24"/>
      <c r="Z1585" s="25"/>
    </row>
    <row r="1586" spans="20:26" x14ac:dyDescent="0.25">
      <c r="T1586" s="43">
        <v>43585</v>
      </c>
      <c r="U1586" t="str">
        <f t="shared" si="24"/>
        <v/>
      </c>
      <c r="V1586" s="44" t="s">
        <v>84</v>
      </c>
      <c r="W1586" s="44">
        <v>43583</v>
      </c>
      <c r="X1586" s="24"/>
      <c r="Y1586" s="24"/>
      <c r="Z1586" s="25"/>
    </row>
    <row r="1587" spans="20:26" x14ac:dyDescent="0.25">
      <c r="T1587" s="43">
        <v>43586</v>
      </c>
      <c r="U1587" t="str">
        <f t="shared" si="24"/>
        <v/>
      </c>
      <c r="V1587" s="44" t="s">
        <v>85</v>
      </c>
      <c r="W1587" s="44">
        <v>43583</v>
      </c>
      <c r="X1587" s="24"/>
      <c r="Y1587" s="24"/>
      <c r="Z1587" s="25"/>
    </row>
    <row r="1588" spans="20:26" x14ac:dyDescent="0.25">
      <c r="T1588" s="43">
        <v>43587</v>
      </c>
      <c r="U1588" t="str">
        <f t="shared" si="24"/>
        <v/>
      </c>
      <c r="V1588" s="44" t="s">
        <v>86</v>
      </c>
      <c r="W1588" s="44">
        <v>43583</v>
      </c>
      <c r="X1588" s="24"/>
      <c r="Y1588" s="24"/>
      <c r="Z1588" s="25"/>
    </row>
    <row r="1589" spans="20:26" x14ac:dyDescent="0.25">
      <c r="T1589" s="43">
        <v>43588</v>
      </c>
      <c r="U1589" t="str">
        <f t="shared" si="24"/>
        <v/>
      </c>
      <c r="V1589" s="44" t="s">
        <v>87</v>
      </c>
      <c r="W1589" s="44">
        <v>43583</v>
      </c>
      <c r="X1589" s="24"/>
      <c r="Y1589" s="24"/>
      <c r="Z1589" s="25"/>
    </row>
    <row r="1590" spans="20:26" x14ac:dyDescent="0.25">
      <c r="T1590" s="43">
        <v>43589</v>
      </c>
      <c r="U1590" t="str">
        <f t="shared" si="24"/>
        <v/>
      </c>
      <c r="V1590" s="44" t="s">
        <v>88</v>
      </c>
      <c r="W1590" s="44">
        <v>43583</v>
      </c>
      <c r="X1590" s="24"/>
      <c r="Y1590" s="24"/>
      <c r="Z1590" s="25"/>
    </row>
    <row r="1591" spans="20:26" x14ac:dyDescent="0.25">
      <c r="T1591" s="43">
        <v>43590</v>
      </c>
      <c r="U1591" t="str">
        <f t="shared" si="24"/>
        <v/>
      </c>
      <c r="V1591" s="44" t="s">
        <v>82</v>
      </c>
      <c r="W1591" s="44">
        <v>43590</v>
      </c>
      <c r="X1591" s="24"/>
      <c r="Y1591" s="24"/>
      <c r="Z1591" s="25"/>
    </row>
    <row r="1592" spans="20:26" x14ac:dyDescent="0.25">
      <c r="T1592" s="43">
        <v>43591</v>
      </c>
      <c r="U1592" t="str">
        <f t="shared" si="24"/>
        <v/>
      </c>
      <c r="V1592" s="44" t="s">
        <v>83</v>
      </c>
      <c r="W1592" s="44">
        <v>43590</v>
      </c>
      <c r="X1592" s="24"/>
      <c r="Y1592" s="24"/>
      <c r="Z1592" s="25"/>
    </row>
    <row r="1593" spans="20:26" x14ac:dyDescent="0.25">
      <c r="T1593" s="43">
        <v>43592</v>
      </c>
      <c r="U1593" t="str">
        <f t="shared" si="24"/>
        <v/>
      </c>
      <c r="V1593" s="44" t="s">
        <v>84</v>
      </c>
      <c r="W1593" s="44">
        <v>43590</v>
      </c>
      <c r="X1593" s="24"/>
      <c r="Y1593" s="24"/>
      <c r="Z1593" s="25"/>
    </row>
    <row r="1594" spans="20:26" x14ac:dyDescent="0.25">
      <c r="T1594" s="43">
        <v>43593</v>
      </c>
      <c r="U1594" t="str">
        <f t="shared" si="24"/>
        <v/>
      </c>
      <c r="V1594" s="44" t="s">
        <v>85</v>
      </c>
      <c r="W1594" s="44">
        <v>43590</v>
      </c>
      <c r="X1594" s="24"/>
      <c r="Y1594" s="24"/>
      <c r="Z1594" s="25"/>
    </row>
    <row r="1595" spans="20:26" x14ac:dyDescent="0.25">
      <c r="T1595" s="43">
        <v>43594</v>
      </c>
      <c r="U1595" t="str">
        <f t="shared" si="24"/>
        <v/>
      </c>
      <c r="V1595" s="44" t="s">
        <v>86</v>
      </c>
      <c r="W1595" s="44">
        <v>43590</v>
      </c>
      <c r="X1595" s="24"/>
      <c r="Y1595" s="24"/>
      <c r="Z1595" s="25"/>
    </row>
    <row r="1596" spans="20:26" x14ac:dyDescent="0.25">
      <c r="T1596" s="43">
        <v>43595</v>
      </c>
      <c r="U1596" t="str">
        <f t="shared" si="24"/>
        <v/>
      </c>
      <c r="V1596" s="44" t="s">
        <v>87</v>
      </c>
      <c r="W1596" s="44">
        <v>43590</v>
      </c>
      <c r="X1596" s="24"/>
      <c r="Y1596" s="24"/>
      <c r="Z1596" s="25"/>
    </row>
    <row r="1597" spans="20:26" x14ac:dyDescent="0.25">
      <c r="T1597" s="43">
        <v>43596</v>
      </c>
      <c r="U1597" t="str">
        <f t="shared" si="24"/>
        <v/>
      </c>
      <c r="V1597" s="44" t="s">
        <v>88</v>
      </c>
      <c r="W1597" s="44">
        <v>43590</v>
      </c>
      <c r="X1597" s="24"/>
      <c r="Y1597" s="24"/>
      <c r="Z1597" s="25"/>
    </row>
    <row r="1598" spans="20:26" x14ac:dyDescent="0.25">
      <c r="T1598" s="43">
        <v>43597</v>
      </c>
      <c r="U1598" t="str">
        <f t="shared" si="24"/>
        <v/>
      </c>
      <c r="V1598" s="44" t="s">
        <v>82</v>
      </c>
      <c r="W1598" s="44">
        <v>43597</v>
      </c>
      <c r="X1598" s="24"/>
      <c r="Y1598" s="24"/>
      <c r="Z1598" s="25"/>
    </row>
    <row r="1599" spans="20:26" x14ac:dyDescent="0.25">
      <c r="T1599" s="43">
        <v>43598</v>
      </c>
      <c r="U1599" t="str">
        <f t="shared" si="24"/>
        <v/>
      </c>
      <c r="V1599" s="44" t="s">
        <v>83</v>
      </c>
      <c r="W1599" s="44">
        <v>43597</v>
      </c>
      <c r="X1599" s="24"/>
      <c r="Y1599" s="24"/>
      <c r="Z1599" s="25"/>
    </row>
    <row r="1600" spans="20:26" x14ac:dyDescent="0.25">
      <c r="T1600" s="43">
        <v>43599</v>
      </c>
      <c r="U1600" t="str">
        <f t="shared" si="24"/>
        <v/>
      </c>
      <c r="V1600" s="44" t="s">
        <v>84</v>
      </c>
      <c r="W1600" s="44">
        <v>43597</v>
      </c>
      <c r="X1600" s="24"/>
      <c r="Y1600" s="24"/>
      <c r="Z1600" s="25"/>
    </row>
    <row r="1601" spans="20:26" x14ac:dyDescent="0.25">
      <c r="T1601" s="43">
        <v>43600</v>
      </c>
      <c r="U1601" t="str">
        <f t="shared" si="24"/>
        <v/>
      </c>
      <c r="V1601" s="44" t="s">
        <v>85</v>
      </c>
      <c r="W1601" s="44">
        <v>43597</v>
      </c>
      <c r="X1601" s="24"/>
      <c r="Y1601" s="24"/>
      <c r="Z1601" s="25"/>
    </row>
    <row r="1602" spans="20:26" x14ac:dyDescent="0.25">
      <c r="T1602" s="43">
        <v>43601</v>
      </c>
      <c r="U1602" t="str">
        <f t="shared" ref="U1602:U1665" si="25">RIGHT(Z1602,4)</f>
        <v/>
      </c>
      <c r="V1602" s="44" t="s">
        <v>86</v>
      </c>
      <c r="W1602" s="44">
        <v>43597</v>
      </c>
      <c r="X1602" s="24"/>
      <c r="Y1602" s="24"/>
      <c r="Z1602" s="25"/>
    </row>
    <row r="1603" spans="20:26" x14ac:dyDescent="0.25">
      <c r="T1603" s="43">
        <v>43602</v>
      </c>
      <c r="U1603" t="str">
        <f t="shared" si="25"/>
        <v/>
      </c>
      <c r="V1603" s="44" t="s">
        <v>87</v>
      </c>
      <c r="W1603" s="44">
        <v>43597</v>
      </c>
      <c r="X1603" s="24"/>
      <c r="Y1603" s="24"/>
      <c r="Z1603" s="25"/>
    </row>
    <row r="1604" spans="20:26" x14ac:dyDescent="0.25">
      <c r="T1604" s="43">
        <v>43603</v>
      </c>
      <c r="U1604" t="str">
        <f t="shared" si="25"/>
        <v/>
      </c>
      <c r="V1604" s="44" t="s">
        <v>88</v>
      </c>
      <c r="W1604" s="44">
        <v>43597</v>
      </c>
      <c r="X1604" s="24"/>
      <c r="Y1604" s="24"/>
      <c r="Z1604" s="25"/>
    </row>
    <row r="1605" spans="20:26" x14ac:dyDescent="0.25">
      <c r="T1605" s="43">
        <v>43604</v>
      </c>
      <c r="U1605" t="str">
        <f t="shared" si="25"/>
        <v/>
      </c>
      <c r="V1605" s="44" t="s">
        <v>82</v>
      </c>
      <c r="W1605" s="44">
        <v>43604</v>
      </c>
      <c r="X1605" s="24"/>
      <c r="Y1605" s="24"/>
      <c r="Z1605" s="25"/>
    </row>
    <row r="1606" spans="20:26" x14ac:dyDescent="0.25">
      <c r="T1606" s="43">
        <v>43605</v>
      </c>
      <c r="U1606" t="str">
        <f t="shared" si="25"/>
        <v/>
      </c>
      <c r="V1606" s="44" t="s">
        <v>83</v>
      </c>
      <c r="W1606" s="44">
        <v>43604</v>
      </c>
      <c r="X1606" s="24"/>
      <c r="Y1606" s="24"/>
      <c r="Z1606" s="25"/>
    </row>
    <row r="1607" spans="20:26" x14ac:dyDescent="0.25">
      <c r="T1607" s="43">
        <v>43606</v>
      </c>
      <c r="U1607" t="str">
        <f t="shared" si="25"/>
        <v/>
      </c>
      <c r="V1607" s="44" t="s">
        <v>84</v>
      </c>
      <c r="W1607" s="44">
        <v>43604</v>
      </c>
      <c r="X1607" s="24"/>
      <c r="Y1607" s="24"/>
      <c r="Z1607" s="25"/>
    </row>
    <row r="1608" spans="20:26" x14ac:dyDescent="0.25">
      <c r="T1608" s="43">
        <v>43607</v>
      </c>
      <c r="U1608" t="str">
        <f t="shared" si="25"/>
        <v/>
      </c>
      <c r="V1608" s="44" t="s">
        <v>85</v>
      </c>
      <c r="W1608" s="44">
        <v>43604</v>
      </c>
      <c r="X1608" s="24"/>
      <c r="Y1608" s="24"/>
      <c r="Z1608" s="25"/>
    </row>
    <row r="1609" spans="20:26" x14ac:dyDescent="0.25">
      <c r="T1609" s="43">
        <v>43608</v>
      </c>
      <c r="U1609" t="str">
        <f t="shared" si="25"/>
        <v/>
      </c>
      <c r="V1609" s="44" t="s">
        <v>86</v>
      </c>
      <c r="W1609" s="44">
        <v>43604</v>
      </c>
      <c r="X1609" s="24"/>
      <c r="Y1609" s="24"/>
      <c r="Z1609" s="25"/>
    </row>
    <row r="1610" spans="20:26" x14ac:dyDescent="0.25">
      <c r="T1610" s="43">
        <v>43609</v>
      </c>
      <c r="U1610" t="str">
        <f t="shared" si="25"/>
        <v/>
      </c>
      <c r="V1610" s="44" t="s">
        <v>87</v>
      </c>
      <c r="W1610" s="44">
        <v>43604</v>
      </c>
      <c r="X1610" s="24"/>
      <c r="Y1610" s="24"/>
      <c r="Z1610" s="25"/>
    </row>
    <row r="1611" spans="20:26" x14ac:dyDescent="0.25">
      <c r="T1611" s="43">
        <v>43610</v>
      </c>
      <c r="U1611" t="str">
        <f t="shared" si="25"/>
        <v/>
      </c>
      <c r="V1611" s="44" t="s">
        <v>88</v>
      </c>
      <c r="W1611" s="44">
        <v>43604</v>
      </c>
      <c r="X1611" s="24"/>
      <c r="Y1611" s="24"/>
      <c r="Z1611" s="25"/>
    </row>
    <row r="1612" spans="20:26" x14ac:dyDescent="0.25">
      <c r="T1612" s="43">
        <v>43611</v>
      </c>
      <c r="U1612" t="str">
        <f t="shared" si="25"/>
        <v/>
      </c>
      <c r="V1612" s="44" t="s">
        <v>82</v>
      </c>
      <c r="W1612" s="44">
        <v>43611</v>
      </c>
      <c r="X1612" s="24"/>
      <c r="Y1612" s="24"/>
      <c r="Z1612" s="25"/>
    </row>
    <row r="1613" spans="20:26" x14ac:dyDescent="0.25">
      <c r="T1613" s="43">
        <v>43612</v>
      </c>
      <c r="U1613" t="str">
        <f t="shared" si="25"/>
        <v/>
      </c>
      <c r="V1613" s="44" t="s">
        <v>83</v>
      </c>
      <c r="W1613" s="44">
        <v>43611</v>
      </c>
      <c r="X1613" s="24"/>
      <c r="Y1613" s="24"/>
      <c r="Z1613" s="25"/>
    </row>
    <row r="1614" spans="20:26" x14ac:dyDescent="0.25">
      <c r="T1614" s="43">
        <v>43613</v>
      </c>
      <c r="U1614" t="str">
        <f t="shared" si="25"/>
        <v/>
      </c>
      <c r="V1614" s="44" t="s">
        <v>84</v>
      </c>
      <c r="W1614" s="44">
        <v>43611</v>
      </c>
      <c r="X1614" s="24"/>
      <c r="Y1614" s="24"/>
      <c r="Z1614" s="25"/>
    </row>
    <row r="1615" spans="20:26" x14ac:dyDescent="0.25">
      <c r="T1615" s="43">
        <v>43614</v>
      </c>
      <c r="U1615" t="str">
        <f t="shared" si="25"/>
        <v/>
      </c>
      <c r="V1615" s="44" t="s">
        <v>85</v>
      </c>
      <c r="W1615" s="44">
        <v>43611</v>
      </c>
      <c r="X1615" s="24"/>
      <c r="Y1615" s="24"/>
      <c r="Z1615" s="25"/>
    </row>
    <row r="1616" spans="20:26" x14ac:dyDescent="0.25">
      <c r="T1616" s="43">
        <v>43615</v>
      </c>
      <c r="U1616" t="str">
        <f t="shared" si="25"/>
        <v/>
      </c>
      <c r="V1616" s="44" t="s">
        <v>86</v>
      </c>
      <c r="W1616" s="44">
        <v>43611</v>
      </c>
      <c r="X1616" s="24"/>
      <c r="Y1616" s="24"/>
      <c r="Z1616" s="25"/>
    </row>
    <row r="1617" spans="20:26" x14ac:dyDescent="0.25">
      <c r="T1617" s="43">
        <v>43616</v>
      </c>
      <c r="U1617" t="str">
        <f t="shared" si="25"/>
        <v/>
      </c>
      <c r="V1617" s="44" t="s">
        <v>87</v>
      </c>
      <c r="W1617" s="44">
        <v>43611</v>
      </c>
      <c r="X1617" s="24"/>
      <c r="Y1617" s="24"/>
      <c r="Z1617" s="25"/>
    </row>
    <row r="1618" spans="20:26" x14ac:dyDescent="0.25">
      <c r="T1618" s="43">
        <v>43617</v>
      </c>
      <c r="U1618" t="str">
        <f t="shared" si="25"/>
        <v/>
      </c>
      <c r="V1618" s="44" t="s">
        <v>88</v>
      </c>
      <c r="W1618" s="44">
        <v>43611</v>
      </c>
      <c r="X1618" s="24"/>
      <c r="Y1618" s="24"/>
      <c r="Z1618" s="25"/>
    </row>
    <row r="1619" spans="20:26" x14ac:dyDescent="0.25">
      <c r="T1619" s="43">
        <v>43618</v>
      </c>
      <c r="U1619" t="str">
        <f t="shared" si="25"/>
        <v/>
      </c>
      <c r="V1619" s="44" t="s">
        <v>82</v>
      </c>
      <c r="W1619" s="44">
        <v>43618</v>
      </c>
      <c r="X1619" s="24"/>
      <c r="Y1619" s="24"/>
      <c r="Z1619" s="25"/>
    </row>
    <row r="1620" spans="20:26" x14ac:dyDescent="0.25">
      <c r="T1620" s="43">
        <v>43619</v>
      </c>
      <c r="U1620" t="str">
        <f t="shared" si="25"/>
        <v/>
      </c>
      <c r="V1620" s="44" t="s">
        <v>83</v>
      </c>
      <c r="W1620" s="44">
        <v>43618</v>
      </c>
      <c r="X1620" s="24"/>
      <c r="Y1620" s="24"/>
      <c r="Z1620" s="25"/>
    </row>
    <row r="1621" spans="20:26" x14ac:dyDescent="0.25">
      <c r="T1621" s="43">
        <v>43620</v>
      </c>
      <c r="U1621" t="str">
        <f t="shared" si="25"/>
        <v/>
      </c>
      <c r="V1621" s="44" t="s">
        <v>84</v>
      </c>
      <c r="W1621" s="44">
        <v>43618</v>
      </c>
      <c r="X1621" s="24"/>
      <c r="Y1621" s="24"/>
      <c r="Z1621" s="25"/>
    </row>
    <row r="1622" spans="20:26" x14ac:dyDescent="0.25">
      <c r="T1622" s="43">
        <v>43621</v>
      </c>
      <c r="U1622" t="str">
        <f t="shared" si="25"/>
        <v/>
      </c>
      <c r="V1622" s="44" t="s">
        <v>85</v>
      </c>
      <c r="W1622" s="44">
        <v>43618</v>
      </c>
      <c r="X1622" s="24"/>
      <c r="Y1622" s="24"/>
      <c r="Z1622" s="25"/>
    </row>
    <row r="1623" spans="20:26" x14ac:dyDescent="0.25">
      <c r="T1623" s="43">
        <v>43622</v>
      </c>
      <c r="U1623" t="str">
        <f t="shared" si="25"/>
        <v/>
      </c>
      <c r="V1623" s="44" t="s">
        <v>86</v>
      </c>
      <c r="W1623" s="44">
        <v>43618</v>
      </c>
      <c r="X1623" s="24"/>
      <c r="Y1623" s="24"/>
      <c r="Z1623" s="25"/>
    </row>
    <row r="1624" spans="20:26" x14ac:dyDescent="0.25">
      <c r="T1624" s="43">
        <v>43623</v>
      </c>
      <c r="U1624" t="str">
        <f t="shared" si="25"/>
        <v/>
      </c>
      <c r="V1624" s="44" t="s">
        <v>87</v>
      </c>
      <c r="W1624" s="44">
        <v>43618</v>
      </c>
      <c r="X1624" s="24"/>
      <c r="Y1624" s="24"/>
      <c r="Z1624" s="25"/>
    </row>
    <row r="1625" spans="20:26" x14ac:dyDescent="0.25">
      <c r="T1625" s="43">
        <v>43624</v>
      </c>
      <c r="U1625" t="str">
        <f t="shared" si="25"/>
        <v/>
      </c>
      <c r="V1625" s="44" t="s">
        <v>88</v>
      </c>
      <c r="W1625" s="44">
        <v>43618</v>
      </c>
      <c r="X1625" s="24"/>
      <c r="Y1625" s="24"/>
      <c r="Z1625" s="25"/>
    </row>
    <row r="1626" spans="20:26" x14ac:dyDescent="0.25">
      <c r="T1626" s="43">
        <v>43625</v>
      </c>
      <c r="U1626" t="str">
        <f t="shared" si="25"/>
        <v/>
      </c>
      <c r="V1626" s="44" t="s">
        <v>82</v>
      </c>
      <c r="W1626" s="44">
        <v>43625</v>
      </c>
      <c r="X1626" s="24"/>
      <c r="Y1626" s="24"/>
      <c r="Z1626" s="25"/>
    </row>
    <row r="1627" spans="20:26" x14ac:dyDescent="0.25">
      <c r="T1627" s="43">
        <v>43626</v>
      </c>
      <c r="U1627" t="str">
        <f t="shared" si="25"/>
        <v/>
      </c>
      <c r="V1627" s="44" t="s">
        <v>83</v>
      </c>
      <c r="W1627" s="44">
        <v>43625</v>
      </c>
      <c r="X1627" s="24"/>
      <c r="Y1627" s="24"/>
      <c r="Z1627" s="25"/>
    </row>
    <row r="1628" spans="20:26" x14ac:dyDescent="0.25">
      <c r="T1628" s="43">
        <v>43627</v>
      </c>
      <c r="U1628" t="str">
        <f t="shared" si="25"/>
        <v/>
      </c>
      <c r="V1628" s="44" t="s">
        <v>84</v>
      </c>
      <c r="W1628" s="44">
        <v>43625</v>
      </c>
      <c r="X1628" s="24"/>
      <c r="Y1628" s="24"/>
      <c r="Z1628" s="25"/>
    </row>
    <row r="1629" spans="20:26" x14ac:dyDescent="0.25">
      <c r="T1629" s="43">
        <v>43628</v>
      </c>
      <c r="U1629" t="str">
        <f t="shared" si="25"/>
        <v/>
      </c>
      <c r="V1629" s="44" t="s">
        <v>85</v>
      </c>
      <c r="W1629" s="44">
        <v>43625</v>
      </c>
      <c r="X1629" s="24"/>
      <c r="Y1629" s="24"/>
      <c r="Z1629" s="25"/>
    </row>
    <row r="1630" spans="20:26" x14ac:dyDescent="0.25">
      <c r="T1630" s="43">
        <v>43629</v>
      </c>
      <c r="U1630" t="str">
        <f t="shared" si="25"/>
        <v/>
      </c>
      <c r="V1630" s="44" t="s">
        <v>86</v>
      </c>
      <c r="W1630" s="44">
        <v>43625</v>
      </c>
      <c r="X1630" s="24"/>
      <c r="Y1630" s="24"/>
      <c r="Z1630" s="25"/>
    </row>
    <row r="1631" spans="20:26" x14ac:dyDescent="0.25">
      <c r="T1631" s="43">
        <v>43630</v>
      </c>
      <c r="U1631" t="str">
        <f t="shared" si="25"/>
        <v/>
      </c>
      <c r="V1631" s="44" t="s">
        <v>87</v>
      </c>
      <c r="W1631" s="44">
        <v>43625</v>
      </c>
      <c r="X1631" s="24"/>
      <c r="Y1631" s="24"/>
      <c r="Z1631" s="25"/>
    </row>
    <row r="1632" spans="20:26" x14ac:dyDescent="0.25">
      <c r="T1632" s="43">
        <v>43631</v>
      </c>
      <c r="U1632" t="str">
        <f t="shared" si="25"/>
        <v/>
      </c>
      <c r="V1632" s="44" t="s">
        <v>88</v>
      </c>
      <c r="W1632" s="44">
        <v>43625</v>
      </c>
      <c r="X1632" s="24"/>
      <c r="Y1632" s="24"/>
      <c r="Z1632" s="25"/>
    </row>
    <row r="1633" spans="20:26" x14ac:dyDescent="0.25">
      <c r="T1633" s="43">
        <v>43632</v>
      </c>
      <c r="U1633" t="str">
        <f t="shared" si="25"/>
        <v/>
      </c>
      <c r="V1633" s="44" t="s">
        <v>82</v>
      </c>
      <c r="W1633" s="44">
        <v>43632</v>
      </c>
      <c r="X1633" s="24"/>
      <c r="Y1633" s="24"/>
      <c r="Z1633" s="25"/>
    </row>
    <row r="1634" spans="20:26" x14ac:dyDescent="0.25">
      <c r="T1634" s="43">
        <v>43633</v>
      </c>
      <c r="U1634" t="str">
        <f t="shared" si="25"/>
        <v/>
      </c>
      <c r="V1634" s="44" t="s">
        <v>83</v>
      </c>
      <c r="W1634" s="44">
        <v>43632</v>
      </c>
      <c r="X1634" s="24"/>
      <c r="Y1634" s="24"/>
      <c r="Z1634" s="25"/>
    </row>
    <row r="1635" spans="20:26" x14ac:dyDescent="0.25">
      <c r="T1635" s="43">
        <v>43634</v>
      </c>
      <c r="U1635" t="str">
        <f t="shared" si="25"/>
        <v/>
      </c>
      <c r="V1635" s="44" t="s">
        <v>84</v>
      </c>
      <c r="W1635" s="44">
        <v>43632</v>
      </c>
      <c r="X1635" s="24"/>
      <c r="Y1635" s="24"/>
      <c r="Z1635" s="25"/>
    </row>
    <row r="1636" spans="20:26" x14ac:dyDescent="0.25">
      <c r="T1636" s="43">
        <v>43635</v>
      </c>
      <c r="U1636" t="str">
        <f t="shared" si="25"/>
        <v/>
      </c>
      <c r="V1636" s="44" t="s">
        <v>85</v>
      </c>
      <c r="W1636" s="44">
        <v>43632</v>
      </c>
      <c r="X1636" s="24"/>
      <c r="Y1636" s="24"/>
      <c r="Z1636" s="25"/>
    </row>
    <row r="1637" spans="20:26" x14ac:dyDescent="0.25">
      <c r="T1637" s="43">
        <v>43636</v>
      </c>
      <c r="U1637" t="str">
        <f t="shared" si="25"/>
        <v/>
      </c>
      <c r="V1637" s="44" t="s">
        <v>86</v>
      </c>
      <c r="W1637" s="44">
        <v>43632</v>
      </c>
      <c r="X1637" s="24"/>
      <c r="Y1637" s="24"/>
      <c r="Z1637" s="25"/>
    </row>
    <row r="1638" spans="20:26" x14ac:dyDescent="0.25">
      <c r="T1638" s="43">
        <v>43637</v>
      </c>
      <c r="U1638" t="str">
        <f t="shared" si="25"/>
        <v/>
      </c>
      <c r="V1638" s="44" t="s">
        <v>87</v>
      </c>
      <c r="W1638" s="44">
        <v>43632</v>
      </c>
      <c r="X1638" s="24"/>
      <c r="Y1638" s="24"/>
      <c r="Z1638" s="25"/>
    </row>
    <row r="1639" spans="20:26" x14ac:dyDescent="0.25">
      <c r="T1639" s="43">
        <v>43638</v>
      </c>
      <c r="U1639" t="str">
        <f t="shared" si="25"/>
        <v/>
      </c>
      <c r="V1639" s="44" t="s">
        <v>88</v>
      </c>
      <c r="W1639" s="44">
        <v>43632</v>
      </c>
      <c r="X1639" s="24"/>
      <c r="Y1639" s="24"/>
      <c r="Z1639" s="25"/>
    </row>
    <row r="1640" spans="20:26" x14ac:dyDescent="0.25">
      <c r="T1640" s="43">
        <v>43639</v>
      </c>
      <c r="U1640" t="str">
        <f t="shared" si="25"/>
        <v/>
      </c>
      <c r="V1640" s="44" t="s">
        <v>82</v>
      </c>
      <c r="W1640" s="44">
        <v>43639</v>
      </c>
      <c r="X1640" s="24"/>
      <c r="Y1640" s="24"/>
      <c r="Z1640" s="25"/>
    </row>
    <row r="1641" spans="20:26" x14ac:dyDescent="0.25">
      <c r="T1641" s="43">
        <v>43640</v>
      </c>
      <c r="U1641" t="str">
        <f t="shared" si="25"/>
        <v/>
      </c>
      <c r="V1641" s="44" t="s">
        <v>83</v>
      </c>
      <c r="W1641" s="44">
        <v>43639</v>
      </c>
      <c r="X1641" s="24"/>
      <c r="Y1641" s="24"/>
      <c r="Z1641" s="25"/>
    </row>
    <row r="1642" spans="20:26" x14ac:dyDescent="0.25">
      <c r="T1642" s="43">
        <v>43641</v>
      </c>
      <c r="U1642" t="str">
        <f t="shared" si="25"/>
        <v/>
      </c>
      <c r="V1642" s="44" t="s">
        <v>84</v>
      </c>
      <c r="W1642" s="44">
        <v>43639</v>
      </c>
      <c r="X1642" s="24"/>
      <c r="Y1642" s="24"/>
      <c r="Z1642" s="25"/>
    </row>
    <row r="1643" spans="20:26" x14ac:dyDescent="0.25">
      <c r="T1643" s="43">
        <v>43642</v>
      </c>
      <c r="U1643" t="str">
        <f t="shared" si="25"/>
        <v/>
      </c>
      <c r="V1643" s="44" t="s">
        <v>85</v>
      </c>
      <c r="W1643" s="44">
        <v>43639</v>
      </c>
      <c r="X1643" s="24"/>
      <c r="Y1643" s="24"/>
      <c r="Z1643" s="25"/>
    </row>
    <row r="1644" spans="20:26" x14ac:dyDescent="0.25">
      <c r="T1644" s="43">
        <v>43643</v>
      </c>
      <c r="U1644" t="str">
        <f t="shared" si="25"/>
        <v/>
      </c>
      <c r="V1644" s="44" t="s">
        <v>86</v>
      </c>
      <c r="W1644" s="44">
        <v>43639</v>
      </c>
      <c r="X1644" s="24"/>
      <c r="Y1644" s="24"/>
      <c r="Z1644" s="25"/>
    </row>
    <row r="1645" spans="20:26" x14ac:dyDescent="0.25">
      <c r="T1645" s="43">
        <v>43644</v>
      </c>
      <c r="U1645" t="str">
        <f t="shared" si="25"/>
        <v/>
      </c>
      <c r="V1645" s="44" t="s">
        <v>87</v>
      </c>
      <c r="W1645" s="44">
        <v>43639</v>
      </c>
      <c r="X1645" s="24"/>
      <c r="Y1645" s="24"/>
      <c r="Z1645" s="25"/>
    </row>
    <row r="1646" spans="20:26" x14ac:dyDescent="0.25">
      <c r="T1646" s="43">
        <v>43645</v>
      </c>
      <c r="U1646" t="str">
        <f t="shared" si="25"/>
        <v/>
      </c>
      <c r="V1646" s="44" t="s">
        <v>88</v>
      </c>
      <c r="W1646" s="44">
        <v>43639</v>
      </c>
      <c r="X1646" s="24"/>
      <c r="Y1646" s="24"/>
      <c r="Z1646" s="25"/>
    </row>
    <row r="1647" spans="20:26" x14ac:dyDescent="0.25">
      <c r="T1647" s="43">
        <v>43646</v>
      </c>
      <c r="U1647" t="str">
        <f t="shared" si="25"/>
        <v/>
      </c>
      <c r="V1647" s="44" t="s">
        <v>82</v>
      </c>
      <c r="W1647" s="44">
        <v>43646</v>
      </c>
      <c r="X1647" s="24"/>
      <c r="Y1647" s="24"/>
      <c r="Z1647" s="25"/>
    </row>
    <row r="1648" spans="20:26" x14ac:dyDescent="0.25">
      <c r="T1648" s="43">
        <v>43647</v>
      </c>
      <c r="U1648" t="str">
        <f t="shared" si="25"/>
        <v/>
      </c>
      <c r="V1648" s="44" t="s">
        <v>83</v>
      </c>
      <c r="W1648" s="44">
        <v>43646</v>
      </c>
      <c r="X1648" s="24"/>
      <c r="Y1648" s="24"/>
      <c r="Z1648" s="25"/>
    </row>
    <row r="1649" spans="20:26" x14ac:dyDescent="0.25">
      <c r="T1649" s="43">
        <v>43648</v>
      </c>
      <c r="U1649" t="str">
        <f t="shared" si="25"/>
        <v/>
      </c>
      <c r="V1649" s="44" t="s">
        <v>84</v>
      </c>
      <c r="W1649" s="44">
        <v>43646</v>
      </c>
      <c r="X1649" s="24"/>
      <c r="Y1649" s="24"/>
      <c r="Z1649" s="25"/>
    </row>
    <row r="1650" spans="20:26" x14ac:dyDescent="0.25">
      <c r="T1650" s="43">
        <v>43649</v>
      </c>
      <c r="U1650" t="str">
        <f t="shared" si="25"/>
        <v/>
      </c>
      <c r="V1650" s="44" t="s">
        <v>85</v>
      </c>
      <c r="W1650" s="44">
        <v>43646</v>
      </c>
      <c r="X1650" s="24"/>
      <c r="Y1650" s="24"/>
      <c r="Z1650" s="25"/>
    </row>
    <row r="1651" spans="20:26" x14ac:dyDescent="0.25">
      <c r="T1651" s="43">
        <v>43650</v>
      </c>
      <c r="U1651" t="str">
        <f t="shared" si="25"/>
        <v/>
      </c>
      <c r="V1651" s="44" t="s">
        <v>86</v>
      </c>
      <c r="W1651" s="44">
        <v>43646</v>
      </c>
      <c r="X1651" s="24"/>
      <c r="Y1651" s="24"/>
      <c r="Z1651" s="25"/>
    </row>
    <row r="1652" spans="20:26" x14ac:dyDescent="0.25">
      <c r="T1652" s="43">
        <v>43651</v>
      </c>
      <c r="U1652" t="str">
        <f t="shared" si="25"/>
        <v/>
      </c>
      <c r="V1652" s="44" t="s">
        <v>87</v>
      </c>
      <c r="W1652" s="44">
        <v>43646</v>
      </c>
      <c r="X1652" s="24"/>
      <c r="Y1652" s="24"/>
      <c r="Z1652" s="25"/>
    </row>
    <row r="1653" spans="20:26" x14ac:dyDescent="0.25">
      <c r="T1653" s="43">
        <v>43652</v>
      </c>
      <c r="U1653" t="str">
        <f t="shared" si="25"/>
        <v/>
      </c>
      <c r="V1653" s="44" t="s">
        <v>88</v>
      </c>
      <c r="W1653" s="44">
        <v>43646</v>
      </c>
      <c r="X1653" s="24"/>
      <c r="Y1653" s="24"/>
      <c r="Z1653" s="25"/>
    </row>
    <row r="1654" spans="20:26" x14ac:dyDescent="0.25">
      <c r="T1654" s="43">
        <v>43653</v>
      </c>
      <c r="U1654" t="str">
        <f t="shared" si="25"/>
        <v/>
      </c>
      <c r="V1654" s="44" t="s">
        <v>82</v>
      </c>
      <c r="W1654" s="44">
        <v>43653</v>
      </c>
      <c r="X1654" s="24"/>
      <c r="Y1654" s="24"/>
      <c r="Z1654" s="25"/>
    </row>
    <row r="1655" spans="20:26" x14ac:dyDescent="0.25">
      <c r="T1655" s="43">
        <v>43654</v>
      </c>
      <c r="U1655" t="str">
        <f t="shared" si="25"/>
        <v/>
      </c>
      <c r="V1655" s="44" t="s">
        <v>83</v>
      </c>
      <c r="W1655" s="44">
        <v>43653</v>
      </c>
      <c r="X1655" s="24"/>
      <c r="Y1655" s="24"/>
      <c r="Z1655" s="25"/>
    </row>
    <row r="1656" spans="20:26" x14ac:dyDescent="0.25">
      <c r="T1656" s="43">
        <v>43655</v>
      </c>
      <c r="U1656" t="str">
        <f t="shared" si="25"/>
        <v/>
      </c>
      <c r="V1656" s="44" t="s">
        <v>84</v>
      </c>
      <c r="W1656" s="44">
        <v>43653</v>
      </c>
      <c r="X1656" s="24"/>
      <c r="Y1656" s="24"/>
      <c r="Z1656" s="25"/>
    </row>
    <row r="1657" spans="20:26" x14ac:dyDescent="0.25">
      <c r="T1657" s="43">
        <v>43656</v>
      </c>
      <c r="U1657" t="str">
        <f t="shared" si="25"/>
        <v/>
      </c>
      <c r="V1657" s="44" t="s">
        <v>85</v>
      </c>
      <c r="W1657" s="44">
        <v>43653</v>
      </c>
      <c r="X1657" s="24"/>
      <c r="Y1657" s="24"/>
      <c r="Z1657" s="25"/>
    </row>
    <row r="1658" spans="20:26" x14ac:dyDescent="0.25">
      <c r="T1658" s="43">
        <v>43657</v>
      </c>
      <c r="U1658" t="str">
        <f t="shared" si="25"/>
        <v/>
      </c>
      <c r="V1658" s="44" t="s">
        <v>86</v>
      </c>
      <c r="W1658" s="44">
        <v>43653</v>
      </c>
      <c r="X1658" s="24"/>
      <c r="Y1658" s="24"/>
      <c r="Z1658" s="25"/>
    </row>
    <row r="1659" spans="20:26" x14ac:dyDescent="0.25">
      <c r="T1659" s="43">
        <v>43658</v>
      </c>
      <c r="U1659" t="str">
        <f t="shared" si="25"/>
        <v/>
      </c>
      <c r="V1659" s="44" t="s">
        <v>87</v>
      </c>
      <c r="W1659" s="44">
        <v>43653</v>
      </c>
      <c r="X1659" s="24"/>
      <c r="Y1659" s="24"/>
      <c r="Z1659" s="25"/>
    </row>
    <row r="1660" spans="20:26" x14ac:dyDescent="0.25">
      <c r="T1660" s="43">
        <v>43659</v>
      </c>
      <c r="U1660" t="str">
        <f t="shared" si="25"/>
        <v/>
      </c>
      <c r="V1660" s="44" t="s">
        <v>88</v>
      </c>
      <c r="W1660" s="44">
        <v>43653</v>
      </c>
      <c r="X1660" s="24"/>
      <c r="Y1660" s="24"/>
      <c r="Z1660" s="25"/>
    </row>
    <row r="1661" spans="20:26" x14ac:dyDescent="0.25">
      <c r="T1661" s="43">
        <v>43660</v>
      </c>
      <c r="U1661" t="str">
        <f t="shared" si="25"/>
        <v/>
      </c>
      <c r="V1661" s="44" t="s">
        <v>82</v>
      </c>
      <c r="W1661" s="44">
        <v>43660</v>
      </c>
      <c r="X1661" s="24"/>
      <c r="Y1661" s="24"/>
      <c r="Z1661" s="25"/>
    </row>
    <row r="1662" spans="20:26" x14ac:dyDescent="0.25">
      <c r="T1662" s="43">
        <v>43661</v>
      </c>
      <c r="U1662" t="str">
        <f t="shared" si="25"/>
        <v/>
      </c>
      <c r="V1662" s="44" t="s">
        <v>83</v>
      </c>
      <c r="W1662" s="44">
        <v>43660</v>
      </c>
      <c r="X1662" s="24"/>
      <c r="Y1662" s="24"/>
      <c r="Z1662" s="25"/>
    </row>
    <row r="1663" spans="20:26" x14ac:dyDescent="0.25">
      <c r="T1663" s="43">
        <v>43662</v>
      </c>
      <c r="U1663" t="str">
        <f t="shared" si="25"/>
        <v/>
      </c>
      <c r="V1663" s="44" t="s">
        <v>84</v>
      </c>
      <c r="W1663" s="44">
        <v>43660</v>
      </c>
      <c r="X1663" s="24"/>
      <c r="Y1663" s="24"/>
      <c r="Z1663" s="25"/>
    </row>
    <row r="1664" spans="20:26" x14ac:dyDescent="0.25">
      <c r="T1664" s="43">
        <v>43663</v>
      </c>
      <c r="U1664" t="str">
        <f t="shared" si="25"/>
        <v/>
      </c>
      <c r="V1664" s="44" t="s">
        <v>85</v>
      </c>
      <c r="W1664" s="44">
        <v>43660</v>
      </c>
      <c r="X1664" s="24"/>
      <c r="Y1664" s="24"/>
      <c r="Z1664" s="25"/>
    </row>
    <row r="1665" spans="20:26" x14ac:dyDescent="0.25">
      <c r="T1665" s="43">
        <v>43664</v>
      </c>
      <c r="U1665" t="str">
        <f t="shared" si="25"/>
        <v/>
      </c>
      <c r="V1665" s="44" t="s">
        <v>86</v>
      </c>
      <c r="W1665" s="44">
        <v>43660</v>
      </c>
      <c r="X1665" s="24"/>
      <c r="Y1665" s="24"/>
      <c r="Z1665" s="25"/>
    </row>
    <row r="1666" spans="20:26" x14ac:dyDescent="0.25">
      <c r="T1666" s="43">
        <v>43665</v>
      </c>
      <c r="U1666" t="str">
        <f t="shared" ref="U1666:U1729" si="26">RIGHT(Z1666,4)</f>
        <v/>
      </c>
      <c r="V1666" s="44" t="s">
        <v>87</v>
      </c>
      <c r="W1666" s="44">
        <v>43660</v>
      </c>
      <c r="X1666" s="24"/>
      <c r="Y1666" s="24"/>
      <c r="Z1666" s="25"/>
    </row>
    <row r="1667" spans="20:26" x14ac:dyDescent="0.25">
      <c r="T1667" s="43">
        <v>43666</v>
      </c>
      <c r="U1667" t="str">
        <f t="shared" si="26"/>
        <v/>
      </c>
      <c r="V1667" s="44" t="s">
        <v>88</v>
      </c>
      <c r="W1667" s="44">
        <v>43660</v>
      </c>
      <c r="X1667" s="24"/>
      <c r="Y1667" s="24"/>
      <c r="Z1667" s="25"/>
    </row>
    <row r="1668" spans="20:26" x14ac:dyDescent="0.25">
      <c r="T1668" s="43">
        <v>43667</v>
      </c>
      <c r="U1668" t="str">
        <f t="shared" si="26"/>
        <v/>
      </c>
      <c r="V1668" s="44" t="s">
        <v>82</v>
      </c>
      <c r="W1668" s="44">
        <v>43667</v>
      </c>
      <c r="X1668" s="24"/>
      <c r="Y1668" s="24"/>
      <c r="Z1668" s="25"/>
    </row>
    <row r="1669" spans="20:26" x14ac:dyDescent="0.25">
      <c r="T1669" s="43">
        <v>43668</v>
      </c>
      <c r="U1669" t="str">
        <f t="shared" si="26"/>
        <v/>
      </c>
      <c r="V1669" s="44" t="s">
        <v>83</v>
      </c>
      <c r="W1669" s="44">
        <v>43667</v>
      </c>
      <c r="X1669" s="24"/>
      <c r="Y1669" s="24"/>
      <c r="Z1669" s="25"/>
    </row>
    <row r="1670" spans="20:26" x14ac:dyDescent="0.25">
      <c r="T1670" s="43">
        <v>43669</v>
      </c>
      <c r="U1670" t="str">
        <f t="shared" si="26"/>
        <v/>
      </c>
      <c r="V1670" s="44" t="s">
        <v>84</v>
      </c>
      <c r="W1670" s="44">
        <v>43667</v>
      </c>
      <c r="X1670" s="24"/>
      <c r="Y1670" s="24"/>
      <c r="Z1670" s="25"/>
    </row>
    <row r="1671" spans="20:26" x14ac:dyDescent="0.25">
      <c r="T1671" s="43">
        <v>43670</v>
      </c>
      <c r="U1671" t="str">
        <f t="shared" si="26"/>
        <v/>
      </c>
      <c r="V1671" s="44" t="s">
        <v>85</v>
      </c>
      <c r="W1671" s="44">
        <v>43667</v>
      </c>
      <c r="X1671" s="24"/>
      <c r="Y1671" s="24"/>
      <c r="Z1671" s="25"/>
    </row>
    <row r="1672" spans="20:26" x14ac:dyDescent="0.25">
      <c r="T1672" s="43">
        <v>43671</v>
      </c>
      <c r="U1672" t="str">
        <f t="shared" si="26"/>
        <v/>
      </c>
      <c r="V1672" s="44" t="s">
        <v>86</v>
      </c>
      <c r="W1672" s="44">
        <v>43667</v>
      </c>
      <c r="X1672" s="24"/>
      <c r="Y1672" s="24"/>
      <c r="Z1672" s="25"/>
    </row>
    <row r="1673" spans="20:26" x14ac:dyDescent="0.25">
      <c r="T1673" s="43">
        <v>43672</v>
      </c>
      <c r="U1673" t="str">
        <f t="shared" si="26"/>
        <v/>
      </c>
      <c r="V1673" s="44" t="s">
        <v>87</v>
      </c>
      <c r="W1673" s="44">
        <v>43667</v>
      </c>
      <c r="X1673" s="24"/>
      <c r="Y1673" s="24"/>
      <c r="Z1673" s="25"/>
    </row>
    <row r="1674" spans="20:26" x14ac:dyDescent="0.25">
      <c r="T1674" s="43">
        <v>43673</v>
      </c>
      <c r="U1674" t="str">
        <f t="shared" si="26"/>
        <v/>
      </c>
      <c r="V1674" s="44" t="s">
        <v>88</v>
      </c>
      <c r="W1674" s="44">
        <v>43667</v>
      </c>
      <c r="X1674" s="24"/>
      <c r="Y1674" s="24"/>
      <c r="Z1674" s="25"/>
    </row>
    <row r="1675" spans="20:26" x14ac:dyDescent="0.25">
      <c r="T1675" s="43">
        <v>43674</v>
      </c>
      <c r="U1675" t="str">
        <f t="shared" si="26"/>
        <v/>
      </c>
      <c r="V1675" s="44" t="s">
        <v>82</v>
      </c>
      <c r="W1675" s="44">
        <v>43674</v>
      </c>
      <c r="X1675" s="24"/>
      <c r="Y1675" s="24"/>
      <c r="Z1675" s="25"/>
    </row>
    <row r="1676" spans="20:26" x14ac:dyDescent="0.25">
      <c r="T1676" s="43">
        <v>43675</v>
      </c>
      <c r="U1676" t="str">
        <f t="shared" si="26"/>
        <v/>
      </c>
      <c r="V1676" s="44" t="s">
        <v>83</v>
      </c>
      <c r="W1676" s="44">
        <v>43674</v>
      </c>
      <c r="X1676" s="24"/>
      <c r="Y1676" s="24"/>
      <c r="Z1676" s="25"/>
    </row>
    <row r="1677" spans="20:26" x14ac:dyDescent="0.25">
      <c r="T1677" s="43">
        <v>43676</v>
      </c>
      <c r="U1677" t="str">
        <f t="shared" si="26"/>
        <v/>
      </c>
      <c r="V1677" s="44" t="s">
        <v>84</v>
      </c>
      <c r="W1677" s="44">
        <v>43674</v>
      </c>
      <c r="X1677" s="24"/>
      <c r="Y1677" s="24"/>
      <c r="Z1677" s="25"/>
    </row>
    <row r="1678" spans="20:26" x14ac:dyDescent="0.25">
      <c r="T1678" s="43">
        <v>43677</v>
      </c>
      <c r="U1678" t="str">
        <f t="shared" si="26"/>
        <v/>
      </c>
      <c r="V1678" s="44" t="s">
        <v>85</v>
      </c>
      <c r="W1678" s="44">
        <v>43674</v>
      </c>
      <c r="X1678" s="24"/>
      <c r="Y1678" s="24"/>
      <c r="Z1678" s="25"/>
    </row>
    <row r="1679" spans="20:26" x14ac:dyDescent="0.25">
      <c r="T1679" s="43">
        <v>43678</v>
      </c>
      <c r="U1679" t="str">
        <f t="shared" si="26"/>
        <v/>
      </c>
      <c r="V1679" s="44" t="s">
        <v>86</v>
      </c>
      <c r="W1679" s="44">
        <v>43674</v>
      </c>
      <c r="X1679" s="24"/>
      <c r="Y1679" s="24"/>
      <c r="Z1679" s="25"/>
    </row>
    <row r="1680" spans="20:26" x14ac:dyDescent="0.25">
      <c r="T1680" s="43">
        <v>43679</v>
      </c>
      <c r="U1680" t="str">
        <f t="shared" si="26"/>
        <v/>
      </c>
      <c r="V1680" s="44" t="s">
        <v>87</v>
      </c>
      <c r="W1680" s="44">
        <v>43674</v>
      </c>
      <c r="X1680" s="24"/>
      <c r="Y1680" s="24"/>
      <c r="Z1680" s="25"/>
    </row>
    <row r="1681" spans="20:26" x14ac:dyDescent="0.25">
      <c r="T1681" s="43">
        <v>43680</v>
      </c>
      <c r="U1681" t="str">
        <f t="shared" si="26"/>
        <v/>
      </c>
      <c r="V1681" s="44" t="s">
        <v>88</v>
      </c>
      <c r="W1681" s="44">
        <v>43674</v>
      </c>
      <c r="X1681" s="24"/>
      <c r="Y1681" s="24"/>
      <c r="Z1681" s="25"/>
    </row>
    <row r="1682" spans="20:26" x14ac:dyDescent="0.25">
      <c r="T1682" s="43">
        <v>43681</v>
      </c>
      <c r="U1682" t="str">
        <f t="shared" si="26"/>
        <v/>
      </c>
      <c r="V1682" s="44" t="s">
        <v>82</v>
      </c>
      <c r="W1682" s="44">
        <v>43681</v>
      </c>
      <c r="X1682" s="24"/>
      <c r="Y1682" s="24"/>
      <c r="Z1682" s="25"/>
    </row>
    <row r="1683" spans="20:26" x14ac:dyDescent="0.25">
      <c r="T1683" s="43">
        <v>43682</v>
      </c>
      <c r="U1683" t="str">
        <f t="shared" si="26"/>
        <v/>
      </c>
      <c r="V1683" s="44" t="s">
        <v>83</v>
      </c>
      <c r="W1683" s="44">
        <v>43681</v>
      </c>
      <c r="X1683" s="24"/>
      <c r="Y1683" s="24"/>
      <c r="Z1683" s="25"/>
    </row>
    <row r="1684" spans="20:26" x14ac:dyDescent="0.25">
      <c r="T1684" s="43">
        <v>43683</v>
      </c>
      <c r="U1684" t="str">
        <f t="shared" si="26"/>
        <v/>
      </c>
      <c r="V1684" s="44" t="s">
        <v>84</v>
      </c>
      <c r="W1684" s="44">
        <v>43681</v>
      </c>
      <c r="X1684" s="24"/>
      <c r="Y1684" s="24"/>
      <c r="Z1684" s="25"/>
    </row>
    <row r="1685" spans="20:26" x14ac:dyDescent="0.25">
      <c r="T1685" s="43">
        <v>43684</v>
      </c>
      <c r="U1685" t="str">
        <f t="shared" si="26"/>
        <v/>
      </c>
      <c r="V1685" s="44" t="s">
        <v>85</v>
      </c>
      <c r="W1685" s="44">
        <v>43681</v>
      </c>
      <c r="X1685" s="24"/>
      <c r="Y1685" s="24"/>
      <c r="Z1685" s="25"/>
    </row>
    <row r="1686" spans="20:26" x14ac:dyDescent="0.25">
      <c r="T1686" s="43">
        <v>43685</v>
      </c>
      <c r="U1686" t="str">
        <f t="shared" si="26"/>
        <v/>
      </c>
      <c r="V1686" s="44" t="s">
        <v>86</v>
      </c>
      <c r="W1686" s="44">
        <v>43681</v>
      </c>
      <c r="X1686" s="24"/>
      <c r="Y1686" s="24"/>
      <c r="Z1686" s="25"/>
    </row>
    <row r="1687" spans="20:26" x14ac:dyDescent="0.25">
      <c r="T1687" s="43">
        <v>43686</v>
      </c>
      <c r="U1687" t="str">
        <f t="shared" si="26"/>
        <v/>
      </c>
      <c r="V1687" s="44" t="s">
        <v>87</v>
      </c>
      <c r="W1687" s="44">
        <v>43681</v>
      </c>
      <c r="X1687" s="24"/>
      <c r="Y1687" s="24"/>
      <c r="Z1687" s="25"/>
    </row>
    <row r="1688" spans="20:26" x14ac:dyDescent="0.25">
      <c r="T1688" s="43">
        <v>43687</v>
      </c>
      <c r="U1688" t="str">
        <f t="shared" si="26"/>
        <v/>
      </c>
      <c r="V1688" s="44" t="s">
        <v>88</v>
      </c>
      <c r="W1688" s="44">
        <v>43681</v>
      </c>
      <c r="X1688" s="24"/>
      <c r="Y1688" s="24"/>
      <c r="Z1688" s="25"/>
    </row>
    <row r="1689" spans="20:26" x14ac:dyDescent="0.25">
      <c r="T1689" s="43">
        <v>43688</v>
      </c>
      <c r="U1689" t="str">
        <f t="shared" si="26"/>
        <v/>
      </c>
      <c r="V1689" s="44" t="s">
        <v>82</v>
      </c>
      <c r="W1689" s="44">
        <v>43688</v>
      </c>
      <c r="X1689" s="24"/>
      <c r="Y1689" s="24"/>
      <c r="Z1689" s="25"/>
    </row>
    <row r="1690" spans="20:26" x14ac:dyDescent="0.25">
      <c r="T1690" s="43">
        <v>43689</v>
      </c>
      <c r="U1690" t="str">
        <f t="shared" si="26"/>
        <v/>
      </c>
      <c r="V1690" s="44" t="s">
        <v>83</v>
      </c>
      <c r="W1690" s="44">
        <v>43688</v>
      </c>
      <c r="X1690" s="24"/>
      <c r="Y1690" s="24"/>
      <c r="Z1690" s="25"/>
    </row>
    <row r="1691" spans="20:26" x14ac:dyDescent="0.25">
      <c r="T1691" s="43">
        <v>43690</v>
      </c>
      <c r="U1691" t="str">
        <f t="shared" si="26"/>
        <v/>
      </c>
      <c r="V1691" s="44" t="s">
        <v>84</v>
      </c>
      <c r="W1691" s="44">
        <v>43688</v>
      </c>
      <c r="X1691" s="24"/>
      <c r="Y1691" s="24"/>
      <c r="Z1691" s="25"/>
    </row>
    <row r="1692" spans="20:26" x14ac:dyDescent="0.25">
      <c r="T1692" s="43">
        <v>43691</v>
      </c>
      <c r="U1692" t="str">
        <f t="shared" si="26"/>
        <v/>
      </c>
      <c r="V1692" s="44" t="s">
        <v>85</v>
      </c>
      <c r="W1692" s="44">
        <v>43688</v>
      </c>
      <c r="X1692" s="24"/>
      <c r="Y1692" s="24"/>
      <c r="Z1692" s="25"/>
    </row>
    <row r="1693" spans="20:26" x14ac:dyDescent="0.25">
      <c r="T1693" s="43">
        <v>43692</v>
      </c>
      <c r="U1693" t="str">
        <f t="shared" si="26"/>
        <v/>
      </c>
      <c r="V1693" s="44" t="s">
        <v>86</v>
      </c>
      <c r="W1693" s="44">
        <v>43688</v>
      </c>
      <c r="X1693" s="24"/>
      <c r="Y1693" s="24"/>
      <c r="Z1693" s="25"/>
    </row>
    <row r="1694" spans="20:26" x14ac:dyDescent="0.25">
      <c r="T1694" s="43">
        <v>43693</v>
      </c>
      <c r="U1694" t="str">
        <f t="shared" si="26"/>
        <v/>
      </c>
      <c r="V1694" s="44" t="s">
        <v>87</v>
      </c>
      <c r="W1694" s="44">
        <v>43688</v>
      </c>
      <c r="X1694" s="24"/>
      <c r="Y1694" s="24"/>
      <c r="Z1694" s="25"/>
    </row>
    <row r="1695" spans="20:26" x14ac:dyDescent="0.25">
      <c r="T1695" s="43">
        <v>43694</v>
      </c>
      <c r="U1695" t="str">
        <f t="shared" si="26"/>
        <v/>
      </c>
      <c r="V1695" s="44" t="s">
        <v>88</v>
      </c>
      <c r="W1695" s="44">
        <v>43688</v>
      </c>
      <c r="X1695" s="24"/>
      <c r="Y1695" s="24"/>
      <c r="Z1695" s="25"/>
    </row>
    <row r="1696" spans="20:26" x14ac:dyDescent="0.25">
      <c r="T1696" s="43">
        <v>43695</v>
      </c>
      <c r="U1696" t="str">
        <f t="shared" si="26"/>
        <v/>
      </c>
      <c r="V1696" s="44" t="s">
        <v>82</v>
      </c>
      <c r="W1696" s="44">
        <v>43695</v>
      </c>
      <c r="X1696" s="24"/>
      <c r="Y1696" s="24"/>
      <c r="Z1696" s="25"/>
    </row>
    <row r="1697" spans="20:26" x14ac:dyDescent="0.25">
      <c r="T1697" s="43">
        <v>43696</v>
      </c>
      <c r="U1697" t="str">
        <f t="shared" si="26"/>
        <v/>
      </c>
      <c r="V1697" s="44" t="s">
        <v>83</v>
      </c>
      <c r="W1697" s="44">
        <v>43695</v>
      </c>
      <c r="X1697" s="24"/>
      <c r="Y1697" s="24"/>
      <c r="Z1697" s="25"/>
    </row>
    <row r="1698" spans="20:26" x14ac:dyDescent="0.25">
      <c r="T1698" s="43">
        <v>43697</v>
      </c>
      <c r="U1698" t="str">
        <f t="shared" si="26"/>
        <v/>
      </c>
      <c r="V1698" s="44" t="s">
        <v>84</v>
      </c>
      <c r="W1698" s="44">
        <v>43695</v>
      </c>
      <c r="X1698" s="24"/>
      <c r="Y1698" s="24"/>
      <c r="Z1698" s="25"/>
    </row>
    <row r="1699" spans="20:26" x14ac:dyDescent="0.25">
      <c r="T1699" s="43">
        <v>43698</v>
      </c>
      <c r="U1699" t="str">
        <f t="shared" si="26"/>
        <v/>
      </c>
      <c r="V1699" s="44" t="s">
        <v>85</v>
      </c>
      <c r="W1699" s="44">
        <v>43695</v>
      </c>
      <c r="X1699" s="24"/>
      <c r="Y1699" s="24"/>
      <c r="Z1699" s="25"/>
    </row>
    <row r="1700" spans="20:26" x14ac:dyDescent="0.25">
      <c r="T1700" s="43">
        <v>43699</v>
      </c>
      <c r="U1700" t="str">
        <f t="shared" si="26"/>
        <v/>
      </c>
      <c r="V1700" s="44" t="s">
        <v>86</v>
      </c>
      <c r="W1700" s="44">
        <v>43695</v>
      </c>
      <c r="X1700" s="24"/>
      <c r="Y1700" s="24"/>
      <c r="Z1700" s="25"/>
    </row>
    <row r="1701" spans="20:26" x14ac:dyDescent="0.25">
      <c r="T1701" s="43">
        <v>43700</v>
      </c>
      <c r="U1701" t="str">
        <f t="shared" si="26"/>
        <v/>
      </c>
      <c r="V1701" s="44" t="s">
        <v>87</v>
      </c>
      <c r="W1701" s="44">
        <v>43695</v>
      </c>
      <c r="X1701" s="24"/>
      <c r="Y1701" s="24"/>
      <c r="Z1701" s="25"/>
    </row>
    <row r="1702" spans="20:26" x14ac:dyDescent="0.25">
      <c r="T1702" s="43">
        <v>43701</v>
      </c>
      <c r="U1702" t="str">
        <f t="shared" si="26"/>
        <v/>
      </c>
      <c r="V1702" s="44" t="s">
        <v>88</v>
      </c>
      <c r="W1702" s="44">
        <v>43695</v>
      </c>
      <c r="X1702" s="24"/>
      <c r="Y1702" s="24"/>
      <c r="Z1702" s="25"/>
    </row>
    <row r="1703" spans="20:26" x14ac:dyDescent="0.25">
      <c r="T1703" s="43">
        <v>43702</v>
      </c>
      <c r="U1703" t="str">
        <f t="shared" si="26"/>
        <v/>
      </c>
      <c r="V1703" s="44" t="s">
        <v>82</v>
      </c>
      <c r="W1703" s="44">
        <v>43702</v>
      </c>
      <c r="X1703" s="24"/>
      <c r="Y1703" s="24"/>
      <c r="Z1703" s="25"/>
    </row>
    <row r="1704" spans="20:26" x14ac:dyDescent="0.25">
      <c r="T1704" s="43">
        <v>43703</v>
      </c>
      <c r="U1704" t="str">
        <f t="shared" si="26"/>
        <v/>
      </c>
      <c r="V1704" s="44" t="s">
        <v>83</v>
      </c>
      <c r="W1704" s="44">
        <v>43702</v>
      </c>
      <c r="X1704" s="24"/>
      <c r="Y1704" s="24"/>
      <c r="Z1704" s="25"/>
    </row>
    <row r="1705" spans="20:26" x14ac:dyDescent="0.25">
      <c r="T1705" s="43">
        <v>43704</v>
      </c>
      <c r="U1705" t="str">
        <f t="shared" si="26"/>
        <v/>
      </c>
      <c r="V1705" s="44" t="s">
        <v>84</v>
      </c>
      <c r="W1705" s="44">
        <v>43702</v>
      </c>
      <c r="X1705" s="24"/>
      <c r="Y1705" s="24"/>
      <c r="Z1705" s="25"/>
    </row>
    <row r="1706" spans="20:26" x14ac:dyDescent="0.25">
      <c r="T1706" s="43">
        <v>43705</v>
      </c>
      <c r="U1706" t="str">
        <f t="shared" si="26"/>
        <v/>
      </c>
      <c r="V1706" s="44" t="s">
        <v>85</v>
      </c>
      <c r="W1706" s="44">
        <v>43702</v>
      </c>
      <c r="X1706" s="24"/>
      <c r="Y1706" s="24"/>
      <c r="Z1706" s="25"/>
    </row>
    <row r="1707" spans="20:26" x14ac:dyDescent="0.25">
      <c r="T1707" s="43">
        <v>43706</v>
      </c>
      <c r="U1707" t="str">
        <f t="shared" si="26"/>
        <v/>
      </c>
      <c r="V1707" s="44" t="s">
        <v>86</v>
      </c>
      <c r="W1707" s="44">
        <v>43702</v>
      </c>
      <c r="X1707" s="24"/>
      <c r="Y1707" s="24"/>
      <c r="Z1707" s="25"/>
    </row>
    <row r="1708" spans="20:26" x14ac:dyDescent="0.25">
      <c r="T1708" s="43">
        <v>43707</v>
      </c>
      <c r="U1708" t="str">
        <f t="shared" si="26"/>
        <v/>
      </c>
      <c r="V1708" s="44" t="s">
        <v>87</v>
      </c>
      <c r="W1708" s="44">
        <v>43702</v>
      </c>
      <c r="X1708" s="24"/>
      <c r="Y1708" s="24"/>
      <c r="Z1708" s="25"/>
    </row>
    <row r="1709" spans="20:26" x14ac:dyDescent="0.25">
      <c r="T1709" s="43">
        <v>43708</v>
      </c>
      <c r="U1709" t="str">
        <f t="shared" si="26"/>
        <v/>
      </c>
      <c r="V1709" s="44" t="s">
        <v>88</v>
      </c>
      <c r="W1709" s="44">
        <v>43702</v>
      </c>
      <c r="X1709" s="24"/>
      <c r="Y1709" s="24"/>
      <c r="Z1709" s="25"/>
    </row>
    <row r="1710" spans="20:26" x14ac:dyDescent="0.25">
      <c r="T1710" s="43">
        <v>43709</v>
      </c>
      <c r="U1710" t="str">
        <f t="shared" si="26"/>
        <v/>
      </c>
      <c r="V1710" s="44" t="s">
        <v>82</v>
      </c>
      <c r="W1710" s="44">
        <v>43709</v>
      </c>
      <c r="X1710" s="24"/>
      <c r="Y1710" s="24"/>
      <c r="Z1710" s="25"/>
    </row>
    <row r="1711" spans="20:26" x14ac:dyDescent="0.25">
      <c r="T1711" s="43">
        <v>43710</v>
      </c>
      <c r="U1711" t="str">
        <f t="shared" si="26"/>
        <v/>
      </c>
      <c r="V1711" s="44" t="s">
        <v>83</v>
      </c>
      <c r="W1711" s="44">
        <v>43709</v>
      </c>
      <c r="X1711" s="24"/>
      <c r="Y1711" s="24"/>
      <c r="Z1711" s="25"/>
    </row>
    <row r="1712" spans="20:26" x14ac:dyDescent="0.25">
      <c r="T1712" s="43">
        <v>43711</v>
      </c>
      <c r="U1712" t="str">
        <f t="shared" si="26"/>
        <v/>
      </c>
      <c r="V1712" s="44" t="s">
        <v>84</v>
      </c>
      <c r="W1712" s="44">
        <v>43709</v>
      </c>
      <c r="X1712" s="24"/>
      <c r="Y1712" s="24"/>
      <c r="Z1712" s="25"/>
    </row>
    <row r="1713" spans="20:26" x14ac:dyDescent="0.25">
      <c r="T1713" s="43">
        <v>43712</v>
      </c>
      <c r="U1713" t="str">
        <f t="shared" si="26"/>
        <v/>
      </c>
      <c r="V1713" s="44" t="s">
        <v>85</v>
      </c>
      <c r="W1713" s="44">
        <v>43709</v>
      </c>
      <c r="X1713" s="24"/>
      <c r="Y1713" s="24"/>
      <c r="Z1713" s="25"/>
    </row>
    <row r="1714" spans="20:26" x14ac:dyDescent="0.25">
      <c r="T1714" s="43">
        <v>43713</v>
      </c>
      <c r="U1714" t="str">
        <f t="shared" si="26"/>
        <v/>
      </c>
      <c r="V1714" s="44" t="s">
        <v>86</v>
      </c>
      <c r="W1714" s="44">
        <v>43709</v>
      </c>
      <c r="X1714" s="24"/>
      <c r="Y1714" s="24"/>
      <c r="Z1714" s="25"/>
    </row>
    <row r="1715" spans="20:26" x14ac:dyDescent="0.25">
      <c r="T1715" s="43">
        <v>43714</v>
      </c>
      <c r="U1715" t="str">
        <f t="shared" si="26"/>
        <v/>
      </c>
      <c r="V1715" s="44" t="s">
        <v>87</v>
      </c>
      <c r="W1715" s="44">
        <v>43709</v>
      </c>
      <c r="X1715" s="24"/>
      <c r="Y1715" s="24"/>
      <c r="Z1715" s="25"/>
    </row>
    <row r="1716" spans="20:26" x14ac:dyDescent="0.25">
      <c r="T1716" s="43">
        <v>43715</v>
      </c>
      <c r="U1716" t="str">
        <f t="shared" si="26"/>
        <v/>
      </c>
      <c r="V1716" s="44" t="s">
        <v>88</v>
      </c>
      <c r="W1716" s="44">
        <v>43709</v>
      </c>
      <c r="X1716" s="24"/>
      <c r="Y1716" s="24"/>
      <c r="Z1716" s="25"/>
    </row>
    <row r="1717" spans="20:26" x14ac:dyDescent="0.25">
      <c r="T1717" s="43">
        <v>43716</v>
      </c>
      <c r="U1717" t="str">
        <f t="shared" si="26"/>
        <v/>
      </c>
      <c r="V1717" s="44" t="s">
        <v>82</v>
      </c>
      <c r="W1717" s="44">
        <v>43716</v>
      </c>
      <c r="X1717" s="24"/>
      <c r="Y1717" s="24"/>
      <c r="Z1717" s="25"/>
    </row>
    <row r="1718" spans="20:26" x14ac:dyDescent="0.25">
      <c r="T1718" s="43">
        <v>43717</v>
      </c>
      <c r="U1718" t="str">
        <f t="shared" si="26"/>
        <v/>
      </c>
      <c r="V1718" s="44" t="s">
        <v>83</v>
      </c>
      <c r="W1718" s="44">
        <v>43716</v>
      </c>
      <c r="X1718" s="24"/>
      <c r="Y1718" s="24"/>
      <c r="Z1718" s="25"/>
    </row>
    <row r="1719" spans="20:26" x14ac:dyDescent="0.25">
      <c r="T1719" s="43">
        <v>43718</v>
      </c>
      <c r="U1719" t="str">
        <f t="shared" si="26"/>
        <v/>
      </c>
      <c r="V1719" s="44" t="s">
        <v>84</v>
      </c>
      <c r="W1719" s="44">
        <v>43716</v>
      </c>
      <c r="X1719" s="24"/>
      <c r="Y1719" s="24"/>
      <c r="Z1719" s="25"/>
    </row>
    <row r="1720" spans="20:26" x14ac:dyDescent="0.25">
      <c r="T1720" s="43">
        <v>43719</v>
      </c>
      <c r="U1720" t="str">
        <f t="shared" si="26"/>
        <v/>
      </c>
      <c r="V1720" s="44" t="s">
        <v>85</v>
      </c>
      <c r="W1720" s="44">
        <v>43716</v>
      </c>
      <c r="X1720" s="24"/>
      <c r="Y1720" s="24"/>
      <c r="Z1720" s="25"/>
    </row>
    <row r="1721" spans="20:26" x14ac:dyDescent="0.25">
      <c r="T1721" s="43">
        <v>43720</v>
      </c>
      <c r="U1721" t="str">
        <f t="shared" si="26"/>
        <v/>
      </c>
      <c r="V1721" s="44" t="s">
        <v>86</v>
      </c>
      <c r="W1721" s="44">
        <v>43716</v>
      </c>
      <c r="X1721" s="24"/>
      <c r="Y1721" s="24"/>
      <c r="Z1721" s="25"/>
    </row>
    <row r="1722" spans="20:26" x14ac:dyDescent="0.25">
      <c r="T1722" s="43">
        <v>43721</v>
      </c>
      <c r="U1722" t="str">
        <f t="shared" si="26"/>
        <v/>
      </c>
      <c r="V1722" s="44" t="s">
        <v>87</v>
      </c>
      <c r="W1722" s="44">
        <v>43716</v>
      </c>
      <c r="X1722" s="24"/>
      <c r="Y1722" s="24"/>
      <c r="Z1722" s="25"/>
    </row>
    <row r="1723" spans="20:26" x14ac:dyDescent="0.25">
      <c r="T1723" s="43">
        <v>43722</v>
      </c>
      <c r="U1723" t="str">
        <f t="shared" si="26"/>
        <v/>
      </c>
      <c r="V1723" s="44" t="s">
        <v>88</v>
      </c>
      <c r="W1723" s="44">
        <v>43716</v>
      </c>
      <c r="X1723" s="24"/>
      <c r="Y1723" s="24"/>
      <c r="Z1723" s="25"/>
    </row>
    <row r="1724" spans="20:26" x14ac:dyDescent="0.25">
      <c r="T1724" s="43">
        <v>43723</v>
      </c>
      <c r="U1724" t="str">
        <f t="shared" si="26"/>
        <v/>
      </c>
      <c r="V1724" s="44" t="s">
        <v>82</v>
      </c>
      <c r="W1724" s="44">
        <v>43723</v>
      </c>
      <c r="X1724" s="24"/>
      <c r="Y1724" s="24"/>
      <c r="Z1724" s="25"/>
    </row>
    <row r="1725" spans="20:26" x14ac:dyDescent="0.25">
      <c r="T1725" s="43">
        <v>43724</v>
      </c>
      <c r="U1725" t="str">
        <f t="shared" si="26"/>
        <v/>
      </c>
      <c r="V1725" s="44" t="s">
        <v>83</v>
      </c>
      <c r="W1725" s="44">
        <v>43723</v>
      </c>
      <c r="X1725" s="24"/>
      <c r="Y1725" s="24"/>
      <c r="Z1725" s="25"/>
    </row>
    <row r="1726" spans="20:26" x14ac:dyDescent="0.25">
      <c r="T1726" s="43">
        <v>43725</v>
      </c>
      <c r="U1726" t="str">
        <f t="shared" si="26"/>
        <v/>
      </c>
      <c r="V1726" s="44" t="s">
        <v>84</v>
      </c>
      <c r="W1726" s="44">
        <v>43723</v>
      </c>
      <c r="X1726" s="24"/>
      <c r="Y1726" s="24"/>
      <c r="Z1726" s="25"/>
    </row>
    <row r="1727" spans="20:26" x14ac:dyDescent="0.25">
      <c r="T1727" s="43">
        <v>43726</v>
      </c>
      <c r="U1727" t="str">
        <f t="shared" si="26"/>
        <v/>
      </c>
      <c r="V1727" s="44" t="s">
        <v>85</v>
      </c>
      <c r="W1727" s="44">
        <v>43723</v>
      </c>
      <c r="X1727" s="24"/>
      <c r="Y1727" s="24"/>
      <c r="Z1727" s="25"/>
    </row>
    <row r="1728" spans="20:26" x14ac:dyDescent="0.25">
      <c r="T1728" s="43">
        <v>43727</v>
      </c>
      <c r="U1728" t="str">
        <f t="shared" si="26"/>
        <v/>
      </c>
      <c r="V1728" s="44" t="s">
        <v>86</v>
      </c>
      <c r="W1728" s="44">
        <v>43723</v>
      </c>
      <c r="X1728" s="24"/>
      <c r="Y1728" s="24"/>
      <c r="Z1728" s="25"/>
    </row>
    <row r="1729" spans="20:26" x14ac:dyDescent="0.25">
      <c r="T1729" s="43">
        <v>43728</v>
      </c>
      <c r="U1729" t="str">
        <f t="shared" si="26"/>
        <v/>
      </c>
      <c r="V1729" s="44" t="s">
        <v>87</v>
      </c>
      <c r="W1729" s="44">
        <v>43723</v>
      </c>
      <c r="X1729" s="24"/>
      <c r="Y1729" s="24"/>
      <c r="Z1729" s="25"/>
    </row>
    <row r="1730" spans="20:26" x14ac:dyDescent="0.25">
      <c r="T1730" s="43">
        <v>43729</v>
      </c>
      <c r="U1730" t="str">
        <f t="shared" ref="U1730:U1793" si="27">RIGHT(Z1730,4)</f>
        <v/>
      </c>
      <c r="V1730" s="44" t="s">
        <v>88</v>
      </c>
      <c r="W1730" s="44">
        <v>43723</v>
      </c>
      <c r="X1730" s="24"/>
      <c r="Y1730" s="24"/>
      <c r="Z1730" s="25"/>
    </row>
    <row r="1731" spans="20:26" x14ac:dyDescent="0.25">
      <c r="T1731" s="43">
        <v>43730</v>
      </c>
      <c r="U1731" t="str">
        <f t="shared" si="27"/>
        <v/>
      </c>
      <c r="V1731" s="44" t="s">
        <v>82</v>
      </c>
      <c r="W1731" s="44">
        <v>43730</v>
      </c>
      <c r="X1731" s="24"/>
      <c r="Y1731" s="24"/>
      <c r="Z1731" s="25"/>
    </row>
    <row r="1732" spans="20:26" x14ac:dyDescent="0.25">
      <c r="T1732" s="43">
        <v>43731</v>
      </c>
      <c r="U1732" t="str">
        <f t="shared" si="27"/>
        <v/>
      </c>
      <c r="V1732" s="44" t="s">
        <v>83</v>
      </c>
      <c r="W1732" s="44">
        <v>43730</v>
      </c>
      <c r="X1732" s="24"/>
      <c r="Y1732" s="24"/>
      <c r="Z1732" s="25"/>
    </row>
    <row r="1733" spans="20:26" x14ac:dyDescent="0.25">
      <c r="T1733" s="43">
        <v>43732</v>
      </c>
      <c r="U1733" t="str">
        <f t="shared" si="27"/>
        <v/>
      </c>
      <c r="V1733" s="44" t="s">
        <v>84</v>
      </c>
      <c r="W1733" s="44">
        <v>43730</v>
      </c>
      <c r="X1733" s="24"/>
      <c r="Y1733" s="24"/>
      <c r="Z1733" s="25"/>
    </row>
    <row r="1734" spans="20:26" x14ac:dyDescent="0.25">
      <c r="T1734" s="43">
        <v>43733</v>
      </c>
      <c r="U1734" t="str">
        <f t="shared" si="27"/>
        <v/>
      </c>
      <c r="V1734" s="44" t="s">
        <v>85</v>
      </c>
      <c r="W1734" s="44">
        <v>43730</v>
      </c>
      <c r="X1734" s="24"/>
      <c r="Y1734" s="24"/>
      <c r="Z1734" s="25"/>
    </row>
    <row r="1735" spans="20:26" x14ac:dyDescent="0.25">
      <c r="T1735" s="43">
        <v>43734</v>
      </c>
      <c r="U1735" t="str">
        <f t="shared" si="27"/>
        <v/>
      </c>
      <c r="V1735" s="44" t="s">
        <v>86</v>
      </c>
      <c r="W1735" s="44">
        <v>43730</v>
      </c>
      <c r="X1735" s="24"/>
      <c r="Y1735" s="24"/>
      <c r="Z1735" s="25"/>
    </row>
    <row r="1736" spans="20:26" x14ac:dyDescent="0.25">
      <c r="T1736" s="43">
        <v>43735</v>
      </c>
      <c r="U1736" t="str">
        <f t="shared" si="27"/>
        <v/>
      </c>
      <c r="V1736" s="44" t="s">
        <v>87</v>
      </c>
      <c r="W1736" s="44">
        <v>43730</v>
      </c>
      <c r="X1736" s="24"/>
      <c r="Y1736" s="24"/>
      <c r="Z1736" s="25"/>
    </row>
    <row r="1737" spans="20:26" x14ac:dyDescent="0.25">
      <c r="T1737" s="43">
        <v>43736</v>
      </c>
      <c r="U1737" t="str">
        <f t="shared" si="27"/>
        <v/>
      </c>
      <c r="V1737" s="44" t="s">
        <v>88</v>
      </c>
      <c r="W1737" s="44">
        <v>43730</v>
      </c>
      <c r="X1737" s="24"/>
      <c r="Y1737" s="24"/>
      <c r="Z1737" s="25"/>
    </row>
    <row r="1738" spans="20:26" x14ac:dyDescent="0.25">
      <c r="T1738" s="43">
        <v>43737</v>
      </c>
      <c r="U1738" t="str">
        <f t="shared" si="27"/>
        <v/>
      </c>
      <c r="V1738" s="44" t="s">
        <v>82</v>
      </c>
      <c r="W1738" s="44">
        <v>43737</v>
      </c>
      <c r="X1738" s="24"/>
      <c r="Y1738" s="24"/>
      <c r="Z1738" s="25"/>
    </row>
    <row r="1739" spans="20:26" x14ac:dyDescent="0.25">
      <c r="T1739" s="43">
        <v>43738</v>
      </c>
      <c r="U1739" t="str">
        <f t="shared" si="27"/>
        <v/>
      </c>
      <c r="V1739" s="44" t="s">
        <v>83</v>
      </c>
      <c r="W1739" s="44">
        <v>43737</v>
      </c>
      <c r="X1739" s="24"/>
      <c r="Y1739" s="24"/>
      <c r="Z1739" s="25"/>
    </row>
    <row r="1740" spans="20:26" x14ac:dyDescent="0.25">
      <c r="T1740" s="43">
        <v>43739</v>
      </c>
      <c r="U1740" t="str">
        <f t="shared" si="27"/>
        <v/>
      </c>
      <c r="V1740" s="44" t="s">
        <v>84</v>
      </c>
      <c r="W1740" s="44">
        <v>43737</v>
      </c>
      <c r="X1740" s="24"/>
      <c r="Y1740" s="24"/>
      <c r="Z1740" s="25"/>
    </row>
    <row r="1741" spans="20:26" x14ac:dyDescent="0.25">
      <c r="T1741" s="43">
        <v>43740</v>
      </c>
      <c r="U1741" t="str">
        <f t="shared" si="27"/>
        <v/>
      </c>
      <c r="V1741" s="44" t="s">
        <v>85</v>
      </c>
      <c r="W1741" s="44">
        <v>43737</v>
      </c>
      <c r="X1741" s="24"/>
      <c r="Y1741" s="24"/>
      <c r="Z1741" s="25"/>
    </row>
    <row r="1742" spans="20:26" x14ac:dyDescent="0.25">
      <c r="T1742" s="43">
        <v>43741</v>
      </c>
      <c r="U1742" t="str">
        <f t="shared" si="27"/>
        <v/>
      </c>
      <c r="V1742" s="44" t="s">
        <v>86</v>
      </c>
      <c r="W1742" s="44">
        <v>43737</v>
      </c>
      <c r="X1742" s="24"/>
      <c r="Y1742" s="24"/>
      <c r="Z1742" s="25"/>
    </row>
    <row r="1743" spans="20:26" x14ac:dyDescent="0.25">
      <c r="T1743" s="43">
        <v>43742</v>
      </c>
      <c r="U1743" t="str">
        <f t="shared" si="27"/>
        <v/>
      </c>
      <c r="V1743" s="44" t="s">
        <v>87</v>
      </c>
      <c r="W1743" s="44">
        <v>43737</v>
      </c>
      <c r="X1743" s="24"/>
      <c r="Y1743" s="24"/>
      <c r="Z1743" s="25"/>
    </row>
    <row r="1744" spans="20:26" x14ac:dyDescent="0.25">
      <c r="T1744" s="43">
        <v>43743</v>
      </c>
      <c r="U1744" t="str">
        <f t="shared" si="27"/>
        <v/>
      </c>
      <c r="V1744" s="44" t="s">
        <v>88</v>
      </c>
      <c r="W1744" s="44">
        <v>43737</v>
      </c>
      <c r="X1744" s="24"/>
      <c r="Y1744" s="24"/>
      <c r="Z1744" s="25"/>
    </row>
    <row r="1745" spans="20:26" x14ac:dyDescent="0.25">
      <c r="T1745" s="43">
        <v>43744</v>
      </c>
      <c r="U1745" t="str">
        <f t="shared" si="27"/>
        <v/>
      </c>
      <c r="V1745" s="44" t="s">
        <v>82</v>
      </c>
      <c r="W1745" s="44">
        <v>43744</v>
      </c>
      <c r="X1745" s="24"/>
      <c r="Y1745" s="24"/>
      <c r="Z1745" s="25"/>
    </row>
    <row r="1746" spans="20:26" x14ac:dyDescent="0.25">
      <c r="T1746" s="43">
        <v>43745</v>
      </c>
      <c r="U1746" t="str">
        <f t="shared" si="27"/>
        <v/>
      </c>
      <c r="V1746" s="44" t="s">
        <v>83</v>
      </c>
      <c r="W1746" s="44">
        <v>43744</v>
      </c>
      <c r="X1746" s="24"/>
      <c r="Y1746" s="24"/>
      <c r="Z1746" s="25"/>
    </row>
    <row r="1747" spans="20:26" x14ac:dyDescent="0.25">
      <c r="T1747" s="43">
        <v>43746</v>
      </c>
      <c r="U1747" t="str">
        <f t="shared" si="27"/>
        <v/>
      </c>
      <c r="V1747" s="44" t="s">
        <v>84</v>
      </c>
      <c r="W1747" s="44">
        <v>43744</v>
      </c>
      <c r="X1747" s="24"/>
      <c r="Y1747" s="24"/>
      <c r="Z1747" s="25"/>
    </row>
    <row r="1748" spans="20:26" x14ac:dyDescent="0.25">
      <c r="T1748" s="43">
        <v>43747</v>
      </c>
      <c r="U1748" t="str">
        <f t="shared" si="27"/>
        <v/>
      </c>
      <c r="V1748" s="44" t="s">
        <v>85</v>
      </c>
      <c r="W1748" s="44">
        <v>43744</v>
      </c>
      <c r="X1748" s="24"/>
      <c r="Y1748" s="24"/>
      <c r="Z1748" s="25"/>
    </row>
    <row r="1749" spans="20:26" x14ac:dyDescent="0.25">
      <c r="T1749" s="43">
        <v>43748</v>
      </c>
      <c r="U1749" t="str">
        <f t="shared" si="27"/>
        <v/>
      </c>
      <c r="V1749" s="44" t="s">
        <v>86</v>
      </c>
      <c r="W1749" s="44">
        <v>43744</v>
      </c>
      <c r="X1749" s="24"/>
      <c r="Y1749" s="24"/>
      <c r="Z1749" s="25"/>
    </row>
    <row r="1750" spans="20:26" x14ac:dyDescent="0.25">
      <c r="T1750" s="43">
        <v>43749</v>
      </c>
      <c r="U1750" t="str">
        <f t="shared" si="27"/>
        <v/>
      </c>
      <c r="V1750" s="44" t="s">
        <v>87</v>
      </c>
      <c r="W1750" s="44">
        <v>43744</v>
      </c>
      <c r="X1750" s="24"/>
      <c r="Y1750" s="24"/>
      <c r="Z1750" s="25"/>
    </row>
    <row r="1751" spans="20:26" x14ac:dyDescent="0.25">
      <c r="T1751" s="43">
        <v>43750</v>
      </c>
      <c r="U1751" t="str">
        <f t="shared" si="27"/>
        <v/>
      </c>
      <c r="V1751" s="44" t="s">
        <v>88</v>
      </c>
      <c r="W1751" s="44">
        <v>43744</v>
      </c>
      <c r="X1751" s="24"/>
      <c r="Y1751" s="24"/>
      <c r="Z1751" s="25"/>
    </row>
    <row r="1752" spans="20:26" x14ac:dyDescent="0.25">
      <c r="T1752" s="43">
        <v>43751</v>
      </c>
      <c r="U1752" t="str">
        <f t="shared" si="27"/>
        <v/>
      </c>
      <c r="V1752" s="44" t="s">
        <v>82</v>
      </c>
      <c r="W1752" s="44">
        <v>43751</v>
      </c>
      <c r="X1752" s="24"/>
      <c r="Y1752" s="24"/>
      <c r="Z1752" s="25"/>
    </row>
    <row r="1753" spans="20:26" x14ac:dyDescent="0.25">
      <c r="T1753" s="43">
        <v>43752</v>
      </c>
      <c r="U1753" t="str">
        <f t="shared" si="27"/>
        <v/>
      </c>
      <c r="V1753" s="44" t="s">
        <v>83</v>
      </c>
      <c r="W1753" s="44">
        <v>43751</v>
      </c>
      <c r="X1753" s="24"/>
      <c r="Y1753" s="24"/>
      <c r="Z1753" s="25"/>
    </row>
    <row r="1754" spans="20:26" x14ac:dyDescent="0.25">
      <c r="T1754" s="43">
        <v>43753</v>
      </c>
      <c r="U1754" t="str">
        <f t="shared" si="27"/>
        <v/>
      </c>
      <c r="V1754" s="44" t="s">
        <v>84</v>
      </c>
      <c r="W1754" s="44">
        <v>43751</v>
      </c>
      <c r="X1754" s="24"/>
      <c r="Y1754" s="24"/>
      <c r="Z1754" s="25"/>
    </row>
    <row r="1755" spans="20:26" x14ac:dyDescent="0.25">
      <c r="T1755" s="43">
        <v>43754</v>
      </c>
      <c r="U1755" t="str">
        <f t="shared" si="27"/>
        <v/>
      </c>
      <c r="V1755" s="44" t="s">
        <v>85</v>
      </c>
      <c r="W1755" s="44">
        <v>43751</v>
      </c>
      <c r="X1755" s="24"/>
      <c r="Y1755" s="24"/>
      <c r="Z1755" s="25"/>
    </row>
    <row r="1756" spans="20:26" x14ac:dyDescent="0.25">
      <c r="T1756" s="43">
        <v>43755</v>
      </c>
      <c r="U1756" t="str">
        <f t="shared" si="27"/>
        <v/>
      </c>
      <c r="V1756" s="44" t="s">
        <v>86</v>
      </c>
      <c r="W1756" s="44">
        <v>43751</v>
      </c>
      <c r="X1756" s="24"/>
      <c r="Y1756" s="24"/>
      <c r="Z1756" s="25"/>
    </row>
    <row r="1757" spans="20:26" x14ac:dyDescent="0.25">
      <c r="T1757" s="43">
        <v>43756</v>
      </c>
      <c r="U1757" t="str">
        <f t="shared" si="27"/>
        <v/>
      </c>
      <c r="V1757" s="44" t="s">
        <v>87</v>
      </c>
      <c r="W1757" s="44">
        <v>43751</v>
      </c>
      <c r="X1757" s="24"/>
      <c r="Y1757" s="24"/>
      <c r="Z1757" s="25"/>
    </row>
    <row r="1758" spans="20:26" x14ac:dyDescent="0.25">
      <c r="T1758" s="43">
        <v>43757</v>
      </c>
      <c r="U1758" t="str">
        <f t="shared" si="27"/>
        <v/>
      </c>
      <c r="V1758" s="44" t="s">
        <v>88</v>
      </c>
      <c r="W1758" s="44">
        <v>43751</v>
      </c>
      <c r="X1758" s="24"/>
      <c r="Y1758" s="24"/>
      <c r="Z1758" s="25"/>
    </row>
    <row r="1759" spans="20:26" x14ac:dyDescent="0.25">
      <c r="T1759" s="43">
        <v>43758</v>
      </c>
      <c r="U1759" t="str">
        <f t="shared" si="27"/>
        <v/>
      </c>
      <c r="V1759" s="44" t="s">
        <v>82</v>
      </c>
      <c r="W1759" s="44">
        <v>43758</v>
      </c>
      <c r="X1759" s="24"/>
      <c r="Y1759" s="24"/>
      <c r="Z1759" s="25"/>
    </row>
    <row r="1760" spans="20:26" x14ac:dyDescent="0.25">
      <c r="T1760" s="43">
        <v>43759</v>
      </c>
      <c r="U1760" t="str">
        <f t="shared" si="27"/>
        <v/>
      </c>
      <c r="V1760" s="44" t="s">
        <v>83</v>
      </c>
      <c r="W1760" s="44">
        <v>43758</v>
      </c>
      <c r="X1760" s="24"/>
      <c r="Y1760" s="24"/>
      <c r="Z1760" s="25"/>
    </row>
    <row r="1761" spans="20:26" x14ac:dyDescent="0.25">
      <c r="T1761" s="43">
        <v>43760</v>
      </c>
      <c r="U1761" t="str">
        <f t="shared" si="27"/>
        <v/>
      </c>
      <c r="V1761" s="44" t="s">
        <v>84</v>
      </c>
      <c r="W1761" s="44">
        <v>43758</v>
      </c>
      <c r="X1761" s="24"/>
      <c r="Y1761" s="24"/>
      <c r="Z1761" s="25"/>
    </row>
    <row r="1762" spans="20:26" x14ac:dyDescent="0.25">
      <c r="T1762" s="43">
        <v>43761</v>
      </c>
      <c r="U1762" t="str">
        <f t="shared" si="27"/>
        <v/>
      </c>
      <c r="V1762" s="44" t="s">
        <v>85</v>
      </c>
      <c r="W1762" s="44">
        <v>43758</v>
      </c>
      <c r="X1762" s="24"/>
      <c r="Y1762" s="24"/>
      <c r="Z1762" s="25"/>
    </row>
    <row r="1763" spans="20:26" x14ac:dyDescent="0.25">
      <c r="T1763" s="43">
        <v>43762</v>
      </c>
      <c r="U1763" t="str">
        <f t="shared" si="27"/>
        <v/>
      </c>
      <c r="V1763" s="44" t="s">
        <v>86</v>
      </c>
      <c r="W1763" s="44">
        <v>43758</v>
      </c>
      <c r="X1763" s="24"/>
      <c r="Y1763" s="24"/>
      <c r="Z1763" s="25"/>
    </row>
    <row r="1764" spans="20:26" x14ac:dyDescent="0.25">
      <c r="T1764" s="43">
        <v>43763</v>
      </c>
      <c r="U1764" t="str">
        <f t="shared" si="27"/>
        <v/>
      </c>
      <c r="V1764" s="44" t="s">
        <v>87</v>
      </c>
      <c r="W1764" s="44">
        <v>43758</v>
      </c>
      <c r="X1764" s="24"/>
      <c r="Y1764" s="24"/>
      <c r="Z1764" s="25"/>
    </row>
    <row r="1765" spans="20:26" x14ac:dyDescent="0.25">
      <c r="T1765" s="43">
        <v>43764</v>
      </c>
      <c r="U1765" t="str">
        <f t="shared" si="27"/>
        <v/>
      </c>
      <c r="V1765" s="44" t="s">
        <v>88</v>
      </c>
      <c r="W1765" s="44">
        <v>43758</v>
      </c>
      <c r="X1765" s="24"/>
      <c r="Y1765" s="24"/>
      <c r="Z1765" s="25"/>
    </row>
    <row r="1766" spans="20:26" x14ac:dyDescent="0.25">
      <c r="T1766" s="43">
        <v>43765</v>
      </c>
      <c r="U1766" t="str">
        <f t="shared" si="27"/>
        <v/>
      </c>
      <c r="V1766" s="44" t="s">
        <v>82</v>
      </c>
      <c r="W1766" s="44">
        <v>43765</v>
      </c>
      <c r="X1766" s="24"/>
      <c r="Y1766" s="24"/>
      <c r="Z1766" s="25"/>
    </row>
    <row r="1767" spans="20:26" x14ac:dyDescent="0.25">
      <c r="T1767" s="43">
        <v>43766</v>
      </c>
      <c r="U1767" t="str">
        <f t="shared" si="27"/>
        <v/>
      </c>
      <c r="V1767" s="44" t="s">
        <v>83</v>
      </c>
      <c r="W1767" s="44">
        <v>43765</v>
      </c>
      <c r="X1767" s="24"/>
      <c r="Y1767" s="24"/>
      <c r="Z1767" s="25"/>
    </row>
    <row r="1768" spans="20:26" x14ac:dyDescent="0.25">
      <c r="T1768" s="43">
        <v>43767</v>
      </c>
      <c r="U1768" t="str">
        <f t="shared" si="27"/>
        <v/>
      </c>
      <c r="V1768" s="44" t="s">
        <v>84</v>
      </c>
      <c r="W1768" s="44">
        <v>43765</v>
      </c>
      <c r="X1768" s="24"/>
      <c r="Y1768" s="24"/>
      <c r="Z1768" s="25"/>
    </row>
    <row r="1769" spans="20:26" x14ac:dyDescent="0.25">
      <c r="T1769" s="43">
        <v>43768</v>
      </c>
      <c r="U1769" t="str">
        <f t="shared" si="27"/>
        <v/>
      </c>
      <c r="V1769" s="44" t="s">
        <v>85</v>
      </c>
      <c r="W1769" s="44">
        <v>43765</v>
      </c>
      <c r="X1769" s="24"/>
      <c r="Y1769" s="24"/>
      <c r="Z1769" s="25"/>
    </row>
    <row r="1770" spans="20:26" x14ac:dyDescent="0.25">
      <c r="T1770" s="43">
        <v>43769</v>
      </c>
      <c r="U1770" t="str">
        <f t="shared" si="27"/>
        <v/>
      </c>
      <c r="V1770" s="44" t="s">
        <v>86</v>
      </c>
      <c r="W1770" s="44">
        <v>43765</v>
      </c>
      <c r="X1770" s="24"/>
      <c r="Y1770" s="24"/>
      <c r="Z1770" s="25"/>
    </row>
    <row r="1771" spans="20:26" x14ac:dyDescent="0.25">
      <c r="T1771" s="43">
        <v>43770</v>
      </c>
      <c r="U1771" t="str">
        <f t="shared" si="27"/>
        <v/>
      </c>
      <c r="V1771" s="44" t="s">
        <v>87</v>
      </c>
      <c r="W1771" s="44">
        <v>43765</v>
      </c>
      <c r="X1771" s="24"/>
      <c r="Y1771" s="24"/>
      <c r="Z1771" s="25"/>
    </row>
    <row r="1772" spans="20:26" x14ac:dyDescent="0.25">
      <c r="T1772" s="43">
        <v>43771</v>
      </c>
      <c r="U1772" t="str">
        <f t="shared" si="27"/>
        <v/>
      </c>
      <c r="V1772" s="44" t="s">
        <v>88</v>
      </c>
      <c r="W1772" s="44">
        <v>43765</v>
      </c>
      <c r="X1772" s="24"/>
      <c r="Y1772" s="24"/>
      <c r="Z1772" s="25"/>
    </row>
    <row r="1773" spans="20:26" x14ac:dyDescent="0.25">
      <c r="T1773" s="43">
        <v>43772</v>
      </c>
      <c r="U1773" t="str">
        <f t="shared" si="27"/>
        <v/>
      </c>
      <c r="V1773" s="44" t="s">
        <v>82</v>
      </c>
      <c r="W1773" s="44">
        <v>43772</v>
      </c>
      <c r="X1773" s="24"/>
      <c r="Y1773" s="24"/>
      <c r="Z1773" s="25"/>
    </row>
    <row r="1774" spans="20:26" x14ac:dyDescent="0.25">
      <c r="T1774" s="43">
        <v>43773</v>
      </c>
      <c r="U1774" t="str">
        <f t="shared" si="27"/>
        <v/>
      </c>
      <c r="V1774" s="44" t="s">
        <v>83</v>
      </c>
      <c r="W1774" s="44">
        <v>43772</v>
      </c>
      <c r="X1774" s="24"/>
      <c r="Y1774" s="24"/>
      <c r="Z1774" s="25"/>
    </row>
    <row r="1775" spans="20:26" x14ac:dyDescent="0.25">
      <c r="T1775" s="43">
        <v>43774</v>
      </c>
      <c r="U1775" t="str">
        <f t="shared" si="27"/>
        <v/>
      </c>
      <c r="V1775" s="44" t="s">
        <v>84</v>
      </c>
      <c r="W1775" s="44">
        <v>43772</v>
      </c>
      <c r="X1775" s="24"/>
      <c r="Y1775" s="24"/>
      <c r="Z1775" s="25"/>
    </row>
    <row r="1776" spans="20:26" x14ac:dyDescent="0.25">
      <c r="T1776" s="43">
        <v>43775</v>
      </c>
      <c r="U1776" t="str">
        <f t="shared" si="27"/>
        <v/>
      </c>
      <c r="V1776" s="44" t="s">
        <v>85</v>
      </c>
      <c r="W1776" s="44">
        <v>43772</v>
      </c>
      <c r="X1776" s="24"/>
      <c r="Y1776" s="24"/>
      <c r="Z1776" s="25"/>
    </row>
    <row r="1777" spans="20:26" x14ac:dyDescent="0.25">
      <c r="T1777" s="43">
        <v>43776</v>
      </c>
      <c r="U1777" t="str">
        <f t="shared" si="27"/>
        <v/>
      </c>
      <c r="V1777" s="44" t="s">
        <v>86</v>
      </c>
      <c r="W1777" s="44">
        <v>43772</v>
      </c>
      <c r="X1777" s="24"/>
      <c r="Y1777" s="24"/>
      <c r="Z1777" s="25"/>
    </row>
    <row r="1778" spans="20:26" x14ac:dyDescent="0.25">
      <c r="T1778" s="43">
        <v>43777</v>
      </c>
      <c r="U1778" t="str">
        <f t="shared" si="27"/>
        <v/>
      </c>
      <c r="V1778" s="44" t="s">
        <v>87</v>
      </c>
      <c r="W1778" s="44">
        <v>43772</v>
      </c>
      <c r="X1778" s="24"/>
      <c r="Y1778" s="24"/>
      <c r="Z1778" s="25"/>
    </row>
    <row r="1779" spans="20:26" x14ac:dyDescent="0.25">
      <c r="T1779" s="43">
        <v>43778</v>
      </c>
      <c r="U1779" t="str">
        <f t="shared" si="27"/>
        <v/>
      </c>
      <c r="V1779" s="44" t="s">
        <v>88</v>
      </c>
      <c r="W1779" s="44">
        <v>43772</v>
      </c>
      <c r="X1779" s="24"/>
      <c r="Y1779" s="24"/>
      <c r="Z1779" s="25"/>
    </row>
    <row r="1780" spans="20:26" x14ac:dyDescent="0.25">
      <c r="T1780" s="43">
        <v>43779</v>
      </c>
      <c r="U1780" t="str">
        <f t="shared" si="27"/>
        <v/>
      </c>
      <c r="V1780" s="44" t="s">
        <v>82</v>
      </c>
      <c r="W1780" s="44">
        <v>43779</v>
      </c>
      <c r="X1780" s="24"/>
      <c r="Y1780" s="24"/>
      <c r="Z1780" s="25"/>
    </row>
    <row r="1781" spans="20:26" x14ac:dyDescent="0.25">
      <c r="T1781" s="43">
        <v>43780</v>
      </c>
      <c r="U1781" t="str">
        <f t="shared" si="27"/>
        <v/>
      </c>
      <c r="V1781" s="44" t="s">
        <v>83</v>
      </c>
      <c r="W1781" s="44">
        <v>43779</v>
      </c>
      <c r="X1781" s="24"/>
      <c r="Y1781" s="24"/>
      <c r="Z1781" s="25"/>
    </row>
    <row r="1782" spans="20:26" x14ac:dyDescent="0.25">
      <c r="T1782" s="43">
        <v>43781</v>
      </c>
      <c r="U1782" t="str">
        <f t="shared" si="27"/>
        <v/>
      </c>
      <c r="V1782" s="44" t="s">
        <v>84</v>
      </c>
      <c r="W1782" s="44">
        <v>43779</v>
      </c>
      <c r="X1782" s="24"/>
      <c r="Y1782" s="24"/>
      <c r="Z1782" s="25"/>
    </row>
    <row r="1783" spans="20:26" x14ac:dyDescent="0.25">
      <c r="T1783" s="43">
        <v>43782</v>
      </c>
      <c r="U1783" t="str">
        <f t="shared" si="27"/>
        <v/>
      </c>
      <c r="V1783" s="44" t="s">
        <v>85</v>
      </c>
      <c r="W1783" s="44">
        <v>43779</v>
      </c>
      <c r="X1783" s="24"/>
      <c r="Y1783" s="24"/>
      <c r="Z1783" s="25"/>
    </row>
    <row r="1784" spans="20:26" x14ac:dyDescent="0.25">
      <c r="T1784" s="43">
        <v>43783</v>
      </c>
      <c r="U1784" t="str">
        <f t="shared" si="27"/>
        <v/>
      </c>
      <c r="V1784" s="44" t="s">
        <v>86</v>
      </c>
      <c r="W1784" s="44">
        <v>43779</v>
      </c>
      <c r="X1784" s="24"/>
      <c r="Y1784" s="24"/>
      <c r="Z1784" s="25"/>
    </row>
    <row r="1785" spans="20:26" x14ac:dyDescent="0.25">
      <c r="T1785" s="43">
        <v>43784</v>
      </c>
      <c r="U1785" t="str">
        <f t="shared" si="27"/>
        <v/>
      </c>
      <c r="V1785" s="44" t="s">
        <v>87</v>
      </c>
      <c r="W1785" s="44">
        <v>43779</v>
      </c>
      <c r="X1785" s="24"/>
      <c r="Y1785" s="24"/>
      <c r="Z1785" s="25"/>
    </row>
    <row r="1786" spans="20:26" x14ac:dyDescent="0.25">
      <c r="T1786" s="43">
        <v>43785</v>
      </c>
      <c r="U1786" t="str">
        <f t="shared" si="27"/>
        <v/>
      </c>
      <c r="V1786" s="44" t="s">
        <v>88</v>
      </c>
      <c r="W1786" s="44">
        <v>43779</v>
      </c>
      <c r="X1786" s="24"/>
      <c r="Y1786" s="24"/>
      <c r="Z1786" s="25"/>
    </row>
    <row r="1787" spans="20:26" x14ac:dyDescent="0.25">
      <c r="T1787" s="43">
        <v>43786</v>
      </c>
      <c r="U1787" t="str">
        <f t="shared" si="27"/>
        <v/>
      </c>
      <c r="V1787" s="44" t="s">
        <v>82</v>
      </c>
      <c r="W1787" s="44">
        <v>43786</v>
      </c>
      <c r="X1787" s="24"/>
      <c r="Y1787" s="24"/>
      <c r="Z1787" s="25"/>
    </row>
    <row r="1788" spans="20:26" x14ac:dyDescent="0.25">
      <c r="T1788" s="43">
        <v>43787</v>
      </c>
      <c r="U1788" t="str">
        <f t="shared" si="27"/>
        <v/>
      </c>
      <c r="V1788" s="44" t="s">
        <v>83</v>
      </c>
      <c r="W1788" s="44">
        <v>43786</v>
      </c>
      <c r="X1788" s="24"/>
      <c r="Y1788" s="24"/>
      <c r="Z1788" s="25"/>
    </row>
    <row r="1789" spans="20:26" x14ac:dyDescent="0.25">
      <c r="T1789" s="43">
        <v>43788</v>
      </c>
      <c r="U1789" t="str">
        <f t="shared" si="27"/>
        <v/>
      </c>
      <c r="V1789" s="44" t="s">
        <v>84</v>
      </c>
      <c r="W1789" s="44">
        <v>43786</v>
      </c>
      <c r="X1789" s="24"/>
      <c r="Y1789" s="24"/>
      <c r="Z1789" s="25"/>
    </row>
    <row r="1790" spans="20:26" x14ac:dyDescent="0.25">
      <c r="T1790" s="43">
        <v>43789</v>
      </c>
      <c r="U1790" t="str">
        <f t="shared" si="27"/>
        <v/>
      </c>
      <c r="V1790" s="44" t="s">
        <v>85</v>
      </c>
      <c r="W1790" s="44">
        <v>43786</v>
      </c>
      <c r="X1790" s="24"/>
      <c r="Y1790" s="24"/>
      <c r="Z1790" s="25"/>
    </row>
    <row r="1791" spans="20:26" x14ac:dyDescent="0.25">
      <c r="T1791" s="43">
        <v>43790</v>
      </c>
      <c r="U1791" t="str">
        <f t="shared" si="27"/>
        <v/>
      </c>
      <c r="V1791" s="44" t="s">
        <v>86</v>
      </c>
      <c r="W1791" s="44">
        <v>43786</v>
      </c>
      <c r="X1791" s="24"/>
      <c r="Y1791" s="24"/>
      <c r="Z1791" s="25"/>
    </row>
    <row r="1792" spans="20:26" x14ac:dyDescent="0.25">
      <c r="T1792" s="43">
        <v>43791</v>
      </c>
      <c r="U1792" t="str">
        <f t="shared" si="27"/>
        <v/>
      </c>
      <c r="V1792" s="44" t="s">
        <v>87</v>
      </c>
      <c r="W1792" s="44">
        <v>43786</v>
      </c>
      <c r="X1792" s="24"/>
      <c r="Y1792" s="24"/>
      <c r="Z1792" s="25"/>
    </row>
    <row r="1793" spans="20:26" x14ac:dyDescent="0.25">
      <c r="T1793" s="43">
        <v>43792</v>
      </c>
      <c r="U1793" t="str">
        <f t="shared" si="27"/>
        <v/>
      </c>
      <c r="V1793" s="44" t="s">
        <v>88</v>
      </c>
      <c r="W1793" s="44">
        <v>43786</v>
      </c>
      <c r="X1793" s="24"/>
      <c r="Y1793" s="24"/>
      <c r="Z1793" s="25"/>
    </row>
    <row r="1794" spans="20:26" x14ac:dyDescent="0.25">
      <c r="T1794" s="43">
        <v>43793</v>
      </c>
      <c r="U1794" t="str">
        <f t="shared" ref="U1794:U1849" si="28">RIGHT(Z1794,4)</f>
        <v/>
      </c>
      <c r="V1794" s="44" t="s">
        <v>82</v>
      </c>
      <c r="W1794" s="44">
        <v>43793</v>
      </c>
      <c r="X1794" s="24"/>
      <c r="Y1794" s="24"/>
      <c r="Z1794" s="25"/>
    </row>
    <row r="1795" spans="20:26" x14ac:dyDescent="0.25">
      <c r="T1795" s="43">
        <v>43794</v>
      </c>
      <c r="U1795" t="str">
        <f t="shared" si="28"/>
        <v/>
      </c>
      <c r="V1795" s="44" t="s">
        <v>83</v>
      </c>
      <c r="W1795" s="44">
        <v>43793</v>
      </c>
      <c r="X1795" s="24"/>
      <c r="Y1795" s="24"/>
      <c r="Z1795" s="25"/>
    </row>
    <row r="1796" spans="20:26" x14ac:dyDescent="0.25">
      <c r="T1796" s="43">
        <v>43795</v>
      </c>
      <c r="U1796" t="str">
        <f t="shared" si="28"/>
        <v/>
      </c>
      <c r="V1796" s="44" t="s">
        <v>84</v>
      </c>
      <c r="W1796" s="44">
        <v>43793</v>
      </c>
      <c r="X1796" s="24"/>
      <c r="Y1796" s="24"/>
      <c r="Z1796" s="25"/>
    </row>
    <row r="1797" spans="20:26" x14ac:dyDescent="0.25">
      <c r="T1797" s="43">
        <v>43796</v>
      </c>
      <c r="U1797" t="str">
        <f t="shared" si="28"/>
        <v/>
      </c>
      <c r="V1797" s="44" t="s">
        <v>85</v>
      </c>
      <c r="W1797" s="44">
        <v>43793</v>
      </c>
      <c r="X1797" s="24"/>
      <c r="Y1797" s="24"/>
      <c r="Z1797" s="25"/>
    </row>
    <row r="1798" spans="20:26" x14ac:dyDescent="0.25">
      <c r="T1798" s="43">
        <v>43797</v>
      </c>
      <c r="U1798" t="str">
        <f t="shared" si="28"/>
        <v/>
      </c>
      <c r="V1798" s="44" t="s">
        <v>86</v>
      </c>
      <c r="W1798" s="44">
        <v>43793</v>
      </c>
      <c r="X1798" s="24"/>
      <c r="Y1798" s="24"/>
      <c r="Z1798" s="25"/>
    </row>
    <row r="1799" spans="20:26" x14ac:dyDescent="0.25">
      <c r="T1799" s="43">
        <v>43798</v>
      </c>
      <c r="U1799" t="str">
        <f t="shared" si="28"/>
        <v/>
      </c>
      <c r="V1799" s="44" t="s">
        <v>87</v>
      </c>
      <c r="W1799" s="44">
        <v>43793</v>
      </c>
      <c r="X1799" s="24"/>
      <c r="Y1799" s="24"/>
      <c r="Z1799" s="25"/>
    </row>
    <row r="1800" spans="20:26" x14ac:dyDescent="0.25">
      <c r="T1800" s="43">
        <v>43799</v>
      </c>
      <c r="U1800" t="str">
        <f t="shared" si="28"/>
        <v/>
      </c>
      <c r="V1800" s="44" t="s">
        <v>88</v>
      </c>
      <c r="W1800" s="44">
        <v>43793</v>
      </c>
      <c r="X1800" s="24"/>
      <c r="Y1800" s="24"/>
      <c r="Z1800" s="25"/>
    </row>
    <row r="1801" spans="20:26" x14ac:dyDescent="0.25">
      <c r="T1801" s="43">
        <v>43800</v>
      </c>
      <c r="U1801" t="str">
        <f t="shared" si="28"/>
        <v/>
      </c>
      <c r="V1801" s="44" t="s">
        <v>82</v>
      </c>
      <c r="W1801" s="44">
        <v>43800</v>
      </c>
      <c r="X1801" s="24"/>
      <c r="Y1801" s="24"/>
      <c r="Z1801" s="25"/>
    </row>
    <row r="1802" spans="20:26" x14ac:dyDescent="0.25">
      <c r="T1802" s="43">
        <v>43801</v>
      </c>
      <c r="U1802" t="str">
        <f t="shared" si="28"/>
        <v/>
      </c>
      <c r="V1802" s="44" t="s">
        <v>83</v>
      </c>
      <c r="W1802" s="44">
        <v>43800</v>
      </c>
      <c r="X1802" s="24"/>
      <c r="Y1802" s="24"/>
      <c r="Z1802" s="25"/>
    </row>
    <row r="1803" spans="20:26" x14ac:dyDescent="0.25">
      <c r="T1803" s="43">
        <v>43802</v>
      </c>
      <c r="U1803" t="str">
        <f t="shared" si="28"/>
        <v/>
      </c>
      <c r="V1803" s="44" t="s">
        <v>84</v>
      </c>
      <c r="W1803" s="44">
        <v>43800</v>
      </c>
      <c r="X1803" s="24"/>
      <c r="Y1803" s="24"/>
      <c r="Z1803" s="25"/>
    </row>
    <row r="1804" spans="20:26" x14ac:dyDescent="0.25">
      <c r="T1804" s="43">
        <v>43803</v>
      </c>
      <c r="U1804" t="str">
        <f t="shared" si="28"/>
        <v/>
      </c>
      <c r="V1804" s="44" t="s">
        <v>85</v>
      </c>
      <c r="W1804" s="44">
        <v>43800</v>
      </c>
      <c r="X1804" s="24"/>
      <c r="Y1804" s="24"/>
      <c r="Z1804" s="25"/>
    </row>
    <row r="1805" spans="20:26" x14ac:dyDescent="0.25">
      <c r="T1805" s="43">
        <v>43804</v>
      </c>
      <c r="U1805" t="str">
        <f t="shared" si="28"/>
        <v/>
      </c>
      <c r="V1805" s="44" t="s">
        <v>86</v>
      </c>
      <c r="W1805" s="44">
        <v>43800</v>
      </c>
      <c r="X1805" s="24"/>
      <c r="Y1805" s="24"/>
      <c r="Z1805" s="25"/>
    </row>
    <row r="1806" spans="20:26" x14ac:dyDescent="0.25">
      <c r="T1806" s="43">
        <v>43805</v>
      </c>
      <c r="U1806" t="str">
        <f t="shared" si="28"/>
        <v/>
      </c>
      <c r="V1806" s="44" t="s">
        <v>87</v>
      </c>
      <c r="W1806" s="44">
        <v>43800</v>
      </c>
      <c r="X1806" s="24"/>
      <c r="Y1806" s="24"/>
      <c r="Z1806" s="25"/>
    </row>
    <row r="1807" spans="20:26" x14ac:dyDescent="0.25">
      <c r="T1807" s="43">
        <v>43806</v>
      </c>
      <c r="U1807" t="str">
        <f t="shared" si="28"/>
        <v/>
      </c>
      <c r="V1807" s="44" t="s">
        <v>88</v>
      </c>
      <c r="W1807" s="44">
        <v>43800</v>
      </c>
      <c r="X1807" s="24"/>
      <c r="Y1807" s="24"/>
      <c r="Z1807" s="25"/>
    </row>
    <row r="1808" spans="20:26" x14ac:dyDescent="0.25">
      <c r="T1808" s="43">
        <v>43807</v>
      </c>
      <c r="U1808" t="str">
        <f t="shared" si="28"/>
        <v/>
      </c>
      <c r="V1808" s="44" t="s">
        <v>82</v>
      </c>
      <c r="W1808" s="44">
        <v>43807</v>
      </c>
      <c r="X1808" s="24"/>
      <c r="Y1808" s="24"/>
      <c r="Z1808" s="25"/>
    </row>
    <row r="1809" spans="20:26" x14ac:dyDescent="0.25">
      <c r="T1809" s="43">
        <v>43808</v>
      </c>
      <c r="U1809" t="str">
        <f t="shared" si="28"/>
        <v/>
      </c>
      <c r="V1809" s="44" t="s">
        <v>83</v>
      </c>
      <c r="W1809" s="44">
        <v>43807</v>
      </c>
      <c r="X1809" s="24"/>
      <c r="Y1809" s="24"/>
      <c r="Z1809" s="25"/>
    </row>
    <row r="1810" spans="20:26" x14ac:dyDescent="0.25">
      <c r="T1810" s="43">
        <v>43809</v>
      </c>
      <c r="U1810" t="str">
        <f t="shared" si="28"/>
        <v/>
      </c>
      <c r="V1810" s="44" t="s">
        <v>84</v>
      </c>
      <c r="W1810" s="44">
        <v>43807</v>
      </c>
      <c r="X1810" s="24"/>
      <c r="Y1810" s="24"/>
      <c r="Z1810" s="25"/>
    </row>
    <row r="1811" spans="20:26" x14ac:dyDescent="0.25">
      <c r="T1811" s="43">
        <v>43810</v>
      </c>
      <c r="U1811" t="str">
        <f t="shared" si="28"/>
        <v/>
      </c>
      <c r="V1811" s="44" t="s">
        <v>85</v>
      </c>
      <c r="W1811" s="44">
        <v>43807</v>
      </c>
      <c r="X1811" s="24"/>
      <c r="Y1811" s="24"/>
      <c r="Z1811" s="25"/>
    </row>
    <row r="1812" spans="20:26" x14ac:dyDescent="0.25">
      <c r="T1812" s="43">
        <v>43811</v>
      </c>
      <c r="U1812" t="str">
        <f t="shared" si="28"/>
        <v/>
      </c>
      <c r="V1812" s="44" t="s">
        <v>86</v>
      </c>
      <c r="W1812" s="44">
        <v>43807</v>
      </c>
      <c r="X1812" s="24"/>
      <c r="Y1812" s="24"/>
      <c r="Z1812" s="25"/>
    </row>
    <row r="1813" spans="20:26" x14ac:dyDescent="0.25">
      <c r="T1813" s="43">
        <v>43812</v>
      </c>
      <c r="U1813" t="str">
        <f t="shared" si="28"/>
        <v/>
      </c>
      <c r="V1813" s="44" t="s">
        <v>87</v>
      </c>
      <c r="W1813" s="44">
        <v>43807</v>
      </c>
      <c r="X1813" s="24"/>
      <c r="Y1813" s="24"/>
      <c r="Z1813" s="25"/>
    </row>
    <row r="1814" spans="20:26" x14ac:dyDescent="0.25">
      <c r="T1814" s="43">
        <v>43813</v>
      </c>
      <c r="U1814" t="str">
        <f t="shared" si="28"/>
        <v/>
      </c>
      <c r="V1814" s="44" t="s">
        <v>88</v>
      </c>
      <c r="W1814" s="44">
        <v>43807</v>
      </c>
      <c r="X1814" s="24"/>
      <c r="Y1814" s="24"/>
      <c r="Z1814" s="25"/>
    </row>
    <row r="1815" spans="20:26" x14ac:dyDescent="0.25">
      <c r="T1815" s="43">
        <v>43814</v>
      </c>
      <c r="U1815" t="str">
        <f t="shared" si="28"/>
        <v/>
      </c>
      <c r="V1815" s="44" t="s">
        <v>82</v>
      </c>
      <c r="W1815" s="44">
        <v>43814</v>
      </c>
      <c r="X1815" s="24"/>
      <c r="Y1815" s="24"/>
      <c r="Z1815" s="25"/>
    </row>
    <row r="1816" spans="20:26" x14ac:dyDescent="0.25">
      <c r="T1816" s="43">
        <v>43815</v>
      </c>
      <c r="U1816" t="str">
        <f t="shared" si="28"/>
        <v/>
      </c>
      <c r="V1816" s="44" t="s">
        <v>83</v>
      </c>
      <c r="W1816" s="44">
        <v>43814</v>
      </c>
      <c r="X1816" s="24"/>
      <c r="Y1816" s="24"/>
      <c r="Z1816" s="25"/>
    </row>
    <row r="1817" spans="20:26" x14ac:dyDescent="0.25">
      <c r="T1817" s="43">
        <v>43816</v>
      </c>
      <c r="U1817" t="str">
        <f t="shared" si="28"/>
        <v/>
      </c>
      <c r="V1817" s="44" t="s">
        <v>84</v>
      </c>
      <c r="W1817" s="44">
        <v>43814</v>
      </c>
      <c r="X1817" s="24"/>
      <c r="Y1817" s="24"/>
      <c r="Z1817" s="25"/>
    </row>
    <row r="1818" spans="20:26" x14ac:dyDescent="0.25">
      <c r="T1818" s="43">
        <v>43817</v>
      </c>
      <c r="U1818" t="str">
        <f t="shared" si="28"/>
        <v/>
      </c>
      <c r="V1818" s="44" t="s">
        <v>85</v>
      </c>
      <c r="W1818" s="44">
        <v>43814</v>
      </c>
      <c r="X1818" s="24"/>
      <c r="Y1818" s="24"/>
      <c r="Z1818" s="25"/>
    </row>
    <row r="1819" spans="20:26" x14ac:dyDescent="0.25">
      <c r="T1819" s="43">
        <v>43818</v>
      </c>
      <c r="U1819" t="str">
        <f t="shared" si="28"/>
        <v/>
      </c>
      <c r="V1819" s="44" t="s">
        <v>86</v>
      </c>
      <c r="W1819" s="44">
        <v>43814</v>
      </c>
      <c r="X1819" s="24"/>
      <c r="Y1819" s="24"/>
      <c r="Z1819" s="25"/>
    </row>
    <row r="1820" spans="20:26" x14ac:dyDescent="0.25">
      <c r="T1820" s="43">
        <v>43819</v>
      </c>
      <c r="U1820" t="str">
        <f t="shared" si="28"/>
        <v/>
      </c>
      <c r="V1820" s="44" t="s">
        <v>87</v>
      </c>
      <c r="W1820" s="44">
        <v>43814</v>
      </c>
      <c r="X1820" s="24"/>
      <c r="Y1820" s="24"/>
      <c r="Z1820" s="25"/>
    </row>
    <row r="1821" spans="20:26" x14ac:dyDescent="0.25">
      <c r="T1821" s="43">
        <v>43820</v>
      </c>
      <c r="U1821" t="str">
        <f t="shared" si="28"/>
        <v/>
      </c>
      <c r="V1821" s="44" t="s">
        <v>88</v>
      </c>
      <c r="W1821" s="44">
        <v>43814</v>
      </c>
      <c r="X1821" s="24"/>
      <c r="Y1821" s="24"/>
      <c r="Z1821" s="25"/>
    </row>
    <row r="1822" spans="20:26" x14ac:dyDescent="0.25">
      <c r="T1822" s="43">
        <v>43821</v>
      </c>
      <c r="U1822" t="str">
        <f t="shared" si="28"/>
        <v/>
      </c>
      <c r="V1822" s="44" t="s">
        <v>82</v>
      </c>
      <c r="W1822" s="44">
        <v>43821</v>
      </c>
      <c r="X1822" s="24"/>
      <c r="Y1822" s="24"/>
      <c r="Z1822" s="25"/>
    </row>
    <row r="1823" spans="20:26" x14ac:dyDescent="0.25">
      <c r="T1823" s="43">
        <v>43822</v>
      </c>
      <c r="U1823" t="str">
        <f t="shared" si="28"/>
        <v/>
      </c>
      <c r="V1823" s="44" t="s">
        <v>83</v>
      </c>
      <c r="W1823" s="44">
        <v>43821</v>
      </c>
      <c r="X1823" s="24"/>
      <c r="Y1823" s="24"/>
      <c r="Z1823" s="25"/>
    </row>
    <row r="1824" spans="20:26" x14ac:dyDescent="0.25">
      <c r="T1824" s="43">
        <v>43823</v>
      </c>
      <c r="U1824" t="str">
        <f t="shared" si="28"/>
        <v/>
      </c>
      <c r="V1824" s="44" t="s">
        <v>84</v>
      </c>
      <c r="W1824" s="44">
        <v>43821</v>
      </c>
      <c r="X1824" s="24"/>
      <c r="Y1824" s="24"/>
      <c r="Z1824" s="25"/>
    </row>
    <row r="1825" spans="20:26" x14ac:dyDescent="0.25">
      <c r="T1825" s="43">
        <v>43824</v>
      </c>
      <c r="U1825" t="str">
        <f t="shared" si="28"/>
        <v/>
      </c>
      <c r="V1825" s="44" t="s">
        <v>85</v>
      </c>
      <c r="W1825" s="44">
        <v>43821</v>
      </c>
      <c r="X1825" s="24"/>
      <c r="Y1825" s="24"/>
      <c r="Z1825" s="25"/>
    </row>
    <row r="1826" spans="20:26" x14ac:dyDescent="0.25">
      <c r="T1826" s="43">
        <v>43825</v>
      </c>
      <c r="U1826" t="str">
        <f t="shared" si="28"/>
        <v/>
      </c>
      <c r="V1826" s="44" t="s">
        <v>86</v>
      </c>
      <c r="W1826" s="44">
        <v>43821</v>
      </c>
      <c r="X1826" s="24"/>
      <c r="Y1826" s="24"/>
      <c r="Z1826" s="25"/>
    </row>
    <row r="1827" spans="20:26" x14ac:dyDescent="0.25">
      <c r="T1827" s="43">
        <v>43826</v>
      </c>
      <c r="U1827" t="str">
        <f t="shared" si="28"/>
        <v/>
      </c>
      <c r="V1827" s="44" t="s">
        <v>87</v>
      </c>
      <c r="W1827" s="44">
        <v>43821</v>
      </c>
      <c r="X1827" s="24"/>
      <c r="Y1827" s="24"/>
      <c r="Z1827" s="25"/>
    </row>
    <row r="1828" spans="20:26" x14ac:dyDescent="0.25">
      <c r="T1828" s="43">
        <v>43827</v>
      </c>
      <c r="U1828" t="str">
        <f t="shared" si="28"/>
        <v/>
      </c>
      <c r="V1828" s="44" t="s">
        <v>88</v>
      </c>
      <c r="W1828" s="44">
        <v>43821</v>
      </c>
      <c r="X1828" s="24"/>
      <c r="Y1828" s="24"/>
      <c r="Z1828" s="25"/>
    </row>
    <row r="1829" spans="20:26" x14ac:dyDescent="0.25">
      <c r="T1829" s="43">
        <v>43828</v>
      </c>
      <c r="U1829" t="str">
        <f t="shared" si="28"/>
        <v/>
      </c>
      <c r="V1829" s="44" t="s">
        <v>82</v>
      </c>
      <c r="W1829" s="44">
        <v>43828</v>
      </c>
      <c r="X1829" s="24"/>
      <c r="Y1829" s="24"/>
      <c r="Z1829" s="25"/>
    </row>
    <row r="1830" spans="20:26" x14ac:dyDescent="0.25">
      <c r="T1830" s="43">
        <v>43829</v>
      </c>
      <c r="U1830" t="str">
        <f t="shared" si="28"/>
        <v/>
      </c>
      <c r="V1830" s="44" t="s">
        <v>83</v>
      </c>
      <c r="W1830" s="44">
        <v>43828</v>
      </c>
      <c r="X1830" s="24"/>
      <c r="Y1830" s="24"/>
      <c r="Z1830" s="25"/>
    </row>
    <row r="1831" spans="20:26" x14ac:dyDescent="0.25">
      <c r="T1831" s="43">
        <v>43830</v>
      </c>
      <c r="U1831" t="str">
        <f t="shared" si="28"/>
        <v/>
      </c>
      <c r="V1831" s="44" t="s">
        <v>84</v>
      </c>
      <c r="W1831" s="44">
        <v>43828</v>
      </c>
      <c r="X1831" s="24"/>
      <c r="Y1831" s="24"/>
      <c r="Z1831" s="25"/>
    </row>
    <row r="1832" spans="20:26" x14ac:dyDescent="0.25">
      <c r="T1832" s="43">
        <v>43831</v>
      </c>
      <c r="U1832" t="str">
        <f t="shared" si="28"/>
        <v/>
      </c>
      <c r="V1832" s="44" t="s">
        <v>85</v>
      </c>
      <c r="W1832" s="44">
        <v>43828</v>
      </c>
      <c r="X1832" s="24"/>
      <c r="Y1832" s="24"/>
      <c r="Z1832" s="25"/>
    </row>
    <row r="1833" spans="20:26" x14ac:dyDescent="0.25">
      <c r="T1833" s="43">
        <v>43832</v>
      </c>
      <c r="U1833" t="str">
        <f t="shared" si="28"/>
        <v/>
      </c>
      <c r="V1833" s="44" t="s">
        <v>86</v>
      </c>
      <c r="W1833" s="44">
        <v>43828</v>
      </c>
      <c r="X1833" s="24"/>
      <c r="Y1833" s="24"/>
      <c r="Z1833" s="25"/>
    </row>
    <row r="1834" spans="20:26" x14ac:dyDescent="0.25">
      <c r="T1834" s="43">
        <v>43833</v>
      </c>
      <c r="U1834" t="str">
        <f t="shared" si="28"/>
        <v/>
      </c>
      <c r="V1834" s="44" t="s">
        <v>87</v>
      </c>
      <c r="W1834" s="44">
        <v>43828</v>
      </c>
      <c r="X1834" s="24"/>
      <c r="Y1834" s="24"/>
      <c r="Z1834" s="25"/>
    </row>
    <row r="1835" spans="20:26" x14ac:dyDescent="0.25">
      <c r="T1835" s="43">
        <v>43834</v>
      </c>
      <c r="U1835" t="str">
        <f t="shared" si="28"/>
        <v/>
      </c>
      <c r="V1835" s="44" t="s">
        <v>88</v>
      </c>
      <c r="W1835" s="44">
        <v>43828</v>
      </c>
      <c r="X1835" s="24"/>
      <c r="Y1835" s="24"/>
      <c r="Z1835" s="25"/>
    </row>
    <row r="1836" spans="20:26" x14ac:dyDescent="0.25">
      <c r="T1836" s="43">
        <v>43835</v>
      </c>
      <c r="U1836" t="str">
        <f t="shared" si="28"/>
        <v/>
      </c>
      <c r="V1836" s="44" t="s">
        <v>82</v>
      </c>
      <c r="W1836" s="44">
        <v>43835</v>
      </c>
      <c r="X1836" s="24"/>
      <c r="Y1836" s="24"/>
      <c r="Z1836" s="25"/>
    </row>
    <row r="1837" spans="20:26" x14ac:dyDescent="0.25">
      <c r="T1837" s="43">
        <v>43836</v>
      </c>
      <c r="U1837" t="str">
        <f t="shared" si="28"/>
        <v/>
      </c>
      <c r="V1837" s="44" t="s">
        <v>83</v>
      </c>
      <c r="W1837" s="44">
        <v>43835</v>
      </c>
      <c r="X1837" s="24"/>
      <c r="Y1837" s="24"/>
      <c r="Z1837" s="25"/>
    </row>
    <row r="1838" spans="20:26" x14ac:dyDescent="0.25">
      <c r="T1838" s="43">
        <v>43837</v>
      </c>
      <c r="U1838" t="str">
        <f t="shared" si="28"/>
        <v/>
      </c>
      <c r="V1838" s="44" t="s">
        <v>84</v>
      </c>
      <c r="W1838" s="44">
        <v>43835</v>
      </c>
      <c r="X1838" s="24"/>
      <c r="Y1838" s="24"/>
      <c r="Z1838" s="25"/>
    </row>
    <row r="1839" spans="20:26" x14ac:dyDescent="0.25">
      <c r="T1839" s="43">
        <v>43838</v>
      </c>
      <c r="U1839" t="str">
        <f t="shared" si="28"/>
        <v/>
      </c>
      <c r="V1839" s="44" t="s">
        <v>85</v>
      </c>
      <c r="W1839" s="44">
        <v>43835</v>
      </c>
      <c r="X1839" s="24"/>
      <c r="Y1839" s="24"/>
      <c r="Z1839" s="25"/>
    </row>
    <row r="1840" spans="20:26" x14ac:dyDescent="0.25">
      <c r="T1840" s="43">
        <v>43839</v>
      </c>
      <c r="U1840" t="str">
        <f t="shared" si="28"/>
        <v/>
      </c>
      <c r="V1840" s="44" t="s">
        <v>86</v>
      </c>
      <c r="W1840" s="44">
        <v>43835</v>
      </c>
      <c r="X1840" s="24"/>
      <c r="Y1840" s="24"/>
      <c r="Z1840" s="25"/>
    </row>
    <row r="1841" spans="20:26" x14ac:dyDescent="0.25">
      <c r="T1841" s="43">
        <v>43840</v>
      </c>
      <c r="U1841" t="str">
        <f t="shared" si="28"/>
        <v/>
      </c>
      <c r="V1841" s="44" t="s">
        <v>87</v>
      </c>
      <c r="W1841" s="44">
        <v>43835</v>
      </c>
      <c r="X1841" s="24"/>
      <c r="Y1841" s="24"/>
      <c r="Z1841" s="25"/>
    </row>
    <row r="1842" spans="20:26" x14ac:dyDescent="0.25">
      <c r="T1842" s="43">
        <v>43841</v>
      </c>
      <c r="U1842" t="str">
        <f t="shared" si="28"/>
        <v/>
      </c>
      <c r="V1842" s="44" t="s">
        <v>88</v>
      </c>
      <c r="W1842" s="44">
        <v>43835</v>
      </c>
      <c r="X1842" s="24"/>
      <c r="Y1842" s="24"/>
      <c r="Z1842" s="25"/>
    </row>
    <row r="1843" spans="20:26" x14ac:dyDescent="0.25">
      <c r="T1843" s="43">
        <v>43842</v>
      </c>
      <c r="U1843" t="str">
        <f t="shared" si="28"/>
        <v/>
      </c>
      <c r="V1843" s="44" t="s">
        <v>82</v>
      </c>
      <c r="W1843" s="44">
        <v>43842</v>
      </c>
      <c r="X1843" s="24"/>
      <c r="Y1843" s="24"/>
      <c r="Z1843" s="25"/>
    </row>
    <row r="1844" spans="20:26" x14ac:dyDescent="0.25">
      <c r="T1844" s="43">
        <v>43843</v>
      </c>
      <c r="U1844" t="str">
        <f t="shared" si="28"/>
        <v/>
      </c>
      <c r="V1844" s="44" t="s">
        <v>83</v>
      </c>
      <c r="W1844" s="44">
        <v>43842</v>
      </c>
      <c r="X1844" s="24"/>
      <c r="Y1844" s="24"/>
      <c r="Z1844" s="25"/>
    </row>
    <row r="1845" spans="20:26" x14ac:dyDescent="0.25">
      <c r="T1845" s="43">
        <v>43844</v>
      </c>
      <c r="U1845" t="str">
        <f t="shared" si="28"/>
        <v/>
      </c>
      <c r="V1845" s="44" t="s">
        <v>84</v>
      </c>
      <c r="W1845" s="44">
        <v>43842</v>
      </c>
      <c r="X1845" s="24"/>
      <c r="Y1845" s="24"/>
      <c r="Z1845" s="25"/>
    </row>
    <row r="1846" spans="20:26" x14ac:dyDescent="0.25">
      <c r="T1846" s="43">
        <v>43845</v>
      </c>
      <c r="U1846" t="str">
        <f t="shared" si="28"/>
        <v/>
      </c>
      <c r="V1846" s="44" t="s">
        <v>85</v>
      </c>
      <c r="W1846" s="44">
        <v>43842</v>
      </c>
      <c r="X1846" s="24"/>
      <c r="Y1846" s="24"/>
      <c r="Z1846" s="25"/>
    </row>
    <row r="1847" spans="20:26" x14ac:dyDescent="0.25">
      <c r="T1847" s="43">
        <v>43846</v>
      </c>
      <c r="U1847" t="str">
        <f t="shared" si="28"/>
        <v/>
      </c>
      <c r="V1847" s="44" t="s">
        <v>86</v>
      </c>
      <c r="W1847" s="44">
        <v>43842</v>
      </c>
      <c r="X1847" s="24"/>
      <c r="Y1847" s="24"/>
      <c r="Z1847" s="25"/>
    </row>
    <row r="1848" spans="20:26" x14ac:dyDescent="0.25">
      <c r="T1848" s="43">
        <v>43847</v>
      </c>
      <c r="U1848" t="str">
        <f t="shared" si="28"/>
        <v/>
      </c>
      <c r="V1848" s="44" t="s">
        <v>87</v>
      </c>
      <c r="W1848" s="44">
        <v>43842</v>
      </c>
      <c r="X1848" s="24"/>
      <c r="Y1848" s="24"/>
      <c r="Z1848" s="25"/>
    </row>
    <row r="1849" spans="20:26" x14ac:dyDescent="0.25">
      <c r="T1849" s="45">
        <v>43848</v>
      </c>
      <c r="U1849" t="str">
        <f t="shared" si="28"/>
        <v/>
      </c>
      <c r="V1849" s="46" t="s">
        <v>88</v>
      </c>
      <c r="W1849" s="46">
        <v>43842</v>
      </c>
      <c r="X1849" s="24"/>
      <c r="Y1849" s="24"/>
      <c r="Z1849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2016-10-16T22:42:55Z</dcterms:created>
  <dcterms:modified xsi:type="dcterms:W3CDTF">2017-08-05T22:31:39Z</dcterms:modified>
</cp:coreProperties>
</file>