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ephen.w\Desktop\"/>
    </mc:Choice>
  </mc:AlternateContent>
  <bookViews>
    <workbookView xWindow="120" yWindow="2505" windowWidth="15180" windowHeight="8835"/>
  </bookViews>
  <sheets>
    <sheet name="VM" sheetId="1" r:id="rId1"/>
    <sheet name="PO" sheetId="5" r:id="rId2"/>
    <sheet name="Canon" sheetId="8" r:id="rId3"/>
  </sheets>
  <definedNames>
    <definedName name="_xlnm._FilterDatabase" localSheetId="0" hidden="1">VM!$A$3:$I$3</definedName>
    <definedName name="db002_CherriePortal" localSheetId="1" hidden="1">PO!$A$1:$K$53</definedName>
    <definedName name="POStatus">Canon!$A$2:$A$3</definedName>
    <definedName name="_xlnm.Print_Area" localSheetId="0">VM!$A$1:$AF$291</definedName>
    <definedName name="_xlnm.Print_Titles" localSheetId="0">VM!$1:$3</definedName>
  </definedNames>
  <calcPr calcId="152511"/>
</workbook>
</file>

<file path=xl/calcChain.xml><?xml version="1.0" encoding="utf-8"?>
<calcChain xmlns="http://schemas.openxmlformats.org/spreadsheetml/2006/main">
  <c r="R1" i="1" l="1"/>
  <c r="Q1" i="1"/>
  <c r="P1" i="1"/>
  <c r="O1" i="1"/>
  <c r="N1" i="1"/>
  <c r="M1" i="1"/>
  <c r="L1" i="1"/>
  <c r="K1" i="1"/>
  <c r="T3" i="1"/>
  <c r="U3" i="1" s="1"/>
  <c r="V3" i="1" s="1"/>
  <c r="W3" i="1" s="1"/>
  <c r="X3" i="1" s="1"/>
  <c r="Y3" i="1" s="1"/>
  <c r="Z3" i="1" s="1"/>
  <c r="AA3" i="1" s="1"/>
  <c r="AB3" i="1" s="1"/>
  <c r="AC3" i="1" s="1"/>
  <c r="AD3" i="1" s="1"/>
  <c r="AE3" i="1" s="1"/>
  <c r="AF3" i="1" s="1"/>
  <c r="S1" i="1" l="1"/>
</calcChain>
</file>

<file path=xl/connections.xml><?xml version="1.0" encoding="utf-8"?>
<connections xmlns="http://schemas.openxmlformats.org/spreadsheetml/2006/main">
  <connection id="1" keepAlive="1" name="db002 CherriePortal" type="5" refreshedVersion="5" savePassword="1" background="1" saveData="1">
    <dbPr connection="Provider=SQLOLEDB.1;Password=P@ssw0rd1234;Persist Security Info=True;User ID=ExcelUser;Initial Catalog=CherriePortal;Data Source=db002;Use Procedure for Prepare=1;Auto Translate=True;Packet Size=4096;Workstation ID=CHERRIE-PC003;Use Encryption for Data=False;Tag with column collation when possible=False" command="select top 96 p.Style, p.LongDesc as [Description], pit.Name as PIType, c.Name as Category, p.UnitRRP, P.UnitCP, t.Name as Theme, sp.Name as Place      , sup.lastName as Supplier, p.SGRId as SGR      , EMWeek as em  from PurchaseOrder p inner join PIType pit on p.PITypeId = pit.Id                       inner join Category c on p.CategoryId = c.Id                       inner join POStatus ps on p.StatusId = ps.Id                       inner join Theme t on p.ThemeId = t.Id                       inner join SellingPlace sp on p.SellingPlaceId = sp.Id                       inner join AspNetUsers sup on p.supplierId = sup.id  Where p.SGRId != 3  and Rsweek=1727   and ps.Value = 'PC' order by p.SGRId, sup.lastName DESC, p.Style ASC"/>
  </connection>
</connections>
</file>

<file path=xl/sharedStrings.xml><?xml version="1.0" encoding="utf-8"?>
<sst xmlns="http://schemas.openxmlformats.org/spreadsheetml/2006/main" count="889" uniqueCount="175">
  <si>
    <t>WK1</t>
  </si>
  <si>
    <t>WK2</t>
  </si>
  <si>
    <t>WK3</t>
  </si>
  <si>
    <t>WK4</t>
  </si>
  <si>
    <t>WK5</t>
  </si>
  <si>
    <t>WK6</t>
  </si>
  <si>
    <t>WK7</t>
  </si>
  <si>
    <t>WK8</t>
  </si>
  <si>
    <t>WK9</t>
  </si>
  <si>
    <t>WK10</t>
  </si>
  <si>
    <t>WK11</t>
  </si>
  <si>
    <t>WK12</t>
  </si>
  <si>
    <t>SOH</t>
  </si>
  <si>
    <t>MD</t>
  </si>
  <si>
    <t>STS</t>
  </si>
  <si>
    <t>SELLING WEEK</t>
  </si>
  <si>
    <t>WK13</t>
  </si>
  <si>
    <t>PO Status</t>
  </si>
  <si>
    <t>SC</t>
  </si>
  <si>
    <t>PC</t>
  </si>
  <si>
    <t>Description</t>
  </si>
  <si>
    <t>035</t>
  </si>
  <si>
    <t>037</t>
  </si>
  <si>
    <t>041</t>
  </si>
  <si>
    <t>043</t>
  </si>
  <si>
    <t>044</t>
  </si>
  <si>
    <t>103</t>
  </si>
  <si>
    <t>104</t>
  </si>
  <si>
    <t>201</t>
  </si>
  <si>
    <t>style</t>
  </si>
  <si>
    <t>Pic</t>
  </si>
  <si>
    <t>Theme</t>
  </si>
  <si>
    <t>Week</t>
  </si>
  <si>
    <t>EM</t>
  </si>
  <si>
    <t>RS</t>
  </si>
  <si>
    <t>Week Type</t>
  </si>
  <si>
    <t xml:space="preserve">Priority Unpacking </t>
  </si>
  <si>
    <t xml:space="preserve">Sell Price </t>
  </si>
  <si>
    <t xml:space="preserve">Selling Location </t>
  </si>
  <si>
    <t xml:space="preserve">Category </t>
  </si>
  <si>
    <t>Supplier</t>
  </si>
  <si>
    <t>Style</t>
  </si>
  <si>
    <t>PIType</t>
  </si>
  <si>
    <t>Category</t>
  </si>
  <si>
    <t>UnitRRP</t>
  </si>
  <si>
    <t>UnitCP</t>
  </si>
  <si>
    <t>Place</t>
  </si>
  <si>
    <t>SGR</t>
  </si>
  <si>
    <t>em</t>
  </si>
  <si>
    <t>Trend</t>
  </si>
  <si>
    <t>P2TS</t>
  </si>
  <si>
    <t>P4TS</t>
  </si>
  <si>
    <t>PRETTY</t>
  </si>
  <si>
    <t>EARTHY</t>
  </si>
  <si>
    <t>BestBuy</t>
  </si>
  <si>
    <t>General</t>
  </si>
  <si>
    <t>S1</t>
  </si>
  <si>
    <t>N.Promo</t>
  </si>
  <si>
    <t>BLUES</t>
  </si>
  <si>
    <t>BRIGHTS</t>
  </si>
  <si>
    <t>P5TS</t>
  </si>
  <si>
    <t>P3TS</t>
  </si>
  <si>
    <t>2649M291</t>
  </si>
  <si>
    <t>STYLISH LEGGING</t>
  </si>
  <si>
    <t>Legging</t>
  </si>
  <si>
    <t>P5BS</t>
  </si>
  <si>
    <t>GYF</t>
  </si>
  <si>
    <t>2649M292</t>
  </si>
  <si>
    <t>COATED JEGGING</t>
  </si>
  <si>
    <t>2656M088B</t>
  </si>
  <si>
    <t>PLAIN PENCIL SKIRT</t>
  </si>
  <si>
    <t>Skirt</t>
  </si>
  <si>
    <t>P1BS</t>
  </si>
  <si>
    <t>2738F225B</t>
  </si>
  <si>
    <t>PRINT STRETCH PANT</t>
  </si>
  <si>
    <t>Pant</t>
  </si>
  <si>
    <t>LIFESTYLE 1</t>
  </si>
  <si>
    <t>LW1</t>
  </si>
  <si>
    <t>2738F225C</t>
  </si>
  <si>
    <t>2738F225E</t>
  </si>
  <si>
    <t>2738F225G</t>
  </si>
  <si>
    <t>31151107AD7</t>
  </si>
  <si>
    <t>BASIC SWING L/S TOP</t>
  </si>
  <si>
    <t>Top</t>
  </si>
  <si>
    <t>3116B212D23</t>
  </si>
  <si>
    <t>BSC BOHO SINGLET</t>
  </si>
  <si>
    <t>WALL BY COLOUR</t>
  </si>
  <si>
    <t>S3</t>
  </si>
  <si>
    <t>31581171EA</t>
  </si>
  <si>
    <t>RIB PENCIL SKIRT</t>
  </si>
  <si>
    <t>31581171EK</t>
  </si>
  <si>
    <t>TEXTURE SKIRT</t>
  </si>
  <si>
    <t>3185D633AD12</t>
  </si>
  <si>
    <t>TUXEDO JACKET</t>
  </si>
  <si>
    <t>Outer</t>
  </si>
  <si>
    <t>3315B280D6</t>
  </si>
  <si>
    <t>BSC TURTLE-NECK TOP</t>
  </si>
  <si>
    <t>Basic</t>
  </si>
  <si>
    <t>BASIC</t>
  </si>
  <si>
    <t>3315B280D8</t>
  </si>
  <si>
    <t>3511C469FD2</t>
  </si>
  <si>
    <t>TURTLE NECK TUNIC</t>
  </si>
  <si>
    <t>3511C469GD2</t>
  </si>
  <si>
    <t>3513D858JD4</t>
  </si>
  <si>
    <t>PRINT BLOCK TOP</t>
  </si>
  <si>
    <t>3513D858R</t>
  </si>
  <si>
    <t>COLOR BLOCK TOP</t>
  </si>
  <si>
    <t>P1TS</t>
  </si>
  <si>
    <t>3539F150A</t>
  </si>
  <si>
    <t>PU LEGGING</t>
  </si>
  <si>
    <t>3549F021BD2</t>
  </si>
  <si>
    <t>CONTROL PONTE LG</t>
  </si>
  <si>
    <t>3561C611D2</t>
  </si>
  <si>
    <t>HIGH NECK RIB DRESS</t>
  </si>
  <si>
    <t>Dress</t>
  </si>
  <si>
    <t>3584C362D4</t>
  </si>
  <si>
    <t>LONGLINE SCOOP CARDI</t>
  </si>
  <si>
    <t>3612C773D3</t>
  </si>
  <si>
    <t>PLEAT TOP</t>
  </si>
  <si>
    <t>3612C813</t>
  </si>
  <si>
    <t>COLD SH TOP</t>
  </si>
  <si>
    <t>3612C813A</t>
  </si>
  <si>
    <t>COLD SHOULDER TOP</t>
  </si>
  <si>
    <t>3614C657D2</t>
  </si>
  <si>
    <t>KEYHOLE GLAM TOP</t>
  </si>
  <si>
    <t>3614C757</t>
  </si>
  <si>
    <t>BLING KNOT TOP</t>
  </si>
  <si>
    <t>3656M088A</t>
  </si>
  <si>
    <t>P3BS</t>
  </si>
  <si>
    <t>3656M088D4</t>
  </si>
  <si>
    <t>3666M313</t>
  </si>
  <si>
    <t>SWEATSHIRT DRESS</t>
  </si>
  <si>
    <t>3666M411</t>
  </si>
  <si>
    <t>RIB CHEVRON DR</t>
  </si>
  <si>
    <t>3666M412</t>
  </si>
  <si>
    <t>3667M413</t>
  </si>
  <si>
    <t>HIGH NECK L/S DR</t>
  </si>
  <si>
    <t>3683B362ED5</t>
  </si>
  <si>
    <t>COCOON CARDI</t>
  </si>
  <si>
    <t>3684C660B</t>
  </si>
  <si>
    <t>SPLICED CARDI</t>
  </si>
  <si>
    <t>P6TS</t>
  </si>
  <si>
    <t>3684M139</t>
  </si>
  <si>
    <t>ZIP POCKET CARDI</t>
  </si>
  <si>
    <t>3712D899G</t>
  </si>
  <si>
    <t>CRO CONTRAST TOP</t>
  </si>
  <si>
    <t>3714C300GD2</t>
  </si>
  <si>
    <t>KNIT LOOK TOP</t>
  </si>
  <si>
    <t>3714C300HD2</t>
  </si>
  <si>
    <t>3714C786</t>
  </si>
  <si>
    <t>TIE UP TOP</t>
  </si>
  <si>
    <t>3756C090K</t>
  </si>
  <si>
    <t>M SPIRIT SKIRT</t>
  </si>
  <si>
    <t>3756C090L</t>
  </si>
  <si>
    <t>3756F297A</t>
  </si>
  <si>
    <t>PANNEL  SK</t>
  </si>
  <si>
    <t>3766F477</t>
  </si>
  <si>
    <t>KAFTAN LAYER DRESS</t>
  </si>
  <si>
    <t>3768M300</t>
  </si>
  <si>
    <t>COLD SHOULDER DRESS</t>
  </si>
  <si>
    <t>3768M300A</t>
  </si>
  <si>
    <t>3768M391</t>
  </si>
  <si>
    <t>3784C325BD4</t>
  </si>
  <si>
    <t>BASIC CARDI</t>
  </si>
  <si>
    <t>2739F826D4</t>
  </si>
  <si>
    <t>CLASSIC BUTTON PANT</t>
  </si>
  <si>
    <t>GAE</t>
  </si>
  <si>
    <t>315935476D37</t>
  </si>
  <si>
    <t>BSC MAXI SKIRT</t>
  </si>
  <si>
    <t>3714C833</t>
  </si>
  <si>
    <t>PRINT MESH TOP</t>
  </si>
  <si>
    <t>DFN</t>
  </si>
  <si>
    <t>3774H125B</t>
  </si>
  <si>
    <t>PRINT ZIP SHIRT</t>
  </si>
  <si>
    <t>SH&amp;BL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</si>
</sst>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0"/>
      <name val="Arial"/>
    </font>
    <font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9"/>
      <color theme="0"/>
      <name val="Arial"/>
      <family val="2"/>
    </font>
    <font>
      <b/>
      <sz val="9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sz val="11"/>
      <color theme="0"/>
      <name val="Arial"/>
      <family val="2"/>
    </font>
    <font>
      <b/>
      <sz val="11"/>
      <name val="Arial"/>
      <family val="2"/>
    </font>
    <font>
      <b/>
      <sz val="10"/>
      <color theme="0"/>
      <name val="Arial"/>
      <family val="2"/>
    </font>
    <font>
      <sz val="10"/>
      <color rgb="FF000000"/>
      <name val="Arial"/>
      <family val="2"/>
    </font>
    <font>
      <b/>
      <sz val="11"/>
      <color theme="1"/>
      <name val="Arial"/>
      <family val="2"/>
    </font>
    <font>
      <b/>
      <sz val="8"/>
      <name val="Arial"/>
      <family val="2"/>
    </font>
    <font>
      <b/>
      <sz val="8"/>
      <color theme="0"/>
      <name val="Arial"/>
      <family val="2"/>
    </font>
    <font>
      <b/>
      <sz val="8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57">
    <xf numFmtId="0" fontId="0" fillId="0" borderId="0" xfId="0"/>
    <xf numFmtId="0" fontId="3" fillId="0" borderId="0" xfId="0" applyFont="1"/>
    <xf numFmtId="0" fontId="3" fillId="2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/>
    <xf numFmtId="0" fontId="10" fillId="0" borderId="0" xfId="0" applyFont="1" applyAlignment="1">
      <alignment horizontal="center" vertical="top"/>
    </xf>
    <xf numFmtId="0" fontId="3" fillId="2" borderId="2" xfId="0" applyFont="1" applyFill="1" applyBorder="1" applyAlignment="1">
      <alignment horizontal="center" vertical="center"/>
    </xf>
    <xf numFmtId="0" fontId="3" fillId="0" borderId="3" xfId="0" applyFont="1" applyBorder="1"/>
    <xf numFmtId="0" fontId="3" fillId="0" borderId="3" xfId="0" applyFont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top"/>
    </xf>
    <xf numFmtId="0" fontId="11" fillId="3" borderId="5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left"/>
    </xf>
    <xf numFmtId="0" fontId="5" fillId="3" borderId="5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2" fillId="0" borderId="5" xfId="0" applyFont="1" applyBorder="1"/>
    <xf numFmtId="0" fontId="9" fillId="3" borderId="5" xfId="0" applyFont="1" applyFill="1" applyBorder="1" applyAlignment="1">
      <alignment horizontal="center" vertical="center" wrapText="1"/>
    </xf>
    <xf numFmtId="0" fontId="4" fillId="0" borderId="0" xfId="0" applyFont="1"/>
    <xf numFmtId="0" fontId="2" fillId="0" borderId="1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13" fillId="4" borderId="5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3" fillId="2" borderId="5" xfId="0" applyNumberFormat="1" applyFont="1" applyFill="1" applyBorder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  <xf numFmtId="0" fontId="15" fillId="3" borderId="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6" fillId="5" borderId="8" xfId="0" applyFont="1" applyFill="1" applyBorder="1" applyAlignment="1">
      <alignment horizontal="center" vertical="center" wrapText="1"/>
    </xf>
    <xf numFmtId="0" fontId="16" fillId="5" borderId="9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8" fillId="3" borderId="6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14" fillId="0" borderId="10" xfId="0" applyFont="1" applyBorder="1" applyAlignment="1">
      <alignment horizontal="center" vertical="center" wrapText="1"/>
    </xf>
    <xf numFmtId="0" fontId="16" fillId="5" borderId="10" xfId="0" applyFont="1" applyFill="1" applyBorder="1" applyAlignment="1">
      <alignment horizontal="center" vertical="center" wrapText="1"/>
    </xf>
    <xf numFmtId="0" fontId="3" fillId="0" borderId="5" xfId="0" applyFont="1" applyFill="1" applyBorder="1" applyAlignment="1">
      <alignment horizontal="center" vertical="center" wrapText="1"/>
    </xf>
  </cellXfs>
  <cellStyles count="2">
    <cellStyle name="Normal" xfId="0" builtinId="0"/>
    <cellStyle name="常规_Sheet1" xfId="1"/>
  </cellStyles>
  <dxfs count="1">
    <dxf>
      <font>
        <color theme="0"/>
      </font>
    </dxf>
  </dxfs>
  <tableStyles count="0" defaultTableStyle="TableStyleMedium9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file:///\\fs003\All%20Share\PACKING%20LIST\0%20picture%20file%20from%2013326\3315B280D6.jpg" TargetMode="External"/><Relationship Id="rId18" Type="http://schemas.openxmlformats.org/officeDocument/2006/relationships/image" Target="file:///\\fs003\All%20Share\PACKING%20LIST\0%20picture%20file%20from%2013326\3513D858R.jpg" TargetMode="External"/><Relationship Id="rId26" Type="http://schemas.openxmlformats.org/officeDocument/2006/relationships/image" Target="file:///\\fs003\All%20Share\PACKING%20LIST\0%20picture%20file%20from%2013326\3614C657D2.jpg" TargetMode="External"/><Relationship Id="rId39" Type="http://schemas.openxmlformats.org/officeDocument/2006/relationships/image" Target="file:///\\fs003\All%20Share\PACKING%20LIST\0%20picture%20file%20from%2013326\3714C300HD2.jpg" TargetMode="External"/><Relationship Id="rId3" Type="http://schemas.openxmlformats.org/officeDocument/2006/relationships/image" Target="file:///\\fs003\All%20Share\PACKING%20LIST\0%20picture%20file%20from%2013326\2656M088B.jpg" TargetMode="External"/><Relationship Id="rId21" Type="http://schemas.openxmlformats.org/officeDocument/2006/relationships/image" Target="file:///\\fs003\All%20Share\PACKING%20LIST\0%20picture%20file%20from%2013326\3561C611D2.jpg" TargetMode="External"/><Relationship Id="rId34" Type="http://schemas.openxmlformats.org/officeDocument/2006/relationships/image" Target="file:///\\fs003\All%20Share\PACKING%20LIST\0%20picture%20file%20from%2013326\3683B362ED5.jpg" TargetMode="External"/><Relationship Id="rId42" Type="http://schemas.openxmlformats.org/officeDocument/2006/relationships/image" Target="file:///\\fs003\All%20Share\PACKING%20LIST\0%20picture%20file%20from%2013326\3756C090L.jpg" TargetMode="External"/><Relationship Id="rId47" Type="http://schemas.openxmlformats.org/officeDocument/2006/relationships/image" Target="file:///\\fs003\All%20Share\PACKING%20LIST\0%20picture%20file%20from%2013326\3768M391.jpg" TargetMode="External"/><Relationship Id="rId50" Type="http://schemas.openxmlformats.org/officeDocument/2006/relationships/image" Target="file:///\\fs003\All%20Share\PACKING%20LIST\0%20picture%20file%20from%2013326\315935476D37.jpg" TargetMode="External"/><Relationship Id="rId7" Type="http://schemas.openxmlformats.org/officeDocument/2006/relationships/image" Target="file:///\\fs003\All%20Share\PACKING%20LIST\0%20picture%20file%20from%2013326\2738F225G.jpg" TargetMode="External"/><Relationship Id="rId12" Type="http://schemas.openxmlformats.org/officeDocument/2006/relationships/image" Target="file:///\\fs003\All%20Share\PACKING%20LIST\0%20picture%20file%20from%2013326\3185D633AD12.jpg" TargetMode="External"/><Relationship Id="rId17" Type="http://schemas.openxmlformats.org/officeDocument/2006/relationships/image" Target="file:///\\fs003\All%20Share\PACKING%20LIST\0%20picture%20file%20from%2013326\3513D858JD4.jpg" TargetMode="External"/><Relationship Id="rId25" Type="http://schemas.openxmlformats.org/officeDocument/2006/relationships/image" Target="file:///\\fs003\All%20Share\PACKING%20LIST\0%20picture%20file%20from%2013326\3612C813A.jpg" TargetMode="External"/><Relationship Id="rId33" Type="http://schemas.openxmlformats.org/officeDocument/2006/relationships/image" Target="file:///\\fs003\All%20Share\PACKING%20LIST\0%20picture%20file%20from%2013326\3667M413.jpg" TargetMode="External"/><Relationship Id="rId38" Type="http://schemas.openxmlformats.org/officeDocument/2006/relationships/image" Target="file:///\\fs003\All%20Share\PACKING%20LIST\0%20picture%20file%20from%2013326\3714C300GD2.jpg" TargetMode="External"/><Relationship Id="rId46" Type="http://schemas.openxmlformats.org/officeDocument/2006/relationships/image" Target="file:///\\fs003\All%20Share\PACKING%20LIST\0%20picture%20file%20from%2013326\3768M300A.jpg" TargetMode="External"/><Relationship Id="rId2" Type="http://schemas.openxmlformats.org/officeDocument/2006/relationships/image" Target="file:///\\fs003\All%20Share\PACKING%20LIST\0%20picture%20file%20from%2013326\2649M292.jpg" TargetMode="External"/><Relationship Id="rId16" Type="http://schemas.openxmlformats.org/officeDocument/2006/relationships/image" Target="file:///\\fs003\All%20Share\PACKING%20LIST\0%20picture%20file%20from%2013326\3511C469GD2.jpg" TargetMode="External"/><Relationship Id="rId20" Type="http://schemas.openxmlformats.org/officeDocument/2006/relationships/image" Target="file:///\\fs003\All%20Share\PACKING%20LIST\0%20picture%20file%20from%2013326\3549F021BD2.jpg" TargetMode="External"/><Relationship Id="rId29" Type="http://schemas.openxmlformats.org/officeDocument/2006/relationships/image" Target="file:///\\fs003\All%20Share\PACKING%20LIST\0%20picture%20file%20from%2013326\3656M088D4.jpg" TargetMode="External"/><Relationship Id="rId41" Type="http://schemas.openxmlformats.org/officeDocument/2006/relationships/image" Target="file:///\\fs003\All%20Share\PACKING%20LIST\0%20picture%20file%20from%2013326\3756C090K.jpg" TargetMode="External"/><Relationship Id="rId1" Type="http://schemas.openxmlformats.org/officeDocument/2006/relationships/image" Target="file:///\\fs003\All%20Share\PACKING%20LIST\0%20picture%20file%20from%2013326\2649M291.jpg" TargetMode="External"/><Relationship Id="rId6" Type="http://schemas.openxmlformats.org/officeDocument/2006/relationships/image" Target="file:///\\fs003\All%20Share\PACKING%20LIST\0%20picture%20file%20from%2013326\2738F225E.jpg" TargetMode="External"/><Relationship Id="rId11" Type="http://schemas.openxmlformats.org/officeDocument/2006/relationships/image" Target="file:///\\fs003\All%20Share\PACKING%20LIST\0%20picture%20file%20from%2013326\31581171EK.jpg" TargetMode="External"/><Relationship Id="rId24" Type="http://schemas.openxmlformats.org/officeDocument/2006/relationships/image" Target="file:///\\fs003\All%20Share\PACKING%20LIST\0%20picture%20file%20from%2013326\3612C813.jpg" TargetMode="External"/><Relationship Id="rId32" Type="http://schemas.openxmlformats.org/officeDocument/2006/relationships/image" Target="file:///\\fs003\All%20Share\PACKING%20LIST\0%20picture%20file%20from%2013326\3666M412.jpg" TargetMode="External"/><Relationship Id="rId37" Type="http://schemas.openxmlformats.org/officeDocument/2006/relationships/image" Target="file:///\\fs003\All%20Share\PACKING%20LIST\0%20picture%20file%20from%2013326\3712D899G.jpg" TargetMode="External"/><Relationship Id="rId40" Type="http://schemas.openxmlformats.org/officeDocument/2006/relationships/image" Target="file:///\\fs003\All%20Share\PACKING%20LIST\0%20picture%20file%20from%2013326\3714C786.jpg" TargetMode="External"/><Relationship Id="rId45" Type="http://schemas.openxmlformats.org/officeDocument/2006/relationships/image" Target="file:///\\fs003\All%20Share\PACKING%20LIST\0%20picture%20file%20from%2013326\3768M300.jpg" TargetMode="External"/><Relationship Id="rId5" Type="http://schemas.openxmlformats.org/officeDocument/2006/relationships/image" Target="file:///\\fs003\All%20Share\PACKING%20LIST\0%20picture%20file%20from%2013326\2738F225C.jpg" TargetMode="External"/><Relationship Id="rId15" Type="http://schemas.openxmlformats.org/officeDocument/2006/relationships/image" Target="file:///\\fs003\All%20Share\PACKING%20LIST\0%20picture%20file%20from%2013326\3511C469FD2.jpg" TargetMode="External"/><Relationship Id="rId23" Type="http://schemas.openxmlformats.org/officeDocument/2006/relationships/image" Target="file:///\\fs003\All%20Share\PACKING%20LIST\0%20picture%20file%20from%2013326\3612C773D3.jpg" TargetMode="External"/><Relationship Id="rId28" Type="http://schemas.openxmlformats.org/officeDocument/2006/relationships/image" Target="file:///\\fs003\All%20Share\PACKING%20LIST\0%20picture%20file%20from%2013326\3656M088A.jpg" TargetMode="External"/><Relationship Id="rId36" Type="http://schemas.openxmlformats.org/officeDocument/2006/relationships/image" Target="file:///\\fs003\All%20Share\PACKING%20LIST\0%20picture%20file%20from%2013326\3684M139.jpg" TargetMode="External"/><Relationship Id="rId49" Type="http://schemas.openxmlformats.org/officeDocument/2006/relationships/image" Target="file:///\\fs003\All%20Share\PACKING%20LIST\0%20picture%20file%20from%2013326\2739F826D4.jpg" TargetMode="External"/><Relationship Id="rId10" Type="http://schemas.openxmlformats.org/officeDocument/2006/relationships/image" Target="file:///\\fs003\All%20Share\PACKING%20LIST\0%20picture%20file%20from%2013326\31581171EA.jpg" TargetMode="External"/><Relationship Id="rId19" Type="http://schemas.openxmlformats.org/officeDocument/2006/relationships/image" Target="file:///\\fs003\All%20Share\PACKING%20LIST\0%20picture%20file%20from%2013326\3539F150A.jpg" TargetMode="External"/><Relationship Id="rId31" Type="http://schemas.openxmlformats.org/officeDocument/2006/relationships/image" Target="file:///\\fs003\All%20Share\PACKING%20LIST\0%20picture%20file%20from%2013326\3666M411.jpg" TargetMode="External"/><Relationship Id="rId44" Type="http://schemas.openxmlformats.org/officeDocument/2006/relationships/image" Target="file:///\\fs003\All%20Share\PACKING%20LIST\0%20picture%20file%20from%2013326\3766F477.jpg" TargetMode="External"/><Relationship Id="rId52" Type="http://schemas.openxmlformats.org/officeDocument/2006/relationships/image" Target="file:///\\fs003\All%20Share\PACKING%20LIST\0%20picture%20file%20from%2013326\3774H125B.jpg" TargetMode="External"/><Relationship Id="rId4" Type="http://schemas.openxmlformats.org/officeDocument/2006/relationships/image" Target="file:///\\fs003\All%20Share\PACKING%20LIST\0%20picture%20file%20from%2013326\2738F225B.jpg" TargetMode="External"/><Relationship Id="rId9" Type="http://schemas.openxmlformats.org/officeDocument/2006/relationships/image" Target="file:///\\fs003\All%20Share\PACKING%20LIST\0%20picture%20file%20from%2013326\3116B212D23.jpg" TargetMode="External"/><Relationship Id="rId14" Type="http://schemas.openxmlformats.org/officeDocument/2006/relationships/image" Target="file:///\\fs003\All%20Share\PACKING%20LIST\0%20picture%20file%20from%2013326\3315B280D8.jpg" TargetMode="External"/><Relationship Id="rId22" Type="http://schemas.openxmlformats.org/officeDocument/2006/relationships/image" Target="file:///\\fs003\All%20Share\PACKING%20LIST\0%20picture%20file%20from%2013326\3584C362D4.jpg" TargetMode="External"/><Relationship Id="rId27" Type="http://schemas.openxmlformats.org/officeDocument/2006/relationships/image" Target="file:///\\fs003\All%20Share\PACKING%20LIST\0%20picture%20file%20from%2013326\3614C757.jpg" TargetMode="External"/><Relationship Id="rId30" Type="http://schemas.openxmlformats.org/officeDocument/2006/relationships/image" Target="file:///\\fs003\All%20Share\PACKING%20LIST\0%20picture%20file%20from%2013326\3666M313.jpg" TargetMode="External"/><Relationship Id="rId35" Type="http://schemas.openxmlformats.org/officeDocument/2006/relationships/image" Target="file:///\\fs003\All%20Share\PACKING%20LIST\0%20picture%20file%20from%2013326\3684C660B.jpg" TargetMode="External"/><Relationship Id="rId43" Type="http://schemas.openxmlformats.org/officeDocument/2006/relationships/image" Target="file:///\\fs003\All%20Share\PACKING%20LIST\0%20picture%20file%20from%2013326\3756F297A.jpg" TargetMode="External"/><Relationship Id="rId48" Type="http://schemas.openxmlformats.org/officeDocument/2006/relationships/image" Target="file:///\\fs003\All%20Share\PACKING%20LIST\0%20picture%20file%20from%2013326\3784C325BD4.jpg" TargetMode="External"/><Relationship Id="rId8" Type="http://schemas.openxmlformats.org/officeDocument/2006/relationships/image" Target="file:///\\fs003\All%20Share\PACKING%20LIST\0%20picture%20file%20from%2013326\31151107AD7.jpg" TargetMode="External"/><Relationship Id="rId51" Type="http://schemas.openxmlformats.org/officeDocument/2006/relationships/image" Target="file:///\\fs003\All%20Share\PACKING%20LIST\0%20picture%20file%20from%2013326\3714C833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0</xdr:colOff>
          <xdr:row>1</xdr:row>
          <xdr:rowOff>19050</xdr:rowOff>
        </xdr:from>
        <xdr:to>
          <xdr:col>34</xdr:col>
          <xdr:colOff>314325</xdr:colOff>
          <xdr:row>2</xdr:row>
          <xdr:rowOff>219075</xdr:rowOff>
        </xdr:to>
        <xdr:sp macro="" textlink="">
          <xdr:nvSpPr>
            <xdr:cNvPr id="5884" name="Button 764" hidden="1">
              <a:extLst>
                <a:ext uri="{63B3BB69-23CF-44E3-9099-C40C66FF867C}">
                  <a14:compatExt spid="_x0000_s5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19050</xdr:colOff>
          <xdr:row>4</xdr:row>
          <xdr:rowOff>9525</xdr:rowOff>
        </xdr:from>
        <xdr:to>
          <xdr:col>34</xdr:col>
          <xdr:colOff>333375</xdr:colOff>
          <xdr:row>5</xdr:row>
          <xdr:rowOff>257175</xdr:rowOff>
        </xdr:to>
        <xdr:sp macro="" textlink="">
          <xdr:nvSpPr>
            <xdr:cNvPr id="5886" name="Button 766" hidden="1">
              <a:extLst>
                <a:ext uri="{63B3BB69-23CF-44E3-9099-C40C66FF867C}">
                  <a14:compatExt spid="_x0000_s5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Pic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19050</xdr:colOff>
          <xdr:row>7</xdr:row>
          <xdr:rowOff>19050</xdr:rowOff>
        </xdr:from>
        <xdr:to>
          <xdr:col>34</xdr:col>
          <xdr:colOff>371475</xdr:colOff>
          <xdr:row>8</xdr:row>
          <xdr:rowOff>266700</xdr:rowOff>
        </xdr:to>
        <xdr:sp macro="" textlink="">
          <xdr:nvSpPr>
            <xdr:cNvPr id="5887" name="Button 767" hidden="1">
              <a:extLst>
                <a:ext uri="{63B3BB69-23CF-44E3-9099-C40C66FF867C}">
                  <a14:compatExt spid="_x0000_s5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19050</xdr:colOff>
          <xdr:row>10</xdr:row>
          <xdr:rowOff>19050</xdr:rowOff>
        </xdr:from>
        <xdr:to>
          <xdr:col>34</xdr:col>
          <xdr:colOff>371475</xdr:colOff>
          <xdr:row>11</xdr:row>
          <xdr:rowOff>266700</xdr:rowOff>
        </xdr:to>
        <xdr:sp macro="" textlink="">
          <xdr:nvSpPr>
            <xdr:cNvPr id="5888" name="Button 768" hidden="1">
              <a:extLst>
                <a:ext uri="{63B3BB69-23CF-44E3-9099-C40C66FF867C}">
                  <a14:compatExt spid="_x0000_s5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SOH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12700</xdr:colOff>
      <xdr:row>3</xdr:row>
      <xdr:rowOff>12700</xdr:rowOff>
    </xdr:from>
    <xdr:to>
      <xdr:col>5</xdr:col>
      <xdr:colOff>615950</xdr:colOff>
      <xdr:row>5</xdr:row>
      <xdr:rowOff>266700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527675" y="91757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6</xdr:row>
      <xdr:rowOff>12700</xdr:rowOff>
    </xdr:from>
    <xdr:to>
      <xdr:col>5</xdr:col>
      <xdr:colOff>615950</xdr:colOff>
      <xdr:row>8</xdr:row>
      <xdr:rowOff>266700</xdr:rowOff>
    </xdr:to>
    <xdr:pic>
      <xdr:nvPicPr>
        <xdr:cNvPr id="3" name="Picture 2"/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527675" y="177482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9</xdr:row>
      <xdr:rowOff>12700</xdr:rowOff>
    </xdr:from>
    <xdr:to>
      <xdr:col>5</xdr:col>
      <xdr:colOff>615950</xdr:colOff>
      <xdr:row>11</xdr:row>
      <xdr:rowOff>266700</xdr:rowOff>
    </xdr:to>
    <xdr:pic>
      <xdr:nvPicPr>
        <xdr:cNvPr id="4" name="Picture 3"/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527675" y="263207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12</xdr:row>
      <xdr:rowOff>12700</xdr:rowOff>
    </xdr:from>
    <xdr:to>
      <xdr:col>5</xdr:col>
      <xdr:colOff>615950</xdr:colOff>
      <xdr:row>14</xdr:row>
      <xdr:rowOff>266700</xdr:rowOff>
    </xdr:to>
    <xdr:pic>
      <xdr:nvPicPr>
        <xdr:cNvPr id="5" name="Picture 4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527675" y="348932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15</xdr:row>
      <xdr:rowOff>12700</xdr:rowOff>
    </xdr:from>
    <xdr:to>
      <xdr:col>5</xdr:col>
      <xdr:colOff>615950</xdr:colOff>
      <xdr:row>17</xdr:row>
      <xdr:rowOff>266700</xdr:rowOff>
    </xdr:to>
    <xdr:pic>
      <xdr:nvPicPr>
        <xdr:cNvPr id="6" name="Picture 5"/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5527675" y="434657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18</xdr:row>
      <xdr:rowOff>12700</xdr:rowOff>
    </xdr:from>
    <xdr:to>
      <xdr:col>5</xdr:col>
      <xdr:colOff>615950</xdr:colOff>
      <xdr:row>20</xdr:row>
      <xdr:rowOff>266700</xdr:rowOff>
    </xdr:to>
    <xdr:pic>
      <xdr:nvPicPr>
        <xdr:cNvPr id="7" name="Picture 6"/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527675" y="520382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21</xdr:row>
      <xdr:rowOff>12700</xdr:rowOff>
    </xdr:from>
    <xdr:to>
      <xdr:col>5</xdr:col>
      <xdr:colOff>615950</xdr:colOff>
      <xdr:row>23</xdr:row>
      <xdr:rowOff>266700</xdr:rowOff>
    </xdr:to>
    <xdr:pic>
      <xdr:nvPicPr>
        <xdr:cNvPr id="8" name="Picture 7"/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527675" y="606107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24</xdr:row>
      <xdr:rowOff>12700</xdr:rowOff>
    </xdr:from>
    <xdr:to>
      <xdr:col>5</xdr:col>
      <xdr:colOff>615950</xdr:colOff>
      <xdr:row>26</xdr:row>
      <xdr:rowOff>266700</xdr:rowOff>
    </xdr:to>
    <xdr:pic>
      <xdr:nvPicPr>
        <xdr:cNvPr id="9" name="Picture 8"/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527675" y="691832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27</xdr:row>
      <xdr:rowOff>12700</xdr:rowOff>
    </xdr:from>
    <xdr:to>
      <xdr:col>5</xdr:col>
      <xdr:colOff>615950</xdr:colOff>
      <xdr:row>29</xdr:row>
      <xdr:rowOff>266700</xdr:rowOff>
    </xdr:to>
    <xdr:pic>
      <xdr:nvPicPr>
        <xdr:cNvPr id="10" name="Picture 9"/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5527675" y="777557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30</xdr:row>
      <xdr:rowOff>12700</xdr:rowOff>
    </xdr:from>
    <xdr:to>
      <xdr:col>5</xdr:col>
      <xdr:colOff>615950</xdr:colOff>
      <xdr:row>32</xdr:row>
      <xdr:rowOff>266700</xdr:rowOff>
    </xdr:to>
    <xdr:pic>
      <xdr:nvPicPr>
        <xdr:cNvPr id="11" name="Picture 10"/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527675" y="863282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33</xdr:row>
      <xdr:rowOff>12700</xdr:rowOff>
    </xdr:from>
    <xdr:to>
      <xdr:col>5</xdr:col>
      <xdr:colOff>615950</xdr:colOff>
      <xdr:row>35</xdr:row>
      <xdr:rowOff>266700</xdr:rowOff>
    </xdr:to>
    <xdr:pic>
      <xdr:nvPicPr>
        <xdr:cNvPr id="12" name="Picture 11"/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527675" y="949007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36</xdr:row>
      <xdr:rowOff>12700</xdr:rowOff>
    </xdr:from>
    <xdr:to>
      <xdr:col>5</xdr:col>
      <xdr:colOff>615950</xdr:colOff>
      <xdr:row>38</xdr:row>
      <xdr:rowOff>266700</xdr:rowOff>
    </xdr:to>
    <xdr:pic>
      <xdr:nvPicPr>
        <xdr:cNvPr id="13" name="Picture 12"/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527675" y="1034732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39</xdr:row>
      <xdr:rowOff>12700</xdr:rowOff>
    </xdr:from>
    <xdr:to>
      <xdr:col>5</xdr:col>
      <xdr:colOff>615950</xdr:colOff>
      <xdr:row>41</xdr:row>
      <xdr:rowOff>266700</xdr:rowOff>
    </xdr:to>
    <xdr:pic>
      <xdr:nvPicPr>
        <xdr:cNvPr id="14" name="Picture 13"/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527675" y="1120457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42</xdr:row>
      <xdr:rowOff>12700</xdr:rowOff>
    </xdr:from>
    <xdr:to>
      <xdr:col>5</xdr:col>
      <xdr:colOff>615950</xdr:colOff>
      <xdr:row>44</xdr:row>
      <xdr:rowOff>266700</xdr:rowOff>
    </xdr:to>
    <xdr:pic>
      <xdr:nvPicPr>
        <xdr:cNvPr id="15" name="Picture 14"/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527675" y="1206182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45</xdr:row>
      <xdr:rowOff>12700</xdr:rowOff>
    </xdr:from>
    <xdr:to>
      <xdr:col>5</xdr:col>
      <xdr:colOff>615950</xdr:colOff>
      <xdr:row>47</xdr:row>
      <xdr:rowOff>266700</xdr:rowOff>
    </xdr:to>
    <xdr:pic>
      <xdr:nvPicPr>
        <xdr:cNvPr id="16" name="Picture 15"/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527675" y="1291907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48</xdr:row>
      <xdr:rowOff>12700</xdr:rowOff>
    </xdr:from>
    <xdr:to>
      <xdr:col>5</xdr:col>
      <xdr:colOff>615950</xdr:colOff>
      <xdr:row>50</xdr:row>
      <xdr:rowOff>266700</xdr:rowOff>
    </xdr:to>
    <xdr:pic>
      <xdr:nvPicPr>
        <xdr:cNvPr id="17" name="Picture 16"/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527675" y="1377632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51</xdr:row>
      <xdr:rowOff>12700</xdr:rowOff>
    </xdr:from>
    <xdr:to>
      <xdr:col>5</xdr:col>
      <xdr:colOff>615950</xdr:colOff>
      <xdr:row>53</xdr:row>
      <xdr:rowOff>266700</xdr:rowOff>
    </xdr:to>
    <xdr:pic>
      <xdr:nvPicPr>
        <xdr:cNvPr id="18" name="Picture 17"/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5527675" y="1463357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54</xdr:row>
      <xdr:rowOff>12700</xdr:rowOff>
    </xdr:from>
    <xdr:to>
      <xdr:col>5</xdr:col>
      <xdr:colOff>615950</xdr:colOff>
      <xdr:row>56</xdr:row>
      <xdr:rowOff>266700</xdr:rowOff>
    </xdr:to>
    <xdr:pic>
      <xdr:nvPicPr>
        <xdr:cNvPr id="19" name="Picture 18"/>
        <xdr:cNvPicPr>
          <a:picLocks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5527675" y="1549082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57</xdr:row>
      <xdr:rowOff>12700</xdr:rowOff>
    </xdr:from>
    <xdr:to>
      <xdr:col>5</xdr:col>
      <xdr:colOff>615950</xdr:colOff>
      <xdr:row>59</xdr:row>
      <xdr:rowOff>266700</xdr:rowOff>
    </xdr:to>
    <xdr:pic>
      <xdr:nvPicPr>
        <xdr:cNvPr id="20" name="Picture 19"/>
        <xdr:cNvPicPr>
          <a:picLocks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5527675" y="1634807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60</xdr:row>
      <xdr:rowOff>12700</xdr:rowOff>
    </xdr:from>
    <xdr:to>
      <xdr:col>5</xdr:col>
      <xdr:colOff>615950</xdr:colOff>
      <xdr:row>62</xdr:row>
      <xdr:rowOff>266700</xdr:rowOff>
    </xdr:to>
    <xdr:pic>
      <xdr:nvPicPr>
        <xdr:cNvPr id="21" name="Picture 20"/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527675" y="1720532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63</xdr:row>
      <xdr:rowOff>12700</xdr:rowOff>
    </xdr:from>
    <xdr:to>
      <xdr:col>5</xdr:col>
      <xdr:colOff>615950</xdr:colOff>
      <xdr:row>65</xdr:row>
      <xdr:rowOff>266700</xdr:rowOff>
    </xdr:to>
    <xdr:pic>
      <xdr:nvPicPr>
        <xdr:cNvPr id="22" name="Picture 21"/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527675" y="1806257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66</xdr:row>
      <xdr:rowOff>12700</xdr:rowOff>
    </xdr:from>
    <xdr:to>
      <xdr:col>5</xdr:col>
      <xdr:colOff>615950</xdr:colOff>
      <xdr:row>68</xdr:row>
      <xdr:rowOff>266700</xdr:rowOff>
    </xdr:to>
    <xdr:pic>
      <xdr:nvPicPr>
        <xdr:cNvPr id="23" name="Picture 22"/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527675" y="1891982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69</xdr:row>
      <xdr:rowOff>12700</xdr:rowOff>
    </xdr:from>
    <xdr:to>
      <xdr:col>5</xdr:col>
      <xdr:colOff>615950</xdr:colOff>
      <xdr:row>71</xdr:row>
      <xdr:rowOff>266700</xdr:rowOff>
    </xdr:to>
    <xdr:pic>
      <xdr:nvPicPr>
        <xdr:cNvPr id="24" name="Picture 23"/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5527675" y="1977707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72</xdr:row>
      <xdr:rowOff>12700</xdr:rowOff>
    </xdr:from>
    <xdr:to>
      <xdr:col>5</xdr:col>
      <xdr:colOff>615950</xdr:colOff>
      <xdr:row>74</xdr:row>
      <xdr:rowOff>266700</xdr:rowOff>
    </xdr:to>
    <xdr:pic>
      <xdr:nvPicPr>
        <xdr:cNvPr id="25" name="Picture 24"/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527675" y="2063432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75</xdr:row>
      <xdr:rowOff>12700</xdr:rowOff>
    </xdr:from>
    <xdr:to>
      <xdr:col>5</xdr:col>
      <xdr:colOff>615950</xdr:colOff>
      <xdr:row>77</xdr:row>
      <xdr:rowOff>266700</xdr:rowOff>
    </xdr:to>
    <xdr:pic>
      <xdr:nvPicPr>
        <xdr:cNvPr id="26" name="Picture 25"/>
        <xdr:cNvPicPr>
          <a:picLocks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5527675" y="2149157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78</xdr:row>
      <xdr:rowOff>12700</xdr:rowOff>
    </xdr:from>
    <xdr:to>
      <xdr:col>5</xdr:col>
      <xdr:colOff>615950</xdr:colOff>
      <xdr:row>80</xdr:row>
      <xdr:rowOff>266700</xdr:rowOff>
    </xdr:to>
    <xdr:pic>
      <xdr:nvPicPr>
        <xdr:cNvPr id="27" name="Picture 26"/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527675" y="2234882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81</xdr:row>
      <xdr:rowOff>12700</xdr:rowOff>
    </xdr:from>
    <xdr:to>
      <xdr:col>5</xdr:col>
      <xdr:colOff>615950</xdr:colOff>
      <xdr:row>83</xdr:row>
      <xdr:rowOff>266700</xdr:rowOff>
    </xdr:to>
    <xdr:pic>
      <xdr:nvPicPr>
        <xdr:cNvPr id="28" name="Picture 27"/>
        <xdr:cNvPicPr>
          <a:picLocks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5527675" y="2320607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84</xdr:row>
      <xdr:rowOff>12700</xdr:rowOff>
    </xdr:from>
    <xdr:to>
      <xdr:col>5</xdr:col>
      <xdr:colOff>615950</xdr:colOff>
      <xdr:row>86</xdr:row>
      <xdr:rowOff>266700</xdr:rowOff>
    </xdr:to>
    <xdr:pic>
      <xdr:nvPicPr>
        <xdr:cNvPr id="29" name="Picture 28"/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527675" y="2406332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87</xdr:row>
      <xdr:rowOff>12700</xdr:rowOff>
    </xdr:from>
    <xdr:to>
      <xdr:col>5</xdr:col>
      <xdr:colOff>615950</xdr:colOff>
      <xdr:row>89</xdr:row>
      <xdr:rowOff>266700</xdr:rowOff>
    </xdr:to>
    <xdr:pic>
      <xdr:nvPicPr>
        <xdr:cNvPr id="30" name="Picture 29"/>
        <xdr:cNvPicPr>
          <a:picLocks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5527675" y="2492057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90</xdr:row>
      <xdr:rowOff>12700</xdr:rowOff>
    </xdr:from>
    <xdr:to>
      <xdr:col>5</xdr:col>
      <xdr:colOff>615950</xdr:colOff>
      <xdr:row>92</xdr:row>
      <xdr:rowOff>266700</xdr:rowOff>
    </xdr:to>
    <xdr:pic>
      <xdr:nvPicPr>
        <xdr:cNvPr id="31" name="Picture 30"/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527675" y="2577782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93</xdr:row>
      <xdr:rowOff>12700</xdr:rowOff>
    </xdr:from>
    <xdr:to>
      <xdr:col>5</xdr:col>
      <xdr:colOff>615950</xdr:colOff>
      <xdr:row>95</xdr:row>
      <xdr:rowOff>266700</xdr:rowOff>
    </xdr:to>
    <xdr:pic>
      <xdr:nvPicPr>
        <xdr:cNvPr id="5856" name="Picture 5855"/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5527675" y="2663507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96</xdr:row>
      <xdr:rowOff>12700</xdr:rowOff>
    </xdr:from>
    <xdr:to>
      <xdr:col>5</xdr:col>
      <xdr:colOff>615950</xdr:colOff>
      <xdr:row>98</xdr:row>
      <xdr:rowOff>266700</xdr:rowOff>
    </xdr:to>
    <xdr:pic>
      <xdr:nvPicPr>
        <xdr:cNvPr id="5857" name="Picture 5856"/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527675" y="2749232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99</xdr:row>
      <xdr:rowOff>12700</xdr:rowOff>
    </xdr:from>
    <xdr:to>
      <xdr:col>5</xdr:col>
      <xdr:colOff>615950</xdr:colOff>
      <xdr:row>101</xdr:row>
      <xdr:rowOff>266700</xdr:rowOff>
    </xdr:to>
    <xdr:pic>
      <xdr:nvPicPr>
        <xdr:cNvPr id="5858" name="Picture 5857"/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527675" y="2834957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102</xdr:row>
      <xdr:rowOff>12700</xdr:rowOff>
    </xdr:from>
    <xdr:to>
      <xdr:col>5</xdr:col>
      <xdr:colOff>615950</xdr:colOff>
      <xdr:row>104</xdr:row>
      <xdr:rowOff>266700</xdr:rowOff>
    </xdr:to>
    <xdr:pic>
      <xdr:nvPicPr>
        <xdr:cNvPr id="5859" name="Picture 5858"/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527675" y="2920682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105</xdr:row>
      <xdr:rowOff>12700</xdr:rowOff>
    </xdr:from>
    <xdr:to>
      <xdr:col>5</xdr:col>
      <xdr:colOff>615950</xdr:colOff>
      <xdr:row>107</xdr:row>
      <xdr:rowOff>266700</xdr:rowOff>
    </xdr:to>
    <xdr:pic>
      <xdr:nvPicPr>
        <xdr:cNvPr id="5860" name="Picture 5859"/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5527675" y="3006407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108</xdr:row>
      <xdr:rowOff>12700</xdr:rowOff>
    </xdr:from>
    <xdr:to>
      <xdr:col>5</xdr:col>
      <xdr:colOff>615950</xdr:colOff>
      <xdr:row>110</xdr:row>
      <xdr:rowOff>266700</xdr:rowOff>
    </xdr:to>
    <xdr:pic>
      <xdr:nvPicPr>
        <xdr:cNvPr id="5861" name="Picture 5860"/>
        <xdr:cNvPicPr>
          <a:picLocks/>
        </xdr:cNvPicPr>
      </xdr:nvPicPr>
      <xdr:blipFill>
        <a:blip xmlns:r="http://schemas.openxmlformats.org/officeDocument/2006/relationships" r:link="rId36"/>
        <a:stretch>
          <a:fillRect/>
        </a:stretch>
      </xdr:blipFill>
      <xdr:spPr>
        <a:xfrm>
          <a:off x="5527675" y="3092132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111</xdr:row>
      <xdr:rowOff>12700</xdr:rowOff>
    </xdr:from>
    <xdr:to>
      <xdr:col>5</xdr:col>
      <xdr:colOff>615950</xdr:colOff>
      <xdr:row>113</xdr:row>
      <xdr:rowOff>266700</xdr:rowOff>
    </xdr:to>
    <xdr:pic>
      <xdr:nvPicPr>
        <xdr:cNvPr id="5862" name="Picture 5861"/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527675" y="3177857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114</xdr:row>
      <xdr:rowOff>12700</xdr:rowOff>
    </xdr:from>
    <xdr:to>
      <xdr:col>5</xdr:col>
      <xdr:colOff>615950</xdr:colOff>
      <xdr:row>116</xdr:row>
      <xdr:rowOff>266700</xdr:rowOff>
    </xdr:to>
    <xdr:pic>
      <xdr:nvPicPr>
        <xdr:cNvPr id="5863" name="Picture 5862"/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527675" y="3263582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117</xdr:row>
      <xdr:rowOff>12700</xdr:rowOff>
    </xdr:from>
    <xdr:to>
      <xdr:col>5</xdr:col>
      <xdr:colOff>615950</xdr:colOff>
      <xdr:row>119</xdr:row>
      <xdr:rowOff>266700</xdr:rowOff>
    </xdr:to>
    <xdr:pic>
      <xdr:nvPicPr>
        <xdr:cNvPr id="5864" name="Picture 5863"/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5527675" y="3349307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120</xdr:row>
      <xdr:rowOff>12700</xdr:rowOff>
    </xdr:from>
    <xdr:to>
      <xdr:col>5</xdr:col>
      <xdr:colOff>615950</xdr:colOff>
      <xdr:row>122</xdr:row>
      <xdr:rowOff>266700</xdr:rowOff>
    </xdr:to>
    <xdr:pic>
      <xdr:nvPicPr>
        <xdr:cNvPr id="5865" name="Picture 5864"/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527675" y="3435032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123</xdr:row>
      <xdr:rowOff>12700</xdr:rowOff>
    </xdr:from>
    <xdr:to>
      <xdr:col>5</xdr:col>
      <xdr:colOff>615950</xdr:colOff>
      <xdr:row>125</xdr:row>
      <xdr:rowOff>266700</xdr:rowOff>
    </xdr:to>
    <xdr:pic>
      <xdr:nvPicPr>
        <xdr:cNvPr id="5866" name="Picture 5865"/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527675" y="3520757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126</xdr:row>
      <xdr:rowOff>12700</xdr:rowOff>
    </xdr:from>
    <xdr:to>
      <xdr:col>5</xdr:col>
      <xdr:colOff>615950</xdr:colOff>
      <xdr:row>128</xdr:row>
      <xdr:rowOff>266700</xdr:rowOff>
    </xdr:to>
    <xdr:pic>
      <xdr:nvPicPr>
        <xdr:cNvPr id="5867" name="Picture 5866"/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527675" y="3606482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129</xdr:row>
      <xdr:rowOff>12700</xdr:rowOff>
    </xdr:from>
    <xdr:to>
      <xdr:col>5</xdr:col>
      <xdr:colOff>615950</xdr:colOff>
      <xdr:row>131</xdr:row>
      <xdr:rowOff>266700</xdr:rowOff>
    </xdr:to>
    <xdr:pic>
      <xdr:nvPicPr>
        <xdr:cNvPr id="5868" name="Picture 5867"/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5527675" y="3692207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132</xdr:row>
      <xdr:rowOff>12700</xdr:rowOff>
    </xdr:from>
    <xdr:to>
      <xdr:col>5</xdr:col>
      <xdr:colOff>615950</xdr:colOff>
      <xdr:row>134</xdr:row>
      <xdr:rowOff>266700</xdr:rowOff>
    </xdr:to>
    <xdr:pic>
      <xdr:nvPicPr>
        <xdr:cNvPr id="5869" name="Picture 5868"/>
        <xdr:cNvPicPr>
          <a:picLocks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5527675" y="3777932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135</xdr:row>
      <xdr:rowOff>12700</xdr:rowOff>
    </xdr:from>
    <xdr:to>
      <xdr:col>5</xdr:col>
      <xdr:colOff>615950</xdr:colOff>
      <xdr:row>137</xdr:row>
      <xdr:rowOff>266700</xdr:rowOff>
    </xdr:to>
    <xdr:pic>
      <xdr:nvPicPr>
        <xdr:cNvPr id="5870" name="Picture 5869"/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527675" y="3863657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138</xdr:row>
      <xdr:rowOff>12700</xdr:rowOff>
    </xdr:from>
    <xdr:to>
      <xdr:col>5</xdr:col>
      <xdr:colOff>615950</xdr:colOff>
      <xdr:row>140</xdr:row>
      <xdr:rowOff>266700</xdr:rowOff>
    </xdr:to>
    <xdr:pic>
      <xdr:nvPicPr>
        <xdr:cNvPr id="5871" name="Picture 5870"/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527675" y="3949382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141</xdr:row>
      <xdr:rowOff>12700</xdr:rowOff>
    </xdr:from>
    <xdr:to>
      <xdr:col>5</xdr:col>
      <xdr:colOff>615950</xdr:colOff>
      <xdr:row>143</xdr:row>
      <xdr:rowOff>266700</xdr:rowOff>
    </xdr:to>
    <xdr:pic>
      <xdr:nvPicPr>
        <xdr:cNvPr id="5872" name="Picture 5871"/>
        <xdr:cNvPicPr>
          <a:picLocks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5527675" y="4035107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144</xdr:row>
      <xdr:rowOff>12700</xdr:rowOff>
    </xdr:from>
    <xdr:to>
      <xdr:col>5</xdr:col>
      <xdr:colOff>615950</xdr:colOff>
      <xdr:row>146</xdr:row>
      <xdr:rowOff>266700</xdr:rowOff>
    </xdr:to>
    <xdr:pic>
      <xdr:nvPicPr>
        <xdr:cNvPr id="5873" name="Picture 5872"/>
        <xdr:cNvPicPr>
          <a:picLocks/>
        </xdr:cNvPicPr>
      </xdr:nvPicPr>
      <xdr:blipFill>
        <a:blip xmlns:r="http://schemas.openxmlformats.org/officeDocument/2006/relationships" r:link="rId48"/>
        <a:stretch>
          <a:fillRect/>
        </a:stretch>
      </xdr:blipFill>
      <xdr:spPr>
        <a:xfrm>
          <a:off x="5527675" y="4120832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147</xdr:row>
      <xdr:rowOff>12700</xdr:rowOff>
    </xdr:from>
    <xdr:to>
      <xdr:col>5</xdr:col>
      <xdr:colOff>615950</xdr:colOff>
      <xdr:row>149</xdr:row>
      <xdr:rowOff>266700</xdr:rowOff>
    </xdr:to>
    <xdr:pic>
      <xdr:nvPicPr>
        <xdr:cNvPr id="5874" name="Picture 5873"/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527675" y="4206557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150</xdr:row>
      <xdr:rowOff>12700</xdr:rowOff>
    </xdr:from>
    <xdr:to>
      <xdr:col>5</xdr:col>
      <xdr:colOff>615950</xdr:colOff>
      <xdr:row>152</xdr:row>
      <xdr:rowOff>266700</xdr:rowOff>
    </xdr:to>
    <xdr:pic>
      <xdr:nvPicPr>
        <xdr:cNvPr id="5875" name="Picture 5874"/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527675" y="4292282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153</xdr:row>
      <xdr:rowOff>12700</xdr:rowOff>
    </xdr:from>
    <xdr:to>
      <xdr:col>5</xdr:col>
      <xdr:colOff>615950</xdr:colOff>
      <xdr:row>155</xdr:row>
      <xdr:rowOff>266700</xdr:rowOff>
    </xdr:to>
    <xdr:pic>
      <xdr:nvPicPr>
        <xdr:cNvPr id="5876" name="Picture 5875"/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527675" y="43780075"/>
          <a:ext cx="603250" cy="825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</xdr:colOff>
      <xdr:row>156</xdr:row>
      <xdr:rowOff>12700</xdr:rowOff>
    </xdr:from>
    <xdr:to>
      <xdr:col>5</xdr:col>
      <xdr:colOff>615950</xdr:colOff>
      <xdr:row>158</xdr:row>
      <xdr:rowOff>266700</xdr:rowOff>
    </xdr:to>
    <xdr:pic>
      <xdr:nvPicPr>
        <xdr:cNvPr id="5877" name="Picture 5876"/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527675" y="44637325"/>
          <a:ext cx="603250" cy="8255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db002 CherriePortal" connectionId="1" autoFormatId="16" applyNumberFormats="0" applyBorderFormats="0" applyFontFormats="0" applyPatternFormats="0" applyAlignmentFormats="0" applyWidthHeightFormats="0">
  <queryTableRefresh nextId="15">
    <queryTableFields count="11">
      <queryTableField id="1" name="Style" tableColumnId="1"/>
      <queryTableField id="2" name="Description" tableColumnId="2"/>
      <queryTableField id="3" name="PIType" tableColumnId="3"/>
      <queryTableField id="4" name="Category" tableColumnId="4"/>
      <queryTableField id="5" name="UnitRRP" tableColumnId="5"/>
      <queryTableField id="7" name="UnitCP" tableColumnId="7"/>
      <queryTableField id="8" name="Theme" tableColumnId="6"/>
      <queryTableField id="11" name="Place" tableColumnId="10"/>
      <queryTableField id="12" name="Supplier" tableColumnId="8"/>
      <queryTableField id="13" name="em" tableColumnId="9"/>
      <queryTableField id="14" name="SGR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db002_CherriePortal" displayName="Table_db002_CherriePortal" ref="A1:K53" tableType="queryTable" totalsRowShown="0">
  <autoFilter ref="A1:K53"/>
  <tableColumns count="11">
    <tableColumn id="1" uniqueName="1" name="Style" queryTableFieldId="1"/>
    <tableColumn id="2" uniqueName="2" name="Description" queryTableFieldId="2"/>
    <tableColumn id="3" uniqueName="3" name="PIType" queryTableFieldId="3"/>
    <tableColumn id="4" uniqueName="4" name="Category" queryTableFieldId="4"/>
    <tableColumn id="5" uniqueName="5" name="UnitRRP" queryTableFieldId="5"/>
    <tableColumn id="7" uniqueName="7" name="UnitCP" queryTableFieldId="7"/>
    <tableColumn id="6" uniqueName="6" name="Theme" queryTableFieldId="8"/>
    <tableColumn id="10" uniqueName="10" name="Place" queryTableFieldId="11"/>
    <tableColumn id="8" uniqueName="8" name="Supplier" queryTableFieldId="12"/>
    <tableColumn id="9" uniqueName="9" name="em" queryTableFieldId="13"/>
    <tableColumn id="11" uniqueName="11" name="SGR" queryTableFieldId="1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291"/>
  <sheetViews>
    <sheetView tabSelected="1" view="pageBreakPreview" zoomScale="85" zoomScaleNormal="70" zoomScaleSheetLayoutView="85" workbookViewId="0">
      <selection activeCell="J7" sqref="J7:J9"/>
    </sheetView>
  </sheetViews>
  <sheetFormatPr defaultColWidth="13.42578125" defaultRowHeight="12" x14ac:dyDescent="0.2"/>
  <cols>
    <col min="1" max="1" width="13.42578125" style="28"/>
    <col min="2" max="2" width="26.42578125" style="23" customWidth="1"/>
    <col min="3" max="4" width="13" style="24" customWidth="1"/>
    <col min="5" max="5" width="16.85546875" style="35" customWidth="1"/>
    <col min="6" max="6" width="9.42578125" style="23" customWidth="1"/>
    <col min="7" max="8" width="9.42578125" style="23" hidden="1" customWidth="1"/>
    <col min="9" max="9" width="9.85546875" style="29" customWidth="1"/>
    <col min="10" max="10" width="12.42578125" style="34" customWidth="1"/>
    <col min="11" max="16" width="6" style="30" customWidth="1"/>
    <col min="17" max="17" width="6" style="30" hidden="1" customWidth="1"/>
    <col min="18" max="18" width="6" style="30" customWidth="1"/>
    <col min="19" max="19" width="5.7109375" style="2" customWidth="1"/>
    <col min="20" max="31" width="5.7109375" style="1" customWidth="1"/>
    <col min="32" max="32" width="6.5703125" style="1" customWidth="1"/>
    <col min="33" max="16384" width="13.42578125" style="1"/>
  </cols>
  <sheetData>
    <row r="1" spans="1:33" s="4" customFormat="1" ht="15.75" customHeight="1" x14ac:dyDescent="0.2">
      <c r="A1" s="17" t="s">
        <v>35</v>
      </c>
      <c r="B1" s="21"/>
      <c r="C1" s="24"/>
      <c r="D1" s="24"/>
      <c r="E1" s="35"/>
      <c r="F1" s="21"/>
      <c r="G1" s="21"/>
      <c r="H1" s="21"/>
      <c r="I1" s="25"/>
      <c r="J1" s="31"/>
      <c r="K1" s="26">
        <f t="shared" ref="K1:R1" si="0">SUM(K4:K183)</f>
        <v>0</v>
      </c>
      <c r="L1" s="26">
        <f t="shared" si="0"/>
        <v>-29</v>
      </c>
      <c r="M1" s="26">
        <f t="shared" si="0"/>
        <v>5</v>
      </c>
      <c r="N1" s="26">
        <f t="shared" si="0"/>
        <v>58</v>
      </c>
      <c r="O1" s="26">
        <f t="shared" si="0"/>
        <v>15</v>
      </c>
      <c r="P1" s="26">
        <f t="shared" si="0"/>
        <v>-11</v>
      </c>
      <c r="Q1" s="26">
        <f t="shared" si="0"/>
        <v>0</v>
      </c>
      <c r="R1" s="26">
        <f t="shared" si="0"/>
        <v>7</v>
      </c>
      <c r="S1" s="6">
        <f>SUM(K1:R1)</f>
        <v>45</v>
      </c>
      <c r="T1" s="47" t="s">
        <v>15</v>
      </c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9"/>
    </row>
    <row r="2" spans="1:33" s="5" customFormat="1" ht="21.75" customHeight="1" x14ac:dyDescent="0.2">
      <c r="A2" s="22" t="s">
        <v>34</v>
      </c>
      <c r="B2" s="22">
        <v>1727</v>
      </c>
      <c r="C2" s="17" t="s">
        <v>17</v>
      </c>
      <c r="D2" s="22" t="s">
        <v>19</v>
      </c>
      <c r="E2" s="32"/>
      <c r="F2" s="9"/>
      <c r="G2" s="9"/>
      <c r="H2" s="9"/>
      <c r="I2" s="9"/>
      <c r="J2" s="32"/>
      <c r="K2" s="46"/>
      <c r="L2" s="46"/>
      <c r="M2" s="46"/>
      <c r="N2" s="46"/>
      <c r="O2" s="46"/>
      <c r="P2" s="46"/>
      <c r="Q2" s="46"/>
      <c r="R2" s="46"/>
      <c r="S2" s="10"/>
      <c r="T2" s="11" t="s">
        <v>0</v>
      </c>
      <c r="U2" s="11" t="s">
        <v>1</v>
      </c>
      <c r="V2" s="11" t="s">
        <v>2</v>
      </c>
      <c r="W2" s="11" t="s">
        <v>3</v>
      </c>
      <c r="X2" s="11" t="s">
        <v>4</v>
      </c>
      <c r="Y2" s="11" t="s">
        <v>5</v>
      </c>
      <c r="Z2" s="11" t="s">
        <v>6</v>
      </c>
      <c r="AA2" s="11" t="s">
        <v>7</v>
      </c>
      <c r="AB2" s="11" t="s">
        <v>8</v>
      </c>
      <c r="AC2" s="11" t="s">
        <v>9</v>
      </c>
      <c r="AD2" s="11" t="s">
        <v>10</v>
      </c>
      <c r="AE2" s="11" t="s">
        <v>11</v>
      </c>
      <c r="AF2" s="11" t="s">
        <v>16</v>
      </c>
    </row>
    <row r="3" spans="1:33" s="4" customFormat="1" ht="33.75" customHeight="1" x14ac:dyDescent="0.2">
      <c r="A3" s="19" t="s">
        <v>29</v>
      </c>
      <c r="B3" s="19" t="s">
        <v>20</v>
      </c>
      <c r="C3" s="19" t="s">
        <v>31</v>
      </c>
      <c r="D3" s="19" t="s">
        <v>36</v>
      </c>
      <c r="E3" s="33" t="s">
        <v>38</v>
      </c>
      <c r="F3" s="19" t="s">
        <v>30</v>
      </c>
      <c r="G3" s="19" t="s">
        <v>40</v>
      </c>
      <c r="H3" s="19" t="s">
        <v>33</v>
      </c>
      <c r="I3" s="19" t="s">
        <v>39</v>
      </c>
      <c r="J3" s="33" t="s">
        <v>37</v>
      </c>
      <c r="K3" s="27" t="s">
        <v>21</v>
      </c>
      <c r="L3" s="27" t="s">
        <v>22</v>
      </c>
      <c r="M3" s="27" t="s">
        <v>23</v>
      </c>
      <c r="N3" s="27" t="s">
        <v>24</v>
      </c>
      <c r="O3" s="27" t="s">
        <v>25</v>
      </c>
      <c r="P3" s="27" t="s">
        <v>26</v>
      </c>
      <c r="Q3" s="27" t="s">
        <v>27</v>
      </c>
      <c r="R3" s="27" t="s">
        <v>28</v>
      </c>
      <c r="S3" s="12"/>
      <c r="T3" s="13">
        <f>+B2</f>
        <v>1727</v>
      </c>
      <c r="U3" s="13">
        <f>T3+1</f>
        <v>1728</v>
      </c>
      <c r="V3" s="13">
        <f t="shared" ref="V3:AF3" si="1">U3+1</f>
        <v>1729</v>
      </c>
      <c r="W3" s="13">
        <f t="shared" si="1"/>
        <v>1730</v>
      </c>
      <c r="X3" s="13">
        <f t="shared" si="1"/>
        <v>1731</v>
      </c>
      <c r="Y3" s="13">
        <f t="shared" si="1"/>
        <v>1732</v>
      </c>
      <c r="Z3" s="13">
        <f t="shared" si="1"/>
        <v>1733</v>
      </c>
      <c r="AA3" s="13">
        <f t="shared" si="1"/>
        <v>1734</v>
      </c>
      <c r="AB3" s="13">
        <f t="shared" si="1"/>
        <v>1735</v>
      </c>
      <c r="AC3" s="13">
        <f t="shared" si="1"/>
        <v>1736</v>
      </c>
      <c r="AD3" s="13">
        <f t="shared" si="1"/>
        <v>1737</v>
      </c>
      <c r="AE3" s="13">
        <f t="shared" si="1"/>
        <v>1738</v>
      </c>
      <c r="AF3" s="13">
        <f t="shared" si="1"/>
        <v>1739</v>
      </c>
      <c r="AG3" s="7"/>
    </row>
    <row r="4" spans="1:33" s="3" customFormat="1" ht="22.5" customHeight="1" x14ac:dyDescent="0.2">
      <c r="A4" s="50" t="s">
        <v>62</v>
      </c>
      <c r="B4" s="40" t="s">
        <v>63</v>
      </c>
      <c r="C4" s="41" t="s">
        <v>59</v>
      </c>
      <c r="D4" s="41" t="s">
        <v>49</v>
      </c>
      <c r="E4" s="36" t="s">
        <v>65</v>
      </c>
      <c r="F4" s="40"/>
      <c r="G4" s="43" t="s">
        <v>66</v>
      </c>
      <c r="H4" s="43">
        <v>1718</v>
      </c>
      <c r="I4" s="41" t="s">
        <v>64</v>
      </c>
      <c r="J4" s="38">
        <v>59.95</v>
      </c>
      <c r="K4" s="42">
        <v>0</v>
      </c>
      <c r="L4" s="42">
        <v>0</v>
      </c>
      <c r="M4" s="42">
        <v>0</v>
      </c>
      <c r="N4" s="42">
        <v>0</v>
      </c>
      <c r="O4" s="42">
        <v>0</v>
      </c>
      <c r="P4" s="42">
        <v>0</v>
      </c>
      <c r="Q4" s="42">
        <v>0</v>
      </c>
      <c r="R4" s="42">
        <v>0</v>
      </c>
      <c r="S4" s="14"/>
      <c r="T4" s="15"/>
      <c r="U4" s="15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8"/>
    </row>
    <row r="5" spans="1:33" s="3" customFormat="1" ht="22.5" customHeight="1" x14ac:dyDescent="0.2">
      <c r="A5" s="50"/>
      <c r="B5" s="40"/>
      <c r="C5" s="41"/>
      <c r="D5" s="41"/>
      <c r="E5" s="37"/>
      <c r="F5" s="40"/>
      <c r="G5" s="44"/>
      <c r="H5" s="44"/>
      <c r="I5" s="41"/>
      <c r="J5" s="39"/>
      <c r="K5" s="42"/>
      <c r="L5" s="42"/>
      <c r="M5" s="42"/>
      <c r="N5" s="42"/>
      <c r="O5" s="42"/>
      <c r="P5" s="42"/>
      <c r="Q5" s="42"/>
      <c r="R5" s="42"/>
      <c r="S5" s="14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8"/>
    </row>
    <row r="6" spans="1:33" s="3" customFormat="1" ht="22.5" customHeight="1" x14ac:dyDescent="0.2">
      <c r="A6" s="50"/>
      <c r="B6" s="40"/>
      <c r="C6" s="41"/>
      <c r="D6" s="41"/>
      <c r="E6" s="37"/>
      <c r="F6" s="40"/>
      <c r="G6" s="45"/>
      <c r="H6" s="45"/>
      <c r="I6" s="41"/>
      <c r="J6" s="39"/>
      <c r="K6" s="42"/>
      <c r="L6" s="42"/>
      <c r="M6" s="42"/>
      <c r="N6" s="42"/>
      <c r="O6" s="42"/>
      <c r="P6" s="42"/>
      <c r="Q6" s="42"/>
      <c r="R6" s="42"/>
      <c r="S6" s="14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8"/>
    </row>
    <row r="7" spans="1:33" s="4" customFormat="1" ht="22.5" customHeight="1" x14ac:dyDescent="0.2">
      <c r="A7" s="50" t="s">
        <v>67</v>
      </c>
      <c r="B7" s="40" t="s">
        <v>68</v>
      </c>
      <c r="C7" s="41" t="s">
        <v>59</v>
      </c>
      <c r="D7" s="41" t="s">
        <v>49</v>
      </c>
      <c r="E7" s="36" t="s">
        <v>65</v>
      </c>
      <c r="F7" s="40"/>
      <c r="G7" s="43" t="s">
        <v>66</v>
      </c>
      <c r="H7" s="43">
        <v>1718</v>
      </c>
      <c r="I7" s="41" t="s">
        <v>64</v>
      </c>
      <c r="J7" s="38">
        <v>39.950000000000003</v>
      </c>
      <c r="K7" s="42">
        <v>0</v>
      </c>
      <c r="L7" s="42">
        <v>0</v>
      </c>
      <c r="M7" s="42">
        <v>0</v>
      </c>
      <c r="N7" s="42">
        <v>0</v>
      </c>
      <c r="O7" s="42">
        <v>0</v>
      </c>
      <c r="P7" s="42">
        <v>0</v>
      </c>
      <c r="Q7" s="42">
        <v>0</v>
      </c>
      <c r="R7" s="42">
        <v>0</v>
      </c>
      <c r="S7" s="14"/>
      <c r="T7" s="15"/>
      <c r="U7" s="15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7"/>
    </row>
    <row r="8" spans="1:33" s="3" customFormat="1" ht="22.5" customHeight="1" x14ac:dyDescent="0.2">
      <c r="A8" s="50"/>
      <c r="B8" s="40"/>
      <c r="C8" s="41"/>
      <c r="D8" s="41"/>
      <c r="E8" s="37"/>
      <c r="F8" s="40"/>
      <c r="G8" s="44"/>
      <c r="H8" s="44"/>
      <c r="I8" s="41"/>
      <c r="J8" s="39"/>
      <c r="K8" s="42"/>
      <c r="L8" s="42"/>
      <c r="M8" s="42"/>
      <c r="N8" s="42"/>
      <c r="O8" s="42"/>
      <c r="P8" s="42"/>
      <c r="Q8" s="42"/>
      <c r="R8" s="42"/>
      <c r="S8" s="14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8"/>
    </row>
    <row r="9" spans="1:33" s="3" customFormat="1" ht="22.5" customHeight="1" x14ac:dyDescent="0.2">
      <c r="A9" s="50"/>
      <c r="B9" s="40"/>
      <c r="C9" s="41"/>
      <c r="D9" s="41"/>
      <c r="E9" s="37"/>
      <c r="F9" s="40"/>
      <c r="G9" s="45"/>
      <c r="H9" s="45"/>
      <c r="I9" s="41"/>
      <c r="J9" s="39"/>
      <c r="K9" s="42"/>
      <c r="L9" s="42"/>
      <c r="M9" s="42"/>
      <c r="N9" s="42"/>
      <c r="O9" s="42"/>
      <c r="P9" s="42"/>
      <c r="Q9" s="42"/>
      <c r="R9" s="42"/>
      <c r="S9" s="14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8"/>
    </row>
    <row r="10" spans="1:33" s="4" customFormat="1" ht="22.5" customHeight="1" x14ac:dyDescent="0.2">
      <c r="A10" s="50" t="s">
        <v>69</v>
      </c>
      <c r="B10" s="40" t="s">
        <v>70</v>
      </c>
      <c r="C10" s="41" t="s">
        <v>59</v>
      </c>
      <c r="D10" s="41" t="s">
        <v>49</v>
      </c>
      <c r="E10" s="36" t="s">
        <v>72</v>
      </c>
      <c r="F10" s="40"/>
      <c r="G10" s="43" t="s">
        <v>66</v>
      </c>
      <c r="H10" s="43">
        <v>1718</v>
      </c>
      <c r="I10" s="41" t="s">
        <v>71</v>
      </c>
      <c r="J10" s="38">
        <v>39.950000000000003</v>
      </c>
      <c r="K10" s="42">
        <v>0</v>
      </c>
      <c r="L10" s="42">
        <v>0</v>
      </c>
      <c r="M10" s="42">
        <v>0</v>
      </c>
      <c r="N10" s="42">
        <v>0</v>
      </c>
      <c r="O10" s="42">
        <v>0</v>
      </c>
      <c r="P10" s="42">
        <v>0</v>
      </c>
      <c r="Q10" s="42">
        <v>0</v>
      </c>
      <c r="R10" s="42">
        <v>0</v>
      </c>
      <c r="S10" s="14"/>
      <c r="T10" s="15"/>
      <c r="U10" s="15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7"/>
    </row>
    <row r="11" spans="1:33" s="3" customFormat="1" ht="22.5" customHeight="1" x14ac:dyDescent="0.2">
      <c r="A11" s="50"/>
      <c r="B11" s="40"/>
      <c r="C11" s="41"/>
      <c r="D11" s="41"/>
      <c r="E11" s="37"/>
      <c r="F11" s="40"/>
      <c r="G11" s="44"/>
      <c r="H11" s="44"/>
      <c r="I11" s="41"/>
      <c r="J11" s="39"/>
      <c r="K11" s="42"/>
      <c r="L11" s="42"/>
      <c r="M11" s="42"/>
      <c r="N11" s="42"/>
      <c r="O11" s="42"/>
      <c r="P11" s="42"/>
      <c r="Q11" s="42"/>
      <c r="R11" s="42"/>
      <c r="S11" s="14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8"/>
    </row>
    <row r="12" spans="1:33" s="3" customFormat="1" ht="22.5" customHeight="1" x14ac:dyDescent="0.2">
      <c r="A12" s="50"/>
      <c r="B12" s="40"/>
      <c r="C12" s="41"/>
      <c r="D12" s="41"/>
      <c r="E12" s="37"/>
      <c r="F12" s="40"/>
      <c r="G12" s="45"/>
      <c r="H12" s="45"/>
      <c r="I12" s="41"/>
      <c r="J12" s="39"/>
      <c r="K12" s="42"/>
      <c r="L12" s="42"/>
      <c r="M12" s="42"/>
      <c r="N12" s="42"/>
      <c r="O12" s="42"/>
      <c r="P12" s="42"/>
      <c r="Q12" s="42"/>
      <c r="R12" s="42"/>
      <c r="S12" s="14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8"/>
    </row>
    <row r="13" spans="1:33" s="4" customFormat="1" ht="22.5" customHeight="1" x14ac:dyDescent="0.2">
      <c r="A13" s="50" t="s">
        <v>73</v>
      </c>
      <c r="B13" s="40" t="s">
        <v>74</v>
      </c>
      <c r="C13" s="41" t="s">
        <v>76</v>
      </c>
      <c r="D13" s="41" t="s">
        <v>49</v>
      </c>
      <c r="E13" s="36" t="s">
        <v>77</v>
      </c>
      <c r="F13" s="40"/>
      <c r="G13" s="43" t="s">
        <v>66</v>
      </c>
      <c r="H13" s="43">
        <v>1718</v>
      </c>
      <c r="I13" s="41" t="s">
        <v>75</v>
      </c>
      <c r="J13" s="38">
        <v>59.95</v>
      </c>
      <c r="K13" s="42">
        <v>0</v>
      </c>
      <c r="L13" s="42">
        <v>0</v>
      </c>
      <c r="M13" s="42">
        <v>0</v>
      </c>
      <c r="N13" s="42">
        <v>0</v>
      </c>
      <c r="O13" s="42">
        <v>0</v>
      </c>
      <c r="P13" s="42">
        <v>0</v>
      </c>
      <c r="Q13" s="42">
        <v>0</v>
      </c>
      <c r="R13" s="42">
        <v>0</v>
      </c>
      <c r="S13" s="14"/>
      <c r="T13" s="15"/>
      <c r="U13" s="15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7"/>
    </row>
    <row r="14" spans="1:33" s="3" customFormat="1" ht="22.5" customHeight="1" x14ac:dyDescent="0.2">
      <c r="A14" s="50"/>
      <c r="B14" s="40"/>
      <c r="C14" s="41"/>
      <c r="D14" s="41"/>
      <c r="E14" s="37"/>
      <c r="F14" s="40"/>
      <c r="G14" s="44"/>
      <c r="H14" s="44"/>
      <c r="I14" s="41"/>
      <c r="J14" s="39"/>
      <c r="K14" s="42"/>
      <c r="L14" s="42"/>
      <c r="M14" s="42"/>
      <c r="N14" s="42"/>
      <c r="O14" s="42"/>
      <c r="P14" s="42"/>
      <c r="Q14" s="42"/>
      <c r="R14" s="42"/>
      <c r="S14" s="14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8"/>
    </row>
    <row r="15" spans="1:33" s="3" customFormat="1" ht="22.5" customHeight="1" x14ac:dyDescent="0.2">
      <c r="A15" s="50"/>
      <c r="B15" s="40"/>
      <c r="C15" s="41"/>
      <c r="D15" s="41"/>
      <c r="E15" s="37"/>
      <c r="F15" s="40"/>
      <c r="G15" s="45"/>
      <c r="H15" s="45"/>
      <c r="I15" s="41"/>
      <c r="J15" s="39"/>
      <c r="K15" s="42"/>
      <c r="L15" s="42"/>
      <c r="M15" s="42"/>
      <c r="N15" s="42"/>
      <c r="O15" s="42"/>
      <c r="P15" s="42"/>
      <c r="Q15" s="42"/>
      <c r="R15" s="42"/>
      <c r="S15" s="14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8"/>
    </row>
    <row r="16" spans="1:33" s="4" customFormat="1" ht="22.5" customHeight="1" x14ac:dyDescent="0.2">
      <c r="A16" s="50" t="s">
        <v>78</v>
      </c>
      <c r="B16" s="40" t="s">
        <v>74</v>
      </c>
      <c r="C16" s="41" t="s">
        <v>76</v>
      </c>
      <c r="D16" s="41" t="s">
        <v>49</v>
      </c>
      <c r="E16" s="36" t="s">
        <v>77</v>
      </c>
      <c r="F16" s="40"/>
      <c r="G16" s="43" t="s">
        <v>66</v>
      </c>
      <c r="H16" s="43">
        <v>1718</v>
      </c>
      <c r="I16" s="41" t="s">
        <v>75</v>
      </c>
      <c r="J16" s="38">
        <v>59.95</v>
      </c>
      <c r="K16" s="42">
        <v>0</v>
      </c>
      <c r="L16" s="42">
        <v>0</v>
      </c>
      <c r="M16" s="42">
        <v>0</v>
      </c>
      <c r="N16" s="42">
        <v>0</v>
      </c>
      <c r="O16" s="42">
        <v>0</v>
      </c>
      <c r="P16" s="42">
        <v>0</v>
      </c>
      <c r="Q16" s="42">
        <v>0</v>
      </c>
      <c r="R16" s="42">
        <v>0</v>
      </c>
      <c r="S16" s="14"/>
      <c r="T16" s="15"/>
      <c r="U16" s="15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7"/>
    </row>
    <row r="17" spans="1:33" s="3" customFormat="1" ht="22.5" customHeight="1" x14ac:dyDescent="0.2">
      <c r="A17" s="50"/>
      <c r="B17" s="40"/>
      <c r="C17" s="41"/>
      <c r="D17" s="41"/>
      <c r="E17" s="37"/>
      <c r="F17" s="40"/>
      <c r="G17" s="44"/>
      <c r="H17" s="44"/>
      <c r="I17" s="41"/>
      <c r="J17" s="39"/>
      <c r="K17" s="42"/>
      <c r="L17" s="42"/>
      <c r="M17" s="42"/>
      <c r="N17" s="42"/>
      <c r="O17" s="42"/>
      <c r="P17" s="42"/>
      <c r="Q17" s="42"/>
      <c r="R17" s="42"/>
      <c r="S17" s="14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8"/>
    </row>
    <row r="18" spans="1:33" s="3" customFormat="1" ht="22.5" customHeight="1" x14ac:dyDescent="0.2">
      <c r="A18" s="50"/>
      <c r="B18" s="40"/>
      <c r="C18" s="41"/>
      <c r="D18" s="41"/>
      <c r="E18" s="37"/>
      <c r="F18" s="40"/>
      <c r="G18" s="45"/>
      <c r="H18" s="45"/>
      <c r="I18" s="41"/>
      <c r="J18" s="39"/>
      <c r="K18" s="42"/>
      <c r="L18" s="42"/>
      <c r="M18" s="42"/>
      <c r="N18" s="42"/>
      <c r="O18" s="42"/>
      <c r="P18" s="42"/>
      <c r="Q18" s="42"/>
      <c r="R18" s="42"/>
      <c r="S18" s="14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8"/>
    </row>
    <row r="19" spans="1:33" s="4" customFormat="1" ht="22.5" customHeight="1" x14ac:dyDescent="0.2">
      <c r="A19" s="50" t="s">
        <v>79</v>
      </c>
      <c r="B19" s="40" t="s">
        <v>74</v>
      </c>
      <c r="C19" s="41" t="s">
        <v>76</v>
      </c>
      <c r="D19" s="41" t="s">
        <v>49</v>
      </c>
      <c r="E19" s="36" t="s">
        <v>77</v>
      </c>
      <c r="F19" s="40"/>
      <c r="G19" s="43" t="s">
        <v>66</v>
      </c>
      <c r="H19" s="43">
        <v>1718</v>
      </c>
      <c r="I19" s="41" t="s">
        <v>75</v>
      </c>
      <c r="J19" s="38">
        <v>59.95</v>
      </c>
      <c r="K19" s="42">
        <v>0</v>
      </c>
      <c r="L19" s="42">
        <v>0</v>
      </c>
      <c r="M19" s="42">
        <v>0</v>
      </c>
      <c r="N19" s="42">
        <v>0</v>
      </c>
      <c r="O19" s="42">
        <v>0</v>
      </c>
      <c r="P19" s="42">
        <v>0</v>
      </c>
      <c r="Q19" s="42">
        <v>0</v>
      </c>
      <c r="R19" s="42">
        <v>0</v>
      </c>
      <c r="S19" s="14"/>
      <c r="T19" s="15"/>
      <c r="U19" s="15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7"/>
    </row>
    <row r="20" spans="1:33" s="3" customFormat="1" ht="22.5" customHeight="1" x14ac:dyDescent="0.2">
      <c r="A20" s="50"/>
      <c r="B20" s="40"/>
      <c r="C20" s="41"/>
      <c r="D20" s="41"/>
      <c r="E20" s="37"/>
      <c r="F20" s="40"/>
      <c r="G20" s="44"/>
      <c r="H20" s="44"/>
      <c r="I20" s="41"/>
      <c r="J20" s="39"/>
      <c r="K20" s="42"/>
      <c r="L20" s="42"/>
      <c r="M20" s="42"/>
      <c r="N20" s="42"/>
      <c r="O20" s="42"/>
      <c r="P20" s="42"/>
      <c r="Q20" s="42"/>
      <c r="R20" s="42"/>
      <c r="S20" s="14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8"/>
    </row>
    <row r="21" spans="1:33" s="3" customFormat="1" ht="22.5" customHeight="1" x14ac:dyDescent="0.2">
      <c r="A21" s="50"/>
      <c r="B21" s="40"/>
      <c r="C21" s="41"/>
      <c r="D21" s="41"/>
      <c r="E21" s="37"/>
      <c r="F21" s="40"/>
      <c r="G21" s="45"/>
      <c r="H21" s="45"/>
      <c r="I21" s="41"/>
      <c r="J21" s="39"/>
      <c r="K21" s="42"/>
      <c r="L21" s="42"/>
      <c r="M21" s="42"/>
      <c r="N21" s="42"/>
      <c r="O21" s="42"/>
      <c r="P21" s="42"/>
      <c r="Q21" s="42"/>
      <c r="R21" s="42"/>
      <c r="S21" s="14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8"/>
    </row>
    <row r="22" spans="1:33" s="4" customFormat="1" ht="22.5" customHeight="1" x14ac:dyDescent="0.2">
      <c r="A22" s="50" t="s">
        <v>80</v>
      </c>
      <c r="B22" s="40" t="s">
        <v>74</v>
      </c>
      <c r="C22" s="41" t="s">
        <v>76</v>
      </c>
      <c r="D22" s="41" t="s">
        <v>49</v>
      </c>
      <c r="E22" s="36" t="s">
        <v>77</v>
      </c>
      <c r="F22" s="40"/>
      <c r="G22" s="43" t="s">
        <v>66</v>
      </c>
      <c r="H22" s="43">
        <v>1718</v>
      </c>
      <c r="I22" s="41" t="s">
        <v>75</v>
      </c>
      <c r="J22" s="38">
        <v>59.95</v>
      </c>
      <c r="K22" s="42">
        <v>0</v>
      </c>
      <c r="L22" s="42">
        <v>0</v>
      </c>
      <c r="M22" s="42">
        <v>0</v>
      </c>
      <c r="N22" s="42">
        <v>0</v>
      </c>
      <c r="O22" s="42">
        <v>0</v>
      </c>
      <c r="P22" s="42">
        <v>0</v>
      </c>
      <c r="Q22" s="42">
        <v>0</v>
      </c>
      <c r="R22" s="42">
        <v>0</v>
      </c>
      <c r="S22" s="14"/>
      <c r="T22" s="15"/>
      <c r="U22" s="15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7"/>
    </row>
    <row r="23" spans="1:33" s="4" customFormat="1" ht="22.5" customHeight="1" x14ac:dyDescent="0.2">
      <c r="A23" s="50"/>
      <c r="B23" s="40"/>
      <c r="C23" s="41"/>
      <c r="D23" s="41"/>
      <c r="E23" s="37"/>
      <c r="F23" s="40"/>
      <c r="G23" s="44"/>
      <c r="H23" s="44"/>
      <c r="I23" s="41"/>
      <c r="J23" s="39"/>
      <c r="K23" s="42"/>
      <c r="L23" s="42"/>
      <c r="M23" s="42"/>
      <c r="N23" s="42"/>
      <c r="O23" s="42"/>
      <c r="P23" s="42"/>
      <c r="Q23" s="42"/>
      <c r="R23" s="42"/>
      <c r="S23" s="14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7"/>
    </row>
    <row r="24" spans="1:33" s="4" customFormat="1" ht="22.5" customHeight="1" x14ac:dyDescent="0.2">
      <c r="A24" s="50"/>
      <c r="B24" s="40"/>
      <c r="C24" s="41"/>
      <c r="D24" s="41"/>
      <c r="E24" s="37"/>
      <c r="F24" s="40"/>
      <c r="G24" s="45"/>
      <c r="H24" s="45"/>
      <c r="I24" s="41"/>
      <c r="J24" s="39"/>
      <c r="K24" s="42"/>
      <c r="L24" s="42"/>
      <c r="M24" s="42"/>
      <c r="N24" s="42"/>
      <c r="O24" s="42"/>
      <c r="P24" s="42"/>
      <c r="Q24" s="42"/>
      <c r="R24" s="42"/>
      <c r="S24" s="14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7"/>
    </row>
    <row r="25" spans="1:33" s="4" customFormat="1" ht="22.5" customHeight="1" x14ac:dyDescent="0.2">
      <c r="A25" s="50" t="s">
        <v>81</v>
      </c>
      <c r="B25" s="40" t="s">
        <v>82</v>
      </c>
      <c r="C25" s="41" t="s">
        <v>55</v>
      </c>
      <c r="D25" s="41" t="s">
        <v>54</v>
      </c>
      <c r="E25" s="36" t="s">
        <v>56</v>
      </c>
      <c r="F25" s="40"/>
      <c r="G25" s="43" t="s">
        <v>66</v>
      </c>
      <c r="H25" s="43">
        <v>1718</v>
      </c>
      <c r="I25" s="41" t="s">
        <v>83</v>
      </c>
      <c r="J25" s="38">
        <v>29.95</v>
      </c>
      <c r="K25" s="42">
        <v>0</v>
      </c>
      <c r="L25" s="42">
        <v>-29</v>
      </c>
      <c r="M25" s="42">
        <v>5</v>
      </c>
      <c r="N25" s="42">
        <v>26</v>
      </c>
      <c r="O25" s="42">
        <v>0</v>
      </c>
      <c r="P25" s="42">
        <v>-2</v>
      </c>
      <c r="Q25" s="42">
        <v>0</v>
      </c>
      <c r="R25" s="42">
        <v>0</v>
      </c>
      <c r="S25" s="14"/>
      <c r="T25" s="15"/>
      <c r="U25" s="15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7"/>
    </row>
    <row r="26" spans="1:33" s="4" customFormat="1" ht="22.5" customHeight="1" x14ac:dyDescent="0.2">
      <c r="A26" s="50"/>
      <c r="B26" s="40"/>
      <c r="C26" s="41"/>
      <c r="D26" s="41"/>
      <c r="E26" s="37"/>
      <c r="F26" s="40"/>
      <c r="G26" s="44"/>
      <c r="H26" s="44"/>
      <c r="I26" s="41"/>
      <c r="J26" s="39"/>
      <c r="K26" s="42"/>
      <c r="L26" s="42"/>
      <c r="M26" s="42"/>
      <c r="N26" s="42"/>
      <c r="O26" s="42"/>
      <c r="P26" s="42"/>
      <c r="Q26" s="42"/>
      <c r="R26" s="42"/>
      <c r="S26" s="14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7"/>
    </row>
    <row r="27" spans="1:33" s="4" customFormat="1" ht="22.5" customHeight="1" x14ac:dyDescent="0.2">
      <c r="A27" s="50"/>
      <c r="B27" s="40"/>
      <c r="C27" s="41"/>
      <c r="D27" s="41"/>
      <c r="E27" s="37"/>
      <c r="F27" s="40"/>
      <c r="G27" s="45"/>
      <c r="H27" s="45"/>
      <c r="I27" s="41"/>
      <c r="J27" s="39"/>
      <c r="K27" s="42"/>
      <c r="L27" s="42"/>
      <c r="M27" s="42"/>
      <c r="N27" s="42"/>
      <c r="O27" s="42"/>
      <c r="P27" s="42"/>
      <c r="Q27" s="42"/>
      <c r="R27" s="42"/>
      <c r="S27" s="14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7"/>
    </row>
    <row r="28" spans="1:33" s="4" customFormat="1" ht="22.5" customHeight="1" x14ac:dyDescent="0.2">
      <c r="A28" s="50" t="s">
        <v>84</v>
      </c>
      <c r="B28" s="40" t="s">
        <v>85</v>
      </c>
      <c r="C28" s="41" t="s">
        <v>86</v>
      </c>
      <c r="D28" s="41" t="s">
        <v>57</v>
      </c>
      <c r="E28" s="36" t="s">
        <v>87</v>
      </c>
      <c r="F28" s="40"/>
      <c r="G28" s="43" t="s">
        <v>66</v>
      </c>
      <c r="H28" s="43">
        <v>1718</v>
      </c>
      <c r="I28" s="41" t="s">
        <v>83</v>
      </c>
      <c r="J28" s="38">
        <v>29.95</v>
      </c>
      <c r="K28" s="42">
        <v>0</v>
      </c>
      <c r="L28" s="42">
        <v>0</v>
      </c>
      <c r="M28" s="42">
        <v>0</v>
      </c>
      <c r="N28" s="42">
        <v>0</v>
      </c>
      <c r="O28" s="42">
        <v>0</v>
      </c>
      <c r="P28" s="42">
        <v>0</v>
      </c>
      <c r="Q28" s="42">
        <v>0</v>
      </c>
      <c r="R28" s="42">
        <v>0</v>
      </c>
      <c r="S28" s="14"/>
      <c r="T28" s="15"/>
      <c r="U28" s="15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7"/>
    </row>
    <row r="29" spans="1:33" s="4" customFormat="1" ht="22.5" customHeight="1" x14ac:dyDescent="0.2">
      <c r="A29" s="50"/>
      <c r="B29" s="40"/>
      <c r="C29" s="41"/>
      <c r="D29" s="41"/>
      <c r="E29" s="37"/>
      <c r="F29" s="40"/>
      <c r="G29" s="44"/>
      <c r="H29" s="44"/>
      <c r="I29" s="41"/>
      <c r="J29" s="39"/>
      <c r="K29" s="42"/>
      <c r="L29" s="42"/>
      <c r="M29" s="42"/>
      <c r="N29" s="42"/>
      <c r="O29" s="42"/>
      <c r="P29" s="42"/>
      <c r="Q29" s="42"/>
      <c r="R29" s="42"/>
      <c r="S29" s="14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7"/>
    </row>
    <row r="30" spans="1:33" s="4" customFormat="1" ht="22.5" customHeight="1" x14ac:dyDescent="0.2">
      <c r="A30" s="50"/>
      <c r="B30" s="40"/>
      <c r="C30" s="41"/>
      <c r="D30" s="41"/>
      <c r="E30" s="37"/>
      <c r="F30" s="40"/>
      <c r="G30" s="45"/>
      <c r="H30" s="45"/>
      <c r="I30" s="41"/>
      <c r="J30" s="39"/>
      <c r="K30" s="42"/>
      <c r="L30" s="42"/>
      <c r="M30" s="42"/>
      <c r="N30" s="42"/>
      <c r="O30" s="42"/>
      <c r="P30" s="42"/>
      <c r="Q30" s="42"/>
      <c r="R30" s="42"/>
      <c r="S30" s="14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7"/>
    </row>
    <row r="31" spans="1:33" s="4" customFormat="1" ht="22.5" customHeight="1" x14ac:dyDescent="0.2">
      <c r="A31" s="50" t="s">
        <v>88</v>
      </c>
      <c r="B31" s="40" t="s">
        <v>89</v>
      </c>
      <c r="C31" s="41" t="s">
        <v>55</v>
      </c>
      <c r="D31" s="41" t="s">
        <v>57</v>
      </c>
      <c r="E31" s="36" t="s">
        <v>72</v>
      </c>
      <c r="F31" s="40"/>
      <c r="G31" s="43" t="s">
        <v>66</v>
      </c>
      <c r="H31" s="43">
        <v>1718</v>
      </c>
      <c r="I31" s="41" t="s">
        <v>71</v>
      </c>
      <c r="J31" s="38">
        <v>39.950000000000003</v>
      </c>
      <c r="K31" s="42">
        <v>0</v>
      </c>
      <c r="L31" s="42">
        <v>0</v>
      </c>
      <c r="M31" s="42">
        <v>0</v>
      </c>
      <c r="N31" s="42">
        <v>0</v>
      </c>
      <c r="O31" s="42">
        <v>0</v>
      </c>
      <c r="P31" s="42">
        <v>0</v>
      </c>
      <c r="Q31" s="42">
        <v>0</v>
      </c>
      <c r="R31" s="42">
        <v>0</v>
      </c>
      <c r="S31" s="14"/>
      <c r="T31" s="15"/>
      <c r="U31" s="15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7"/>
    </row>
    <row r="32" spans="1:33" s="4" customFormat="1" ht="22.5" customHeight="1" x14ac:dyDescent="0.2">
      <c r="A32" s="50"/>
      <c r="B32" s="40"/>
      <c r="C32" s="41"/>
      <c r="D32" s="41"/>
      <c r="E32" s="37"/>
      <c r="F32" s="40"/>
      <c r="G32" s="44"/>
      <c r="H32" s="44"/>
      <c r="I32" s="41"/>
      <c r="J32" s="39"/>
      <c r="K32" s="42"/>
      <c r="L32" s="42"/>
      <c r="M32" s="42"/>
      <c r="N32" s="42"/>
      <c r="O32" s="42"/>
      <c r="P32" s="42"/>
      <c r="Q32" s="42"/>
      <c r="R32" s="42"/>
      <c r="S32" s="14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7"/>
    </row>
    <row r="33" spans="1:33" s="4" customFormat="1" ht="22.5" customHeight="1" x14ac:dyDescent="0.2">
      <c r="A33" s="50"/>
      <c r="B33" s="40"/>
      <c r="C33" s="41"/>
      <c r="D33" s="41"/>
      <c r="E33" s="37"/>
      <c r="F33" s="40"/>
      <c r="G33" s="45"/>
      <c r="H33" s="45"/>
      <c r="I33" s="41"/>
      <c r="J33" s="39"/>
      <c r="K33" s="42"/>
      <c r="L33" s="42"/>
      <c r="M33" s="42"/>
      <c r="N33" s="42"/>
      <c r="O33" s="42"/>
      <c r="P33" s="42"/>
      <c r="Q33" s="42"/>
      <c r="R33" s="42"/>
      <c r="S33" s="14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7"/>
    </row>
    <row r="34" spans="1:33" s="4" customFormat="1" ht="22.5" customHeight="1" x14ac:dyDescent="0.2">
      <c r="A34" s="50" t="s">
        <v>90</v>
      </c>
      <c r="B34" s="40" t="s">
        <v>91</v>
      </c>
      <c r="C34" s="41" t="s">
        <v>59</v>
      </c>
      <c r="D34" s="41" t="s">
        <v>57</v>
      </c>
      <c r="E34" s="36" t="s">
        <v>72</v>
      </c>
      <c r="F34" s="40"/>
      <c r="G34" s="43" t="s">
        <v>66</v>
      </c>
      <c r="H34" s="43">
        <v>1718</v>
      </c>
      <c r="I34" s="41" t="s">
        <v>71</v>
      </c>
      <c r="J34" s="38">
        <v>39.950000000000003</v>
      </c>
      <c r="K34" s="42">
        <v>0</v>
      </c>
      <c r="L34" s="42">
        <v>0</v>
      </c>
      <c r="M34" s="42">
        <v>0</v>
      </c>
      <c r="N34" s="42">
        <v>0</v>
      </c>
      <c r="O34" s="42">
        <v>0</v>
      </c>
      <c r="P34" s="42">
        <v>0</v>
      </c>
      <c r="Q34" s="42">
        <v>0</v>
      </c>
      <c r="R34" s="42">
        <v>0</v>
      </c>
      <c r="S34" s="14"/>
      <c r="T34" s="15"/>
      <c r="U34" s="15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7"/>
    </row>
    <row r="35" spans="1:33" s="4" customFormat="1" ht="22.5" customHeight="1" x14ac:dyDescent="0.2">
      <c r="A35" s="50"/>
      <c r="B35" s="40"/>
      <c r="C35" s="41"/>
      <c r="D35" s="41"/>
      <c r="E35" s="37"/>
      <c r="F35" s="40"/>
      <c r="G35" s="44"/>
      <c r="H35" s="44"/>
      <c r="I35" s="41"/>
      <c r="J35" s="39"/>
      <c r="K35" s="42"/>
      <c r="L35" s="42"/>
      <c r="M35" s="42"/>
      <c r="N35" s="42"/>
      <c r="O35" s="42"/>
      <c r="P35" s="42"/>
      <c r="Q35" s="42"/>
      <c r="R35" s="42"/>
      <c r="S35" s="14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7"/>
    </row>
    <row r="36" spans="1:33" s="4" customFormat="1" ht="22.5" customHeight="1" x14ac:dyDescent="0.2">
      <c r="A36" s="50"/>
      <c r="B36" s="40"/>
      <c r="C36" s="41"/>
      <c r="D36" s="41"/>
      <c r="E36" s="37"/>
      <c r="F36" s="40"/>
      <c r="G36" s="45"/>
      <c r="H36" s="45"/>
      <c r="I36" s="41"/>
      <c r="J36" s="39"/>
      <c r="K36" s="42"/>
      <c r="L36" s="42"/>
      <c r="M36" s="42"/>
      <c r="N36" s="42"/>
      <c r="O36" s="42"/>
      <c r="P36" s="42"/>
      <c r="Q36" s="42"/>
      <c r="R36" s="42"/>
      <c r="S36" s="14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7"/>
    </row>
    <row r="37" spans="1:33" s="4" customFormat="1" ht="22.5" customHeight="1" x14ac:dyDescent="0.2">
      <c r="A37" s="50" t="s">
        <v>92</v>
      </c>
      <c r="B37" s="40" t="s">
        <v>93</v>
      </c>
      <c r="C37" s="51" t="s">
        <v>55</v>
      </c>
      <c r="D37" s="41" t="s">
        <v>54</v>
      </c>
      <c r="E37" s="36" t="s">
        <v>56</v>
      </c>
      <c r="F37" s="40"/>
      <c r="G37" s="43" t="s">
        <v>66</v>
      </c>
      <c r="H37" s="43">
        <v>1718</v>
      </c>
      <c r="I37" s="41" t="s">
        <v>94</v>
      </c>
      <c r="J37" s="38">
        <v>59.95</v>
      </c>
      <c r="K37" s="42">
        <v>0</v>
      </c>
      <c r="L37" s="42">
        <v>0</v>
      </c>
      <c r="M37" s="42">
        <v>0</v>
      </c>
      <c r="N37" s="42">
        <v>16</v>
      </c>
      <c r="O37" s="42">
        <v>0</v>
      </c>
      <c r="P37" s="42">
        <v>0</v>
      </c>
      <c r="Q37" s="42">
        <v>0</v>
      </c>
      <c r="R37" s="42">
        <v>0</v>
      </c>
      <c r="S37" s="14"/>
      <c r="T37" s="15"/>
      <c r="U37" s="15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7"/>
    </row>
    <row r="38" spans="1:33" s="4" customFormat="1" ht="22.5" customHeight="1" x14ac:dyDescent="0.2">
      <c r="A38" s="50"/>
      <c r="B38" s="40"/>
      <c r="C38" s="52"/>
      <c r="D38" s="41"/>
      <c r="E38" s="37"/>
      <c r="F38" s="40"/>
      <c r="G38" s="44"/>
      <c r="H38" s="44"/>
      <c r="I38" s="41"/>
      <c r="J38" s="39"/>
      <c r="K38" s="42"/>
      <c r="L38" s="42"/>
      <c r="M38" s="42"/>
      <c r="N38" s="42"/>
      <c r="O38" s="42"/>
      <c r="P38" s="42"/>
      <c r="Q38" s="42"/>
      <c r="R38" s="42"/>
      <c r="S38" s="14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7"/>
    </row>
    <row r="39" spans="1:33" s="4" customFormat="1" ht="22.5" customHeight="1" x14ac:dyDescent="0.2">
      <c r="A39" s="50"/>
      <c r="B39" s="40"/>
      <c r="C39" s="53"/>
      <c r="D39" s="41"/>
      <c r="E39" s="54"/>
      <c r="F39" s="40"/>
      <c r="G39" s="45"/>
      <c r="H39" s="45"/>
      <c r="I39" s="41"/>
      <c r="J39" s="39"/>
      <c r="K39" s="42"/>
      <c r="L39" s="42"/>
      <c r="M39" s="42"/>
      <c r="N39" s="42"/>
      <c r="O39" s="42"/>
      <c r="P39" s="42"/>
      <c r="Q39" s="42"/>
      <c r="R39" s="42"/>
      <c r="S39" s="14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7"/>
    </row>
    <row r="40" spans="1:33" s="4" customFormat="1" ht="22.5" customHeight="1" x14ac:dyDescent="0.2">
      <c r="A40" s="50" t="s">
        <v>95</v>
      </c>
      <c r="B40" s="40" t="s">
        <v>96</v>
      </c>
      <c r="C40" s="41" t="s">
        <v>98</v>
      </c>
      <c r="D40" s="41" t="s">
        <v>97</v>
      </c>
      <c r="E40" s="36" t="s">
        <v>87</v>
      </c>
      <c r="F40" s="40"/>
      <c r="G40" s="43" t="s">
        <v>66</v>
      </c>
      <c r="H40" s="43">
        <v>1718</v>
      </c>
      <c r="I40" s="41" t="s">
        <v>83</v>
      </c>
      <c r="J40" s="38">
        <v>14.95</v>
      </c>
      <c r="K40" s="42">
        <v>0</v>
      </c>
      <c r="L40" s="42">
        <v>0</v>
      </c>
      <c r="M40" s="42">
        <v>0</v>
      </c>
      <c r="N40" s="42">
        <v>0</v>
      </c>
      <c r="O40" s="42">
        <v>0</v>
      </c>
      <c r="P40" s="42">
        <v>0</v>
      </c>
      <c r="Q40" s="42">
        <v>0</v>
      </c>
      <c r="R40" s="42">
        <v>0</v>
      </c>
      <c r="S40" s="14"/>
      <c r="T40" s="15"/>
      <c r="U40" s="15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7"/>
    </row>
    <row r="41" spans="1:33" s="4" customFormat="1" ht="22.5" customHeight="1" x14ac:dyDescent="0.2">
      <c r="A41" s="50"/>
      <c r="B41" s="40"/>
      <c r="C41" s="41"/>
      <c r="D41" s="41"/>
      <c r="E41" s="37"/>
      <c r="F41" s="40"/>
      <c r="G41" s="44"/>
      <c r="H41" s="44"/>
      <c r="I41" s="41"/>
      <c r="J41" s="39"/>
      <c r="K41" s="42"/>
      <c r="L41" s="42"/>
      <c r="M41" s="42"/>
      <c r="N41" s="42"/>
      <c r="O41" s="42"/>
      <c r="P41" s="42"/>
      <c r="Q41" s="42"/>
      <c r="R41" s="42"/>
      <c r="S41" s="14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7"/>
    </row>
    <row r="42" spans="1:33" s="4" customFormat="1" ht="22.5" customHeight="1" x14ac:dyDescent="0.2">
      <c r="A42" s="50"/>
      <c r="B42" s="40"/>
      <c r="C42" s="41"/>
      <c r="D42" s="41"/>
      <c r="E42" s="54"/>
      <c r="F42" s="40"/>
      <c r="G42" s="45"/>
      <c r="H42" s="45"/>
      <c r="I42" s="41"/>
      <c r="J42" s="55"/>
      <c r="K42" s="42"/>
      <c r="L42" s="42"/>
      <c r="M42" s="42"/>
      <c r="N42" s="42"/>
      <c r="O42" s="42"/>
      <c r="P42" s="42"/>
      <c r="Q42" s="42"/>
      <c r="R42" s="42"/>
      <c r="S42" s="14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7"/>
    </row>
    <row r="43" spans="1:33" s="4" customFormat="1" ht="22.5" customHeight="1" x14ac:dyDescent="0.2">
      <c r="A43" s="50" t="s">
        <v>99</v>
      </c>
      <c r="B43" s="40" t="s">
        <v>96</v>
      </c>
      <c r="C43" s="41" t="s">
        <v>98</v>
      </c>
      <c r="D43" s="41" t="s">
        <v>97</v>
      </c>
      <c r="E43" s="36" t="s">
        <v>87</v>
      </c>
      <c r="F43" s="40"/>
      <c r="G43" s="43" t="s">
        <v>66</v>
      </c>
      <c r="H43" s="43">
        <v>1718</v>
      </c>
      <c r="I43" s="41" t="s">
        <v>83</v>
      </c>
      <c r="J43" s="38">
        <v>14.95</v>
      </c>
      <c r="K43" s="42">
        <v>0</v>
      </c>
      <c r="L43" s="42">
        <v>0</v>
      </c>
      <c r="M43" s="42">
        <v>0</v>
      </c>
      <c r="N43" s="42">
        <v>0</v>
      </c>
      <c r="O43" s="42">
        <v>0</v>
      </c>
      <c r="P43" s="42">
        <v>0</v>
      </c>
      <c r="Q43" s="42">
        <v>0</v>
      </c>
      <c r="R43" s="42">
        <v>0</v>
      </c>
      <c r="S43" s="14"/>
      <c r="T43" s="15"/>
      <c r="U43" s="15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7"/>
    </row>
    <row r="44" spans="1:33" s="4" customFormat="1" ht="22.5" customHeight="1" x14ac:dyDescent="0.2">
      <c r="A44" s="50"/>
      <c r="B44" s="40"/>
      <c r="C44" s="41"/>
      <c r="D44" s="41"/>
      <c r="E44" s="37"/>
      <c r="F44" s="40"/>
      <c r="G44" s="44"/>
      <c r="H44" s="44"/>
      <c r="I44" s="41"/>
      <c r="J44" s="39"/>
      <c r="K44" s="42"/>
      <c r="L44" s="42"/>
      <c r="M44" s="42"/>
      <c r="N44" s="42"/>
      <c r="O44" s="42"/>
      <c r="P44" s="42"/>
      <c r="Q44" s="42"/>
      <c r="R44" s="42"/>
      <c r="S44" s="14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7"/>
    </row>
    <row r="45" spans="1:33" s="4" customFormat="1" ht="22.5" customHeight="1" x14ac:dyDescent="0.2">
      <c r="A45" s="50"/>
      <c r="B45" s="40"/>
      <c r="C45" s="41"/>
      <c r="D45" s="41"/>
      <c r="E45" s="54"/>
      <c r="F45" s="40"/>
      <c r="G45" s="45"/>
      <c r="H45" s="45"/>
      <c r="I45" s="41"/>
      <c r="J45" s="55"/>
      <c r="K45" s="42"/>
      <c r="L45" s="42"/>
      <c r="M45" s="42"/>
      <c r="N45" s="42"/>
      <c r="O45" s="42"/>
      <c r="P45" s="42"/>
      <c r="Q45" s="42"/>
      <c r="R45" s="42"/>
      <c r="S45" s="14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7"/>
    </row>
    <row r="46" spans="1:33" s="4" customFormat="1" ht="22.5" customHeight="1" x14ac:dyDescent="0.2">
      <c r="A46" s="50" t="s">
        <v>100</v>
      </c>
      <c r="B46" s="40" t="s">
        <v>101</v>
      </c>
      <c r="C46" s="41" t="s">
        <v>55</v>
      </c>
      <c r="D46" s="41" t="s">
        <v>57</v>
      </c>
      <c r="E46" s="36" t="s">
        <v>56</v>
      </c>
      <c r="F46" s="40"/>
      <c r="G46" s="43" t="s">
        <v>66</v>
      </c>
      <c r="H46" s="43">
        <v>1718</v>
      </c>
      <c r="I46" s="41" t="s">
        <v>83</v>
      </c>
      <c r="J46" s="38">
        <v>39.950000000000003</v>
      </c>
      <c r="K46" s="42">
        <v>0</v>
      </c>
      <c r="L46" s="42">
        <v>0</v>
      </c>
      <c r="M46" s="42">
        <v>0</v>
      </c>
      <c r="N46" s="42">
        <v>5</v>
      </c>
      <c r="O46" s="42">
        <v>3</v>
      </c>
      <c r="P46" s="42">
        <v>3</v>
      </c>
      <c r="Q46" s="42">
        <v>0</v>
      </c>
      <c r="R46" s="42">
        <v>3</v>
      </c>
      <c r="S46" s="14"/>
      <c r="T46" s="15"/>
      <c r="U46" s="15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7"/>
    </row>
    <row r="47" spans="1:33" s="4" customFormat="1" ht="22.5" customHeight="1" x14ac:dyDescent="0.2">
      <c r="A47" s="50"/>
      <c r="B47" s="40"/>
      <c r="C47" s="41"/>
      <c r="D47" s="41"/>
      <c r="E47" s="37"/>
      <c r="F47" s="40"/>
      <c r="G47" s="44"/>
      <c r="H47" s="44"/>
      <c r="I47" s="41"/>
      <c r="J47" s="39"/>
      <c r="K47" s="42"/>
      <c r="L47" s="42"/>
      <c r="M47" s="42"/>
      <c r="N47" s="42"/>
      <c r="O47" s="42"/>
      <c r="P47" s="42"/>
      <c r="Q47" s="42"/>
      <c r="R47" s="42"/>
      <c r="S47" s="14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7"/>
    </row>
    <row r="48" spans="1:33" s="4" customFormat="1" ht="22.5" customHeight="1" x14ac:dyDescent="0.2">
      <c r="A48" s="50"/>
      <c r="B48" s="40"/>
      <c r="C48" s="41"/>
      <c r="D48" s="41"/>
      <c r="E48" s="54"/>
      <c r="F48" s="40"/>
      <c r="G48" s="45"/>
      <c r="H48" s="45"/>
      <c r="I48" s="41"/>
      <c r="J48" s="55"/>
      <c r="K48" s="42"/>
      <c r="L48" s="42"/>
      <c r="M48" s="42"/>
      <c r="N48" s="42"/>
      <c r="O48" s="42"/>
      <c r="P48" s="42"/>
      <c r="Q48" s="42"/>
      <c r="R48" s="42"/>
      <c r="S48" s="14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7"/>
    </row>
    <row r="49" spans="1:33" s="4" customFormat="1" ht="22.5" customHeight="1" x14ac:dyDescent="0.2">
      <c r="A49" s="50" t="s">
        <v>102</v>
      </c>
      <c r="B49" s="40" t="s">
        <v>101</v>
      </c>
      <c r="C49" s="41" t="s">
        <v>55</v>
      </c>
      <c r="D49" s="41" t="s">
        <v>57</v>
      </c>
      <c r="E49" s="36" t="s">
        <v>56</v>
      </c>
      <c r="F49" s="40"/>
      <c r="G49" s="43" t="s">
        <v>66</v>
      </c>
      <c r="H49" s="43">
        <v>1718</v>
      </c>
      <c r="I49" s="41" t="s">
        <v>83</v>
      </c>
      <c r="J49" s="38">
        <v>39.950000000000003</v>
      </c>
      <c r="K49" s="42">
        <v>0</v>
      </c>
      <c r="L49" s="42">
        <v>0</v>
      </c>
      <c r="M49" s="42">
        <v>0</v>
      </c>
      <c r="N49" s="42">
        <v>0</v>
      </c>
      <c r="O49" s="42">
        <v>0</v>
      </c>
      <c r="P49" s="42">
        <v>0</v>
      </c>
      <c r="Q49" s="42">
        <v>0</v>
      </c>
      <c r="R49" s="42">
        <v>0</v>
      </c>
      <c r="S49" s="14"/>
      <c r="T49" s="15"/>
      <c r="U49" s="15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7"/>
    </row>
    <row r="50" spans="1:33" s="4" customFormat="1" ht="22.5" customHeight="1" x14ac:dyDescent="0.2">
      <c r="A50" s="50"/>
      <c r="B50" s="40"/>
      <c r="C50" s="41"/>
      <c r="D50" s="41"/>
      <c r="E50" s="37"/>
      <c r="F50" s="40"/>
      <c r="G50" s="44"/>
      <c r="H50" s="44"/>
      <c r="I50" s="41"/>
      <c r="J50" s="39"/>
      <c r="K50" s="42"/>
      <c r="L50" s="42"/>
      <c r="M50" s="42"/>
      <c r="N50" s="42"/>
      <c r="O50" s="42"/>
      <c r="P50" s="42"/>
      <c r="Q50" s="42"/>
      <c r="R50" s="42"/>
      <c r="S50" s="14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7"/>
    </row>
    <row r="51" spans="1:33" s="4" customFormat="1" ht="22.5" customHeight="1" x14ac:dyDescent="0.2">
      <c r="A51" s="50"/>
      <c r="B51" s="40"/>
      <c r="C51" s="41"/>
      <c r="D51" s="41"/>
      <c r="E51" s="54"/>
      <c r="F51" s="40"/>
      <c r="G51" s="45"/>
      <c r="H51" s="45"/>
      <c r="I51" s="41"/>
      <c r="J51" s="55"/>
      <c r="K51" s="42"/>
      <c r="L51" s="42"/>
      <c r="M51" s="42"/>
      <c r="N51" s="42"/>
      <c r="O51" s="42"/>
      <c r="P51" s="42"/>
      <c r="Q51" s="42"/>
      <c r="R51" s="42"/>
      <c r="S51" s="14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7"/>
    </row>
    <row r="52" spans="1:33" s="4" customFormat="1" ht="22.5" customHeight="1" x14ac:dyDescent="0.2">
      <c r="A52" s="50" t="s">
        <v>103</v>
      </c>
      <c r="B52" s="40" t="s">
        <v>104</v>
      </c>
      <c r="C52" s="41" t="s">
        <v>59</v>
      </c>
      <c r="D52" s="41" t="s">
        <v>49</v>
      </c>
      <c r="E52" s="36" t="s">
        <v>61</v>
      </c>
      <c r="F52" s="40"/>
      <c r="G52" s="43" t="s">
        <v>66</v>
      </c>
      <c r="H52" s="43">
        <v>1718</v>
      </c>
      <c r="I52" s="41" t="s">
        <v>83</v>
      </c>
      <c r="J52" s="38">
        <v>39.950000000000003</v>
      </c>
      <c r="K52" s="42">
        <v>0</v>
      </c>
      <c r="L52" s="42">
        <v>0</v>
      </c>
      <c r="M52" s="42">
        <v>0</v>
      </c>
      <c r="N52" s="42">
        <v>0</v>
      </c>
      <c r="O52" s="42">
        <v>0</v>
      </c>
      <c r="P52" s="42">
        <v>0</v>
      </c>
      <c r="Q52" s="42">
        <v>0</v>
      </c>
      <c r="R52" s="42">
        <v>0</v>
      </c>
      <c r="S52" s="14"/>
      <c r="T52" s="15"/>
      <c r="U52" s="15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7"/>
    </row>
    <row r="53" spans="1:33" s="4" customFormat="1" ht="22.5" customHeight="1" x14ac:dyDescent="0.2">
      <c r="A53" s="50"/>
      <c r="B53" s="40"/>
      <c r="C53" s="41"/>
      <c r="D53" s="41"/>
      <c r="E53" s="37"/>
      <c r="F53" s="40"/>
      <c r="G53" s="44"/>
      <c r="H53" s="44"/>
      <c r="I53" s="41"/>
      <c r="J53" s="39"/>
      <c r="K53" s="42"/>
      <c r="L53" s="42"/>
      <c r="M53" s="42"/>
      <c r="N53" s="42"/>
      <c r="O53" s="42"/>
      <c r="P53" s="42"/>
      <c r="Q53" s="42"/>
      <c r="R53" s="42"/>
      <c r="S53" s="14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7"/>
    </row>
    <row r="54" spans="1:33" s="4" customFormat="1" ht="22.5" customHeight="1" x14ac:dyDescent="0.2">
      <c r="A54" s="50"/>
      <c r="B54" s="40"/>
      <c r="C54" s="41"/>
      <c r="D54" s="41"/>
      <c r="E54" s="54"/>
      <c r="F54" s="40"/>
      <c r="G54" s="45"/>
      <c r="H54" s="45"/>
      <c r="I54" s="41"/>
      <c r="J54" s="55"/>
      <c r="K54" s="42"/>
      <c r="L54" s="42"/>
      <c r="M54" s="42"/>
      <c r="N54" s="42"/>
      <c r="O54" s="42"/>
      <c r="P54" s="42"/>
      <c r="Q54" s="42"/>
      <c r="R54" s="42"/>
      <c r="S54" s="14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7"/>
    </row>
    <row r="55" spans="1:33" s="4" customFormat="1" ht="22.5" customHeight="1" x14ac:dyDescent="0.2">
      <c r="A55" s="50" t="s">
        <v>105</v>
      </c>
      <c r="B55" s="40" t="s">
        <v>106</v>
      </c>
      <c r="C55" s="41" t="s">
        <v>52</v>
      </c>
      <c r="D55" s="41" t="s">
        <v>49</v>
      </c>
      <c r="E55" s="36" t="s">
        <v>107</v>
      </c>
      <c r="F55" s="40"/>
      <c r="G55" s="43" t="s">
        <v>66</v>
      </c>
      <c r="H55" s="43">
        <v>1718</v>
      </c>
      <c r="I55" s="41" t="s">
        <v>83</v>
      </c>
      <c r="J55" s="38">
        <v>59.95</v>
      </c>
      <c r="K55" s="42">
        <v>0</v>
      </c>
      <c r="L55" s="42">
        <v>0</v>
      </c>
      <c r="M55" s="42">
        <v>0</v>
      </c>
      <c r="N55" s="42">
        <v>0</v>
      </c>
      <c r="O55" s="42">
        <v>0</v>
      </c>
      <c r="P55" s="42">
        <v>0</v>
      </c>
      <c r="Q55" s="42">
        <v>0</v>
      </c>
      <c r="R55" s="42">
        <v>0</v>
      </c>
      <c r="S55" s="14"/>
      <c r="T55" s="15"/>
      <c r="U55" s="15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7"/>
    </row>
    <row r="56" spans="1:33" s="4" customFormat="1" ht="22.5" customHeight="1" x14ac:dyDescent="0.2">
      <c r="A56" s="50"/>
      <c r="B56" s="40"/>
      <c r="C56" s="41"/>
      <c r="D56" s="41"/>
      <c r="E56" s="37"/>
      <c r="F56" s="40"/>
      <c r="G56" s="44"/>
      <c r="H56" s="44"/>
      <c r="I56" s="41"/>
      <c r="J56" s="39"/>
      <c r="K56" s="42"/>
      <c r="L56" s="42"/>
      <c r="M56" s="42"/>
      <c r="N56" s="42"/>
      <c r="O56" s="42"/>
      <c r="P56" s="42"/>
      <c r="Q56" s="42"/>
      <c r="R56" s="42"/>
      <c r="S56" s="14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7"/>
    </row>
    <row r="57" spans="1:33" s="4" customFormat="1" ht="22.5" customHeight="1" x14ac:dyDescent="0.2">
      <c r="A57" s="50"/>
      <c r="B57" s="40"/>
      <c r="C57" s="41"/>
      <c r="D57" s="41"/>
      <c r="E57" s="54"/>
      <c r="F57" s="40"/>
      <c r="G57" s="45"/>
      <c r="H57" s="45"/>
      <c r="I57" s="41"/>
      <c r="J57" s="39"/>
      <c r="K57" s="42"/>
      <c r="L57" s="42"/>
      <c r="M57" s="42"/>
      <c r="N57" s="42"/>
      <c r="O57" s="42"/>
      <c r="P57" s="42"/>
      <c r="Q57" s="42"/>
      <c r="R57" s="42"/>
      <c r="S57" s="14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7"/>
    </row>
    <row r="58" spans="1:33" s="4" customFormat="1" ht="22.5" customHeight="1" x14ac:dyDescent="0.2">
      <c r="A58" s="50" t="s">
        <v>108</v>
      </c>
      <c r="B58" s="40" t="s">
        <v>109</v>
      </c>
      <c r="C58" s="41" t="s">
        <v>53</v>
      </c>
      <c r="D58" s="41" t="s">
        <v>49</v>
      </c>
      <c r="E58" s="36" t="s">
        <v>72</v>
      </c>
      <c r="F58" s="40"/>
      <c r="G58" s="43" t="s">
        <v>66</v>
      </c>
      <c r="H58" s="43">
        <v>1718</v>
      </c>
      <c r="I58" s="41" t="s">
        <v>64</v>
      </c>
      <c r="J58" s="38">
        <v>59.95</v>
      </c>
      <c r="K58" s="42">
        <v>0</v>
      </c>
      <c r="L58" s="42">
        <v>0</v>
      </c>
      <c r="M58" s="42">
        <v>0</v>
      </c>
      <c r="N58" s="42">
        <v>0</v>
      </c>
      <c r="O58" s="42">
        <v>0</v>
      </c>
      <c r="P58" s="42">
        <v>-4</v>
      </c>
      <c r="Q58" s="42">
        <v>0</v>
      </c>
      <c r="R58" s="42">
        <v>0</v>
      </c>
      <c r="S58" s="14"/>
      <c r="T58" s="15"/>
      <c r="U58" s="15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7"/>
    </row>
    <row r="59" spans="1:33" s="4" customFormat="1" ht="22.5" customHeight="1" x14ac:dyDescent="0.2">
      <c r="A59" s="50"/>
      <c r="B59" s="40"/>
      <c r="C59" s="41"/>
      <c r="D59" s="41"/>
      <c r="E59" s="37"/>
      <c r="F59" s="40"/>
      <c r="G59" s="44"/>
      <c r="H59" s="44"/>
      <c r="I59" s="41"/>
      <c r="J59" s="39"/>
      <c r="K59" s="42"/>
      <c r="L59" s="42"/>
      <c r="M59" s="42"/>
      <c r="N59" s="42"/>
      <c r="O59" s="42"/>
      <c r="P59" s="42"/>
      <c r="Q59" s="42"/>
      <c r="R59" s="42"/>
      <c r="S59" s="14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7"/>
    </row>
    <row r="60" spans="1:33" s="4" customFormat="1" ht="22.5" customHeight="1" x14ac:dyDescent="0.2">
      <c r="A60" s="50"/>
      <c r="B60" s="40"/>
      <c r="C60" s="41"/>
      <c r="D60" s="41"/>
      <c r="E60" s="54"/>
      <c r="F60" s="40"/>
      <c r="G60" s="45"/>
      <c r="H60" s="45"/>
      <c r="I60" s="41"/>
      <c r="J60" s="39"/>
      <c r="K60" s="42"/>
      <c r="L60" s="42"/>
      <c r="M60" s="42"/>
      <c r="N60" s="42"/>
      <c r="O60" s="42"/>
      <c r="P60" s="42"/>
      <c r="Q60" s="42"/>
      <c r="R60" s="42"/>
      <c r="S60" s="14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7"/>
    </row>
    <row r="61" spans="1:33" s="4" customFormat="1" ht="22.5" customHeight="1" x14ac:dyDescent="0.2">
      <c r="A61" s="50" t="s">
        <v>110</v>
      </c>
      <c r="B61" s="40" t="s">
        <v>111</v>
      </c>
      <c r="C61" s="41" t="s">
        <v>53</v>
      </c>
      <c r="D61" s="41" t="s">
        <v>57</v>
      </c>
      <c r="E61" s="36" t="s">
        <v>60</v>
      </c>
      <c r="F61" s="40"/>
      <c r="G61" s="43" t="s">
        <v>66</v>
      </c>
      <c r="H61" s="43">
        <v>1718</v>
      </c>
      <c r="I61" s="41" t="s">
        <v>64</v>
      </c>
      <c r="J61" s="38">
        <v>59.95</v>
      </c>
      <c r="K61" s="42">
        <v>0</v>
      </c>
      <c r="L61" s="42">
        <v>0</v>
      </c>
      <c r="M61" s="42">
        <v>0</v>
      </c>
      <c r="N61" s="42">
        <v>0</v>
      </c>
      <c r="O61" s="42">
        <v>0</v>
      </c>
      <c r="P61" s="42">
        <v>0</v>
      </c>
      <c r="Q61" s="42">
        <v>0</v>
      </c>
      <c r="R61" s="42">
        <v>0</v>
      </c>
      <c r="S61" s="14"/>
      <c r="T61" s="15"/>
      <c r="U61" s="15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7"/>
    </row>
    <row r="62" spans="1:33" s="4" customFormat="1" ht="22.5" customHeight="1" x14ac:dyDescent="0.2">
      <c r="A62" s="50"/>
      <c r="B62" s="40"/>
      <c r="C62" s="41"/>
      <c r="D62" s="41"/>
      <c r="E62" s="37"/>
      <c r="F62" s="40"/>
      <c r="G62" s="44"/>
      <c r="H62" s="44"/>
      <c r="I62" s="41"/>
      <c r="J62" s="39"/>
      <c r="K62" s="42"/>
      <c r="L62" s="42"/>
      <c r="M62" s="42"/>
      <c r="N62" s="42"/>
      <c r="O62" s="42"/>
      <c r="P62" s="42"/>
      <c r="Q62" s="42"/>
      <c r="R62" s="42"/>
      <c r="S62" s="14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7"/>
    </row>
    <row r="63" spans="1:33" s="4" customFormat="1" ht="22.5" customHeight="1" x14ac:dyDescent="0.2">
      <c r="A63" s="50"/>
      <c r="B63" s="40"/>
      <c r="C63" s="41"/>
      <c r="D63" s="41"/>
      <c r="E63" s="54"/>
      <c r="F63" s="40"/>
      <c r="G63" s="45"/>
      <c r="H63" s="45"/>
      <c r="I63" s="41"/>
      <c r="J63" s="39"/>
      <c r="K63" s="42"/>
      <c r="L63" s="42"/>
      <c r="M63" s="42"/>
      <c r="N63" s="42"/>
      <c r="O63" s="42"/>
      <c r="P63" s="42"/>
      <c r="Q63" s="42"/>
      <c r="R63" s="42"/>
      <c r="S63" s="14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7"/>
    </row>
    <row r="64" spans="1:33" s="4" customFormat="1" ht="22.5" customHeight="1" x14ac:dyDescent="0.2">
      <c r="A64" s="50" t="s">
        <v>112</v>
      </c>
      <c r="B64" s="40" t="s">
        <v>113</v>
      </c>
      <c r="C64" s="41" t="s">
        <v>53</v>
      </c>
      <c r="D64" s="41" t="s">
        <v>57</v>
      </c>
      <c r="E64" s="36" t="s">
        <v>51</v>
      </c>
      <c r="F64" s="40"/>
      <c r="G64" s="43" t="s">
        <v>66</v>
      </c>
      <c r="H64" s="43">
        <v>1718</v>
      </c>
      <c r="I64" s="41" t="s">
        <v>114</v>
      </c>
      <c r="J64" s="38">
        <v>59.95</v>
      </c>
      <c r="K64" s="42">
        <v>0</v>
      </c>
      <c r="L64" s="42">
        <v>0</v>
      </c>
      <c r="M64" s="42">
        <v>0</v>
      </c>
      <c r="N64" s="42">
        <v>0</v>
      </c>
      <c r="O64" s="42">
        <v>0</v>
      </c>
      <c r="P64" s="42">
        <v>0</v>
      </c>
      <c r="Q64" s="42">
        <v>0</v>
      </c>
      <c r="R64" s="42">
        <v>0</v>
      </c>
      <c r="S64" s="14"/>
      <c r="T64" s="15"/>
      <c r="U64" s="15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7"/>
    </row>
    <row r="65" spans="1:33" s="4" customFormat="1" ht="22.5" customHeight="1" x14ac:dyDescent="0.2">
      <c r="A65" s="50"/>
      <c r="B65" s="40"/>
      <c r="C65" s="41"/>
      <c r="D65" s="41"/>
      <c r="E65" s="37"/>
      <c r="F65" s="40"/>
      <c r="G65" s="44"/>
      <c r="H65" s="44"/>
      <c r="I65" s="41"/>
      <c r="J65" s="39"/>
      <c r="K65" s="42"/>
      <c r="L65" s="42"/>
      <c r="M65" s="42"/>
      <c r="N65" s="42"/>
      <c r="O65" s="42"/>
      <c r="P65" s="42"/>
      <c r="Q65" s="42"/>
      <c r="R65" s="42"/>
      <c r="S65" s="14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7"/>
    </row>
    <row r="66" spans="1:33" s="4" customFormat="1" ht="22.5" customHeight="1" x14ac:dyDescent="0.2">
      <c r="A66" s="50"/>
      <c r="B66" s="40"/>
      <c r="C66" s="41"/>
      <c r="D66" s="41"/>
      <c r="E66" s="54"/>
      <c r="F66" s="40"/>
      <c r="G66" s="45"/>
      <c r="H66" s="45"/>
      <c r="I66" s="41"/>
      <c r="J66" s="39"/>
      <c r="K66" s="42"/>
      <c r="L66" s="42"/>
      <c r="M66" s="42"/>
      <c r="N66" s="42"/>
      <c r="O66" s="42"/>
      <c r="P66" s="42"/>
      <c r="Q66" s="42"/>
      <c r="R66" s="42"/>
      <c r="S66" s="14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7"/>
    </row>
    <row r="67" spans="1:33" s="4" customFormat="1" ht="22.5" customHeight="1" x14ac:dyDescent="0.2">
      <c r="A67" s="50" t="s">
        <v>115</v>
      </c>
      <c r="B67" s="40" t="s">
        <v>116</v>
      </c>
      <c r="C67" s="41" t="s">
        <v>53</v>
      </c>
      <c r="D67" s="41" t="s">
        <v>49</v>
      </c>
      <c r="E67" s="36" t="s">
        <v>60</v>
      </c>
      <c r="F67" s="40"/>
      <c r="G67" s="43" t="s">
        <v>66</v>
      </c>
      <c r="H67" s="43">
        <v>1718</v>
      </c>
      <c r="I67" s="41" t="s">
        <v>94</v>
      </c>
      <c r="J67" s="38">
        <v>59.95</v>
      </c>
      <c r="K67" s="42">
        <v>0</v>
      </c>
      <c r="L67" s="42">
        <v>0</v>
      </c>
      <c r="M67" s="42">
        <v>0</v>
      </c>
      <c r="N67" s="42">
        <v>0</v>
      </c>
      <c r="O67" s="42">
        <v>0</v>
      </c>
      <c r="P67" s="42">
        <v>0</v>
      </c>
      <c r="Q67" s="42">
        <v>0</v>
      </c>
      <c r="R67" s="42">
        <v>0</v>
      </c>
      <c r="S67" s="14"/>
      <c r="T67" s="15"/>
      <c r="U67" s="15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7"/>
    </row>
    <row r="68" spans="1:33" s="4" customFormat="1" ht="22.5" customHeight="1" x14ac:dyDescent="0.2">
      <c r="A68" s="50"/>
      <c r="B68" s="40"/>
      <c r="C68" s="41"/>
      <c r="D68" s="41"/>
      <c r="E68" s="37"/>
      <c r="F68" s="40"/>
      <c r="G68" s="44"/>
      <c r="H68" s="44"/>
      <c r="I68" s="41"/>
      <c r="J68" s="39"/>
      <c r="K68" s="42"/>
      <c r="L68" s="42"/>
      <c r="M68" s="42"/>
      <c r="N68" s="42"/>
      <c r="O68" s="42"/>
      <c r="P68" s="42"/>
      <c r="Q68" s="42"/>
      <c r="R68" s="42"/>
      <c r="S68" s="14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7"/>
    </row>
    <row r="69" spans="1:33" s="4" customFormat="1" ht="22.5" customHeight="1" x14ac:dyDescent="0.2">
      <c r="A69" s="50"/>
      <c r="B69" s="40"/>
      <c r="C69" s="41"/>
      <c r="D69" s="41"/>
      <c r="E69" s="54"/>
      <c r="F69" s="40"/>
      <c r="G69" s="45"/>
      <c r="H69" s="45"/>
      <c r="I69" s="41"/>
      <c r="J69" s="39"/>
      <c r="K69" s="42"/>
      <c r="L69" s="42"/>
      <c r="M69" s="42"/>
      <c r="N69" s="42"/>
      <c r="O69" s="42"/>
      <c r="P69" s="42"/>
      <c r="Q69" s="42"/>
      <c r="R69" s="42"/>
      <c r="S69" s="14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7"/>
    </row>
    <row r="70" spans="1:33" s="4" customFormat="1" ht="22.5" customHeight="1" x14ac:dyDescent="0.2">
      <c r="A70" s="50" t="s">
        <v>117</v>
      </c>
      <c r="B70" s="40" t="s">
        <v>118</v>
      </c>
      <c r="C70" s="41" t="s">
        <v>55</v>
      </c>
      <c r="D70" s="41" t="s">
        <v>57</v>
      </c>
      <c r="E70" s="36" t="s">
        <v>56</v>
      </c>
      <c r="F70" s="40"/>
      <c r="G70" s="43" t="s">
        <v>66</v>
      </c>
      <c r="H70" s="43">
        <v>1718</v>
      </c>
      <c r="I70" s="41" t="s">
        <v>83</v>
      </c>
      <c r="J70" s="38">
        <v>29.95</v>
      </c>
      <c r="K70" s="42">
        <v>0</v>
      </c>
      <c r="L70" s="42">
        <v>0</v>
      </c>
      <c r="M70" s="42">
        <v>0</v>
      </c>
      <c r="N70" s="42">
        <v>0</v>
      </c>
      <c r="O70" s="42">
        <v>0</v>
      </c>
      <c r="P70" s="42">
        <v>0</v>
      </c>
      <c r="Q70" s="42">
        <v>0</v>
      </c>
      <c r="R70" s="42">
        <v>0</v>
      </c>
      <c r="S70" s="14"/>
      <c r="T70" s="15"/>
      <c r="U70" s="15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7"/>
    </row>
    <row r="71" spans="1:33" s="4" customFormat="1" ht="22.5" customHeight="1" x14ac:dyDescent="0.2">
      <c r="A71" s="50"/>
      <c r="B71" s="40"/>
      <c r="C71" s="41"/>
      <c r="D71" s="41"/>
      <c r="E71" s="37"/>
      <c r="F71" s="40"/>
      <c r="G71" s="44"/>
      <c r="H71" s="44"/>
      <c r="I71" s="41"/>
      <c r="J71" s="39"/>
      <c r="K71" s="42"/>
      <c r="L71" s="42"/>
      <c r="M71" s="42"/>
      <c r="N71" s="42"/>
      <c r="O71" s="42"/>
      <c r="P71" s="42"/>
      <c r="Q71" s="42"/>
      <c r="R71" s="42"/>
      <c r="S71" s="14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7"/>
    </row>
    <row r="72" spans="1:33" s="4" customFormat="1" ht="22.5" customHeight="1" x14ac:dyDescent="0.2">
      <c r="A72" s="50"/>
      <c r="B72" s="40"/>
      <c r="C72" s="41"/>
      <c r="D72" s="41"/>
      <c r="E72" s="54"/>
      <c r="F72" s="40"/>
      <c r="G72" s="45"/>
      <c r="H72" s="45"/>
      <c r="I72" s="41"/>
      <c r="J72" s="39"/>
      <c r="K72" s="42"/>
      <c r="L72" s="42"/>
      <c r="M72" s="42"/>
      <c r="N72" s="42"/>
      <c r="O72" s="42"/>
      <c r="P72" s="42"/>
      <c r="Q72" s="42"/>
      <c r="R72" s="42"/>
      <c r="S72" s="14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7"/>
    </row>
    <row r="73" spans="1:33" s="4" customFormat="1" ht="22.5" customHeight="1" x14ac:dyDescent="0.2">
      <c r="A73" s="50" t="s">
        <v>119</v>
      </c>
      <c r="B73" s="40" t="s">
        <v>120</v>
      </c>
      <c r="C73" s="41" t="s">
        <v>58</v>
      </c>
      <c r="D73" s="41" t="s">
        <v>49</v>
      </c>
      <c r="E73" s="36" t="s">
        <v>107</v>
      </c>
      <c r="F73" s="40"/>
      <c r="G73" s="43" t="s">
        <v>66</v>
      </c>
      <c r="H73" s="43">
        <v>1718</v>
      </c>
      <c r="I73" s="41" t="s">
        <v>83</v>
      </c>
      <c r="J73" s="38">
        <v>59.95</v>
      </c>
      <c r="K73" s="42">
        <v>0</v>
      </c>
      <c r="L73" s="42">
        <v>0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14"/>
      <c r="T73" s="15"/>
      <c r="U73" s="15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7"/>
    </row>
    <row r="74" spans="1:33" s="4" customFormat="1" ht="22.5" customHeight="1" x14ac:dyDescent="0.2">
      <c r="A74" s="50"/>
      <c r="B74" s="40"/>
      <c r="C74" s="41"/>
      <c r="D74" s="41"/>
      <c r="E74" s="37"/>
      <c r="F74" s="40"/>
      <c r="G74" s="44"/>
      <c r="H74" s="44"/>
      <c r="I74" s="41"/>
      <c r="J74" s="39"/>
      <c r="K74" s="42"/>
      <c r="L74" s="42"/>
      <c r="M74" s="42"/>
      <c r="N74" s="42"/>
      <c r="O74" s="42"/>
      <c r="P74" s="42"/>
      <c r="Q74" s="42"/>
      <c r="R74" s="42"/>
      <c r="S74" s="14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7"/>
    </row>
    <row r="75" spans="1:33" s="4" customFormat="1" ht="22.5" customHeight="1" x14ac:dyDescent="0.2">
      <c r="A75" s="50"/>
      <c r="B75" s="40"/>
      <c r="C75" s="41"/>
      <c r="D75" s="41"/>
      <c r="E75" s="54"/>
      <c r="F75" s="40"/>
      <c r="G75" s="45"/>
      <c r="H75" s="45"/>
      <c r="I75" s="41"/>
      <c r="J75" s="39"/>
      <c r="K75" s="42"/>
      <c r="L75" s="42"/>
      <c r="M75" s="42"/>
      <c r="N75" s="42"/>
      <c r="O75" s="42"/>
      <c r="P75" s="42"/>
      <c r="Q75" s="42"/>
      <c r="R75" s="42"/>
      <c r="S75" s="14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7"/>
    </row>
    <row r="76" spans="1:33" s="4" customFormat="1" ht="22.5" customHeight="1" x14ac:dyDescent="0.2">
      <c r="A76" s="50" t="s">
        <v>121</v>
      </c>
      <c r="B76" s="40" t="s">
        <v>122</v>
      </c>
      <c r="C76" s="41" t="s">
        <v>59</v>
      </c>
      <c r="D76" s="41" t="s">
        <v>49</v>
      </c>
      <c r="E76" s="36" t="s">
        <v>107</v>
      </c>
      <c r="F76" s="40"/>
      <c r="G76" s="43" t="s">
        <v>66</v>
      </c>
      <c r="H76" s="43">
        <v>1718</v>
      </c>
      <c r="I76" s="41" t="s">
        <v>83</v>
      </c>
      <c r="J76" s="38">
        <v>59.95</v>
      </c>
      <c r="K76" s="42">
        <v>0</v>
      </c>
      <c r="L76" s="42">
        <v>0</v>
      </c>
      <c r="M76" s="42">
        <v>0</v>
      </c>
      <c r="N76" s="42">
        <v>0</v>
      </c>
      <c r="O76" s="42">
        <v>0</v>
      </c>
      <c r="P76" s="42">
        <v>-4</v>
      </c>
      <c r="Q76" s="42">
        <v>0</v>
      </c>
      <c r="R76" s="42">
        <v>0</v>
      </c>
      <c r="S76" s="14"/>
      <c r="T76" s="15"/>
      <c r="U76" s="15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7"/>
    </row>
    <row r="77" spans="1:33" s="4" customFormat="1" ht="22.5" customHeight="1" x14ac:dyDescent="0.2">
      <c r="A77" s="50"/>
      <c r="B77" s="40"/>
      <c r="C77" s="41"/>
      <c r="D77" s="41"/>
      <c r="E77" s="37"/>
      <c r="F77" s="40"/>
      <c r="G77" s="44"/>
      <c r="H77" s="44"/>
      <c r="I77" s="41"/>
      <c r="J77" s="39"/>
      <c r="K77" s="42"/>
      <c r="L77" s="42"/>
      <c r="M77" s="42"/>
      <c r="N77" s="42"/>
      <c r="O77" s="42"/>
      <c r="P77" s="42"/>
      <c r="Q77" s="42"/>
      <c r="R77" s="42"/>
      <c r="S77" s="14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7"/>
    </row>
    <row r="78" spans="1:33" s="4" customFormat="1" ht="22.5" customHeight="1" x14ac:dyDescent="0.2">
      <c r="A78" s="50"/>
      <c r="B78" s="40"/>
      <c r="C78" s="41"/>
      <c r="D78" s="41"/>
      <c r="E78" s="54"/>
      <c r="F78" s="40"/>
      <c r="G78" s="45"/>
      <c r="H78" s="45"/>
      <c r="I78" s="41"/>
      <c r="J78" s="39"/>
      <c r="K78" s="42"/>
      <c r="L78" s="42"/>
      <c r="M78" s="42"/>
      <c r="N78" s="42"/>
      <c r="O78" s="42"/>
      <c r="P78" s="42"/>
      <c r="Q78" s="42"/>
      <c r="R78" s="42"/>
      <c r="S78" s="14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7"/>
    </row>
    <row r="79" spans="1:33" s="4" customFormat="1" ht="22.5" customHeight="1" x14ac:dyDescent="0.2">
      <c r="A79" s="50" t="s">
        <v>123</v>
      </c>
      <c r="B79" s="40" t="s">
        <v>124</v>
      </c>
      <c r="C79" s="41" t="s">
        <v>55</v>
      </c>
      <c r="D79" s="41" t="s">
        <v>54</v>
      </c>
      <c r="E79" s="36" t="s">
        <v>56</v>
      </c>
      <c r="F79" s="40"/>
      <c r="G79" s="43" t="s">
        <v>66</v>
      </c>
      <c r="H79" s="43">
        <v>1718</v>
      </c>
      <c r="I79" s="41" t="s">
        <v>83</v>
      </c>
      <c r="J79" s="38">
        <v>39.950000000000003</v>
      </c>
      <c r="K79" s="42">
        <v>0</v>
      </c>
      <c r="L79" s="42">
        <v>0</v>
      </c>
      <c r="M79" s="42">
        <v>0</v>
      </c>
      <c r="N79" s="42">
        <v>11</v>
      </c>
      <c r="O79" s="42">
        <v>12</v>
      </c>
      <c r="P79" s="42">
        <v>10</v>
      </c>
      <c r="Q79" s="42">
        <v>0</v>
      </c>
      <c r="R79" s="42">
        <v>4</v>
      </c>
      <c r="S79" s="14"/>
      <c r="T79" s="15"/>
      <c r="U79" s="15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7"/>
    </row>
    <row r="80" spans="1:33" s="4" customFormat="1" ht="22.5" customHeight="1" x14ac:dyDescent="0.2">
      <c r="A80" s="50"/>
      <c r="B80" s="40"/>
      <c r="C80" s="41"/>
      <c r="D80" s="41"/>
      <c r="E80" s="37"/>
      <c r="F80" s="40"/>
      <c r="G80" s="44"/>
      <c r="H80" s="44"/>
      <c r="I80" s="41"/>
      <c r="J80" s="39"/>
      <c r="K80" s="42"/>
      <c r="L80" s="42"/>
      <c r="M80" s="42"/>
      <c r="N80" s="42"/>
      <c r="O80" s="42"/>
      <c r="P80" s="42"/>
      <c r="Q80" s="42"/>
      <c r="R80" s="42"/>
      <c r="S80" s="14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7"/>
    </row>
    <row r="81" spans="1:33" s="4" customFormat="1" ht="22.5" customHeight="1" x14ac:dyDescent="0.2">
      <c r="A81" s="50"/>
      <c r="B81" s="40"/>
      <c r="C81" s="41"/>
      <c r="D81" s="41"/>
      <c r="E81" s="54"/>
      <c r="F81" s="40"/>
      <c r="G81" s="45"/>
      <c r="H81" s="45"/>
      <c r="I81" s="41"/>
      <c r="J81" s="39"/>
      <c r="K81" s="42"/>
      <c r="L81" s="42"/>
      <c r="M81" s="42"/>
      <c r="N81" s="42"/>
      <c r="O81" s="42"/>
      <c r="P81" s="42"/>
      <c r="Q81" s="42"/>
      <c r="R81" s="42"/>
      <c r="S81" s="14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7"/>
    </row>
    <row r="82" spans="1:33" s="4" customFormat="1" ht="22.5" customHeight="1" x14ac:dyDescent="0.2">
      <c r="A82" s="50" t="s">
        <v>125</v>
      </c>
      <c r="B82" s="40" t="s">
        <v>126</v>
      </c>
      <c r="C82" s="41" t="s">
        <v>59</v>
      </c>
      <c r="D82" s="41" t="s">
        <v>49</v>
      </c>
      <c r="E82" s="36" t="s">
        <v>60</v>
      </c>
      <c r="F82" s="40"/>
      <c r="G82" s="43" t="s">
        <v>66</v>
      </c>
      <c r="H82" s="43">
        <v>1718</v>
      </c>
      <c r="I82" s="41" t="s">
        <v>83</v>
      </c>
      <c r="J82" s="38">
        <v>59.95</v>
      </c>
      <c r="K82" s="42">
        <v>0</v>
      </c>
      <c r="L82" s="42">
        <v>0</v>
      </c>
      <c r="M82" s="42">
        <v>0</v>
      </c>
      <c r="N82" s="42">
        <v>0</v>
      </c>
      <c r="O82" s="42">
        <v>0</v>
      </c>
      <c r="P82" s="42">
        <v>0</v>
      </c>
      <c r="Q82" s="42">
        <v>0</v>
      </c>
      <c r="R82" s="42">
        <v>0</v>
      </c>
      <c r="S82" s="14"/>
      <c r="T82" s="15"/>
      <c r="U82" s="15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7"/>
    </row>
    <row r="83" spans="1:33" s="4" customFormat="1" ht="22.5" customHeight="1" x14ac:dyDescent="0.2">
      <c r="A83" s="50"/>
      <c r="B83" s="40"/>
      <c r="C83" s="41"/>
      <c r="D83" s="41"/>
      <c r="E83" s="37"/>
      <c r="F83" s="40"/>
      <c r="G83" s="44"/>
      <c r="H83" s="44"/>
      <c r="I83" s="41"/>
      <c r="J83" s="39"/>
      <c r="K83" s="42"/>
      <c r="L83" s="42"/>
      <c r="M83" s="42"/>
      <c r="N83" s="42"/>
      <c r="O83" s="42"/>
      <c r="P83" s="42"/>
      <c r="Q83" s="42"/>
      <c r="R83" s="42"/>
      <c r="S83" s="14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7"/>
    </row>
    <row r="84" spans="1:33" s="4" customFormat="1" ht="22.5" customHeight="1" x14ac:dyDescent="0.2">
      <c r="A84" s="50"/>
      <c r="B84" s="40"/>
      <c r="C84" s="41"/>
      <c r="D84" s="41"/>
      <c r="E84" s="54"/>
      <c r="F84" s="40"/>
      <c r="G84" s="45"/>
      <c r="H84" s="45"/>
      <c r="I84" s="41"/>
      <c r="J84" s="39"/>
      <c r="K84" s="42"/>
      <c r="L84" s="42"/>
      <c r="M84" s="42"/>
      <c r="N84" s="42"/>
      <c r="O84" s="42"/>
      <c r="P84" s="42"/>
      <c r="Q84" s="42"/>
      <c r="R84" s="42"/>
      <c r="S84" s="14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7"/>
    </row>
    <row r="85" spans="1:33" s="4" customFormat="1" ht="22.5" customHeight="1" x14ac:dyDescent="0.2">
      <c r="A85" s="56" t="s">
        <v>127</v>
      </c>
      <c r="B85" s="40" t="s">
        <v>70</v>
      </c>
      <c r="C85" s="41" t="s">
        <v>52</v>
      </c>
      <c r="D85" s="41" t="s">
        <v>49</v>
      </c>
      <c r="E85" s="36" t="s">
        <v>128</v>
      </c>
      <c r="F85" s="40"/>
      <c r="G85" s="43" t="s">
        <v>66</v>
      </c>
      <c r="H85" s="43">
        <v>1718</v>
      </c>
      <c r="I85" s="41" t="s">
        <v>71</v>
      </c>
      <c r="J85" s="38">
        <v>59.95</v>
      </c>
      <c r="K85" s="42">
        <v>0</v>
      </c>
      <c r="L85" s="42">
        <v>0</v>
      </c>
      <c r="M85" s="42">
        <v>0</v>
      </c>
      <c r="N85" s="42">
        <v>0</v>
      </c>
      <c r="O85" s="42">
        <v>0</v>
      </c>
      <c r="P85" s="42">
        <v>0</v>
      </c>
      <c r="Q85" s="42">
        <v>0</v>
      </c>
      <c r="R85" s="42">
        <v>0</v>
      </c>
      <c r="S85" s="14"/>
      <c r="T85" s="15"/>
      <c r="U85" s="15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7"/>
    </row>
    <row r="86" spans="1:33" s="4" customFormat="1" ht="22.5" customHeight="1" x14ac:dyDescent="0.2">
      <c r="A86" s="56"/>
      <c r="B86" s="40"/>
      <c r="C86" s="41"/>
      <c r="D86" s="41"/>
      <c r="E86" s="37"/>
      <c r="F86" s="40"/>
      <c r="G86" s="44"/>
      <c r="H86" s="44"/>
      <c r="I86" s="41"/>
      <c r="J86" s="39"/>
      <c r="K86" s="42"/>
      <c r="L86" s="42"/>
      <c r="M86" s="42"/>
      <c r="N86" s="42"/>
      <c r="O86" s="42"/>
      <c r="P86" s="42"/>
      <c r="Q86" s="42"/>
      <c r="R86" s="42"/>
      <c r="S86" s="14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7"/>
    </row>
    <row r="87" spans="1:33" s="4" customFormat="1" ht="22.5" customHeight="1" x14ac:dyDescent="0.2">
      <c r="A87" s="56"/>
      <c r="B87" s="40"/>
      <c r="C87" s="41"/>
      <c r="D87" s="41"/>
      <c r="E87" s="54"/>
      <c r="F87" s="40"/>
      <c r="G87" s="45"/>
      <c r="H87" s="45"/>
      <c r="I87" s="41"/>
      <c r="J87" s="39"/>
      <c r="K87" s="42"/>
      <c r="L87" s="42"/>
      <c r="M87" s="42"/>
      <c r="N87" s="42"/>
      <c r="O87" s="42"/>
      <c r="P87" s="42"/>
      <c r="Q87" s="42"/>
      <c r="R87" s="42"/>
      <c r="S87" s="14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7"/>
    </row>
    <row r="88" spans="1:33" s="4" customFormat="1" ht="22.5" customHeight="1" x14ac:dyDescent="0.2">
      <c r="A88" s="56" t="s">
        <v>129</v>
      </c>
      <c r="B88" s="40" t="s">
        <v>70</v>
      </c>
      <c r="C88" s="41" t="s">
        <v>98</v>
      </c>
      <c r="D88" s="41" t="s">
        <v>97</v>
      </c>
      <c r="E88" s="36" t="s">
        <v>87</v>
      </c>
      <c r="F88" s="40"/>
      <c r="G88" s="43" t="s">
        <v>66</v>
      </c>
      <c r="H88" s="43">
        <v>1718</v>
      </c>
      <c r="I88" s="41" t="s">
        <v>71</v>
      </c>
      <c r="J88" s="38">
        <v>39.950000000000003</v>
      </c>
      <c r="K88" s="42">
        <v>0</v>
      </c>
      <c r="L88" s="42">
        <v>0</v>
      </c>
      <c r="M88" s="42">
        <v>0</v>
      </c>
      <c r="N88" s="42">
        <v>0</v>
      </c>
      <c r="O88" s="42">
        <v>0</v>
      </c>
      <c r="P88" s="42">
        <v>0</v>
      </c>
      <c r="Q88" s="42">
        <v>0</v>
      </c>
      <c r="R88" s="42">
        <v>0</v>
      </c>
      <c r="S88" s="14"/>
      <c r="T88" s="15"/>
      <c r="U88" s="15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7"/>
    </row>
    <row r="89" spans="1:33" s="4" customFormat="1" ht="22.5" customHeight="1" x14ac:dyDescent="0.2">
      <c r="A89" s="56"/>
      <c r="B89" s="40"/>
      <c r="C89" s="41"/>
      <c r="D89" s="41"/>
      <c r="E89" s="37"/>
      <c r="F89" s="40"/>
      <c r="G89" s="44"/>
      <c r="H89" s="44"/>
      <c r="I89" s="41"/>
      <c r="J89" s="39"/>
      <c r="K89" s="42"/>
      <c r="L89" s="42"/>
      <c r="M89" s="42"/>
      <c r="N89" s="42"/>
      <c r="O89" s="42"/>
      <c r="P89" s="42"/>
      <c r="Q89" s="42"/>
      <c r="R89" s="42"/>
      <c r="S89" s="14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7"/>
    </row>
    <row r="90" spans="1:33" s="4" customFormat="1" ht="22.5" customHeight="1" x14ac:dyDescent="0.2">
      <c r="A90" s="56"/>
      <c r="B90" s="40"/>
      <c r="C90" s="41"/>
      <c r="D90" s="41"/>
      <c r="E90" s="54"/>
      <c r="F90" s="40"/>
      <c r="G90" s="45"/>
      <c r="H90" s="45"/>
      <c r="I90" s="41"/>
      <c r="J90" s="39"/>
      <c r="K90" s="42"/>
      <c r="L90" s="42"/>
      <c r="M90" s="42"/>
      <c r="N90" s="42"/>
      <c r="O90" s="42"/>
      <c r="P90" s="42"/>
      <c r="Q90" s="42"/>
      <c r="R90" s="42"/>
      <c r="S90" s="14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7"/>
    </row>
    <row r="91" spans="1:33" s="4" customFormat="1" ht="22.5" customHeight="1" x14ac:dyDescent="0.2">
      <c r="A91" s="56" t="s">
        <v>130</v>
      </c>
      <c r="B91" s="40" t="s">
        <v>131</v>
      </c>
      <c r="C91" s="41" t="s">
        <v>52</v>
      </c>
      <c r="D91" s="41" t="s">
        <v>57</v>
      </c>
      <c r="E91" s="36" t="s">
        <v>60</v>
      </c>
      <c r="F91" s="40"/>
      <c r="G91" s="43" t="s">
        <v>66</v>
      </c>
      <c r="H91" s="43">
        <v>1718</v>
      </c>
      <c r="I91" s="41" t="s">
        <v>114</v>
      </c>
      <c r="J91" s="38">
        <v>59.95</v>
      </c>
      <c r="K91" s="42">
        <v>0</v>
      </c>
      <c r="L91" s="42">
        <v>0</v>
      </c>
      <c r="M91" s="42">
        <v>0</v>
      </c>
      <c r="N91" s="42">
        <v>0</v>
      </c>
      <c r="O91" s="42">
        <v>0</v>
      </c>
      <c r="P91" s="42">
        <v>0</v>
      </c>
      <c r="Q91" s="42">
        <v>0</v>
      </c>
      <c r="R91" s="42">
        <v>0</v>
      </c>
      <c r="S91" s="14"/>
      <c r="T91" s="15"/>
      <c r="U91" s="15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7"/>
    </row>
    <row r="92" spans="1:33" s="4" customFormat="1" ht="22.5" customHeight="1" x14ac:dyDescent="0.2">
      <c r="A92" s="56"/>
      <c r="B92" s="40"/>
      <c r="C92" s="41"/>
      <c r="D92" s="41"/>
      <c r="E92" s="37"/>
      <c r="F92" s="40"/>
      <c r="G92" s="44"/>
      <c r="H92" s="44"/>
      <c r="I92" s="41"/>
      <c r="J92" s="39"/>
      <c r="K92" s="42"/>
      <c r="L92" s="42"/>
      <c r="M92" s="42"/>
      <c r="N92" s="42"/>
      <c r="O92" s="42"/>
      <c r="P92" s="42"/>
      <c r="Q92" s="42"/>
      <c r="R92" s="42"/>
      <c r="S92" s="14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7"/>
    </row>
    <row r="93" spans="1:33" s="4" customFormat="1" ht="22.5" customHeight="1" x14ac:dyDescent="0.2">
      <c r="A93" s="56"/>
      <c r="B93" s="40"/>
      <c r="C93" s="41"/>
      <c r="D93" s="41"/>
      <c r="E93" s="54"/>
      <c r="F93" s="40"/>
      <c r="G93" s="45"/>
      <c r="H93" s="45"/>
      <c r="I93" s="41"/>
      <c r="J93" s="39"/>
      <c r="K93" s="42"/>
      <c r="L93" s="42"/>
      <c r="M93" s="42"/>
      <c r="N93" s="42"/>
      <c r="O93" s="42"/>
      <c r="P93" s="42"/>
      <c r="Q93" s="42"/>
      <c r="R93" s="42"/>
      <c r="S93" s="14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7"/>
    </row>
    <row r="94" spans="1:33" s="4" customFormat="1" ht="22.5" customHeight="1" x14ac:dyDescent="0.2">
      <c r="A94" s="56" t="s">
        <v>132</v>
      </c>
      <c r="B94" s="40" t="s">
        <v>133</v>
      </c>
      <c r="C94" s="41" t="s">
        <v>52</v>
      </c>
      <c r="D94" s="41" t="s">
        <v>57</v>
      </c>
      <c r="E94" s="36" t="s">
        <v>50</v>
      </c>
      <c r="F94" s="40"/>
      <c r="G94" s="43" t="s">
        <v>66</v>
      </c>
      <c r="H94" s="43">
        <v>1718</v>
      </c>
      <c r="I94" s="41" t="s">
        <v>114</v>
      </c>
      <c r="J94" s="38">
        <v>89.95</v>
      </c>
      <c r="K94" s="42">
        <v>0</v>
      </c>
      <c r="L94" s="42">
        <v>0</v>
      </c>
      <c r="M94" s="42">
        <v>0</v>
      </c>
      <c r="N94" s="42">
        <v>0</v>
      </c>
      <c r="O94" s="42">
        <v>0</v>
      </c>
      <c r="P94" s="42">
        <v>0</v>
      </c>
      <c r="Q94" s="42">
        <v>0</v>
      </c>
      <c r="R94" s="42">
        <v>0</v>
      </c>
      <c r="S94" s="14"/>
      <c r="T94" s="15"/>
      <c r="U94" s="15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7"/>
    </row>
    <row r="95" spans="1:33" s="4" customFormat="1" ht="22.5" customHeight="1" x14ac:dyDescent="0.2">
      <c r="A95" s="56"/>
      <c r="B95" s="40"/>
      <c r="C95" s="41"/>
      <c r="D95" s="41"/>
      <c r="E95" s="37"/>
      <c r="F95" s="40"/>
      <c r="G95" s="44"/>
      <c r="H95" s="44"/>
      <c r="I95" s="41"/>
      <c r="J95" s="39"/>
      <c r="K95" s="42"/>
      <c r="L95" s="42"/>
      <c r="M95" s="42"/>
      <c r="N95" s="42"/>
      <c r="O95" s="42"/>
      <c r="P95" s="42"/>
      <c r="Q95" s="42"/>
      <c r="R95" s="42"/>
      <c r="S95" s="14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7"/>
    </row>
    <row r="96" spans="1:33" s="4" customFormat="1" ht="22.5" customHeight="1" x14ac:dyDescent="0.2">
      <c r="A96" s="56"/>
      <c r="B96" s="40"/>
      <c r="C96" s="41"/>
      <c r="D96" s="41"/>
      <c r="E96" s="54"/>
      <c r="F96" s="40"/>
      <c r="G96" s="45"/>
      <c r="H96" s="45"/>
      <c r="I96" s="41"/>
      <c r="J96" s="39"/>
      <c r="K96" s="42"/>
      <c r="L96" s="42"/>
      <c r="M96" s="42"/>
      <c r="N96" s="42"/>
      <c r="O96" s="42"/>
      <c r="P96" s="42"/>
      <c r="Q96" s="42"/>
      <c r="R96" s="42"/>
      <c r="S96" s="14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7"/>
    </row>
    <row r="97" spans="1:33" s="4" customFormat="1" ht="22.5" customHeight="1" x14ac:dyDescent="0.2">
      <c r="A97" s="56" t="s">
        <v>134</v>
      </c>
      <c r="B97" s="40" t="s">
        <v>113</v>
      </c>
      <c r="C97" s="41" t="s">
        <v>59</v>
      </c>
      <c r="D97" s="41" t="s">
        <v>57</v>
      </c>
      <c r="E97" s="36" t="s">
        <v>51</v>
      </c>
      <c r="F97" s="40"/>
      <c r="G97" s="43" t="s">
        <v>66</v>
      </c>
      <c r="H97" s="43">
        <v>1718</v>
      </c>
      <c r="I97" s="41" t="s">
        <v>114</v>
      </c>
      <c r="J97" s="38">
        <v>89.95</v>
      </c>
      <c r="K97" s="42">
        <v>0</v>
      </c>
      <c r="L97" s="42">
        <v>0</v>
      </c>
      <c r="M97" s="42">
        <v>0</v>
      </c>
      <c r="N97" s="42">
        <v>0</v>
      </c>
      <c r="O97" s="42">
        <v>0</v>
      </c>
      <c r="P97" s="42">
        <v>0</v>
      </c>
      <c r="Q97" s="42">
        <v>0</v>
      </c>
      <c r="R97" s="42">
        <v>0</v>
      </c>
      <c r="S97" s="14"/>
      <c r="T97" s="15"/>
      <c r="U97" s="15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7"/>
    </row>
    <row r="98" spans="1:33" s="4" customFormat="1" ht="22.5" customHeight="1" x14ac:dyDescent="0.2">
      <c r="A98" s="56"/>
      <c r="B98" s="40"/>
      <c r="C98" s="41"/>
      <c r="D98" s="41"/>
      <c r="E98" s="37"/>
      <c r="F98" s="40"/>
      <c r="G98" s="44"/>
      <c r="H98" s="44"/>
      <c r="I98" s="41"/>
      <c r="J98" s="39"/>
      <c r="K98" s="42"/>
      <c r="L98" s="42"/>
      <c r="M98" s="42"/>
      <c r="N98" s="42"/>
      <c r="O98" s="42"/>
      <c r="P98" s="42"/>
      <c r="Q98" s="42"/>
      <c r="R98" s="42"/>
      <c r="S98" s="14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7"/>
    </row>
    <row r="99" spans="1:33" s="4" customFormat="1" ht="22.5" customHeight="1" x14ac:dyDescent="0.2">
      <c r="A99" s="56"/>
      <c r="B99" s="40"/>
      <c r="C99" s="41"/>
      <c r="D99" s="41"/>
      <c r="E99" s="54"/>
      <c r="F99" s="40"/>
      <c r="G99" s="45"/>
      <c r="H99" s="45"/>
      <c r="I99" s="41"/>
      <c r="J99" s="39"/>
      <c r="K99" s="42"/>
      <c r="L99" s="42"/>
      <c r="M99" s="42"/>
      <c r="N99" s="42"/>
      <c r="O99" s="42"/>
      <c r="P99" s="42"/>
      <c r="Q99" s="42"/>
      <c r="R99" s="42"/>
      <c r="S99" s="14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7"/>
    </row>
    <row r="100" spans="1:33" ht="22.5" customHeight="1" x14ac:dyDescent="0.2">
      <c r="A100" s="56" t="s">
        <v>135</v>
      </c>
      <c r="B100" s="40" t="s">
        <v>136</v>
      </c>
      <c r="C100" s="41" t="s">
        <v>52</v>
      </c>
      <c r="D100" s="41" t="s">
        <v>57</v>
      </c>
      <c r="E100" s="36" t="s">
        <v>50</v>
      </c>
      <c r="F100" s="40"/>
      <c r="G100" s="43" t="s">
        <v>66</v>
      </c>
      <c r="H100" s="43">
        <v>1718</v>
      </c>
      <c r="I100" s="41" t="s">
        <v>114</v>
      </c>
      <c r="J100" s="38">
        <v>89.95</v>
      </c>
      <c r="K100" s="42">
        <v>0</v>
      </c>
      <c r="L100" s="42">
        <v>0</v>
      </c>
      <c r="M100" s="42">
        <v>0</v>
      </c>
      <c r="N100" s="42">
        <v>0</v>
      </c>
      <c r="O100" s="42">
        <v>0</v>
      </c>
      <c r="P100" s="42">
        <v>0</v>
      </c>
      <c r="Q100" s="42">
        <v>0</v>
      </c>
      <c r="R100" s="42">
        <v>0</v>
      </c>
      <c r="S100" s="14"/>
      <c r="T100" s="15"/>
      <c r="U100" s="15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</row>
    <row r="101" spans="1:33" ht="22.5" customHeight="1" x14ac:dyDescent="0.2">
      <c r="A101" s="56"/>
      <c r="B101" s="40"/>
      <c r="C101" s="41"/>
      <c r="D101" s="41"/>
      <c r="E101" s="37"/>
      <c r="F101" s="40"/>
      <c r="G101" s="44"/>
      <c r="H101" s="44"/>
      <c r="I101" s="41"/>
      <c r="J101" s="39"/>
      <c r="K101" s="42"/>
      <c r="L101" s="42"/>
      <c r="M101" s="42"/>
      <c r="N101" s="42"/>
      <c r="O101" s="42"/>
      <c r="P101" s="42"/>
      <c r="Q101" s="42"/>
      <c r="R101" s="42"/>
      <c r="S101" s="14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3" ht="22.5" customHeight="1" x14ac:dyDescent="0.2">
      <c r="A102" s="56"/>
      <c r="B102" s="40"/>
      <c r="C102" s="41"/>
      <c r="D102" s="41"/>
      <c r="E102" s="54"/>
      <c r="F102" s="40"/>
      <c r="G102" s="45"/>
      <c r="H102" s="45"/>
      <c r="I102" s="41"/>
      <c r="J102" s="39"/>
      <c r="K102" s="42"/>
      <c r="L102" s="42"/>
      <c r="M102" s="42"/>
      <c r="N102" s="42"/>
      <c r="O102" s="42"/>
      <c r="P102" s="42"/>
      <c r="Q102" s="42"/>
      <c r="R102" s="42"/>
      <c r="S102" s="14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3" ht="22.5" customHeight="1" x14ac:dyDescent="0.2">
      <c r="A103" s="56" t="s">
        <v>137</v>
      </c>
      <c r="B103" s="40" t="s">
        <v>138</v>
      </c>
      <c r="C103" s="41" t="s">
        <v>53</v>
      </c>
      <c r="D103" s="41" t="s">
        <v>49</v>
      </c>
      <c r="E103" s="36" t="s">
        <v>51</v>
      </c>
      <c r="F103" s="40"/>
      <c r="G103" s="43" t="s">
        <v>66</v>
      </c>
      <c r="H103" s="43">
        <v>1718</v>
      </c>
      <c r="I103" s="41" t="s">
        <v>94</v>
      </c>
      <c r="J103" s="38">
        <v>59.95</v>
      </c>
      <c r="K103" s="42">
        <v>0</v>
      </c>
      <c r="L103" s="42">
        <v>0</v>
      </c>
      <c r="M103" s="42">
        <v>0</v>
      </c>
      <c r="N103" s="42">
        <v>0</v>
      </c>
      <c r="O103" s="42">
        <v>0</v>
      </c>
      <c r="P103" s="42">
        <v>0</v>
      </c>
      <c r="Q103" s="42">
        <v>0</v>
      </c>
      <c r="R103" s="42">
        <v>0</v>
      </c>
      <c r="S103" s="14"/>
      <c r="T103" s="15"/>
      <c r="U103" s="15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</row>
    <row r="104" spans="1:33" ht="22.5" customHeight="1" x14ac:dyDescent="0.2">
      <c r="A104" s="56"/>
      <c r="B104" s="40"/>
      <c r="C104" s="41"/>
      <c r="D104" s="41"/>
      <c r="E104" s="37"/>
      <c r="F104" s="40"/>
      <c r="G104" s="44"/>
      <c r="H104" s="44"/>
      <c r="I104" s="41"/>
      <c r="J104" s="39"/>
      <c r="K104" s="42"/>
      <c r="L104" s="42"/>
      <c r="M104" s="42"/>
      <c r="N104" s="42"/>
      <c r="O104" s="42"/>
      <c r="P104" s="42"/>
      <c r="Q104" s="42"/>
      <c r="R104" s="42"/>
      <c r="S104" s="14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3" ht="22.5" customHeight="1" x14ac:dyDescent="0.2">
      <c r="A105" s="56"/>
      <c r="B105" s="40"/>
      <c r="C105" s="41"/>
      <c r="D105" s="41"/>
      <c r="E105" s="54"/>
      <c r="F105" s="40"/>
      <c r="G105" s="45"/>
      <c r="H105" s="45"/>
      <c r="I105" s="41"/>
      <c r="J105" s="39"/>
      <c r="K105" s="42"/>
      <c r="L105" s="42"/>
      <c r="M105" s="42"/>
      <c r="N105" s="42"/>
      <c r="O105" s="42"/>
      <c r="P105" s="42"/>
      <c r="Q105" s="42"/>
      <c r="R105" s="42"/>
      <c r="S105" s="14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3" ht="22.5" customHeight="1" x14ac:dyDescent="0.2">
      <c r="A106" s="56" t="s">
        <v>139</v>
      </c>
      <c r="B106" s="40" t="s">
        <v>140</v>
      </c>
      <c r="C106" s="41" t="s">
        <v>52</v>
      </c>
      <c r="D106" s="41" t="s">
        <v>49</v>
      </c>
      <c r="E106" s="36" t="s">
        <v>141</v>
      </c>
      <c r="F106" s="40"/>
      <c r="G106" s="43" t="s">
        <v>66</v>
      </c>
      <c r="H106" s="43">
        <v>1718</v>
      </c>
      <c r="I106" s="41" t="s">
        <v>94</v>
      </c>
      <c r="J106" s="38">
        <v>59.95</v>
      </c>
      <c r="K106" s="42">
        <v>0</v>
      </c>
      <c r="L106" s="42">
        <v>0</v>
      </c>
      <c r="M106" s="42">
        <v>0</v>
      </c>
      <c r="N106" s="42">
        <v>0</v>
      </c>
      <c r="O106" s="42">
        <v>0</v>
      </c>
      <c r="P106" s="42">
        <v>0</v>
      </c>
      <c r="Q106" s="42">
        <v>0</v>
      </c>
      <c r="R106" s="42">
        <v>0</v>
      </c>
      <c r="S106" s="14"/>
      <c r="T106" s="15"/>
      <c r="U106" s="15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</row>
    <row r="107" spans="1:33" ht="22.5" customHeight="1" x14ac:dyDescent="0.2">
      <c r="A107" s="56"/>
      <c r="B107" s="40"/>
      <c r="C107" s="41"/>
      <c r="D107" s="41"/>
      <c r="E107" s="37"/>
      <c r="F107" s="40"/>
      <c r="G107" s="44"/>
      <c r="H107" s="44"/>
      <c r="I107" s="41"/>
      <c r="J107" s="39"/>
      <c r="K107" s="42"/>
      <c r="L107" s="42"/>
      <c r="M107" s="42"/>
      <c r="N107" s="42"/>
      <c r="O107" s="42"/>
      <c r="P107" s="42"/>
      <c r="Q107" s="42"/>
      <c r="R107" s="42"/>
      <c r="S107" s="14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3" ht="22.5" customHeight="1" x14ac:dyDescent="0.2">
      <c r="A108" s="56"/>
      <c r="B108" s="40"/>
      <c r="C108" s="41"/>
      <c r="D108" s="41"/>
      <c r="E108" s="54"/>
      <c r="F108" s="40"/>
      <c r="G108" s="45"/>
      <c r="H108" s="45"/>
      <c r="I108" s="41"/>
      <c r="J108" s="39"/>
      <c r="K108" s="42"/>
      <c r="L108" s="42"/>
      <c r="M108" s="42"/>
      <c r="N108" s="42"/>
      <c r="O108" s="42"/>
      <c r="P108" s="42"/>
      <c r="Q108" s="42"/>
      <c r="R108" s="42"/>
      <c r="S108" s="14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3" ht="22.5" customHeight="1" x14ac:dyDescent="0.2">
      <c r="A109" s="56" t="s">
        <v>142</v>
      </c>
      <c r="B109" s="40" t="s">
        <v>143</v>
      </c>
      <c r="C109" s="41" t="s">
        <v>53</v>
      </c>
      <c r="D109" s="41" t="s">
        <v>49</v>
      </c>
      <c r="E109" s="36" t="s">
        <v>60</v>
      </c>
      <c r="F109" s="40"/>
      <c r="G109" s="43" t="s">
        <v>66</v>
      </c>
      <c r="H109" s="43">
        <v>1718</v>
      </c>
      <c r="I109" s="41" t="s">
        <v>94</v>
      </c>
      <c r="J109" s="38">
        <v>39.950000000000003</v>
      </c>
      <c r="K109" s="42">
        <v>0</v>
      </c>
      <c r="L109" s="42">
        <v>0</v>
      </c>
      <c r="M109" s="42">
        <v>0</v>
      </c>
      <c r="N109" s="42">
        <v>0</v>
      </c>
      <c r="O109" s="42">
        <v>0</v>
      </c>
      <c r="P109" s="42">
        <v>0</v>
      </c>
      <c r="Q109" s="42">
        <v>0</v>
      </c>
      <c r="R109" s="42">
        <v>0</v>
      </c>
      <c r="S109" s="14"/>
      <c r="T109" s="15"/>
      <c r="U109" s="15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</row>
    <row r="110" spans="1:33" ht="22.5" customHeight="1" x14ac:dyDescent="0.2">
      <c r="A110" s="56"/>
      <c r="B110" s="40"/>
      <c r="C110" s="41"/>
      <c r="D110" s="41"/>
      <c r="E110" s="37"/>
      <c r="F110" s="40"/>
      <c r="G110" s="44"/>
      <c r="H110" s="44"/>
      <c r="I110" s="41"/>
      <c r="J110" s="39"/>
      <c r="K110" s="42"/>
      <c r="L110" s="42"/>
      <c r="M110" s="42"/>
      <c r="N110" s="42"/>
      <c r="O110" s="42"/>
      <c r="P110" s="42"/>
      <c r="Q110" s="42"/>
      <c r="R110" s="42"/>
      <c r="S110" s="14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3" ht="22.5" customHeight="1" x14ac:dyDescent="0.2">
      <c r="A111" s="56"/>
      <c r="B111" s="40"/>
      <c r="C111" s="41"/>
      <c r="D111" s="41"/>
      <c r="E111" s="54"/>
      <c r="F111" s="40"/>
      <c r="G111" s="45"/>
      <c r="H111" s="45"/>
      <c r="I111" s="41"/>
      <c r="J111" s="39"/>
      <c r="K111" s="42"/>
      <c r="L111" s="42"/>
      <c r="M111" s="42"/>
      <c r="N111" s="42"/>
      <c r="O111" s="42"/>
      <c r="P111" s="42"/>
      <c r="Q111" s="42"/>
      <c r="R111" s="42"/>
      <c r="S111" s="14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3" ht="22.5" customHeight="1" x14ac:dyDescent="0.2">
      <c r="A112" s="56" t="s">
        <v>144</v>
      </c>
      <c r="B112" s="40" t="s">
        <v>145</v>
      </c>
      <c r="C112" s="41" t="s">
        <v>59</v>
      </c>
      <c r="D112" s="41" t="s">
        <v>49</v>
      </c>
      <c r="E112" s="36" t="s">
        <v>51</v>
      </c>
      <c r="F112" s="40"/>
      <c r="G112" s="43" t="s">
        <v>66</v>
      </c>
      <c r="H112" s="43">
        <v>1718</v>
      </c>
      <c r="I112" s="41" t="s">
        <v>83</v>
      </c>
      <c r="J112" s="38">
        <v>59.95</v>
      </c>
      <c r="K112" s="42">
        <v>0</v>
      </c>
      <c r="L112" s="42">
        <v>0</v>
      </c>
      <c r="M112" s="42">
        <v>0</v>
      </c>
      <c r="N112" s="42">
        <v>0</v>
      </c>
      <c r="O112" s="42">
        <v>0</v>
      </c>
      <c r="P112" s="42">
        <v>0</v>
      </c>
      <c r="Q112" s="42">
        <v>0</v>
      </c>
      <c r="R112" s="42">
        <v>0</v>
      </c>
      <c r="S112" s="14"/>
      <c r="T112" s="15"/>
      <c r="U112" s="15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</row>
    <row r="113" spans="1:32" ht="22.5" customHeight="1" x14ac:dyDescent="0.2">
      <c r="A113" s="56"/>
      <c r="B113" s="40"/>
      <c r="C113" s="41"/>
      <c r="D113" s="41"/>
      <c r="E113" s="37"/>
      <c r="F113" s="40"/>
      <c r="G113" s="44"/>
      <c r="H113" s="44"/>
      <c r="I113" s="41"/>
      <c r="J113" s="39"/>
      <c r="K113" s="42"/>
      <c r="L113" s="42"/>
      <c r="M113" s="42"/>
      <c r="N113" s="42"/>
      <c r="O113" s="42"/>
      <c r="P113" s="42"/>
      <c r="Q113" s="42"/>
      <c r="R113" s="42"/>
      <c r="S113" s="14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22.5" customHeight="1" x14ac:dyDescent="0.2">
      <c r="A114" s="56"/>
      <c r="B114" s="40"/>
      <c r="C114" s="41"/>
      <c r="D114" s="41"/>
      <c r="E114" s="54"/>
      <c r="F114" s="40"/>
      <c r="G114" s="45"/>
      <c r="H114" s="45"/>
      <c r="I114" s="41"/>
      <c r="J114" s="39"/>
      <c r="K114" s="42"/>
      <c r="L114" s="42"/>
      <c r="M114" s="42"/>
      <c r="N114" s="42"/>
      <c r="O114" s="42"/>
      <c r="P114" s="42"/>
      <c r="Q114" s="42"/>
      <c r="R114" s="42"/>
      <c r="S114" s="14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22.5" customHeight="1" x14ac:dyDescent="0.2">
      <c r="A115" s="56" t="s">
        <v>146</v>
      </c>
      <c r="B115" s="40" t="s">
        <v>147</v>
      </c>
      <c r="C115" s="41" t="s">
        <v>55</v>
      </c>
      <c r="D115" s="41" t="s">
        <v>54</v>
      </c>
      <c r="E115" s="36" t="s">
        <v>56</v>
      </c>
      <c r="F115" s="40"/>
      <c r="G115" s="43" t="s">
        <v>66</v>
      </c>
      <c r="H115" s="43">
        <v>1718</v>
      </c>
      <c r="I115" s="41" t="s">
        <v>83</v>
      </c>
      <c r="J115" s="38">
        <v>29.95</v>
      </c>
      <c r="K115" s="42">
        <v>0</v>
      </c>
      <c r="L115" s="42">
        <v>0</v>
      </c>
      <c r="M115" s="42">
        <v>0</v>
      </c>
      <c r="N115" s="42">
        <v>0</v>
      </c>
      <c r="O115" s="42">
        <v>0</v>
      </c>
      <c r="P115" s="42">
        <v>0</v>
      </c>
      <c r="Q115" s="42">
        <v>0</v>
      </c>
      <c r="R115" s="42">
        <v>0</v>
      </c>
      <c r="S115" s="14"/>
      <c r="T115" s="15"/>
      <c r="U115" s="15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</row>
    <row r="116" spans="1:32" ht="22.5" customHeight="1" x14ac:dyDescent="0.2">
      <c r="A116" s="56"/>
      <c r="B116" s="40"/>
      <c r="C116" s="41"/>
      <c r="D116" s="41"/>
      <c r="E116" s="37"/>
      <c r="F116" s="40"/>
      <c r="G116" s="44"/>
      <c r="H116" s="44"/>
      <c r="I116" s="41"/>
      <c r="J116" s="39"/>
      <c r="K116" s="42"/>
      <c r="L116" s="42"/>
      <c r="M116" s="42"/>
      <c r="N116" s="42"/>
      <c r="O116" s="42"/>
      <c r="P116" s="42"/>
      <c r="Q116" s="42"/>
      <c r="R116" s="42"/>
      <c r="S116" s="14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22.5" customHeight="1" x14ac:dyDescent="0.2">
      <c r="A117" s="56"/>
      <c r="B117" s="40"/>
      <c r="C117" s="41"/>
      <c r="D117" s="41"/>
      <c r="E117" s="54"/>
      <c r="F117" s="40"/>
      <c r="G117" s="45"/>
      <c r="H117" s="45"/>
      <c r="I117" s="41"/>
      <c r="J117" s="39"/>
      <c r="K117" s="42"/>
      <c r="L117" s="42"/>
      <c r="M117" s="42"/>
      <c r="N117" s="42"/>
      <c r="O117" s="42"/>
      <c r="P117" s="42"/>
      <c r="Q117" s="42"/>
      <c r="R117" s="42"/>
      <c r="S117" s="14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22.5" customHeight="1" x14ac:dyDescent="0.2">
      <c r="A118" s="56" t="s">
        <v>148</v>
      </c>
      <c r="B118" s="40" t="s">
        <v>147</v>
      </c>
      <c r="C118" s="41" t="s">
        <v>55</v>
      </c>
      <c r="D118" s="41" t="s">
        <v>54</v>
      </c>
      <c r="E118" s="36" t="s">
        <v>56</v>
      </c>
      <c r="F118" s="40"/>
      <c r="G118" s="43" t="s">
        <v>66</v>
      </c>
      <c r="H118" s="43">
        <v>1718</v>
      </c>
      <c r="I118" s="41" t="s">
        <v>83</v>
      </c>
      <c r="J118" s="38">
        <v>29.95</v>
      </c>
      <c r="K118" s="42">
        <v>0</v>
      </c>
      <c r="L118" s="42">
        <v>0</v>
      </c>
      <c r="M118" s="42">
        <v>0</v>
      </c>
      <c r="N118" s="42">
        <v>0</v>
      </c>
      <c r="O118" s="42">
        <v>0</v>
      </c>
      <c r="P118" s="42">
        <v>0</v>
      </c>
      <c r="Q118" s="42">
        <v>0</v>
      </c>
      <c r="R118" s="42">
        <v>0</v>
      </c>
      <c r="S118" s="14"/>
      <c r="T118" s="15"/>
      <c r="U118" s="15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</row>
    <row r="119" spans="1:32" ht="22.5" customHeight="1" x14ac:dyDescent="0.2">
      <c r="A119" s="56"/>
      <c r="B119" s="40"/>
      <c r="C119" s="41"/>
      <c r="D119" s="41"/>
      <c r="E119" s="37"/>
      <c r="F119" s="40"/>
      <c r="G119" s="44"/>
      <c r="H119" s="44"/>
      <c r="I119" s="41"/>
      <c r="J119" s="39"/>
      <c r="K119" s="42"/>
      <c r="L119" s="42"/>
      <c r="M119" s="42"/>
      <c r="N119" s="42"/>
      <c r="O119" s="42"/>
      <c r="P119" s="42"/>
      <c r="Q119" s="42"/>
      <c r="R119" s="42"/>
      <c r="S119" s="14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22.5" customHeight="1" x14ac:dyDescent="0.2">
      <c r="A120" s="56"/>
      <c r="B120" s="40"/>
      <c r="C120" s="41"/>
      <c r="D120" s="41"/>
      <c r="E120" s="54"/>
      <c r="F120" s="40"/>
      <c r="G120" s="45"/>
      <c r="H120" s="45"/>
      <c r="I120" s="41"/>
      <c r="J120" s="39"/>
      <c r="K120" s="42"/>
      <c r="L120" s="42"/>
      <c r="M120" s="42"/>
      <c r="N120" s="42"/>
      <c r="O120" s="42"/>
      <c r="P120" s="42"/>
      <c r="Q120" s="42"/>
      <c r="R120" s="42"/>
      <c r="S120" s="14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22.5" customHeight="1" x14ac:dyDescent="0.2">
      <c r="A121" s="56" t="s">
        <v>149</v>
      </c>
      <c r="B121" s="40" t="s">
        <v>150</v>
      </c>
      <c r="C121" s="41" t="s">
        <v>52</v>
      </c>
      <c r="D121" s="41" t="s">
        <v>49</v>
      </c>
      <c r="E121" s="36" t="s">
        <v>107</v>
      </c>
      <c r="F121" s="40"/>
      <c r="G121" s="43" t="s">
        <v>66</v>
      </c>
      <c r="H121" s="43">
        <v>1718</v>
      </c>
      <c r="I121" s="41" t="s">
        <v>83</v>
      </c>
      <c r="J121" s="38">
        <v>39.950000000000003</v>
      </c>
      <c r="K121" s="42">
        <v>0</v>
      </c>
      <c r="L121" s="42">
        <v>0</v>
      </c>
      <c r="M121" s="42">
        <v>0</v>
      </c>
      <c r="N121" s="42">
        <v>0</v>
      </c>
      <c r="O121" s="42">
        <v>0</v>
      </c>
      <c r="P121" s="42">
        <v>-6</v>
      </c>
      <c r="Q121" s="42">
        <v>0</v>
      </c>
      <c r="R121" s="42">
        <v>0</v>
      </c>
      <c r="S121" s="14"/>
      <c r="T121" s="15"/>
      <c r="U121" s="15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</row>
    <row r="122" spans="1:32" ht="22.5" customHeight="1" x14ac:dyDescent="0.2">
      <c r="A122" s="56"/>
      <c r="B122" s="40"/>
      <c r="C122" s="41"/>
      <c r="D122" s="41"/>
      <c r="E122" s="37"/>
      <c r="F122" s="40"/>
      <c r="G122" s="44"/>
      <c r="H122" s="44"/>
      <c r="I122" s="41"/>
      <c r="J122" s="39"/>
      <c r="K122" s="42"/>
      <c r="L122" s="42"/>
      <c r="M122" s="42"/>
      <c r="N122" s="42"/>
      <c r="O122" s="42"/>
      <c r="P122" s="42"/>
      <c r="Q122" s="42"/>
      <c r="R122" s="42"/>
      <c r="S122" s="14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22.5" customHeight="1" x14ac:dyDescent="0.2">
      <c r="A123" s="56"/>
      <c r="B123" s="40"/>
      <c r="C123" s="41"/>
      <c r="D123" s="41"/>
      <c r="E123" s="54"/>
      <c r="F123" s="40"/>
      <c r="G123" s="45"/>
      <c r="H123" s="45"/>
      <c r="I123" s="41"/>
      <c r="J123" s="39"/>
      <c r="K123" s="42"/>
      <c r="L123" s="42"/>
      <c r="M123" s="42"/>
      <c r="N123" s="42"/>
      <c r="O123" s="42"/>
      <c r="P123" s="42"/>
      <c r="Q123" s="42"/>
      <c r="R123" s="42"/>
      <c r="S123" s="14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22.5" customHeight="1" x14ac:dyDescent="0.2">
      <c r="A124" s="56" t="s">
        <v>151</v>
      </c>
      <c r="B124" s="40" t="s">
        <v>152</v>
      </c>
      <c r="C124" s="41" t="s">
        <v>58</v>
      </c>
      <c r="D124" s="41" t="s">
        <v>49</v>
      </c>
      <c r="E124" s="36" t="s">
        <v>65</v>
      </c>
      <c r="F124" s="40"/>
      <c r="G124" s="43" t="s">
        <v>66</v>
      </c>
      <c r="H124" s="43">
        <v>1718</v>
      </c>
      <c r="I124" s="41" t="s">
        <v>71</v>
      </c>
      <c r="J124" s="38">
        <v>59.95</v>
      </c>
      <c r="K124" s="42">
        <v>0</v>
      </c>
      <c r="L124" s="42">
        <v>0</v>
      </c>
      <c r="M124" s="42">
        <v>0</v>
      </c>
      <c r="N124" s="42">
        <v>0</v>
      </c>
      <c r="O124" s="42">
        <v>0</v>
      </c>
      <c r="P124" s="42">
        <v>0</v>
      </c>
      <c r="Q124" s="42">
        <v>0</v>
      </c>
      <c r="R124" s="42">
        <v>0</v>
      </c>
      <c r="S124" s="14"/>
      <c r="T124" s="15"/>
      <c r="U124" s="15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</row>
    <row r="125" spans="1:32" ht="22.5" customHeight="1" x14ac:dyDescent="0.2">
      <c r="A125" s="56"/>
      <c r="B125" s="40"/>
      <c r="C125" s="41"/>
      <c r="D125" s="41"/>
      <c r="E125" s="37"/>
      <c r="F125" s="40"/>
      <c r="G125" s="44"/>
      <c r="H125" s="44"/>
      <c r="I125" s="41"/>
      <c r="J125" s="39"/>
      <c r="K125" s="42"/>
      <c r="L125" s="42"/>
      <c r="M125" s="42"/>
      <c r="N125" s="42"/>
      <c r="O125" s="42"/>
      <c r="P125" s="42"/>
      <c r="Q125" s="42"/>
      <c r="R125" s="42"/>
      <c r="S125" s="14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22.5" customHeight="1" x14ac:dyDescent="0.2">
      <c r="A126" s="56"/>
      <c r="B126" s="40"/>
      <c r="C126" s="41"/>
      <c r="D126" s="41"/>
      <c r="E126" s="54"/>
      <c r="F126" s="40"/>
      <c r="G126" s="45"/>
      <c r="H126" s="45"/>
      <c r="I126" s="41"/>
      <c r="J126" s="39"/>
      <c r="K126" s="42"/>
      <c r="L126" s="42"/>
      <c r="M126" s="42"/>
      <c r="N126" s="42"/>
      <c r="O126" s="42"/>
      <c r="P126" s="42"/>
      <c r="Q126" s="42"/>
      <c r="R126" s="42"/>
      <c r="S126" s="14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22.5" customHeight="1" x14ac:dyDescent="0.2">
      <c r="A127" s="56" t="s">
        <v>153</v>
      </c>
      <c r="B127" s="40" t="s">
        <v>152</v>
      </c>
      <c r="C127" s="41" t="s">
        <v>59</v>
      </c>
      <c r="D127" s="41" t="s">
        <v>49</v>
      </c>
      <c r="E127" s="36" t="s">
        <v>128</v>
      </c>
      <c r="F127" s="40"/>
      <c r="G127" s="43" t="s">
        <v>66</v>
      </c>
      <c r="H127" s="43">
        <v>1718</v>
      </c>
      <c r="I127" s="41" t="s">
        <v>71</v>
      </c>
      <c r="J127" s="38">
        <v>59.95</v>
      </c>
      <c r="K127" s="42">
        <v>0</v>
      </c>
      <c r="L127" s="42">
        <v>0</v>
      </c>
      <c r="M127" s="42">
        <v>0</v>
      </c>
      <c r="N127" s="42">
        <v>0</v>
      </c>
      <c r="O127" s="42">
        <v>0</v>
      </c>
      <c r="P127" s="42">
        <v>0</v>
      </c>
      <c r="Q127" s="42">
        <v>0</v>
      </c>
      <c r="R127" s="42">
        <v>0</v>
      </c>
      <c r="S127" s="14"/>
      <c r="T127" s="15"/>
      <c r="U127" s="15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</row>
    <row r="128" spans="1:32" ht="22.5" customHeight="1" x14ac:dyDescent="0.2">
      <c r="A128" s="56"/>
      <c r="B128" s="40"/>
      <c r="C128" s="41"/>
      <c r="D128" s="41"/>
      <c r="E128" s="37"/>
      <c r="F128" s="40"/>
      <c r="G128" s="44"/>
      <c r="H128" s="44"/>
      <c r="I128" s="41"/>
      <c r="J128" s="39"/>
      <c r="K128" s="42"/>
      <c r="L128" s="42"/>
      <c r="M128" s="42"/>
      <c r="N128" s="42"/>
      <c r="O128" s="42"/>
      <c r="P128" s="42"/>
      <c r="Q128" s="42"/>
      <c r="R128" s="42"/>
      <c r="S128" s="14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22.5" customHeight="1" x14ac:dyDescent="0.2">
      <c r="A129" s="56"/>
      <c r="B129" s="40"/>
      <c r="C129" s="41"/>
      <c r="D129" s="41"/>
      <c r="E129" s="54"/>
      <c r="F129" s="40"/>
      <c r="G129" s="45"/>
      <c r="H129" s="45"/>
      <c r="I129" s="41"/>
      <c r="J129" s="39"/>
      <c r="K129" s="42"/>
      <c r="L129" s="42"/>
      <c r="M129" s="42"/>
      <c r="N129" s="42"/>
      <c r="O129" s="42"/>
      <c r="P129" s="42"/>
      <c r="Q129" s="42"/>
      <c r="R129" s="42"/>
      <c r="S129" s="14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22.5" customHeight="1" x14ac:dyDescent="0.2">
      <c r="A130" s="56" t="s">
        <v>154</v>
      </c>
      <c r="B130" s="40" t="s">
        <v>155</v>
      </c>
      <c r="C130" s="41" t="s">
        <v>53</v>
      </c>
      <c r="D130" s="41" t="s">
        <v>49</v>
      </c>
      <c r="E130" s="36" t="s">
        <v>65</v>
      </c>
      <c r="F130" s="40"/>
      <c r="G130" s="43" t="s">
        <v>66</v>
      </c>
      <c r="H130" s="43">
        <v>1718</v>
      </c>
      <c r="I130" s="41" t="s">
        <v>71</v>
      </c>
      <c r="J130" s="38">
        <v>39.950000000000003</v>
      </c>
      <c r="K130" s="42">
        <v>0</v>
      </c>
      <c r="L130" s="42">
        <v>0</v>
      </c>
      <c r="M130" s="42">
        <v>0</v>
      </c>
      <c r="N130" s="42">
        <v>0</v>
      </c>
      <c r="O130" s="42">
        <v>0</v>
      </c>
      <c r="P130" s="42">
        <v>-5</v>
      </c>
      <c r="Q130" s="42">
        <v>0</v>
      </c>
      <c r="R130" s="42">
        <v>0</v>
      </c>
      <c r="S130" s="14"/>
      <c r="T130" s="15"/>
      <c r="U130" s="15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</row>
    <row r="131" spans="1:32" ht="22.5" customHeight="1" x14ac:dyDescent="0.2">
      <c r="A131" s="56"/>
      <c r="B131" s="40"/>
      <c r="C131" s="41"/>
      <c r="D131" s="41"/>
      <c r="E131" s="37"/>
      <c r="F131" s="40"/>
      <c r="G131" s="44"/>
      <c r="H131" s="44"/>
      <c r="I131" s="41"/>
      <c r="J131" s="39"/>
      <c r="K131" s="42"/>
      <c r="L131" s="42"/>
      <c r="M131" s="42"/>
      <c r="N131" s="42"/>
      <c r="O131" s="42"/>
      <c r="P131" s="42"/>
      <c r="Q131" s="42"/>
      <c r="R131" s="42"/>
      <c r="S131" s="14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22.5" customHeight="1" x14ac:dyDescent="0.2">
      <c r="A132" s="56"/>
      <c r="B132" s="40"/>
      <c r="C132" s="41"/>
      <c r="D132" s="41"/>
      <c r="E132" s="54"/>
      <c r="F132" s="40"/>
      <c r="G132" s="45"/>
      <c r="H132" s="45"/>
      <c r="I132" s="41"/>
      <c r="J132" s="39"/>
      <c r="K132" s="42"/>
      <c r="L132" s="42"/>
      <c r="M132" s="42"/>
      <c r="N132" s="42"/>
      <c r="O132" s="42"/>
      <c r="P132" s="42"/>
      <c r="Q132" s="42"/>
      <c r="R132" s="42"/>
      <c r="S132" s="14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22.5" customHeight="1" x14ac:dyDescent="0.2">
      <c r="A133" s="56" t="s">
        <v>156</v>
      </c>
      <c r="B133" s="40" t="s">
        <v>157</v>
      </c>
      <c r="C133" s="41" t="s">
        <v>52</v>
      </c>
      <c r="D133" s="41" t="s">
        <v>49</v>
      </c>
      <c r="E133" s="36" t="s">
        <v>51</v>
      </c>
      <c r="F133" s="40"/>
      <c r="G133" s="43" t="s">
        <v>66</v>
      </c>
      <c r="H133" s="43">
        <v>1718</v>
      </c>
      <c r="I133" s="41" t="s">
        <v>114</v>
      </c>
      <c r="J133" s="38">
        <v>59.95</v>
      </c>
      <c r="K133" s="42">
        <v>0</v>
      </c>
      <c r="L133" s="42">
        <v>0</v>
      </c>
      <c r="M133" s="42">
        <v>0</v>
      </c>
      <c r="N133" s="42">
        <v>0</v>
      </c>
      <c r="O133" s="42">
        <v>0</v>
      </c>
      <c r="P133" s="42">
        <v>0</v>
      </c>
      <c r="Q133" s="42">
        <v>0</v>
      </c>
      <c r="R133" s="42">
        <v>0</v>
      </c>
      <c r="S133" s="14"/>
      <c r="T133" s="15"/>
      <c r="U133" s="15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</row>
    <row r="134" spans="1:32" ht="22.5" customHeight="1" x14ac:dyDescent="0.2">
      <c r="A134" s="56"/>
      <c r="B134" s="40"/>
      <c r="C134" s="41"/>
      <c r="D134" s="41"/>
      <c r="E134" s="37"/>
      <c r="F134" s="40"/>
      <c r="G134" s="44"/>
      <c r="H134" s="44"/>
      <c r="I134" s="41"/>
      <c r="J134" s="39"/>
      <c r="K134" s="42"/>
      <c r="L134" s="42"/>
      <c r="M134" s="42"/>
      <c r="N134" s="42"/>
      <c r="O134" s="42"/>
      <c r="P134" s="42"/>
      <c r="Q134" s="42"/>
      <c r="R134" s="42"/>
      <c r="S134" s="14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22.5" customHeight="1" x14ac:dyDescent="0.2">
      <c r="A135" s="56"/>
      <c r="B135" s="40"/>
      <c r="C135" s="41"/>
      <c r="D135" s="41"/>
      <c r="E135" s="54"/>
      <c r="F135" s="40"/>
      <c r="G135" s="45"/>
      <c r="H135" s="45"/>
      <c r="I135" s="41"/>
      <c r="J135" s="39"/>
      <c r="K135" s="42"/>
      <c r="L135" s="42"/>
      <c r="M135" s="42"/>
      <c r="N135" s="42"/>
      <c r="O135" s="42"/>
      <c r="P135" s="42"/>
      <c r="Q135" s="42"/>
      <c r="R135" s="42"/>
      <c r="S135" s="14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22.5" customHeight="1" x14ac:dyDescent="0.2">
      <c r="A136" s="56" t="s">
        <v>158</v>
      </c>
      <c r="B136" s="40" t="s">
        <v>159</v>
      </c>
      <c r="C136" s="41" t="s">
        <v>58</v>
      </c>
      <c r="D136" s="41" t="s">
        <v>49</v>
      </c>
      <c r="E136" s="36" t="s">
        <v>51</v>
      </c>
      <c r="F136" s="40"/>
      <c r="G136" s="43" t="s">
        <v>66</v>
      </c>
      <c r="H136" s="43">
        <v>1718</v>
      </c>
      <c r="I136" s="41" t="s">
        <v>114</v>
      </c>
      <c r="J136" s="38">
        <v>89.95</v>
      </c>
      <c r="K136" s="42">
        <v>0</v>
      </c>
      <c r="L136" s="42">
        <v>0</v>
      </c>
      <c r="M136" s="42">
        <v>0</v>
      </c>
      <c r="N136" s="42">
        <v>0</v>
      </c>
      <c r="O136" s="42">
        <v>0</v>
      </c>
      <c r="P136" s="42">
        <v>0</v>
      </c>
      <c r="Q136" s="42">
        <v>0</v>
      </c>
      <c r="R136" s="42">
        <v>0</v>
      </c>
      <c r="S136" s="14"/>
      <c r="T136" s="15"/>
      <c r="U136" s="15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</row>
    <row r="137" spans="1:32" ht="22.5" customHeight="1" x14ac:dyDescent="0.2">
      <c r="A137" s="56"/>
      <c r="B137" s="40"/>
      <c r="C137" s="41"/>
      <c r="D137" s="41"/>
      <c r="E137" s="37"/>
      <c r="F137" s="40"/>
      <c r="G137" s="44"/>
      <c r="H137" s="44"/>
      <c r="I137" s="41"/>
      <c r="J137" s="39"/>
      <c r="K137" s="42"/>
      <c r="L137" s="42"/>
      <c r="M137" s="42"/>
      <c r="N137" s="42"/>
      <c r="O137" s="42"/>
      <c r="P137" s="42"/>
      <c r="Q137" s="42"/>
      <c r="R137" s="42"/>
      <c r="S137" s="14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22.5" customHeight="1" x14ac:dyDescent="0.2">
      <c r="A138" s="56"/>
      <c r="B138" s="40"/>
      <c r="C138" s="41"/>
      <c r="D138" s="41"/>
      <c r="E138" s="54"/>
      <c r="F138" s="40"/>
      <c r="G138" s="45"/>
      <c r="H138" s="45"/>
      <c r="I138" s="41"/>
      <c r="J138" s="39"/>
      <c r="K138" s="42"/>
      <c r="L138" s="42"/>
      <c r="M138" s="42"/>
      <c r="N138" s="42"/>
      <c r="O138" s="42"/>
      <c r="P138" s="42"/>
      <c r="Q138" s="42"/>
      <c r="R138" s="42"/>
      <c r="S138" s="14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22.5" customHeight="1" x14ac:dyDescent="0.2">
      <c r="A139" s="56" t="s">
        <v>160</v>
      </c>
      <c r="B139" s="40" t="s">
        <v>159</v>
      </c>
      <c r="C139" s="41" t="s">
        <v>59</v>
      </c>
      <c r="D139" s="41" t="s">
        <v>49</v>
      </c>
      <c r="E139" s="36" t="s">
        <v>51</v>
      </c>
      <c r="F139" s="40"/>
      <c r="G139" s="43" t="s">
        <v>66</v>
      </c>
      <c r="H139" s="43">
        <v>1718</v>
      </c>
      <c r="I139" s="41" t="s">
        <v>114</v>
      </c>
      <c r="J139" s="38">
        <v>89.95</v>
      </c>
      <c r="K139" s="42">
        <v>0</v>
      </c>
      <c r="L139" s="42">
        <v>0</v>
      </c>
      <c r="M139" s="42">
        <v>0</v>
      </c>
      <c r="N139" s="42">
        <v>0</v>
      </c>
      <c r="O139" s="42">
        <v>0</v>
      </c>
      <c r="P139" s="42">
        <v>-3</v>
      </c>
      <c r="Q139" s="42">
        <v>0</v>
      </c>
      <c r="R139" s="42">
        <v>0</v>
      </c>
      <c r="S139" s="14"/>
      <c r="T139" s="15"/>
      <c r="U139" s="15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</row>
    <row r="140" spans="1:32" ht="22.5" customHeight="1" x14ac:dyDescent="0.2">
      <c r="A140" s="56"/>
      <c r="B140" s="40"/>
      <c r="C140" s="41"/>
      <c r="D140" s="41"/>
      <c r="E140" s="37"/>
      <c r="F140" s="40"/>
      <c r="G140" s="44"/>
      <c r="H140" s="44"/>
      <c r="I140" s="41"/>
      <c r="J140" s="39"/>
      <c r="K140" s="42"/>
      <c r="L140" s="42"/>
      <c r="M140" s="42"/>
      <c r="N140" s="42"/>
      <c r="O140" s="42"/>
      <c r="P140" s="42"/>
      <c r="Q140" s="42"/>
      <c r="R140" s="42"/>
      <c r="S140" s="14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22.5" customHeight="1" x14ac:dyDescent="0.2">
      <c r="A141" s="56"/>
      <c r="B141" s="40"/>
      <c r="C141" s="41"/>
      <c r="D141" s="41"/>
      <c r="E141" s="54"/>
      <c r="F141" s="40"/>
      <c r="G141" s="45"/>
      <c r="H141" s="45"/>
      <c r="I141" s="41"/>
      <c r="J141" s="39"/>
      <c r="K141" s="42"/>
      <c r="L141" s="42"/>
      <c r="M141" s="42"/>
      <c r="N141" s="42"/>
      <c r="O141" s="42"/>
      <c r="P141" s="42"/>
      <c r="Q141" s="42"/>
      <c r="R141" s="42"/>
      <c r="S141" s="14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22.5" customHeight="1" x14ac:dyDescent="0.2">
      <c r="A142" s="56" t="s">
        <v>161</v>
      </c>
      <c r="B142" s="40" t="s">
        <v>159</v>
      </c>
      <c r="C142" s="41" t="s">
        <v>59</v>
      </c>
      <c r="D142" s="41" t="s">
        <v>57</v>
      </c>
      <c r="E142" s="36" t="s">
        <v>51</v>
      </c>
      <c r="F142" s="40"/>
      <c r="G142" s="43" t="s">
        <v>66</v>
      </c>
      <c r="H142" s="43">
        <v>1718</v>
      </c>
      <c r="I142" s="41" t="s">
        <v>114</v>
      </c>
      <c r="J142" s="38">
        <v>59.95</v>
      </c>
      <c r="K142" s="42">
        <v>0</v>
      </c>
      <c r="L142" s="42">
        <v>0</v>
      </c>
      <c r="M142" s="42">
        <v>0</v>
      </c>
      <c r="N142" s="42">
        <v>0</v>
      </c>
      <c r="O142" s="42">
        <v>0</v>
      </c>
      <c r="P142" s="42">
        <v>0</v>
      </c>
      <c r="Q142" s="42">
        <v>0</v>
      </c>
      <c r="R142" s="42">
        <v>0</v>
      </c>
      <c r="S142" s="14"/>
      <c r="T142" s="15"/>
      <c r="U142" s="15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</row>
    <row r="143" spans="1:32" ht="22.5" customHeight="1" x14ac:dyDescent="0.2">
      <c r="A143" s="56"/>
      <c r="B143" s="40"/>
      <c r="C143" s="41"/>
      <c r="D143" s="41"/>
      <c r="E143" s="37"/>
      <c r="F143" s="40"/>
      <c r="G143" s="44"/>
      <c r="H143" s="44"/>
      <c r="I143" s="41"/>
      <c r="J143" s="39"/>
      <c r="K143" s="42"/>
      <c r="L143" s="42"/>
      <c r="M143" s="42"/>
      <c r="N143" s="42"/>
      <c r="O143" s="42"/>
      <c r="P143" s="42"/>
      <c r="Q143" s="42"/>
      <c r="R143" s="42"/>
      <c r="S143" s="14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22.5" customHeight="1" x14ac:dyDescent="0.2">
      <c r="A144" s="56"/>
      <c r="B144" s="40"/>
      <c r="C144" s="41"/>
      <c r="D144" s="41"/>
      <c r="E144" s="54"/>
      <c r="F144" s="40"/>
      <c r="G144" s="45"/>
      <c r="H144" s="45"/>
      <c r="I144" s="41"/>
      <c r="J144" s="39"/>
      <c r="K144" s="42"/>
      <c r="L144" s="42"/>
      <c r="M144" s="42"/>
      <c r="N144" s="42"/>
      <c r="O144" s="42"/>
      <c r="P144" s="42"/>
      <c r="Q144" s="42"/>
      <c r="R144" s="42"/>
      <c r="S144" s="14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22.5" customHeight="1" x14ac:dyDescent="0.2">
      <c r="A145" s="56" t="s">
        <v>162</v>
      </c>
      <c r="B145" s="40" t="s">
        <v>163</v>
      </c>
      <c r="C145" s="41" t="s">
        <v>98</v>
      </c>
      <c r="D145" s="41" t="s">
        <v>97</v>
      </c>
      <c r="E145" s="36" t="s">
        <v>87</v>
      </c>
      <c r="F145" s="40"/>
      <c r="G145" s="43" t="s">
        <v>66</v>
      </c>
      <c r="H145" s="43">
        <v>1718</v>
      </c>
      <c r="I145" s="41" t="s">
        <v>94</v>
      </c>
      <c r="J145" s="38">
        <v>39.950000000000003</v>
      </c>
      <c r="K145" s="42">
        <v>0</v>
      </c>
      <c r="L145" s="42">
        <v>0</v>
      </c>
      <c r="M145" s="42">
        <v>0</v>
      </c>
      <c r="N145" s="42">
        <v>0</v>
      </c>
      <c r="O145" s="42">
        <v>0</v>
      </c>
      <c r="P145" s="42">
        <v>0</v>
      </c>
      <c r="Q145" s="42">
        <v>0</v>
      </c>
      <c r="R145" s="42">
        <v>0</v>
      </c>
      <c r="S145" s="14"/>
      <c r="T145" s="15"/>
      <c r="U145" s="15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</row>
    <row r="146" spans="1:32" ht="22.5" customHeight="1" x14ac:dyDescent="0.2">
      <c r="A146" s="56"/>
      <c r="B146" s="40"/>
      <c r="C146" s="41"/>
      <c r="D146" s="41"/>
      <c r="E146" s="37"/>
      <c r="F146" s="40"/>
      <c r="G146" s="44"/>
      <c r="H146" s="44"/>
      <c r="I146" s="41"/>
      <c r="J146" s="39"/>
      <c r="K146" s="42"/>
      <c r="L146" s="42"/>
      <c r="M146" s="42"/>
      <c r="N146" s="42"/>
      <c r="O146" s="42"/>
      <c r="P146" s="42"/>
      <c r="Q146" s="42"/>
      <c r="R146" s="42"/>
      <c r="S146" s="14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22.5" customHeight="1" x14ac:dyDescent="0.2">
      <c r="A147" s="56"/>
      <c r="B147" s="40"/>
      <c r="C147" s="41"/>
      <c r="D147" s="41"/>
      <c r="E147" s="54"/>
      <c r="F147" s="40"/>
      <c r="G147" s="45"/>
      <c r="H147" s="45"/>
      <c r="I147" s="41"/>
      <c r="J147" s="39"/>
      <c r="K147" s="42"/>
      <c r="L147" s="42"/>
      <c r="M147" s="42"/>
      <c r="N147" s="42"/>
      <c r="O147" s="42"/>
      <c r="P147" s="42"/>
      <c r="Q147" s="42"/>
      <c r="R147" s="42"/>
      <c r="S147" s="14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22.5" customHeight="1" x14ac:dyDescent="0.2">
      <c r="A148" s="56" t="s">
        <v>164</v>
      </c>
      <c r="B148" s="40" t="s">
        <v>165</v>
      </c>
      <c r="C148" s="41" t="s">
        <v>58</v>
      </c>
      <c r="D148" s="41" t="s">
        <v>57</v>
      </c>
      <c r="E148" s="36" t="s">
        <v>128</v>
      </c>
      <c r="F148" s="40"/>
      <c r="G148" s="43" t="s">
        <v>166</v>
      </c>
      <c r="H148" s="43">
        <v>1718</v>
      </c>
      <c r="I148" s="41" t="s">
        <v>75</v>
      </c>
      <c r="J148" s="38">
        <v>59.95</v>
      </c>
      <c r="K148" s="42">
        <v>0</v>
      </c>
      <c r="L148" s="42">
        <v>0</v>
      </c>
      <c r="M148" s="42">
        <v>0</v>
      </c>
      <c r="N148" s="42">
        <v>0</v>
      </c>
      <c r="O148" s="42">
        <v>0</v>
      </c>
      <c r="P148" s="42">
        <v>0</v>
      </c>
      <c r="Q148" s="42">
        <v>0</v>
      </c>
      <c r="R148" s="42">
        <v>0</v>
      </c>
      <c r="S148" s="14"/>
      <c r="T148" s="15"/>
      <c r="U148" s="15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</row>
    <row r="149" spans="1:32" ht="22.5" customHeight="1" x14ac:dyDescent="0.2">
      <c r="A149" s="56"/>
      <c r="B149" s="40"/>
      <c r="C149" s="41"/>
      <c r="D149" s="41"/>
      <c r="E149" s="37"/>
      <c r="F149" s="40"/>
      <c r="G149" s="44"/>
      <c r="H149" s="44"/>
      <c r="I149" s="41"/>
      <c r="J149" s="39"/>
      <c r="K149" s="42"/>
      <c r="L149" s="42"/>
      <c r="M149" s="42"/>
      <c r="N149" s="42"/>
      <c r="O149" s="42"/>
      <c r="P149" s="42"/>
      <c r="Q149" s="42"/>
      <c r="R149" s="42"/>
      <c r="S149" s="14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22.5" customHeight="1" x14ac:dyDescent="0.2">
      <c r="A150" s="56"/>
      <c r="B150" s="40"/>
      <c r="C150" s="41"/>
      <c r="D150" s="41"/>
      <c r="E150" s="54"/>
      <c r="F150" s="40"/>
      <c r="G150" s="45"/>
      <c r="H150" s="45"/>
      <c r="I150" s="41"/>
      <c r="J150" s="39"/>
      <c r="K150" s="42"/>
      <c r="L150" s="42"/>
      <c r="M150" s="42"/>
      <c r="N150" s="42"/>
      <c r="O150" s="42"/>
      <c r="P150" s="42"/>
      <c r="Q150" s="42"/>
      <c r="R150" s="42"/>
      <c r="S150" s="14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22.5" customHeight="1" x14ac:dyDescent="0.2">
      <c r="A151" s="56" t="s">
        <v>167</v>
      </c>
      <c r="B151" s="40" t="s">
        <v>168</v>
      </c>
      <c r="C151" s="41" t="s">
        <v>98</v>
      </c>
      <c r="D151" s="41" t="s">
        <v>97</v>
      </c>
      <c r="E151" s="36" t="s">
        <v>87</v>
      </c>
      <c r="F151" s="40"/>
      <c r="G151" s="43" t="s">
        <v>166</v>
      </c>
      <c r="H151" s="43">
        <v>1718</v>
      </c>
      <c r="I151" s="41" t="s">
        <v>71</v>
      </c>
      <c r="J151" s="38">
        <v>19.95</v>
      </c>
      <c r="K151" s="42">
        <v>0</v>
      </c>
      <c r="L151" s="42">
        <v>0</v>
      </c>
      <c r="M151" s="42">
        <v>0</v>
      </c>
      <c r="N151" s="42">
        <v>0</v>
      </c>
      <c r="O151" s="42">
        <v>0</v>
      </c>
      <c r="P151" s="42">
        <v>0</v>
      </c>
      <c r="Q151" s="42">
        <v>0</v>
      </c>
      <c r="R151" s="42">
        <v>0</v>
      </c>
      <c r="S151" s="14"/>
      <c r="T151" s="15"/>
      <c r="U151" s="15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</row>
    <row r="152" spans="1:32" ht="22.5" customHeight="1" x14ac:dyDescent="0.2">
      <c r="A152" s="56"/>
      <c r="B152" s="40"/>
      <c r="C152" s="41"/>
      <c r="D152" s="41"/>
      <c r="E152" s="37"/>
      <c r="F152" s="40"/>
      <c r="G152" s="44"/>
      <c r="H152" s="44"/>
      <c r="I152" s="41"/>
      <c r="J152" s="39"/>
      <c r="K152" s="42"/>
      <c r="L152" s="42"/>
      <c r="M152" s="42"/>
      <c r="N152" s="42"/>
      <c r="O152" s="42"/>
      <c r="P152" s="42"/>
      <c r="Q152" s="42"/>
      <c r="R152" s="42"/>
      <c r="S152" s="14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22.5" customHeight="1" x14ac:dyDescent="0.2">
      <c r="A153" s="56"/>
      <c r="B153" s="40"/>
      <c r="C153" s="41"/>
      <c r="D153" s="41"/>
      <c r="E153" s="54"/>
      <c r="F153" s="40"/>
      <c r="G153" s="45"/>
      <c r="H153" s="45"/>
      <c r="I153" s="41"/>
      <c r="J153" s="39"/>
      <c r="K153" s="42"/>
      <c r="L153" s="42"/>
      <c r="M153" s="42"/>
      <c r="N153" s="42"/>
      <c r="O153" s="42"/>
      <c r="P153" s="42"/>
      <c r="Q153" s="42"/>
      <c r="R153" s="42"/>
      <c r="S153" s="14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22.5" customHeight="1" x14ac:dyDescent="0.2">
      <c r="A154" s="56" t="s">
        <v>169</v>
      </c>
      <c r="B154" s="40" t="s">
        <v>170</v>
      </c>
      <c r="C154" s="41" t="s">
        <v>59</v>
      </c>
      <c r="D154" s="41" t="s">
        <v>49</v>
      </c>
      <c r="E154" s="36" t="s">
        <v>107</v>
      </c>
      <c r="F154" s="40"/>
      <c r="G154" s="43" t="s">
        <v>171</v>
      </c>
      <c r="H154" s="43">
        <v>1718</v>
      </c>
      <c r="I154" s="41" t="s">
        <v>83</v>
      </c>
      <c r="J154" s="38">
        <v>59.95</v>
      </c>
      <c r="K154" s="42">
        <v>0</v>
      </c>
      <c r="L154" s="42">
        <v>0</v>
      </c>
      <c r="M154" s="42">
        <v>0</v>
      </c>
      <c r="N154" s="42">
        <v>0</v>
      </c>
      <c r="O154" s="42">
        <v>0</v>
      </c>
      <c r="P154" s="42">
        <v>0</v>
      </c>
      <c r="Q154" s="42">
        <v>0</v>
      </c>
      <c r="R154" s="42">
        <v>0</v>
      </c>
      <c r="S154" s="14"/>
      <c r="T154" s="15"/>
      <c r="U154" s="15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</row>
    <row r="155" spans="1:32" ht="22.5" customHeight="1" x14ac:dyDescent="0.2">
      <c r="A155" s="56"/>
      <c r="B155" s="40"/>
      <c r="C155" s="41"/>
      <c r="D155" s="41"/>
      <c r="E155" s="37"/>
      <c r="F155" s="40"/>
      <c r="G155" s="44"/>
      <c r="H155" s="44"/>
      <c r="I155" s="41"/>
      <c r="J155" s="39"/>
      <c r="K155" s="42"/>
      <c r="L155" s="42"/>
      <c r="M155" s="42"/>
      <c r="N155" s="42"/>
      <c r="O155" s="42"/>
      <c r="P155" s="42"/>
      <c r="Q155" s="42"/>
      <c r="R155" s="42"/>
      <c r="S155" s="14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22.5" customHeight="1" x14ac:dyDescent="0.2">
      <c r="A156" s="56"/>
      <c r="B156" s="40"/>
      <c r="C156" s="41"/>
      <c r="D156" s="41"/>
      <c r="E156" s="54"/>
      <c r="F156" s="40"/>
      <c r="G156" s="45"/>
      <c r="H156" s="45"/>
      <c r="I156" s="41"/>
      <c r="J156" s="39"/>
      <c r="K156" s="42"/>
      <c r="L156" s="42"/>
      <c r="M156" s="42"/>
      <c r="N156" s="42"/>
      <c r="O156" s="42"/>
      <c r="P156" s="42"/>
      <c r="Q156" s="42"/>
      <c r="R156" s="42"/>
      <c r="S156" s="14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22.5" customHeight="1" x14ac:dyDescent="0.2">
      <c r="A157" s="56" t="s">
        <v>172</v>
      </c>
      <c r="B157" s="40" t="s">
        <v>173</v>
      </c>
      <c r="C157" s="41" t="s">
        <v>53</v>
      </c>
      <c r="D157" s="41" t="s">
        <v>49</v>
      </c>
      <c r="E157" s="36" t="s">
        <v>50</v>
      </c>
      <c r="F157" s="40"/>
      <c r="G157" s="43" t="s">
        <v>171</v>
      </c>
      <c r="H157" s="43">
        <v>1718</v>
      </c>
      <c r="I157" s="41" t="s">
        <v>174</v>
      </c>
      <c r="J157" s="38">
        <v>59.95</v>
      </c>
      <c r="K157" s="42">
        <v>0</v>
      </c>
      <c r="L157" s="42">
        <v>0</v>
      </c>
      <c r="M157" s="42">
        <v>0</v>
      </c>
      <c r="N157" s="42">
        <v>0</v>
      </c>
      <c r="O157" s="42">
        <v>0</v>
      </c>
      <c r="P157" s="42">
        <v>0</v>
      </c>
      <c r="Q157" s="42">
        <v>0</v>
      </c>
      <c r="R157" s="42">
        <v>0</v>
      </c>
      <c r="S157" s="14"/>
      <c r="T157" s="15"/>
      <c r="U157" s="15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</row>
    <row r="158" spans="1:32" ht="22.5" customHeight="1" x14ac:dyDescent="0.2">
      <c r="A158" s="56"/>
      <c r="B158" s="40"/>
      <c r="C158" s="41"/>
      <c r="D158" s="41"/>
      <c r="E158" s="37"/>
      <c r="F158" s="40"/>
      <c r="G158" s="44"/>
      <c r="H158" s="44"/>
      <c r="I158" s="41"/>
      <c r="J158" s="39"/>
      <c r="K158" s="42"/>
      <c r="L158" s="42"/>
      <c r="M158" s="42"/>
      <c r="N158" s="42"/>
      <c r="O158" s="42"/>
      <c r="P158" s="42"/>
      <c r="Q158" s="42"/>
      <c r="R158" s="42"/>
      <c r="S158" s="14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22.5" customHeight="1" x14ac:dyDescent="0.2">
      <c r="A159" s="56"/>
      <c r="B159" s="40"/>
      <c r="C159" s="41"/>
      <c r="D159" s="41"/>
      <c r="E159" s="54"/>
      <c r="F159" s="40"/>
      <c r="G159" s="45"/>
      <c r="H159" s="45"/>
      <c r="I159" s="41"/>
      <c r="J159" s="39"/>
      <c r="K159" s="42"/>
      <c r="L159" s="42"/>
      <c r="M159" s="42"/>
      <c r="N159" s="42"/>
      <c r="O159" s="42"/>
      <c r="P159" s="42"/>
      <c r="Q159" s="42"/>
      <c r="R159" s="42"/>
      <c r="S159" s="14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22.5" customHeight="1" x14ac:dyDescent="0.2">
      <c r="A160" s="56"/>
      <c r="B160" s="40"/>
      <c r="C160" s="41"/>
      <c r="D160" s="41"/>
      <c r="E160" s="36"/>
      <c r="F160" s="40"/>
      <c r="G160" s="43"/>
      <c r="H160" s="43"/>
      <c r="I160" s="41"/>
      <c r="J160" s="38"/>
      <c r="K160" s="42"/>
      <c r="L160" s="42"/>
      <c r="M160" s="42"/>
      <c r="N160" s="42"/>
      <c r="O160" s="42"/>
      <c r="P160" s="42"/>
      <c r="Q160" s="42"/>
      <c r="R160" s="42"/>
      <c r="S160" s="14"/>
      <c r="T160" s="15"/>
      <c r="U160" s="15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</row>
    <row r="161" spans="1:32" ht="22.5" customHeight="1" x14ac:dyDescent="0.2">
      <c r="A161" s="56"/>
      <c r="B161" s="40"/>
      <c r="C161" s="41"/>
      <c r="D161" s="41"/>
      <c r="E161" s="37"/>
      <c r="F161" s="40"/>
      <c r="G161" s="44"/>
      <c r="H161" s="44"/>
      <c r="I161" s="41"/>
      <c r="J161" s="39"/>
      <c r="K161" s="42"/>
      <c r="L161" s="42"/>
      <c r="M161" s="42"/>
      <c r="N161" s="42"/>
      <c r="O161" s="42"/>
      <c r="P161" s="42"/>
      <c r="Q161" s="42"/>
      <c r="R161" s="42"/>
      <c r="S161" s="14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22.5" customHeight="1" x14ac:dyDescent="0.2">
      <c r="A162" s="56"/>
      <c r="B162" s="40"/>
      <c r="C162" s="41"/>
      <c r="D162" s="41"/>
      <c r="E162" s="54"/>
      <c r="F162" s="40"/>
      <c r="G162" s="45"/>
      <c r="H162" s="45"/>
      <c r="I162" s="41"/>
      <c r="J162" s="39"/>
      <c r="K162" s="42"/>
      <c r="L162" s="42"/>
      <c r="M162" s="42"/>
      <c r="N162" s="42"/>
      <c r="O162" s="42"/>
      <c r="P162" s="42"/>
      <c r="Q162" s="42"/>
      <c r="R162" s="42"/>
      <c r="S162" s="14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22.5" customHeight="1" x14ac:dyDescent="0.2">
      <c r="A163" s="56"/>
      <c r="B163" s="40"/>
      <c r="C163" s="41"/>
      <c r="D163" s="41"/>
      <c r="E163" s="36"/>
      <c r="F163" s="40"/>
      <c r="G163" s="43"/>
      <c r="H163" s="43"/>
      <c r="I163" s="41"/>
      <c r="J163" s="38"/>
      <c r="K163" s="42"/>
      <c r="L163" s="42"/>
      <c r="M163" s="42"/>
      <c r="N163" s="42"/>
      <c r="O163" s="42"/>
      <c r="P163" s="42"/>
      <c r="Q163" s="42"/>
      <c r="R163" s="42"/>
      <c r="S163" s="14"/>
      <c r="T163" s="15"/>
      <c r="U163" s="15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</row>
    <row r="164" spans="1:32" ht="22.5" customHeight="1" x14ac:dyDescent="0.2">
      <c r="A164" s="56"/>
      <c r="B164" s="40"/>
      <c r="C164" s="41"/>
      <c r="D164" s="41"/>
      <c r="E164" s="37"/>
      <c r="F164" s="40"/>
      <c r="G164" s="44"/>
      <c r="H164" s="44"/>
      <c r="I164" s="41"/>
      <c r="J164" s="39"/>
      <c r="K164" s="42"/>
      <c r="L164" s="42"/>
      <c r="M164" s="42"/>
      <c r="N164" s="42"/>
      <c r="O164" s="42"/>
      <c r="P164" s="42"/>
      <c r="Q164" s="42"/>
      <c r="R164" s="42"/>
      <c r="S164" s="14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22.5" customHeight="1" x14ac:dyDescent="0.2">
      <c r="A165" s="56"/>
      <c r="B165" s="40"/>
      <c r="C165" s="41"/>
      <c r="D165" s="41"/>
      <c r="E165" s="54"/>
      <c r="F165" s="40"/>
      <c r="G165" s="45"/>
      <c r="H165" s="45"/>
      <c r="I165" s="41"/>
      <c r="J165" s="39"/>
      <c r="K165" s="42"/>
      <c r="L165" s="42"/>
      <c r="M165" s="42"/>
      <c r="N165" s="42"/>
      <c r="O165" s="42"/>
      <c r="P165" s="42"/>
      <c r="Q165" s="42"/>
      <c r="R165" s="42"/>
      <c r="S165" s="14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22.5" customHeight="1" x14ac:dyDescent="0.2">
      <c r="A166" s="56"/>
      <c r="B166" s="40"/>
      <c r="C166" s="41"/>
      <c r="D166" s="41"/>
      <c r="E166" s="36"/>
      <c r="F166" s="40"/>
      <c r="G166" s="43"/>
      <c r="H166" s="43"/>
      <c r="I166" s="41"/>
      <c r="J166" s="38"/>
      <c r="K166" s="42"/>
      <c r="L166" s="42"/>
      <c r="M166" s="42"/>
      <c r="N166" s="42"/>
      <c r="O166" s="42"/>
      <c r="P166" s="42"/>
      <c r="Q166" s="42"/>
      <c r="R166" s="42"/>
      <c r="S166" s="14"/>
      <c r="T166" s="15"/>
      <c r="U166" s="15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</row>
    <row r="167" spans="1:32" ht="22.5" customHeight="1" x14ac:dyDescent="0.2">
      <c r="A167" s="56"/>
      <c r="B167" s="40"/>
      <c r="C167" s="41"/>
      <c r="D167" s="41"/>
      <c r="E167" s="37"/>
      <c r="F167" s="40"/>
      <c r="G167" s="44"/>
      <c r="H167" s="44"/>
      <c r="I167" s="41"/>
      <c r="J167" s="39"/>
      <c r="K167" s="42"/>
      <c r="L167" s="42"/>
      <c r="M167" s="42"/>
      <c r="N167" s="42"/>
      <c r="O167" s="42"/>
      <c r="P167" s="42"/>
      <c r="Q167" s="42"/>
      <c r="R167" s="42"/>
      <c r="S167" s="14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22.5" customHeight="1" x14ac:dyDescent="0.2">
      <c r="A168" s="56"/>
      <c r="B168" s="40"/>
      <c r="C168" s="41"/>
      <c r="D168" s="41"/>
      <c r="E168" s="54"/>
      <c r="F168" s="40"/>
      <c r="G168" s="45"/>
      <c r="H168" s="45"/>
      <c r="I168" s="41"/>
      <c r="J168" s="39"/>
      <c r="K168" s="42"/>
      <c r="L168" s="42"/>
      <c r="M168" s="42"/>
      <c r="N168" s="42"/>
      <c r="O168" s="42"/>
      <c r="P168" s="42"/>
      <c r="Q168" s="42"/>
      <c r="R168" s="42"/>
      <c r="S168" s="14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22.5" customHeight="1" x14ac:dyDescent="0.2">
      <c r="A169" s="56"/>
      <c r="B169" s="40"/>
      <c r="C169" s="41"/>
      <c r="D169" s="41"/>
      <c r="E169" s="36"/>
      <c r="F169" s="40"/>
      <c r="G169" s="43"/>
      <c r="H169" s="43"/>
      <c r="I169" s="41"/>
      <c r="J169" s="38"/>
      <c r="K169" s="42"/>
      <c r="L169" s="42"/>
      <c r="M169" s="42"/>
      <c r="N169" s="42"/>
      <c r="O169" s="42"/>
      <c r="P169" s="42"/>
      <c r="Q169" s="42"/>
      <c r="R169" s="42"/>
      <c r="S169" s="14"/>
      <c r="T169" s="15"/>
      <c r="U169" s="15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</row>
    <row r="170" spans="1:32" ht="22.5" customHeight="1" x14ac:dyDescent="0.2">
      <c r="A170" s="56"/>
      <c r="B170" s="40"/>
      <c r="C170" s="41"/>
      <c r="D170" s="41"/>
      <c r="E170" s="37"/>
      <c r="F170" s="40"/>
      <c r="G170" s="44"/>
      <c r="H170" s="44"/>
      <c r="I170" s="41"/>
      <c r="J170" s="39"/>
      <c r="K170" s="42"/>
      <c r="L170" s="42"/>
      <c r="M170" s="42"/>
      <c r="N170" s="42"/>
      <c r="O170" s="42"/>
      <c r="P170" s="42"/>
      <c r="Q170" s="42"/>
      <c r="R170" s="42"/>
      <c r="S170" s="14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22.5" customHeight="1" x14ac:dyDescent="0.2">
      <c r="A171" s="56"/>
      <c r="B171" s="40"/>
      <c r="C171" s="41"/>
      <c r="D171" s="41"/>
      <c r="E171" s="54"/>
      <c r="F171" s="40"/>
      <c r="G171" s="45"/>
      <c r="H171" s="45"/>
      <c r="I171" s="41"/>
      <c r="J171" s="39"/>
      <c r="K171" s="42"/>
      <c r="L171" s="42"/>
      <c r="M171" s="42"/>
      <c r="N171" s="42"/>
      <c r="O171" s="42"/>
      <c r="P171" s="42"/>
      <c r="Q171" s="42"/>
      <c r="R171" s="42"/>
      <c r="S171" s="14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22.5" customHeight="1" x14ac:dyDescent="0.2">
      <c r="A172" s="56"/>
      <c r="B172" s="40"/>
      <c r="C172" s="41"/>
      <c r="D172" s="41"/>
      <c r="E172" s="36"/>
      <c r="F172" s="40"/>
      <c r="G172" s="43"/>
      <c r="H172" s="43"/>
      <c r="I172" s="41"/>
      <c r="J172" s="38"/>
      <c r="K172" s="42"/>
      <c r="L172" s="42"/>
      <c r="M172" s="42"/>
      <c r="N172" s="42"/>
      <c r="O172" s="42"/>
      <c r="P172" s="42"/>
      <c r="Q172" s="42"/>
      <c r="R172" s="42"/>
      <c r="S172" s="14"/>
      <c r="T172" s="15"/>
      <c r="U172" s="15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</row>
    <row r="173" spans="1:32" ht="22.5" customHeight="1" x14ac:dyDescent="0.2">
      <c r="A173" s="56"/>
      <c r="B173" s="40"/>
      <c r="C173" s="41"/>
      <c r="D173" s="41"/>
      <c r="E173" s="37"/>
      <c r="F173" s="40"/>
      <c r="G173" s="44"/>
      <c r="H173" s="44"/>
      <c r="I173" s="41"/>
      <c r="J173" s="39"/>
      <c r="K173" s="42"/>
      <c r="L173" s="42"/>
      <c r="M173" s="42"/>
      <c r="N173" s="42"/>
      <c r="O173" s="42"/>
      <c r="P173" s="42"/>
      <c r="Q173" s="42"/>
      <c r="R173" s="42"/>
      <c r="S173" s="14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22.5" customHeight="1" x14ac:dyDescent="0.2">
      <c r="A174" s="56"/>
      <c r="B174" s="40"/>
      <c r="C174" s="41"/>
      <c r="D174" s="41"/>
      <c r="E174" s="54"/>
      <c r="F174" s="40"/>
      <c r="G174" s="45"/>
      <c r="H174" s="45"/>
      <c r="I174" s="41"/>
      <c r="J174" s="39"/>
      <c r="K174" s="42"/>
      <c r="L174" s="42"/>
      <c r="M174" s="42"/>
      <c r="N174" s="42"/>
      <c r="O174" s="42"/>
      <c r="P174" s="42"/>
      <c r="Q174" s="42"/>
      <c r="R174" s="42"/>
      <c r="S174" s="14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22.5" customHeight="1" x14ac:dyDescent="0.2">
      <c r="A175" s="56"/>
      <c r="B175" s="40"/>
      <c r="C175" s="41"/>
      <c r="D175" s="41"/>
      <c r="E175" s="36"/>
      <c r="F175" s="40"/>
      <c r="G175" s="43"/>
      <c r="H175" s="43"/>
      <c r="I175" s="41"/>
      <c r="J175" s="38"/>
      <c r="K175" s="42"/>
      <c r="L175" s="42"/>
      <c r="M175" s="42"/>
      <c r="N175" s="42"/>
      <c r="O175" s="42"/>
      <c r="P175" s="42"/>
      <c r="Q175" s="42"/>
      <c r="R175" s="42"/>
      <c r="S175" s="14"/>
      <c r="T175" s="15"/>
      <c r="U175" s="15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</row>
    <row r="176" spans="1:32" ht="22.5" customHeight="1" x14ac:dyDescent="0.2">
      <c r="A176" s="56"/>
      <c r="B176" s="40"/>
      <c r="C176" s="41"/>
      <c r="D176" s="41"/>
      <c r="E176" s="37"/>
      <c r="F176" s="40"/>
      <c r="G176" s="44"/>
      <c r="H176" s="44"/>
      <c r="I176" s="41"/>
      <c r="J176" s="39"/>
      <c r="K176" s="42"/>
      <c r="L176" s="42"/>
      <c r="M176" s="42"/>
      <c r="N176" s="42"/>
      <c r="O176" s="42"/>
      <c r="P176" s="42"/>
      <c r="Q176" s="42"/>
      <c r="R176" s="42"/>
      <c r="S176" s="14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22.5" customHeight="1" x14ac:dyDescent="0.2">
      <c r="A177" s="56"/>
      <c r="B177" s="40"/>
      <c r="C177" s="41"/>
      <c r="D177" s="41"/>
      <c r="E177" s="54"/>
      <c r="F177" s="40"/>
      <c r="G177" s="45"/>
      <c r="H177" s="45"/>
      <c r="I177" s="41"/>
      <c r="J177" s="39"/>
      <c r="K177" s="42"/>
      <c r="L177" s="42"/>
      <c r="M177" s="42"/>
      <c r="N177" s="42"/>
      <c r="O177" s="42"/>
      <c r="P177" s="42"/>
      <c r="Q177" s="42"/>
      <c r="R177" s="42"/>
      <c r="S177" s="14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22.5" customHeight="1" x14ac:dyDescent="0.2">
      <c r="A178" s="56"/>
      <c r="B178" s="40"/>
      <c r="C178" s="41"/>
      <c r="D178" s="41"/>
      <c r="E178" s="36"/>
      <c r="F178" s="40"/>
      <c r="G178" s="43"/>
      <c r="H178" s="43"/>
      <c r="I178" s="41"/>
      <c r="J178" s="38"/>
      <c r="K178" s="42"/>
      <c r="L178" s="42"/>
      <c r="M178" s="42"/>
      <c r="N178" s="42"/>
      <c r="O178" s="42"/>
      <c r="P178" s="42"/>
      <c r="Q178" s="42"/>
      <c r="R178" s="42"/>
      <c r="S178" s="14"/>
      <c r="T178" s="15"/>
      <c r="U178" s="15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</row>
    <row r="179" spans="1:32" ht="22.5" customHeight="1" x14ac:dyDescent="0.2">
      <c r="A179" s="56"/>
      <c r="B179" s="40"/>
      <c r="C179" s="41"/>
      <c r="D179" s="41"/>
      <c r="E179" s="37"/>
      <c r="F179" s="40"/>
      <c r="G179" s="44"/>
      <c r="H179" s="44"/>
      <c r="I179" s="41"/>
      <c r="J179" s="39"/>
      <c r="K179" s="42"/>
      <c r="L179" s="42"/>
      <c r="M179" s="42"/>
      <c r="N179" s="42"/>
      <c r="O179" s="42"/>
      <c r="P179" s="42"/>
      <c r="Q179" s="42"/>
      <c r="R179" s="42"/>
      <c r="S179" s="14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22.5" customHeight="1" x14ac:dyDescent="0.2">
      <c r="A180" s="56"/>
      <c r="B180" s="40"/>
      <c r="C180" s="41"/>
      <c r="D180" s="41"/>
      <c r="E180" s="54"/>
      <c r="F180" s="40"/>
      <c r="G180" s="45"/>
      <c r="H180" s="45"/>
      <c r="I180" s="41"/>
      <c r="J180" s="39"/>
      <c r="K180" s="42"/>
      <c r="L180" s="42"/>
      <c r="M180" s="42"/>
      <c r="N180" s="42"/>
      <c r="O180" s="42"/>
      <c r="P180" s="42"/>
      <c r="Q180" s="42"/>
      <c r="R180" s="42"/>
      <c r="S180" s="14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22.5" customHeight="1" x14ac:dyDescent="0.2">
      <c r="A181" s="56"/>
      <c r="B181" s="40"/>
      <c r="C181" s="41"/>
      <c r="D181" s="41"/>
      <c r="E181" s="36"/>
      <c r="F181" s="40"/>
      <c r="G181" s="43"/>
      <c r="H181" s="43"/>
      <c r="I181" s="41"/>
      <c r="J181" s="38"/>
      <c r="K181" s="42"/>
      <c r="L181" s="42"/>
      <c r="M181" s="42"/>
      <c r="N181" s="42"/>
      <c r="O181" s="42"/>
      <c r="P181" s="42"/>
      <c r="Q181" s="42"/>
      <c r="R181" s="42"/>
      <c r="S181" s="14"/>
      <c r="T181" s="15"/>
      <c r="U181" s="15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</row>
    <row r="182" spans="1:32" ht="22.5" customHeight="1" x14ac:dyDescent="0.2">
      <c r="A182" s="56"/>
      <c r="B182" s="40"/>
      <c r="C182" s="41"/>
      <c r="D182" s="41"/>
      <c r="E182" s="37"/>
      <c r="F182" s="40"/>
      <c r="G182" s="44"/>
      <c r="H182" s="44"/>
      <c r="I182" s="41"/>
      <c r="J182" s="39"/>
      <c r="K182" s="42"/>
      <c r="L182" s="42"/>
      <c r="M182" s="42"/>
      <c r="N182" s="42"/>
      <c r="O182" s="42"/>
      <c r="P182" s="42"/>
      <c r="Q182" s="42"/>
      <c r="R182" s="42"/>
      <c r="S182" s="14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22.5" customHeight="1" x14ac:dyDescent="0.2">
      <c r="A183" s="56"/>
      <c r="B183" s="40"/>
      <c r="C183" s="41"/>
      <c r="D183" s="41"/>
      <c r="E183" s="54"/>
      <c r="F183" s="40"/>
      <c r="G183" s="45"/>
      <c r="H183" s="45"/>
      <c r="I183" s="41"/>
      <c r="J183" s="39"/>
      <c r="K183" s="42"/>
      <c r="L183" s="42"/>
      <c r="M183" s="42"/>
      <c r="N183" s="42"/>
      <c r="O183" s="42"/>
      <c r="P183" s="42"/>
      <c r="Q183" s="42"/>
      <c r="R183" s="42"/>
      <c r="S183" s="14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22.5" customHeight="1" x14ac:dyDescent="0.2">
      <c r="A184" s="56"/>
      <c r="B184" s="40"/>
      <c r="C184" s="41"/>
      <c r="D184" s="41"/>
      <c r="E184" s="36"/>
      <c r="F184" s="40"/>
      <c r="G184" s="43"/>
      <c r="H184" s="43"/>
      <c r="I184" s="41"/>
      <c r="J184" s="38"/>
      <c r="K184" s="42"/>
      <c r="L184" s="42"/>
      <c r="M184" s="42"/>
      <c r="N184" s="42"/>
      <c r="O184" s="42"/>
      <c r="P184" s="42"/>
      <c r="Q184" s="42"/>
      <c r="R184" s="42"/>
      <c r="S184" s="14" t="s">
        <v>12</v>
      </c>
      <c r="T184" s="20"/>
      <c r="U184" s="20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</row>
    <row r="185" spans="1:32" ht="22.5" customHeight="1" x14ac:dyDescent="0.2">
      <c r="A185" s="56"/>
      <c r="B185" s="40"/>
      <c r="C185" s="41"/>
      <c r="D185" s="41"/>
      <c r="E185" s="37"/>
      <c r="F185" s="40"/>
      <c r="G185" s="44"/>
      <c r="H185" s="44"/>
      <c r="I185" s="41"/>
      <c r="J185" s="39"/>
      <c r="K185" s="42"/>
      <c r="L185" s="42"/>
      <c r="M185" s="42"/>
      <c r="N185" s="42"/>
      <c r="O185" s="42"/>
      <c r="P185" s="42"/>
      <c r="Q185" s="42"/>
      <c r="R185" s="42"/>
      <c r="S185" s="14" t="s">
        <v>13</v>
      </c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</row>
    <row r="186" spans="1:32" ht="22.5" customHeight="1" x14ac:dyDescent="0.2">
      <c r="A186" s="56"/>
      <c r="B186" s="40"/>
      <c r="C186" s="41"/>
      <c r="D186" s="41"/>
      <c r="E186" s="54"/>
      <c r="F186" s="40"/>
      <c r="G186" s="45"/>
      <c r="H186" s="45"/>
      <c r="I186" s="41"/>
      <c r="J186" s="39"/>
      <c r="K186" s="42"/>
      <c r="L186" s="42"/>
      <c r="M186" s="42"/>
      <c r="N186" s="42"/>
      <c r="O186" s="42"/>
      <c r="P186" s="42"/>
      <c r="Q186" s="42"/>
      <c r="R186" s="42"/>
      <c r="S186" s="14" t="s">
        <v>14</v>
      </c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</row>
    <row r="187" spans="1:32" ht="22.5" customHeight="1" x14ac:dyDescent="0.2">
      <c r="A187" s="56"/>
      <c r="B187" s="40"/>
      <c r="C187" s="41"/>
      <c r="D187" s="41"/>
      <c r="E187" s="36"/>
      <c r="F187" s="40"/>
      <c r="G187" s="43"/>
      <c r="H187" s="43"/>
      <c r="I187" s="41"/>
      <c r="J187" s="38"/>
      <c r="K187" s="42"/>
      <c r="L187" s="42"/>
      <c r="M187" s="42"/>
      <c r="N187" s="42"/>
      <c r="O187" s="42"/>
      <c r="P187" s="42"/>
      <c r="Q187" s="42"/>
      <c r="R187" s="42"/>
      <c r="S187" s="14" t="s">
        <v>12</v>
      </c>
      <c r="T187" s="20"/>
      <c r="U187" s="20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</row>
    <row r="188" spans="1:32" ht="22.5" customHeight="1" x14ac:dyDescent="0.2">
      <c r="A188" s="56"/>
      <c r="B188" s="40"/>
      <c r="C188" s="41"/>
      <c r="D188" s="41"/>
      <c r="E188" s="37"/>
      <c r="F188" s="40"/>
      <c r="G188" s="44"/>
      <c r="H188" s="44"/>
      <c r="I188" s="41"/>
      <c r="J188" s="39"/>
      <c r="K188" s="42"/>
      <c r="L188" s="42"/>
      <c r="M188" s="42"/>
      <c r="N188" s="42"/>
      <c r="O188" s="42"/>
      <c r="P188" s="42"/>
      <c r="Q188" s="42"/>
      <c r="R188" s="42"/>
      <c r="S188" s="14" t="s">
        <v>13</v>
      </c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</row>
    <row r="189" spans="1:32" ht="22.5" customHeight="1" x14ac:dyDescent="0.2">
      <c r="A189" s="56"/>
      <c r="B189" s="40"/>
      <c r="C189" s="41"/>
      <c r="D189" s="41"/>
      <c r="E189" s="54"/>
      <c r="F189" s="40"/>
      <c r="G189" s="45"/>
      <c r="H189" s="45"/>
      <c r="I189" s="41"/>
      <c r="J189" s="39"/>
      <c r="K189" s="42"/>
      <c r="L189" s="42"/>
      <c r="M189" s="42"/>
      <c r="N189" s="42"/>
      <c r="O189" s="42"/>
      <c r="P189" s="42"/>
      <c r="Q189" s="42"/>
      <c r="R189" s="42"/>
      <c r="S189" s="14" t="s">
        <v>14</v>
      </c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</row>
    <row r="190" spans="1:32" ht="22.5" customHeight="1" x14ac:dyDescent="0.2">
      <c r="A190" s="56"/>
      <c r="B190" s="40"/>
      <c r="C190" s="41"/>
      <c r="D190" s="41"/>
      <c r="E190" s="36"/>
      <c r="F190" s="40"/>
      <c r="G190" s="43"/>
      <c r="H190" s="43"/>
      <c r="I190" s="41"/>
      <c r="J190" s="38"/>
      <c r="K190" s="42"/>
      <c r="L190" s="42"/>
      <c r="M190" s="42"/>
      <c r="N190" s="42"/>
      <c r="O190" s="42"/>
      <c r="P190" s="42"/>
      <c r="Q190" s="42"/>
      <c r="R190" s="42"/>
      <c r="S190" s="14" t="s">
        <v>12</v>
      </c>
      <c r="T190" s="20"/>
      <c r="U190" s="20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</row>
    <row r="191" spans="1:32" ht="22.5" customHeight="1" x14ac:dyDescent="0.2">
      <c r="A191" s="56"/>
      <c r="B191" s="40"/>
      <c r="C191" s="41"/>
      <c r="D191" s="41"/>
      <c r="E191" s="37"/>
      <c r="F191" s="40"/>
      <c r="G191" s="44"/>
      <c r="H191" s="44"/>
      <c r="I191" s="41"/>
      <c r="J191" s="39"/>
      <c r="K191" s="42"/>
      <c r="L191" s="42"/>
      <c r="M191" s="42"/>
      <c r="N191" s="42"/>
      <c r="O191" s="42"/>
      <c r="P191" s="42"/>
      <c r="Q191" s="42"/>
      <c r="R191" s="42"/>
      <c r="S191" s="14" t="s">
        <v>13</v>
      </c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</row>
    <row r="192" spans="1:32" ht="22.5" customHeight="1" x14ac:dyDescent="0.2">
      <c r="A192" s="56"/>
      <c r="B192" s="40"/>
      <c r="C192" s="41"/>
      <c r="D192" s="41"/>
      <c r="E192" s="54"/>
      <c r="F192" s="40"/>
      <c r="G192" s="45"/>
      <c r="H192" s="45"/>
      <c r="I192" s="41"/>
      <c r="J192" s="39"/>
      <c r="K192" s="42"/>
      <c r="L192" s="42"/>
      <c r="M192" s="42"/>
      <c r="N192" s="42"/>
      <c r="O192" s="42"/>
      <c r="P192" s="42"/>
      <c r="Q192" s="42"/>
      <c r="R192" s="42"/>
      <c r="S192" s="14" t="s">
        <v>14</v>
      </c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</row>
    <row r="193" spans="1:32" ht="22.5" customHeight="1" x14ac:dyDescent="0.2">
      <c r="A193" s="56"/>
      <c r="B193" s="40"/>
      <c r="C193" s="41"/>
      <c r="D193" s="41"/>
      <c r="E193" s="36"/>
      <c r="F193" s="40"/>
      <c r="G193" s="43"/>
      <c r="H193" s="43"/>
      <c r="I193" s="41"/>
      <c r="J193" s="38"/>
      <c r="K193" s="42"/>
      <c r="L193" s="42"/>
      <c r="M193" s="42"/>
      <c r="N193" s="42"/>
      <c r="O193" s="42"/>
      <c r="P193" s="42"/>
      <c r="Q193" s="42"/>
      <c r="R193" s="42"/>
      <c r="S193" s="14" t="s">
        <v>12</v>
      </c>
      <c r="T193" s="20"/>
      <c r="U193" s="20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</row>
    <row r="194" spans="1:32" ht="22.5" customHeight="1" x14ac:dyDescent="0.2">
      <c r="A194" s="56"/>
      <c r="B194" s="40"/>
      <c r="C194" s="41"/>
      <c r="D194" s="41"/>
      <c r="E194" s="37"/>
      <c r="F194" s="40"/>
      <c r="G194" s="44"/>
      <c r="H194" s="44"/>
      <c r="I194" s="41"/>
      <c r="J194" s="39"/>
      <c r="K194" s="42"/>
      <c r="L194" s="42"/>
      <c r="M194" s="42"/>
      <c r="N194" s="42"/>
      <c r="O194" s="42"/>
      <c r="P194" s="42"/>
      <c r="Q194" s="42"/>
      <c r="R194" s="42"/>
      <c r="S194" s="14" t="s">
        <v>13</v>
      </c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</row>
    <row r="195" spans="1:32" ht="22.5" customHeight="1" x14ac:dyDescent="0.2">
      <c r="A195" s="56"/>
      <c r="B195" s="40"/>
      <c r="C195" s="41"/>
      <c r="D195" s="41"/>
      <c r="E195" s="54"/>
      <c r="F195" s="40"/>
      <c r="G195" s="45"/>
      <c r="H195" s="45"/>
      <c r="I195" s="41"/>
      <c r="J195" s="39"/>
      <c r="K195" s="42"/>
      <c r="L195" s="42"/>
      <c r="M195" s="42"/>
      <c r="N195" s="42"/>
      <c r="O195" s="42"/>
      <c r="P195" s="42"/>
      <c r="Q195" s="42"/>
      <c r="R195" s="42"/>
      <c r="S195" s="14" t="s">
        <v>14</v>
      </c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</row>
    <row r="196" spans="1:32" ht="22.5" customHeight="1" x14ac:dyDescent="0.2">
      <c r="A196" s="56"/>
      <c r="B196" s="40"/>
      <c r="C196" s="41"/>
      <c r="D196" s="41"/>
      <c r="E196" s="36"/>
      <c r="F196" s="40"/>
      <c r="G196" s="43"/>
      <c r="H196" s="43"/>
      <c r="I196" s="41"/>
      <c r="J196" s="38"/>
      <c r="K196" s="42"/>
      <c r="L196" s="42"/>
      <c r="M196" s="42"/>
      <c r="N196" s="42"/>
      <c r="O196" s="42"/>
      <c r="P196" s="42"/>
      <c r="Q196" s="42"/>
      <c r="R196" s="42"/>
      <c r="S196" s="14" t="s">
        <v>12</v>
      </c>
      <c r="T196" s="20"/>
      <c r="U196" s="20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</row>
    <row r="197" spans="1:32" ht="22.5" customHeight="1" x14ac:dyDescent="0.2">
      <c r="A197" s="56"/>
      <c r="B197" s="40"/>
      <c r="C197" s="41"/>
      <c r="D197" s="41"/>
      <c r="E197" s="37"/>
      <c r="F197" s="40"/>
      <c r="G197" s="44"/>
      <c r="H197" s="44"/>
      <c r="I197" s="41"/>
      <c r="J197" s="39"/>
      <c r="K197" s="42"/>
      <c r="L197" s="42"/>
      <c r="M197" s="42"/>
      <c r="N197" s="42"/>
      <c r="O197" s="42"/>
      <c r="P197" s="42"/>
      <c r="Q197" s="42"/>
      <c r="R197" s="42"/>
      <c r="S197" s="14" t="s">
        <v>13</v>
      </c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</row>
    <row r="198" spans="1:32" ht="22.5" customHeight="1" x14ac:dyDescent="0.2">
      <c r="A198" s="56"/>
      <c r="B198" s="40"/>
      <c r="C198" s="41"/>
      <c r="D198" s="41"/>
      <c r="E198" s="54"/>
      <c r="F198" s="40"/>
      <c r="G198" s="45"/>
      <c r="H198" s="45"/>
      <c r="I198" s="41"/>
      <c r="J198" s="39"/>
      <c r="K198" s="42"/>
      <c r="L198" s="42"/>
      <c r="M198" s="42"/>
      <c r="N198" s="42"/>
      <c r="O198" s="42"/>
      <c r="P198" s="42"/>
      <c r="Q198" s="42"/>
      <c r="R198" s="42"/>
      <c r="S198" s="14" t="s">
        <v>14</v>
      </c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</row>
    <row r="199" spans="1:32" ht="22.5" customHeight="1" x14ac:dyDescent="0.2">
      <c r="A199" s="56"/>
      <c r="B199" s="40"/>
      <c r="C199" s="41"/>
      <c r="D199" s="41"/>
      <c r="E199" s="36"/>
      <c r="F199" s="40"/>
      <c r="G199" s="43"/>
      <c r="H199" s="43"/>
      <c r="I199" s="41"/>
      <c r="J199" s="38"/>
      <c r="K199" s="42"/>
      <c r="L199" s="42"/>
      <c r="M199" s="42"/>
      <c r="N199" s="42"/>
      <c r="O199" s="42"/>
      <c r="P199" s="42"/>
      <c r="Q199" s="42"/>
      <c r="R199" s="42"/>
      <c r="S199" s="14" t="s">
        <v>12</v>
      </c>
      <c r="T199" s="20"/>
      <c r="U199" s="20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</row>
    <row r="200" spans="1:32" ht="22.5" customHeight="1" x14ac:dyDescent="0.2">
      <c r="A200" s="56"/>
      <c r="B200" s="40"/>
      <c r="C200" s="41"/>
      <c r="D200" s="41"/>
      <c r="E200" s="37"/>
      <c r="F200" s="40"/>
      <c r="G200" s="44"/>
      <c r="H200" s="44"/>
      <c r="I200" s="41"/>
      <c r="J200" s="39"/>
      <c r="K200" s="42"/>
      <c r="L200" s="42"/>
      <c r="M200" s="42"/>
      <c r="N200" s="42"/>
      <c r="O200" s="42"/>
      <c r="P200" s="42"/>
      <c r="Q200" s="42"/>
      <c r="R200" s="42"/>
      <c r="S200" s="14" t="s">
        <v>13</v>
      </c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</row>
    <row r="201" spans="1:32" ht="22.5" customHeight="1" x14ac:dyDescent="0.2">
      <c r="A201" s="56"/>
      <c r="B201" s="40"/>
      <c r="C201" s="41"/>
      <c r="D201" s="41"/>
      <c r="E201" s="54"/>
      <c r="F201" s="40"/>
      <c r="G201" s="45"/>
      <c r="H201" s="45"/>
      <c r="I201" s="41"/>
      <c r="J201" s="39"/>
      <c r="K201" s="42"/>
      <c r="L201" s="42"/>
      <c r="M201" s="42"/>
      <c r="N201" s="42"/>
      <c r="O201" s="42"/>
      <c r="P201" s="42"/>
      <c r="Q201" s="42"/>
      <c r="R201" s="42"/>
      <c r="S201" s="14" t="s">
        <v>14</v>
      </c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</row>
    <row r="202" spans="1:32" ht="22.5" customHeight="1" x14ac:dyDescent="0.2">
      <c r="A202" s="56"/>
      <c r="B202" s="40"/>
      <c r="C202" s="41"/>
      <c r="D202" s="41"/>
      <c r="E202" s="36"/>
      <c r="F202" s="40"/>
      <c r="G202" s="43"/>
      <c r="H202" s="43"/>
      <c r="I202" s="41"/>
      <c r="J202" s="38"/>
      <c r="K202" s="42"/>
      <c r="L202" s="42"/>
      <c r="M202" s="42"/>
      <c r="N202" s="42"/>
      <c r="O202" s="42"/>
      <c r="P202" s="42"/>
      <c r="Q202" s="42"/>
      <c r="R202" s="42"/>
      <c r="S202" s="14" t="s">
        <v>12</v>
      </c>
      <c r="T202" s="20"/>
      <c r="U202" s="20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</row>
    <row r="203" spans="1:32" ht="22.5" customHeight="1" x14ac:dyDescent="0.2">
      <c r="A203" s="56"/>
      <c r="B203" s="40"/>
      <c r="C203" s="41"/>
      <c r="D203" s="41"/>
      <c r="E203" s="37"/>
      <c r="F203" s="40"/>
      <c r="G203" s="44"/>
      <c r="H203" s="44"/>
      <c r="I203" s="41"/>
      <c r="J203" s="39"/>
      <c r="K203" s="42"/>
      <c r="L203" s="42"/>
      <c r="M203" s="42"/>
      <c r="N203" s="42"/>
      <c r="O203" s="42"/>
      <c r="P203" s="42"/>
      <c r="Q203" s="42"/>
      <c r="R203" s="42"/>
      <c r="S203" s="14" t="s">
        <v>13</v>
      </c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</row>
    <row r="204" spans="1:32" ht="22.5" customHeight="1" x14ac:dyDescent="0.2">
      <c r="A204" s="56"/>
      <c r="B204" s="40"/>
      <c r="C204" s="41"/>
      <c r="D204" s="41"/>
      <c r="E204" s="54"/>
      <c r="F204" s="40"/>
      <c r="G204" s="45"/>
      <c r="H204" s="45"/>
      <c r="I204" s="41"/>
      <c r="J204" s="39"/>
      <c r="K204" s="42"/>
      <c r="L204" s="42"/>
      <c r="M204" s="42"/>
      <c r="N204" s="42"/>
      <c r="O204" s="42"/>
      <c r="P204" s="42"/>
      <c r="Q204" s="42"/>
      <c r="R204" s="42"/>
      <c r="S204" s="14" t="s">
        <v>14</v>
      </c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</row>
    <row r="205" spans="1:32" ht="22.5" customHeight="1" x14ac:dyDescent="0.2">
      <c r="A205" s="56"/>
      <c r="B205" s="40"/>
      <c r="C205" s="41"/>
      <c r="D205" s="41"/>
      <c r="E205" s="36"/>
      <c r="F205" s="40"/>
      <c r="G205" s="43"/>
      <c r="H205" s="43"/>
      <c r="I205" s="41"/>
      <c r="J205" s="38"/>
      <c r="K205" s="42"/>
      <c r="L205" s="42"/>
      <c r="M205" s="42"/>
      <c r="N205" s="42"/>
      <c r="O205" s="42"/>
      <c r="P205" s="42"/>
      <c r="Q205" s="42"/>
      <c r="R205" s="42"/>
      <c r="S205" s="14" t="s">
        <v>12</v>
      </c>
      <c r="T205" s="20"/>
      <c r="U205" s="20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</row>
    <row r="206" spans="1:32" ht="22.5" customHeight="1" x14ac:dyDescent="0.2">
      <c r="A206" s="56"/>
      <c r="B206" s="40"/>
      <c r="C206" s="41"/>
      <c r="D206" s="41"/>
      <c r="E206" s="37"/>
      <c r="F206" s="40"/>
      <c r="G206" s="44"/>
      <c r="H206" s="44"/>
      <c r="I206" s="41"/>
      <c r="J206" s="39"/>
      <c r="K206" s="42"/>
      <c r="L206" s="42"/>
      <c r="M206" s="42"/>
      <c r="N206" s="42"/>
      <c r="O206" s="42"/>
      <c r="P206" s="42"/>
      <c r="Q206" s="42"/>
      <c r="R206" s="42"/>
      <c r="S206" s="14" t="s">
        <v>13</v>
      </c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</row>
    <row r="207" spans="1:32" ht="22.5" customHeight="1" x14ac:dyDescent="0.2">
      <c r="A207" s="56"/>
      <c r="B207" s="40"/>
      <c r="C207" s="41"/>
      <c r="D207" s="41"/>
      <c r="E207" s="54"/>
      <c r="F207" s="40"/>
      <c r="G207" s="45"/>
      <c r="H207" s="45"/>
      <c r="I207" s="41"/>
      <c r="J207" s="39"/>
      <c r="K207" s="42"/>
      <c r="L207" s="42"/>
      <c r="M207" s="42"/>
      <c r="N207" s="42"/>
      <c r="O207" s="42"/>
      <c r="P207" s="42"/>
      <c r="Q207" s="42"/>
      <c r="R207" s="42"/>
      <c r="S207" s="14" t="s">
        <v>14</v>
      </c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</row>
    <row r="208" spans="1:32" ht="22.5" customHeight="1" x14ac:dyDescent="0.2">
      <c r="A208" s="56"/>
      <c r="B208" s="40"/>
      <c r="C208" s="41"/>
      <c r="D208" s="41"/>
      <c r="E208" s="36"/>
      <c r="F208" s="40"/>
      <c r="G208" s="43"/>
      <c r="H208" s="43"/>
      <c r="I208" s="41"/>
      <c r="J208" s="38"/>
      <c r="K208" s="42"/>
      <c r="L208" s="42"/>
      <c r="M208" s="42"/>
      <c r="N208" s="42"/>
      <c r="O208" s="42"/>
      <c r="P208" s="42"/>
      <c r="Q208" s="42"/>
      <c r="R208" s="42"/>
      <c r="S208" s="14" t="s">
        <v>12</v>
      </c>
      <c r="T208" s="20"/>
      <c r="U208" s="20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</row>
    <row r="209" spans="1:32" ht="22.5" customHeight="1" x14ac:dyDescent="0.2">
      <c r="A209" s="56"/>
      <c r="B209" s="40"/>
      <c r="C209" s="41"/>
      <c r="D209" s="41"/>
      <c r="E209" s="37"/>
      <c r="F209" s="40"/>
      <c r="G209" s="44"/>
      <c r="H209" s="44"/>
      <c r="I209" s="41"/>
      <c r="J209" s="39"/>
      <c r="K209" s="42"/>
      <c r="L209" s="42"/>
      <c r="M209" s="42"/>
      <c r="N209" s="42"/>
      <c r="O209" s="42"/>
      <c r="P209" s="42"/>
      <c r="Q209" s="42"/>
      <c r="R209" s="42"/>
      <c r="S209" s="14" t="s">
        <v>13</v>
      </c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</row>
    <row r="210" spans="1:32" ht="22.5" customHeight="1" x14ac:dyDescent="0.2">
      <c r="A210" s="56"/>
      <c r="B210" s="40"/>
      <c r="C210" s="41"/>
      <c r="D210" s="41"/>
      <c r="E210" s="54"/>
      <c r="F210" s="40"/>
      <c r="G210" s="45"/>
      <c r="H210" s="45"/>
      <c r="I210" s="41"/>
      <c r="J210" s="39"/>
      <c r="K210" s="42"/>
      <c r="L210" s="42"/>
      <c r="M210" s="42"/>
      <c r="N210" s="42"/>
      <c r="O210" s="42"/>
      <c r="P210" s="42"/>
      <c r="Q210" s="42"/>
      <c r="R210" s="42"/>
      <c r="S210" s="14" t="s">
        <v>14</v>
      </c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</row>
    <row r="211" spans="1:32" ht="22.5" customHeight="1" x14ac:dyDescent="0.2">
      <c r="A211" s="56"/>
      <c r="B211" s="40"/>
      <c r="C211" s="41"/>
      <c r="D211" s="41"/>
      <c r="E211" s="36"/>
      <c r="F211" s="40"/>
      <c r="G211" s="43"/>
      <c r="H211" s="43"/>
      <c r="I211" s="41"/>
      <c r="J211" s="38"/>
      <c r="K211" s="42"/>
      <c r="L211" s="42"/>
      <c r="M211" s="42"/>
      <c r="N211" s="42"/>
      <c r="O211" s="42"/>
      <c r="P211" s="42"/>
      <c r="Q211" s="42"/>
      <c r="R211" s="42"/>
      <c r="S211" s="14" t="s">
        <v>12</v>
      </c>
      <c r="T211" s="20"/>
      <c r="U211" s="20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</row>
    <row r="212" spans="1:32" ht="22.5" customHeight="1" x14ac:dyDescent="0.2">
      <c r="A212" s="56"/>
      <c r="B212" s="40"/>
      <c r="C212" s="41"/>
      <c r="D212" s="41"/>
      <c r="E212" s="37"/>
      <c r="F212" s="40"/>
      <c r="G212" s="44"/>
      <c r="H212" s="44"/>
      <c r="I212" s="41"/>
      <c r="J212" s="39"/>
      <c r="K212" s="42"/>
      <c r="L212" s="42"/>
      <c r="M212" s="42"/>
      <c r="N212" s="42"/>
      <c r="O212" s="42"/>
      <c r="P212" s="42"/>
      <c r="Q212" s="42"/>
      <c r="R212" s="42"/>
      <c r="S212" s="14" t="s">
        <v>13</v>
      </c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</row>
    <row r="213" spans="1:32" ht="22.5" customHeight="1" x14ac:dyDescent="0.2">
      <c r="A213" s="56"/>
      <c r="B213" s="40"/>
      <c r="C213" s="41"/>
      <c r="D213" s="41"/>
      <c r="E213" s="54"/>
      <c r="F213" s="40"/>
      <c r="G213" s="45"/>
      <c r="H213" s="45"/>
      <c r="I213" s="41"/>
      <c r="J213" s="39"/>
      <c r="K213" s="42"/>
      <c r="L213" s="42"/>
      <c r="M213" s="42"/>
      <c r="N213" s="42"/>
      <c r="O213" s="42"/>
      <c r="P213" s="42"/>
      <c r="Q213" s="42"/>
      <c r="R213" s="42"/>
      <c r="S213" s="14" t="s">
        <v>14</v>
      </c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</row>
    <row r="214" spans="1:32" ht="22.5" customHeight="1" x14ac:dyDescent="0.2">
      <c r="A214" s="56"/>
      <c r="B214" s="40"/>
      <c r="C214" s="41"/>
      <c r="D214" s="41"/>
      <c r="E214" s="36"/>
      <c r="F214" s="40"/>
      <c r="G214" s="43"/>
      <c r="H214" s="43"/>
      <c r="I214" s="41"/>
      <c r="J214" s="38"/>
      <c r="K214" s="42"/>
      <c r="L214" s="42"/>
      <c r="M214" s="42"/>
      <c r="N214" s="42"/>
      <c r="O214" s="42"/>
      <c r="P214" s="42"/>
      <c r="Q214" s="42"/>
      <c r="R214" s="42"/>
      <c r="S214" s="14" t="s">
        <v>12</v>
      </c>
      <c r="T214" s="20"/>
      <c r="U214" s="20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</row>
    <row r="215" spans="1:32" ht="22.5" customHeight="1" x14ac:dyDescent="0.2">
      <c r="A215" s="56"/>
      <c r="B215" s="40"/>
      <c r="C215" s="41"/>
      <c r="D215" s="41"/>
      <c r="E215" s="37"/>
      <c r="F215" s="40"/>
      <c r="G215" s="44"/>
      <c r="H215" s="44"/>
      <c r="I215" s="41"/>
      <c r="J215" s="39"/>
      <c r="K215" s="42"/>
      <c r="L215" s="42"/>
      <c r="M215" s="42"/>
      <c r="N215" s="42"/>
      <c r="O215" s="42"/>
      <c r="P215" s="42"/>
      <c r="Q215" s="42"/>
      <c r="R215" s="42"/>
      <c r="S215" s="14" t="s">
        <v>13</v>
      </c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</row>
    <row r="216" spans="1:32" ht="22.5" customHeight="1" x14ac:dyDescent="0.2">
      <c r="A216" s="56"/>
      <c r="B216" s="40"/>
      <c r="C216" s="41"/>
      <c r="D216" s="41"/>
      <c r="E216" s="54"/>
      <c r="F216" s="40"/>
      <c r="G216" s="45"/>
      <c r="H216" s="45"/>
      <c r="I216" s="41"/>
      <c r="J216" s="39"/>
      <c r="K216" s="42"/>
      <c r="L216" s="42"/>
      <c r="M216" s="42"/>
      <c r="N216" s="42"/>
      <c r="O216" s="42"/>
      <c r="P216" s="42"/>
      <c r="Q216" s="42"/>
      <c r="R216" s="42"/>
      <c r="S216" s="14" t="s">
        <v>14</v>
      </c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</row>
    <row r="217" spans="1:32" ht="22.5" customHeight="1" x14ac:dyDescent="0.2">
      <c r="A217" s="56"/>
      <c r="B217" s="40"/>
      <c r="C217" s="41"/>
      <c r="D217" s="41"/>
      <c r="E217" s="36"/>
      <c r="F217" s="40"/>
      <c r="G217" s="43"/>
      <c r="H217" s="43"/>
      <c r="I217" s="41"/>
      <c r="J217" s="38"/>
      <c r="K217" s="42"/>
      <c r="L217" s="42"/>
      <c r="M217" s="42"/>
      <c r="N217" s="42"/>
      <c r="O217" s="42"/>
      <c r="P217" s="42"/>
      <c r="Q217" s="42"/>
      <c r="R217" s="42"/>
      <c r="S217" s="14" t="s">
        <v>12</v>
      </c>
      <c r="T217" s="20"/>
      <c r="U217" s="20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</row>
    <row r="218" spans="1:32" ht="22.5" customHeight="1" x14ac:dyDescent="0.2">
      <c r="A218" s="56"/>
      <c r="B218" s="40"/>
      <c r="C218" s="41"/>
      <c r="D218" s="41"/>
      <c r="E218" s="37"/>
      <c r="F218" s="40"/>
      <c r="G218" s="44"/>
      <c r="H218" s="44"/>
      <c r="I218" s="41"/>
      <c r="J218" s="39"/>
      <c r="K218" s="42"/>
      <c r="L218" s="42"/>
      <c r="M218" s="42"/>
      <c r="N218" s="42"/>
      <c r="O218" s="42"/>
      <c r="P218" s="42"/>
      <c r="Q218" s="42"/>
      <c r="R218" s="42"/>
      <c r="S218" s="14" t="s">
        <v>13</v>
      </c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</row>
    <row r="219" spans="1:32" ht="22.5" customHeight="1" x14ac:dyDescent="0.2">
      <c r="A219" s="56"/>
      <c r="B219" s="40"/>
      <c r="C219" s="41"/>
      <c r="D219" s="41"/>
      <c r="E219" s="54"/>
      <c r="F219" s="40"/>
      <c r="G219" s="45"/>
      <c r="H219" s="45"/>
      <c r="I219" s="41"/>
      <c r="J219" s="39"/>
      <c r="K219" s="42"/>
      <c r="L219" s="42"/>
      <c r="M219" s="42"/>
      <c r="N219" s="42"/>
      <c r="O219" s="42"/>
      <c r="P219" s="42"/>
      <c r="Q219" s="42"/>
      <c r="R219" s="42"/>
      <c r="S219" s="14" t="s">
        <v>14</v>
      </c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</row>
    <row r="220" spans="1:32" ht="22.5" customHeight="1" x14ac:dyDescent="0.2">
      <c r="A220" s="56"/>
      <c r="B220" s="40"/>
      <c r="C220" s="41"/>
      <c r="D220" s="41"/>
      <c r="E220" s="36"/>
      <c r="F220" s="40"/>
      <c r="G220" s="43"/>
      <c r="H220" s="43"/>
      <c r="I220" s="41"/>
      <c r="J220" s="38"/>
      <c r="K220" s="42"/>
      <c r="L220" s="42"/>
      <c r="M220" s="42"/>
      <c r="N220" s="42"/>
      <c r="O220" s="42"/>
      <c r="P220" s="42"/>
      <c r="Q220" s="42"/>
      <c r="R220" s="42"/>
      <c r="S220" s="14" t="s">
        <v>12</v>
      </c>
      <c r="T220" s="20"/>
      <c r="U220" s="20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</row>
    <row r="221" spans="1:32" ht="22.5" customHeight="1" x14ac:dyDescent="0.2">
      <c r="A221" s="56"/>
      <c r="B221" s="40"/>
      <c r="C221" s="41"/>
      <c r="D221" s="41"/>
      <c r="E221" s="37"/>
      <c r="F221" s="40"/>
      <c r="G221" s="44"/>
      <c r="H221" s="44"/>
      <c r="I221" s="41"/>
      <c r="J221" s="39"/>
      <c r="K221" s="42"/>
      <c r="L221" s="42"/>
      <c r="M221" s="42"/>
      <c r="N221" s="42"/>
      <c r="O221" s="42"/>
      <c r="P221" s="42"/>
      <c r="Q221" s="42"/>
      <c r="R221" s="42"/>
      <c r="S221" s="14" t="s">
        <v>13</v>
      </c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</row>
    <row r="222" spans="1:32" ht="22.5" customHeight="1" x14ac:dyDescent="0.2">
      <c r="A222" s="56"/>
      <c r="B222" s="40"/>
      <c r="C222" s="41"/>
      <c r="D222" s="41"/>
      <c r="E222" s="54"/>
      <c r="F222" s="40"/>
      <c r="G222" s="45"/>
      <c r="H222" s="45"/>
      <c r="I222" s="41"/>
      <c r="J222" s="39"/>
      <c r="K222" s="42"/>
      <c r="L222" s="42"/>
      <c r="M222" s="42"/>
      <c r="N222" s="42"/>
      <c r="O222" s="42"/>
      <c r="P222" s="42"/>
      <c r="Q222" s="42"/>
      <c r="R222" s="42"/>
      <c r="S222" s="14" t="s">
        <v>14</v>
      </c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</row>
    <row r="223" spans="1:32" ht="22.5" customHeight="1" x14ac:dyDescent="0.2">
      <c r="A223" s="56"/>
      <c r="B223" s="40"/>
      <c r="C223" s="41"/>
      <c r="D223" s="41"/>
      <c r="E223" s="36"/>
      <c r="F223" s="40"/>
      <c r="G223" s="43"/>
      <c r="H223" s="43"/>
      <c r="I223" s="41"/>
      <c r="J223" s="38"/>
      <c r="K223" s="42"/>
      <c r="L223" s="42"/>
      <c r="M223" s="42"/>
      <c r="N223" s="42"/>
      <c r="O223" s="42"/>
      <c r="P223" s="42"/>
      <c r="Q223" s="42"/>
      <c r="R223" s="42"/>
      <c r="S223" s="14" t="s">
        <v>12</v>
      </c>
      <c r="T223" s="20"/>
      <c r="U223" s="20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</row>
    <row r="224" spans="1:32" ht="22.5" customHeight="1" x14ac:dyDescent="0.2">
      <c r="A224" s="56"/>
      <c r="B224" s="40"/>
      <c r="C224" s="41"/>
      <c r="D224" s="41"/>
      <c r="E224" s="37"/>
      <c r="F224" s="40"/>
      <c r="G224" s="44"/>
      <c r="H224" s="44"/>
      <c r="I224" s="41"/>
      <c r="J224" s="39"/>
      <c r="K224" s="42"/>
      <c r="L224" s="42"/>
      <c r="M224" s="42"/>
      <c r="N224" s="42"/>
      <c r="O224" s="42"/>
      <c r="P224" s="42"/>
      <c r="Q224" s="42"/>
      <c r="R224" s="42"/>
      <c r="S224" s="14" t="s">
        <v>13</v>
      </c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</row>
    <row r="225" spans="1:32" ht="22.5" customHeight="1" x14ac:dyDescent="0.2">
      <c r="A225" s="56"/>
      <c r="B225" s="40"/>
      <c r="C225" s="41"/>
      <c r="D225" s="41"/>
      <c r="E225" s="54"/>
      <c r="F225" s="40"/>
      <c r="G225" s="45"/>
      <c r="H225" s="45"/>
      <c r="I225" s="41"/>
      <c r="J225" s="39"/>
      <c r="K225" s="42"/>
      <c r="L225" s="42"/>
      <c r="M225" s="42"/>
      <c r="N225" s="42"/>
      <c r="O225" s="42"/>
      <c r="P225" s="42"/>
      <c r="Q225" s="42"/>
      <c r="R225" s="42"/>
      <c r="S225" s="14" t="s">
        <v>14</v>
      </c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</row>
    <row r="226" spans="1:32" ht="22.5" customHeight="1" x14ac:dyDescent="0.2">
      <c r="A226" s="56"/>
      <c r="B226" s="40"/>
      <c r="C226" s="41"/>
      <c r="D226" s="41"/>
      <c r="E226" s="36"/>
      <c r="F226" s="40"/>
      <c r="G226" s="43"/>
      <c r="H226" s="43"/>
      <c r="I226" s="41"/>
      <c r="J226" s="38"/>
      <c r="K226" s="42"/>
      <c r="L226" s="42"/>
      <c r="M226" s="42"/>
      <c r="N226" s="42"/>
      <c r="O226" s="42"/>
      <c r="P226" s="42"/>
      <c r="Q226" s="42"/>
      <c r="R226" s="42"/>
      <c r="S226" s="14" t="s">
        <v>12</v>
      </c>
      <c r="T226" s="20"/>
      <c r="U226" s="20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</row>
    <row r="227" spans="1:32" ht="22.5" customHeight="1" x14ac:dyDescent="0.2">
      <c r="A227" s="56"/>
      <c r="B227" s="40"/>
      <c r="C227" s="41"/>
      <c r="D227" s="41"/>
      <c r="E227" s="37"/>
      <c r="F227" s="40"/>
      <c r="G227" s="44"/>
      <c r="H227" s="44"/>
      <c r="I227" s="41"/>
      <c r="J227" s="39"/>
      <c r="K227" s="42"/>
      <c r="L227" s="42"/>
      <c r="M227" s="42"/>
      <c r="N227" s="42"/>
      <c r="O227" s="42"/>
      <c r="P227" s="42"/>
      <c r="Q227" s="42"/>
      <c r="R227" s="42"/>
      <c r="S227" s="14" t="s">
        <v>13</v>
      </c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</row>
    <row r="228" spans="1:32" ht="22.5" customHeight="1" x14ac:dyDescent="0.2">
      <c r="A228" s="56"/>
      <c r="B228" s="40"/>
      <c r="C228" s="41"/>
      <c r="D228" s="41"/>
      <c r="E228" s="54"/>
      <c r="F228" s="40"/>
      <c r="G228" s="45"/>
      <c r="H228" s="45"/>
      <c r="I228" s="41"/>
      <c r="J228" s="39"/>
      <c r="K228" s="42"/>
      <c r="L228" s="42"/>
      <c r="M228" s="42"/>
      <c r="N228" s="42"/>
      <c r="O228" s="42"/>
      <c r="P228" s="42"/>
      <c r="Q228" s="42"/>
      <c r="R228" s="42"/>
      <c r="S228" s="14" t="s">
        <v>14</v>
      </c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</row>
    <row r="229" spans="1:32" ht="22.5" customHeight="1" x14ac:dyDescent="0.2">
      <c r="A229" s="56"/>
      <c r="B229" s="40"/>
      <c r="C229" s="41"/>
      <c r="D229" s="41"/>
      <c r="E229" s="36"/>
      <c r="F229" s="40"/>
      <c r="G229" s="43"/>
      <c r="H229" s="43"/>
      <c r="I229" s="41"/>
      <c r="J229" s="38"/>
      <c r="K229" s="42"/>
      <c r="L229" s="42"/>
      <c r="M229" s="42"/>
      <c r="N229" s="42"/>
      <c r="O229" s="42"/>
      <c r="P229" s="42"/>
      <c r="Q229" s="42"/>
      <c r="R229" s="42"/>
      <c r="S229" s="14" t="s">
        <v>12</v>
      </c>
      <c r="T229" s="20"/>
      <c r="U229" s="20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</row>
    <row r="230" spans="1:32" ht="22.5" customHeight="1" x14ac:dyDescent="0.2">
      <c r="A230" s="56"/>
      <c r="B230" s="40"/>
      <c r="C230" s="41"/>
      <c r="D230" s="41"/>
      <c r="E230" s="37"/>
      <c r="F230" s="40"/>
      <c r="G230" s="44"/>
      <c r="H230" s="44"/>
      <c r="I230" s="41"/>
      <c r="J230" s="39"/>
      <c r="K230" s="42"/>
      <c r="L230" s="42"/>
      <c r="M230" s="42"/>
      <c r="N230" s="42"/>
      <c r="O230" s="42"/>
      <c r="P230" s="42"/>
      <c r="Q230" s="42"/>
      <c r="R230" s="42"/>
      <c r="S230" s="14" t="s">
        <v>13</v>
      </c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</row>
    <row r="231" spans="1:32" ht="22.5" customHeight="1" x14ac:dyDescent="0.2">
      <c r="A231" s="56"/>
      <c r="B231" s="40"/>
      <c r="C231" s="41"/>
      <c r="D231" s="41"/>
      <c r="E231" s="54"/>
      <c r="F231" s="40"/>
      <c r="G231" s="45"/>
      <c r="H231" s="45"/>
      <c r="I231" s="41"/>
      <c r="J231" s="39"/>
      <c r="K231" s="42"/>
      <c r="L231" s="42"/>
      <c r="M231" s="42"/>
      <c r="N231" s="42"/>
      <c r="O231" s="42"/>
      <c r="P231" s="42"/>
      <c r="Q231" s="42"/>
      <c r="R231" s="42"/>
      <c r="S231" s="14" t="s">
        <v>14</v>
      </c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</row>
    <row r="232" spans="1:32" ht="22.5" customHeight="1" x14ac:dyDescent="0.2">
      <c r="A232" s="56"/>
      <c r="B232" s="40"/>
      <c r="C232" s="41"/>
      <c r="D232" s="41"/>
      <c r="E232" s="36"/>
      <c r="F232" s="40"/>
      <c r="G232" s="43"/>
      <c r="H232" s="43"/>
      <c r="I232" s="41"/>
      <c r="J232" s="38"/>
      <c r="K232" s="42"/>
      <c r="L232" s="42"/>
      <c r="M232" s="42"/>
      <c r="N232" s="42"/>
      <c r="O232" s="42"/>
      <c r="P232" s="42"/>
      <c r="Q232" s="42"/>
      <c r="R232" s="42"/>
      <c r="S232" s="14" t="s">
        <v>12</v>
      </c>
      <c r="T232" s="20"/>
      <c r="U232" s="20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</row>
    <row r="233" spans="1:32" ht="22.5" customHeight="1" x14ac:dyDescent="0.2">
      <c r="A233" s="56"/>
      <c r="B233" s="40"/>
      <c r="C233" s="41"/>
      <c r="D233" s="41"/>
      <c r="E233" s="37"/>
      <c r="F233" s="40"/>
      <c r="G233" s="44"/>
      <c r="H233" s="44"/>
      <c r="I233" s="41"/>
      <c r="J233" s="39"/>
      <c r="K233" s="42"/>
      <c r="L233" s="42"/>
      <c r="M233" s="42"/>
      <c r="N233" s="42"/>
      <c r="O233" s="42"/>
      <c r="P233" s="42"/>
      <c r="Q233" s="42"/>
      <c r="R233" s="42"/>
      <c r="S233" s="14" t="s">
        <v>13</v>
      </c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</row>
    <row r="234" spans="1:32" ht="22.5" customHeight="1" x14ac:dyDescent="0.2">
      <c r="A234" s="56"/>
      <c r="B234" s="40"/>
      <c r="C234" s="41"/>
      <c r="D234" s="41"/>
      <c r="E234" s="54"/>
      <c r="F234" s="40"/>
      <c r="G234" s="45"/>
      <c r="H234" s="45"/>
      <c r="I234" s="41"/>
      <c r="J234" s="39"/>
      <c r="K234" s="42"/>
      <c r="L234" s="42"/>
      <c r="M234" s="42"/>
      <c r="N234" s="42"/>
      <c r="O234" s="42"/>
      <c r="P234" s="42"/>
      <c r="Q234" s="42"/>
      <c r="R234" s="42"/>
      <c r="S234" s="14" t="s">
        <v>14</v>
      </c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</row>
    <row r="235" spans="1:32" ht="22.5" customHeight="1" x14ac:dyDescent="0.2">
      <c r="A235" s="56"/>
      <c r="B235" s="40"/>
      <c r="C235" s="41"/>
      <c r="D235" s="41"/>
      <c r="E235" s="36"/>
      <c r="F235" s="40"/>
      <c r="G235" s="43"/>
      <c r="H235" s="43"/>
      <c r="I235" s="41"/>
      <c r="J235" s="38"/>
      <c r="K235" s="42"/>
      <c r="L235" s="42"/>
      <c r="M235" s="42"/>
      <c r="N235" s="42"/>
      <c r="O235" s="42"/>
      <c r="P235" s="42"/>
      <c r="Q235" s="42"/>
      <c r="R235" s="42"/>
      <c r="S235" s="14" t="s">
        <v>12</v>
      </c>
      <c r="T235" s="20"/>
      <c r="U235" s="20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</row>
    <row r="236" spans="1:32" ht="22.5" customHeight="1" x14ac:dyDescent="0.2">
      <c r="A236" s="56"/>
      <c r="B236" s="40"/>
      <c r="C236" s="41"/>
      <c r="D236" s="41"/>
      <c r="E236" s="37"/>
      <c r="F236" s="40"/>
      <c r="G236" s="44"/>
      <c r="H236" s="44"/>
      <c r="I236" s="41"/>
      <c r="J236" s="39"/>
      <c r="K236" s="42"/>
      <c r="L236" s="42"/>
      <c r="M236" s="42"/>
      <c r="N236" s="42"/>
      <c r="O236" s="42"/>
      <c r="P236" s="42"/>
      <c r="Q236" s="42"/>
      <c r="R236" s="42"/>
      <c r="S236" s="14" t="s">
        <v>13</v>
      </c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</row>
    <row r="237" spans="1:32" ht="22.5" customHeight="1" x14ac:dyDescent="0.2">
      <c r="A237" s="56"/>
      <c r="B237" s="40"/>
      <c r="C237" s="41"/>
      <c r="D237" s="41"/>
      <c r="E237" s="54"/>
      <c r="F237" s="40"/>
      <c r="G237" s="45"/>
      <c r="H237" s="45"/>
      <c r="I237" s="41"/>
      <c r="J237" s="39"/>
      <c r="K237" s="42"/>
      <c r="L237" s="42"/>
      <c r="M237" s="42"/>
      <c r="N237" s="42"/>
      <c r="O237" s="42"/>
      <c r="P237" s="42"/>
      <c r="Q237" s="42"/>
      <c r="R237" s="42"/>
      <c r="S237" s="14" t="s">
        <v>14</v>
      </c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</row>
    <row r="238" spans="1:32" ht="22.5" customHeight="1" x14ac:dyDescent="0.2">
      <c r="A238" s="56"/>
      <c r="B238" s="40"/>
      <c r="C238" s="41"/>
      <c r="D238" s="41"/>
      <c r="E238" s="36"/>
      <c r="F238" s="40"/>
      <c r="G238" s="43"/>
      <c r="H238" s="43"/>
      <c r="I238" s="41"/>
      <c r="J238" s="38"/>
      <c r="K238" s="42"/>
      <c r="L238" s="42"/>
      <c r="M238" s="42"/>
      <c r="N238" s="42"/>
      <c r="O238" s="42"/>
      <c r="P238" s="42"/>
      <c r="Q238" s="42"/>
      <c r="R238" s="42"/>
      <c r="S238" s="14" t="s">
        <v>12</v>
      </c>
      <c r="T238" s="20"/>
      <c r="U238" s="20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</row>
    <row r="239" spans="1:32" ht="22.5" customHeight="1" x14ac:dyDescent="0.2">
      <c r="A239" s="56"/>
      <c r="B239" s="40"/>
      <c r="C239" s="41"/>
      <c r="D239" s="41"/>
      <c r="E239" s="37"/>
      <c r="F239" s="40"/>
      <c r="G239" s="44"/>
      <c r="H239" s="44"/>
      <c r="I239" s="41"/>
      <c r="J239" s="39"/>
      <c r="K239" s="42"/>
      <c r="L239" s="42"/>
      <c r="M239" s="42"/>
      <c r="N239" s="42"/>
      <c r="O239" s="42"/>
      <c r="P239" s="42"/>
      <c r="Q239" s="42"/>
      <c r="R239" s="42"/>
      <c r="S239" s="14" t="s">
        <v>13</v>
      </c>
      <c r="T239" s="20"/>
      <c r="U239" s="20"/>
      <c r="V239" s="20"/>
      <c r="W239" s="20"/>
      <c r="X239" s="20"/>
      <c r="Y239" s="20"/>
      <c r="Z239" s="20"/>
      <c r="AA239" s="20"/>
      <c r="AB239" s="20"/>
      <c r="AC239" s="20"/>
      <c r="AD239" s="20"/>
      <c r="AE239" s="20"/>
      <c r="AF239" s="20"/>
    </row>
    <row r="240" spans="1:32" ht="22.5" customHeight="1" x14ac:dyDescent="0.2">
      <c r="A240" s="56"/>
      <c r="B240" s="40"/>
      <c r="C240" s="41"/>
      <c r="D240" s="41"/>
      <c r="E240" s="54"/>
      <c r="F240" s="40"/>
      <c r="G240" s="45"/>
      <c r="H240" s="45"/>
      <c r="I240" s="41"/>
      <c r="J240" s="39"/>
      <c r="K240" s="42"/>
      <c r="L240" s="42"/>
      <c r="M240" s="42"/>
      <c r="N240" s="42"/>
      <c r="O240" s="42"/>
      <c r="P240" s="42"/>
      <c r="Q240" s="42"/>
      <c r="R240" s="42"/>
      <c r="S240" s="14" t="s">
        <v>14</v>
      </c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  <c r="AF240" s="20"/>
    </row>
    <row r="241" spans="1:32" ht="22.5" customHeight="1" x14ac:dyDescent="0.2">
      <c r="A241" s="56"/>
      <c r="B241" s="40"/>
      <c r="C241" s="41"/>
      <c r="D241" s="41"/>
      <c r="E241" s="36"/>
      <c r="F241" s="40"/>
      <c r="G241" s="43"/>
      <c r="H241" s="43"/>
      <c r="I241" s="41"/>
      <c r="J241" s="38"/>
      <c r="K241" s="42"/>
      <c r="L241" s="42"/>
      <c r="M241" s="42"/>
      <c r="N241" s="42"/>
      <c r="O241" s="42"/>
      <c r="P241" s="42"/>
      <c r="Q241" s="42"/>
      <c r="R241" s="42"/>
      <c r="S241" s="14" t="s">
        <v>12</v>
      </c>
      <c r="T241" s="20"/>
      <c r="U241" s="20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</row>
    <row r="242" spans="1:32" ht="22.5" customHeight="1" x14ac:dyDescent="0.2">
      <c r="A242" s="56"/>
      <c r="B242" s="40"/>
      <c r="C242" s="41"/>
      <c r="D242" s="41"/>
      <c r="E242" s="37"/>
      <c r="F242" s="40"/>
      <c r="G242" s="44"/>
      <c r="H242" s="44"/>
      <c r="I242" s="41"/>
      <c r="J242" s="39"/>
      <c r="K242" s="42"/>
      <c r="L242" s="42"/>
      <c r="M242" s="42"/>
      <c r="N242" s="42"/>
      <c r="O242" s="42"/>
      <c r="P242" s="42"/>
      <c r="Q242" s="42"/>
      <c r="R242" s="42"/>
      <c r="S242" s="14" t="s">
        <v>13</v>
      </c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  <c r="AF242" s="20"/>
    </row>
    <row r="243" spans="1:32" ht="22.5" customHeight="1" x14ac:dyDescent="0.2">
      <c r="A243" s="56"/>
      <c r="B243" s="40"/>
      <c r="C243" s="41"/>
      <c r="D243" s="41"/>
      <c r="E243" s="54"/>
      <c r="F243" s="40"/>
      <c r="G243" s="45"/>
      <c r="H243" s="45"/>
      <c r="I243" s="41"/>
      <c r="J243" s="39"/>
      <c r="K243" s="42"/>
      <c r="L243" s="42"/>
      <c r="M243" s="42"/>
      <c r="N243" s="42"/>
      <c r="O243" s="42"/>
      <c r="P243" s="42"/>
      <c r="Q243" s="42"/>
      <c r="R243" s="42"/>
      <c r="S243" s="14" t="s">
        <v>14</v>
      </c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  <c r="AF243" s="20"/>
    </row>
    <row r="244" spans="1:32" ht="22.5" customHeight="1" x14ac:dyDescent="0.2">
      <c r="A244" s="56"/>
      <c r="B244" s="40"/>
      <c r="C244" s="41"/>
      <c r="D244" s="41"/>
      <c r="E244" s="36"/>
      <c r="F244" s="40"/>
      <c r="G244" s="43"/>
      <c r="H244" s="43"/>
      <c r="I244" s="41"/>
      <c r="J244" s="38"/>
      <c r="K244" s="42"/>
      <c r="L244" s="42"/>
      <c r="M244" s="42"/>
      <c r="N244" s="42"/>
      <c r="O244" s="42"/>
      <c r="P244" s="42"/>
      <c r="Q244" s="42"/>
      <c r="R244" s="42"/>
      <c r="S244" s="14" t="s">
        <v>12</v>
      </c>
      <c r="T244" s="20"/>
      <c r="U244" s="20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</row>
    <row r="245" spans="1:32" ht="22.5" customHeight="1" x14ac:dyDescent="0.2">
      <c r="A245" s="56"/>
      <c r="B245" s="40"/>
      <c r="C245" s="41"/>
      <c r="D245" s="41"/>
      <c r="E245" s="37"/>
      <c r="F245" s="40"/>
      <c r="G245" s="44"/>
      <c r="H245" s="44"/>
      <c r="I245" s="41"/>
      <c r="J245" s="39"/>
      <c r="K245" s="42"/>
      <c r="L245" s="42"/>
      <c r="M245" s="42"/>
      <c r="N245" s="42"/>
      <c r="O245" s="42"/>
      <c r="P245" s="42"/>
      <c r="Q245" s="42"/>
      <c r="R245" s="42"/>
      <c r="S245" s="14" t="s">
        <v>13</v>
      </c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20"/>
      <c r="AF245" s="20"/>
    </row>
    <row r="246" spans="1:32" ht="22.5" customHeight="1" x14ac:dyDescent="0.2">
      <c r="A246" s="56"/>
      <c r="B246" s="40"/>
      <c r="C246" s="41"/>
      <c r="D246" s="41"/>
      <c r="E246" s="54"/>
      <c r="F246" s="40"/>
      <c r="G246" s="45"/>
      <c r="H246" s="45"/>
      <c r="I246" s="41"/>
      <c r="J246" s="39"/>
      <c r="K246" s="42"/>
      <c r="L246" s="42"/>
      <c r="M246" s="42"/>
      <c r="N246" s="42"/>
      <c r="O246" s="42"/>
      <c r="P246" s="42"/>
      <c r="Q246" s="42"/>
      <c r="R246" s="42"/>
      <c r="S246" s="14" t="s">
        <v>14</v>
      </c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0"/>
    </row>
    <row r="247" spans="1:32" ht="22.5" customHeight="1" x14ac:dyDescent="0.2">
      <c r="A247" s="56"/>
      <c r="B247" s="40"/>
      <c r="C247" s="41"/>
      <c r="D247" s="41"/>
      <c r="E247" s="36"/>
      <c r="F247" s="40"/>
      <c r="G247" s="43"/>
      <c r="H247" s="43"/>
      <c r="I247" s="41"/>
      <c r="J247" s="38"/>
      <c r="K247" s="42"/>
      <c r="L247" s="42"/>
      <c r="M247" s="42"/>
      <c r="N247" s="42"/>
      <c r="O247" s="42"/>
      <c r="P247" s="42"/>
      <c r="Q247" s="42"/>
      <c r="R247" s="42"/>
      <c r="S247" s="14" t="s">
        <v>12</v>
      </c>
      <c r="T247" s="20"/>
      <c r="U247" s="20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</row>
    <row r="248" spans="1:32" ht="22.5" customHeight="1" x14ac:dyDescent="0.2">
      <c r="A248" s="56"/>
      <c r="B248" s="40"/>
      <c r="C248" s="41"/>
      <c r="D248" s="41"/>
      <c r="E248" s="37"/>
      <c r="F248" s="40"/>
      <c r="G248" s="44"/>
      <c r="H248" s="44"/>
      <c r="I248" s="41"/>
      <c r="J248" s="39"/>
      <c r="K248" s="42"/>
      <c r="L248" s="42"/>
      <c r="M248" s="42"/>
      <c r="N248" s="42"/>
      <c r="O248" s="42"/>
      <c r="P248" s="42"/>
      <c r="Q248" s="42"/>
      <c r="R248" s="42"/>
      <c r="S248" s="14" t="s">
        <v>13</v>
      </c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  <c r="AF248" s="20"/>
    </row>
    <row r="249" spans="1:32" ht="22.5" customHeight="1" x14ac:dyDescent="0.2">
      <c r="A249" s="56"/>
      <c r="B249" s="40"/>
      <c r="C249" s="41"/>
      <c r="D249" s="41"/>
      <c r="E249" s="54"/>
      <c r="F249" s="40"/>
      <c r="G249" s="45"/>
      <c r="H249" s="45"/>
      <c r="I249" s="41"/>
      <c r="J249" s="39"/>
      <c r="K249" s="42"/>
      <c r="L249" s="42"/>
      <c r="M249" s="42"/>
      <c r="N249" s="42"/>
      <c r="O249" s="42"/>
      <c r="P249" s="42"/>
      <c r="Q249" s="42"/>
      <c r="R249" s="42"/>
      <c r="S249" s="14" t="s">
        <v>14</v>
      </c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20"/>
      <c r="AF249" s="20"/>
    </row>
    <row r="250" spans="1:32" ht="22.5" customHeight="1" x14ac:dyDescent="0.2">
      <c r="A250" s="56"/>
      <c r="B250" s="40"/>
      <c r="C250" s="41"/>
      <c r="D250" s="41"/>
      <c r="E250" s="36"/>
      <c r="F250" s="40"/>
      <c r="G250" s="43"/>
      <c r="H250" s="43"/>
      <c r="I250" s="41"/>
      <c r="J250" s="38"/>
      <c r="K250" s="42"/>
      <c r="L250" s="42"/>
      <c r="M250" s="42"/>
      <c r="N250" s="42"/>
      <c r="O250" s="42"/>
      <c r="P250" s="42"/>
      <c r="Q250" s="42"/>
      <c r="R250" s="42"/>
      <c r="S250" s="14" t="s">
        <v>12</v>
      </c>
      <c r="T250" s="20"/>
      <c r="U250" s="20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</row>
    <row r="251" spans="1:32" ht="22.5" customHeight="1" x14ac:dyDescent="0.2">
      <c r="A251" s="56"/>
      <c r="B251" s="40"/>
      <c r="C251" s="41"/>
      <c r="D251" s="41"/>
      <c r="E251" s="37"/>
      <c r="F251" s="40"/>
      <c r="G251" s="44"/>
      <c r="H251" s="44"/>
      <c r="I251" s="41"/>
      <c r="J251" s="39"/>
      <c r="K251" s="42"/>
      <c r="L251" s="42"/>
      <c r="M251" s="42"/>
      <c r="N251" s="42"/>
      <c r="O251" s="42"/>
      <c r="P251" s="42"/>
      <c r="Q251" s="42"/>
      <c r="R251" s="42"/>
      <c r="S251" s="14" t="s">
        <v>13</v>
      </c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/>
      <c r="AF251" s="20"/>
    </row>
    <row r="252" spans="1:32" ht="22.5" customHeight="1" x14ac:dyDescent="0.2">
      <c r="A252" s="56"/>
      <c r="B252" s="40"/>
      <c r="C252" s="41"/>
      <c r="D252" s="41"/>
      <c r="E252" s="54"/>
      <c r="F252" s="40"/>
      <c r="G252" s="45"/>
      <c r="H252" s="45"/>
      <c r="I252" s="41"/>
      <c r="J252" s="39"/>
      <c r="K252" s="42"/>
      <c r="L252" s="42"/>
      <c r="M252" s="42"/>
      <c r="N252" s="42"/>
      <c r="O252" s="42"/>
      <c r="P252" s="42"/>
      <c r="Q252" s="42"/>
      <c r="R252" s="42"/>
      <c r="S252" s="14" t="s">
        <v>14</v>
      </c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20"/>
      <c r="AF252" s="20"/>
    </row>
    <row r="253" spans="1:32" ht="22.5" customHeight="1" x14ac:dyDescent="0.2">
      <c r="A253" s="56"/>
      <c r="B253" s="40"/>
      <c r="C253" s="41"/>
      <c r="D253" s="41"/>
      <c r="E253" s="36"/>
      <c r="F253" s="40"/>
      <c r="G253" s="43"/>
      <c r="H253" s="43"/>
      <c r="I253" s="41"/>
      <c r="J253" s="38"/>
      <c r="K253" s="42"/>
      <c r="L253" s="42"/>
      <c r="M253" s="42"/>
      <c r="N253" s="42"/>
      <c r="O253" s="42"/>
      <c r="P253" s="42"/>
      <c r="Q253" s="42"/>
      <c r="R253" s="42"/>
      <c r="S253" s="14" t="s">
        <v>12</v>
      </c>
      <c r="T253" s="20"/>
      <c r="U253" s="20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</row>
    <row r="254" spans="1:32" ht="22.5" customHeight="1" x14ac:dyDescent="0.2">
      <c r="A254" s="56"/>
      <c r="B254" s="40"/>
      <c r="C254" s="41"/>
      <c r="D254" s="41"/>
      <c r="E254" s="37"/>
      <c r="F254" s="40"/>
      <c r="G254" s="44"/>
      <c r="H254" s="44"/>
      <c r="I254" s="41"/>
      <c r="J254" s="39"/>
      <c r="K254" s="42"/>
      <c r="L254" s="42"/>
      <c r="M254" s="42"/>
      <c r="N254" s="42"/>
      <c r="O254" s="42"/>
      <c r="P254" s="42"/>
      <c r="Q254" s="42"/>
      <c r="R254" s="42"/>
      <c r="S254" s="14" t="s">
        <v>13</v>
      </c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  <c r="AF254" s="20"/>
    </row>
    <row r="255" spans="1:32" ht="22.5" customHeight="1" x14ac:dyDescent="0.2">
      <c r="A255" s="56"/>
      <c r="B255" s="40"/>
      <c r="C255" s="41"/>
      <c r="D255" s="41"/>
      <c r="E255" s="54"/>
      <c r="F255" s="40"/>
      <c r="G255" s="45"/>
      <c r="H255" s="45"/>
      <c r="I255" s="41"/>
      <c r="J255" s="39"/>
      <c r="K255" s="42"/>
      <c r="L255" s="42"/>
      <c r="M255" s="42"/>
      <c r="N255" s="42"/>
      <c r="O255" s="42"/>
      <c r="P255" s="42"/>
      <c r="Q255" s="42"/>
      <c r="R255" s="42"/>
      <c r="S255" s="14" t="s">
        <v>14</v>
      </c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/>
      <c r="AF255" s="20"/>
    </row>
    <row r="256" spans="1:32" ht="22.5" customHeight="1" x14ac:dyDescent="0.2">
      <c r="A256" s="56"/>
      <c r="B256" s="40"/>
      <c r="C256" s="41"/>
      <c r="D256" s="41"/>
      <c r="E256" s="36"/>
      <c r="F256" s="40"/>
      <c r="G256" s="43"/>
      <c r="H256" s="43"/>
      <c r="I256" s="41"/>
      <c r="J256" s="38"/>
      <c r="K256" s="42"/>
      <c r="L256" s="42"/>
      <c r="M256" s="42"/>
      <c r="N256" s="42"/>
      <c r="O256" s="42"/>
      <c r="P256" s="42"/>
      <c r="Q256" s="42"/>
      <c r="R256" s="42"/>
      <c r="S256" s="14" t="s">
        <v>12</v>
      </c>
      <c r="T256" s="20"/>
      <c r="U256" s="20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</row>
    <row r="257" spans="1:32" ht="22.5" customHeight="1" x14ac:dyDescent="0.2">
      <c r="A257" s="56"/>
      <c r="B257" s="40"/>
      <c r="C257" s="41"/>
      <c r="D257" s="41"/>
      <c r="E257" s="37"/>
      <c r="F257" s="40"/>
      <c r="G257" s="44"/>
      <c r="H257" s="44"/>
      <c r="I257" s="41"/>
      <c r="J257" s="39"/>
      <c r="K257" s="42"/>
      <c r="L257" s="42"/>
      <c r="M257" s="42"/>
      <c r="N257" s="42"/>
      <c r="O257" s="42"/>
      <c r="P257" s="42"/>
      <c r="Q257" s="42"/>
      <c r="R257" s="42"/>
      <c r="S257" s="14" t="s">
        <v>13</v>
      </c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20"/>
      <c r="AF257" s="20"/>
    </row>
    <row r="258" spans="1:32" ht="22.5" customHeight="1" x14ac:dyDescent="0.2">
      <c r="A258" s="56"/>
      <c r="B258" s="40"/>
      <c r="C258" s="41"/>
      <c r="D258" s="41"/>
      <c r="E258" s="54"/>
      <c r="F258" s="40"/>
      <c r="G258" s="45"/>
      <c r="H258" s="45"/>
      <c r="I258" s="41"/>
      <c r="J258" s="39"/>
      <c r="K258" s="42"/>
      <c r="L258" s="42"/>
      <c r="M258" s="42"/>
      <c r="N258" s="42"/>
      <c r="O258" s="42"/>
      <c r="P258" s="42"/>
      <c r="Q258" s="42"/>
      <c r="R258" s="42"/>
      <c r="S258" s="14" t="s">
        <v>14</v>
      </c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20"/>
      <c r="AF258" s="20"/>
    </row>
    <row r="259" spans="1:32" ht="22.5" customHeight="1" x14ac:dyDescent="0.2">
      <c r="A259" s="56"/>
      <c r="B259" s="40"/>
      <c r="C259" s="41"/>
      <c r="D259" s="41"/>
      <c r="E259" s="36"/>
      <c r="F259" s="40"/>
      <c r="G259" s="43"/>
      <c r="H259" s="43"/>
      <c r="I259" s="41"/>
      <c r="J259" s="38"/>
      <c r="K259" s="42"/>
      <c r="L259" s="42"/>
      <c r="M259" s="42"/>
      <c r="N259" s="42"/>
      <c r="O259" s="42"/>
      <c r="P259" s="42"/>
      <c r="Q259" s="42"/>
      <c r="R259" s="42"/>
      <c r="S259" s="14" t="s">
        <v>12</v>
      </c>
      <c r="T259" s="20"/>
      <c r="U259" s="20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</row>
    <row r="260" spans="1:32" ht="22.5" customHeight="1" x14ac:dyDescent="0.2">
      <c r="A260" s="56"/>
      <c r="B260" s="40"/>
      <c r="C260" s="41"/>
      <c r="D260" s="41"/>
      <c r="E260" s="37"/>
      <c r="F260" s="40"/>
      <c r="G260" s="44"/>
      <c r="H260" s="44"/>
      <c r="I260" s="41"/>
      <c r="J260" s="39"/>
      <c r="K260" s="42"/>
      <c r="L260" s="42"/>
      <c r="M260" s="42"/>
      <c r="N260" s="42"/>
      <c r="O260" s="42"/>
      <c r="P260" s="42"/>
      <c r="Q260" s="42"/>
      <c r="R260" s="42"/>
      <c r="S260" s="14" t="s">
        <v>13</v>
      </c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  <c r="AF260" s="20"/>
    </row>
    <row r="261" spans="1:32" ht="22.5" customHeight="1" x14ac:dyDescent="0.2">
      <c r="A261" s="56"/>
      <c r="B261" s="40"/>
      <c r="C261" s="41"/>
      <c r="D261" s="41"/>
      <c r="E261" s="54"/>
      <c r="F261" s="40"/>
      <c r="G261" s="45"/>
      <c r="H261" s="45"/>
      <c r="I261" s="41"/>
      <c r="J261" s="39"/>
      <c r="K261" s="42"/>
      <c r="L261" s="42"/>
      <c r="M261" s="42"/>
      <c r="N261" s="42"/>
      <c r="O261" s="42"/>
      <c r="P261" s="42"/>
      <c r="Q261" s="42"/>
      <c r="R261" s="42"/>
      <c r="S261" s="14" t="s">
        <v>14</v>
      </c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20"/>
      <c r="AF261" s="20"/>
    </row>
    <row r="262" spans="1:32" ht="22.5" customHeight="1" x14ac:dyDescent="0.2">
      <c r="A262" s="56"/>
      <c r="B262" s="40"/>
      <c r="C262" s="41"/>
      <c r="D262" s="41"/>
      <c r="E262" s="36"/>
      <c r="F262" s="40"/>
      <c r="G262" s="43"/>
      <c r="H262" s="43"/>
      <c r="I262" s="41"/>
      <c r="J262" s="38"/>
      <c r="K262" s="42"/>
      <c r="L262" s="42"/>
      <c r="M262" s="42"/>
      <c r="N262" s="42"/>
      <c r="O262" s="42"/>
      <c r="P262" s="42"/>
      <c r="Q262" s="42"/>
      <c r="R262" s="42"/>
      <c r="S262" s="14" t="s">
        <v>12</v>
      </c>
      <c r="T262" s="20"/>
      <c r="U262" s="20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</row>
    <row r="263" spans="1:32" ht="22.5" customHeight="1" x14ac:dyDescent="0.2">
      <c r="A263" s="56"/>
      <c r="B263" s="40"/>
      <c r="C263" s="41"/>
      <c r="D263" s="41"/>
      <c r="E263" s="37"/>
      <c r="F263" s="40"/>
      <c r="G263" s="44"/>
      <c r="H263" s="44"/>
      <c r="I263" s="41"/>
      <c r="J263" s="39"/>
      <c r="K263" s="42"/>
      <c r="L263" s="42"/>
      <c r="M263" s="42"/>
      <c r="N263" s="42"/>
      <c r="O263" s="42"/>
      <c r="P263" s="42"/>
      <c r="Q263" s="42"/>
      <c r="R263" s="42"/>
      <c r="S263" s="14" t="s">
        <v>13</v>
      </c>
      <c r="T263" s="20"/>
      <c r="U263" s="20"/>
      <c r="V263" s="20"/>
      <c r="W263" s="20"/>
      <c r="X263" s="20"/>
      <c r="Y263" s="20"/>
      <c r="Z263" s="20"/>
      <c r="AA263" s="20"/>
      <c r="AB263" s="20"/>
      <c r="AC263" s="20"/>
      <c r="AD263" s="20"/>
      <c r="AE263" s="20"/>
      <c r="AF263" s="20"/>
    </row>
    <row r="264" spans="1:32" ht="22.5" customHeight="1" x14ac:dyDescent="0.2">
      <c r="A264" s="56"/>
      <c r="B264" s="40"/>
      <c r="C264" s="41"/>
      <c r="D264" s="41"/>
      <c r="E264" s="54"/>
      <c r="F264" s="40"/>
      <c r="G264" s="45"/>
      <c r="H264" s="45"/>
      <c r="I264" s="41"/>
      <c r="J264" s="39"/>
      <c r="K264" s="42"/>
      <c r="L264" s="42"/>
      <c r="M264" s="42"/>
      <c r="N264" s="42"/>
      <c r="O264" s="42"/>
      <c r="P264" s="42"/>
      <c r="Q264" s="42"/>
      <c r="R264" s="42"/>
      <c r="S264" s="14" t="s">
        <v>14</v>
      </c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  <c r="AF264" s="20"/>
    </row>
    <row r="265" spans="1:32" ht="22.5" customHeight="1" x14ac:dyDescent="0.2">
      <c r="A265" s="56"/>
      <c r="B265" s="40"/>
      <c r="C265" s="41"/>
      <c r="D265" s="41"/>
      <c r="E265" s="36"/>
      <c r="F265" s="40"/>
      <c r="G265" s="43"/>
      <c r="H265" s="43"/>
      <c r="I265" s="41"/>
      <c r="J265" s="38"/>
      <c r="K265" s="42"/>
      <c r="L265" s="42"/>
      <c r="M265" s="42"/>
      <c r="N265" s="42"/>
      <c r="O265" s="42"/>
      <c r="P265" s="42"/>
      <c r="Q265" s="42"/>
      <c r="R265" s="42"/>
      <c r="S265" s="14" t="s">
        <v>12</v>
      </c>
      <c r="T265" s="20"/>
      <c r="U265" s="20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</row>
    <row r="266" spans="1:32" ht="22.5" customHeight="1" x14ac:dyDescent="0.2">
      <c r="A266" s="56"/>
      <c r="B266" s="40"/>
      <c r="C266" s="41"/>
      <c r="D266" s="41"/>
      <c r="E266" s="37"/>
      <c r="F266" s="40"/>
      <c r="G266" s="44"/>
      <c r="H266" s="44"/>
      <c r="I266" s="41"/>
      <c r="J266" s="39"/>
      <c r="K266" s="42"/>
      <c r="L266" s="42"/>
      <c r="M266" s="42"/>
      <c r="N266" s="42"/>
      <c r="O266" s="42"/>
      <c r="P266" s="42"/>
      <c r="Q266" s="42"/>
      <c r="R266" s="42"/>
      <c r="S266" s="14" t="s">
        <v>13</v>
      </c>
      <c r="T266" s="20"/>
      <c r="U266" s="20"/>
      <c r="V266" s="20"/>
      <c r="W266" s="20"/>
      <c r="X266" s="20"/>
      <c r="Y266" s="20"/>
      <c r="Z266" s="20"/>
      <c r="AA266" s="20"/>
      <c r="AB266" s="20"/>
      <c r="AC266" s="20"/>
      <c r="AD266" s="20"/>
      <c r="AE266" s="20"/>
      <c r="AF266" s="20"/>
    </row>
    <row r="267" spans="1:32" ht="22.5" customHeight="1" x14ac:dyDescent="0.2">
      <c r="A267" s="56"/>
      <c r="B267" s="40"/>
      <c r="C267" s="41"/>
      <c r="D267" s="41"/>
      <c r="E267" s="54"/>
      <c r="F267" s="40"/>
      <c r="G267" s="45"/>
      <c r="H267" s="45"/>
      <c r="I267" s="41"/>
      <c r="J267" s="39"/>
      <c r="K267" s="42"/>
      <c r="L267" s="42"/>
      <c r="M267" s="42"/>
      <c r="N267" s="42"/>
      <c r="O267" s="42"/>
      <c r="P267" s="42"/>
      <c r="Q267" s="42"/>
      <c r="R267" s="42"/>
      <c r="S267" s="14" t="s">
        <v>14</v>
      </c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</row>
    <row r="268" spans="1:32" ht="22.5" customHeight="1" x14ac:dyDescent="0.2">
      <c r="A268" s="56"/>
      <c r="B268" s="40"/>
      <c r="C268" s="41"/>
      <c r="D268" s="41"/>
      <c r="E268" s="36"/>
      <c r="F268" s="40"/>
      <c r="G268" s="43"/>
      <c r="H268" s="43"/>
      <c r="I268" s="41"/>
      <c r="J268" s="38"/>
      <c r="K268" s="42"/>
      <c r="L268" s="42"/>
      <c r="M268" s="42"/>
      <c r="N268" s="42"/>
      <c r="O268" s="42"/>
      <c r="P268" s="42"/>
      <c r="Q268" s="42"/>
      <c r="R268" s="42"/>
      <c r="S268" s="14" t="s">
        <v>12</v>
      </c>
      <c r="T268" s="20"/>
      <c r="U268" s="20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</row>
    <row r="269" spans="1:32" ht="22.5" customHeight="1" x14ac:dyDescent="0.2">
      <c r="A269" s="56"/>
      <c r="B269" s="40"/>
      <c r="C269" s="41"/>
      <c r="D269" s="41"/>
      <c r="E269" s="37"/>
      <c r="F269" s="40"/>
      <c r="G269" s="44"/>
      <c r="H269" s="44"/>
      <c r="I269" s="41"/>
      <c r="J269" s="39"/>
      <c r="K269" s="42"/>
      <c r="L269" s="42"/>
      <c r="M269" s="42"/>
      <c r="N269" s="42"/>
      <c r="O269" s="42"/>
      <c r="P269" s="42"/>
      <c r="Q269" s="42"/>
      <c r="R269" s="42"/>
      <c r="S269" s="14" t="s">
        <v>13</v>
      </c>
      <c r="T269" s="20"/>
      <c r="U269" s="20"/>
      <c r="V269" s="20"/>
      <c r="W269" s="20"/>
      <c r="X269" s="20"/>
      <c r="Y269" s="20"/>
      <c r="Z269" s="20"/>
      <c r="AA269" s="20"/>
      <c r="AB269" s="20"/>
      <c r="AC269" s="20"/>
      <c r="AD269" s="20"/>
      <c r="AE269" s="20"/>
      <c r="AF269" s="20"/>
    </row>
    <row r="270" spans="1:32" ht="22.5" customHeight="1" x14ac:dyDescent="0.2">
      <c r="A270" s="56"/>
      <c r="B270" s="40"/>
      <c r="C270" s="41"/>
      <c r="D270" s="41"/>
      <c r="E270" s="54"/>
      <c r="F270" s="40"/>
      <c r="G270" s="45"/>
      <c r="H270" s="45"/>
      <c r="I270" s="41"/>
      <c r="J270" s="39"/>
      <c r="K270" s="42"/>
      <c r="L270" s="42"/>
      <c r="M270" s="42"/>
      <c r="N270" s="42"/>
      <c r="O270" s="42"/>
      <c r="P270" s="42"/>
      <c r="Q270" s="42"/>
      <c r="R270" s="42"/>
      <c r="S270" s="14" t="s">
        <v>14</v>
      </c>
      <c r="T270" s="20"/>
      <c r="U270" s="20"/>
      <c r="V270" s="20"/>
      <c r="W270" s="20"/>
      <c r="X270" s="20"/>
      <c r="Y270" s="20"/>
      <c r="Z270" s="20"/>
      <c r="AA270" s="20"/>
      <c r="AB270" s="20"/>
      <c r="AC270" s="20"/>
      <c r="AD270" s="20"/>
      <c r="AE270" s="20"/>
      <c r="AF270" s="20"/>
    </row>
    <row r="271" spans="1:32" ht="22.5" customHeight="1" x14ac:dyDescent="0.2">
      <c r="A271" s="56"/>
      <c r="B271" s="40"/>
      <c r="C271" s="41"/>
      <c r="D271" s="41"/>
      <c r="E271" s="36"/>
      <c r="F271" s="40"/>
      <c r="G271" s="43"/>
      <c r="H271" s="43"/>
      <c r="I271" s="41"/>
      <c r="J271" s="38"/>
      <c r="K271" s="42"/>
      <c r="L271" s="42"/>
      <c r="M271" s="42"/>
      <c r="N271" s="42"/>
      <c r="O271" s="42"/>
      <c r="P271" s="42"/>
      <c r="Q271" s="42"/>
      <c r="R271" s="42"/>
      <c r="S271" s="14" t="s">
        <v>12</v>
      </c>
      <c r="T271" s="20"/>
      <c r="U271" s="20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</row>
    <row r="272" spans="1:32" ht="22.5" customHeight="1" x14ac:dyDescent="0.2">
      <c r="A272" s="56"/>
      <c r="B272" s="40"/>
      <c r="C272" s="41"/>
      <c r="D272" s="41"/>
      <c r="E272" s="37"/>
      <c r="F272" s="40"/>
      <c r="G272" s="44"/>
      <c r="H272" s="44"/>
      <c r="I272" s="41"/>
      <c r="J272" s="39"/>
      <c r="K272" s="42"/>
      <c r="L272" s="42"/>
      <c r="M272" s="42"/>
      <c r="N272" s="42"/>
      <c r="O272" s="42"/>
      <c r="P272" s="42"/>
      <c r="Q272" s="42"/>
      <c r="R272" s="42"/>
      <c r="S272" s="14" t="s">
        <v>13</v>
      </c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</row>
    <row r="273" spans="1:32" ht="22.5" customHeight="1" x14ac:dyDescent="0.2">
      <c r="A273" s="56"/>
      <c r="B273" s="40"/>
      <c r="C273" s="41"/>
      <c r="D273" s="41"/>
      <c r="E273" s="54"/>
      <c r="F273" s="40"/>
      <c r="G273" s="45"/>
      <c r="H273" s="45"/>
      <c r="I273" s="41"/>
      <c r="J273" s="39"/>
      <c r="K273" s="42"/>
      <c r="L273" s="42"/>
      <c r="M273" s="42"/>
      <c r="N273" s="42"/>
      <c r="O273" s="42"/>
      <c r="P273" s="42"/>
      <c r="Q273" s="42"/>
      <c r="R273" s="42"/>
      <c r="S273" s="14" t="s">
        <v>14</v>
      </c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</row>
    <row r="274" spans="1:32" ht="22.5" customHeight="1" x14ac:dyDescent="0.2">
      <c r="A274" s="56"/>
      <c r="B274" s="40"/>
      <c r="C274" s="41"/>
      <c r="D274" s="41"/>
      <c r="E274" s="36"/>
      <c r="F274" s="40"/>
      <c r="G274" s="43"/>
      <c r="H274" s="43"/>
      <c r="I274" s="41"/>
      <c r="J274" s="38"/>
      <c r="K274" s="42"/>
      <c r="L274" s="42"/>
      <c r="M274" s="42"/>
      <c r="N274" s="42"/>
      <c r="O274" s="42"/>
      <c r="P274" s="42"/>
      <c r="Q274" s="42"/>
      <c r="R274" s="42"/>
      <c r="S274" s="14" t="s">
        <v>12</v>
      </c>
      <c r="T274" s="20"/>
      <c r="U274" s="20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</row>
    <row r="275" spans="1:32" ht="22.5" customHeight="1" x14ac:dyDescent="0.2">
      <c r="A275" s="56"/>
      <c r="B275" s="40"/>
      <c r="C275" s="41"/>
      <c r="D275" s="41"/>
      <c r="E275" s="37"/>
      <c r="F275" s="40"/>
      <c r="G275" s="44"/>
      <c r="H275" s="44"/>
      <c r="I275" s="41"/>
      <c r="J275" s="39"/>
      <c r="K275" s="42"/>
      <c r="L275" s="42"/>
      <c r="M275" s="42"/>
      <c r="N275" s="42"/>
      <c r="O275" s="42"/>
      <c r="P275" s="42"/>
      <c r="Q275" s="42"/>
      <c r="R275" s="42"/>
      <c r="S275" s="14" t="s">
        <v>13</v>
      </c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</row>
    <row r="276" spans="1:32" ht="22.5" customHeight="1" x14ac:dyDescent="0.2">
      <c r="A276" s="56"/>
      <c r="B276" s="40"/>
      <c r="C276" s="41"/>
      <c r="D276" s="41"/>
      <c r="E276" s="54"/>
      <c r="F276" s="40"/>
      <c r="G276" s="45"/>
      <c r="H276" s="45"/>
      <c r="I276" s="41"/>
      <c r="J276" s="39"/>
      <c r="K276" s="42"/>
      <c r="L276" s="42"/>
      <c r="M276" s="42"/>
      <c r="N276" s="42"/>
      <c r="O276" s="42"/>
      <c r="P276" s="42"/>
      <c r="Q276" s="42"/>
      <c r="R276" s="42"/>
      <c r="S276" s="14" t="s">
        <v>14</v>
      </c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</row>
    <row r="277" spans="1:32" ht="22.5" customHeight="1" x14ac:dyDescent="0.2">
      <c r="A277" s="56"/>
      <c r="B277" s="40"/>
      <c r="C277" s="41"/>
      <c r="D277" s="41"/>
      <c r="E277" s="36"/>
      <c r="F277" s="40"/>
      <c r="G277" s="43"/>
      <c r="H277" s="43"/>
      <c r="I277" s="41"/>
      <c r="J277" s="38"/>
      <c r="K277" s="42"/>
      <c r="L277" s="42"/>
      <c r="M277" s="42"/>
      <c r="N277" s="42"/>
      <c r="O277" s="42"/>
      <c r="P277" s="42"/>
      <c r="Q277" s="42"/>
      <c r="R277" s="42"/>
      <c r="S277" s="14" t="s">
        <v>12</v>
      </c>
      <c r="T277" s="20"/>
      <c r="U277" s="20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</row>
    <row r="278" spans="1:32" ht="22.5" customHeight="1" x14ac:dyDescent="0.2">
      <c r="A278" s="56"/>
      <c r="B278" s="40"/>
      <c r="C278" s="41"/>
      <c r="D278" s="41"/>
      <c r="E278" s="37"/>
      <c r="F278" s="40"/>
      <c r="G278" s="44"/>
      <c r="H278" s="44"/>
      <c r="I278" s="41"/>
      <c r="J278" s="39"/>
      <c r="K278" s="42"/>
      <c r="L278" s="42"/>
      <c r="M278" s="42"/>
      <c r="N278" s="42"/>
      <c r="O278" s="42"/>
      <c r="P278" s="42"/>
      <c r="Q278" s="42"/>
      <c r="R278" s="42"/>
      <c r="S278" s="14" t="s">
        <v>13</v>
      </c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</row>
    <row r="279" spans="1:32" ht="22.5" customHeight="1" x14ac:dyDescent="0.2">
      <c r="A279" s="56"/>
      <c r="B279" s="40"/>
      <c r="C279" s="41"/>
      <c r="D279" s="41"/>
      <c r="E279" s="54"/>
      <c r="F279" s="40"/>
      <c r="G279" s="45"/>
      <c r="H279" s="45"/>
      <c r="I279" s="41"/>
      <c r="J279" s="39"/>
      <c r="K279" s="42"/>
      <c r="L279" s="42"/>
      <c r="M279" s="42"/>
      <c r="N279" s="42"/>
      <c r="O279" s="42"/>
      <c r="P279" s="42"/>
      <c r="Q279" s="42"/>
      <c r="R279" s="42"/>
      <c r="S279" s="14" t="s">
        <v>14</v>
      </c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</row>
    <row r="280" spans="1:32" ht="22.5" customHeight="1" x14ac:dyDescent="0.2">
      <c r="A280" s="56"/>
      <c r="B280" s="40"/>
      <c r="C280" s="41"/>
      <c r="D280" s="41"/>
      <c r="E280" s="36"/>
      <c r="F280" s="40"/>
      <c r="G280" s="43"/>
      <c r="H280" s="43"/>
      <c r="I280" s="41"/>
      <c r="J280" s="38"/>
      <c r="K280" s="42"/>
      <c r="L280" s="42"/>
      <c r="M280" s="42"/>
      <c r="N280" s="42"/>
      <c r="O280" s="42"/>
      <c r="P280" s="42"/>
      <c r="Q280" s="42"/>
      <c r="R280" s="42"/>
      <c r="S280" s="14" t="s">
        <v>12</v>
      </c>
      <c r="T280" s="20"/>
      <c r="U280" s="20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</row>
    <row r="281" spans="1:32" ht="22.5" customHeight="1" x14ac:dyDescent="0.2">
      <c r="A281" s="56"/>
      <c r="B281" s="40"/>
      <c r="C281" s="41"/>
      <c r="D281" s="41"/>
      <c r="E281" s="37"/>
      <c r="F281" s="40"/>
      <c r="G281" s="44"/>
      <c r="H281" s="44"/>
      <c r="I281" s="41"/>
      <c r="J281" s="39"/>
      <c r="K281" s="42"/>
      <c r="L281" s="42"/>
      <c r="M281" s="42"/>
      <c r="N281" s="42"/>
      <c r="O281" s="42"/>
      <c r="P281" s="42"/>
      <c r="Q281" s="42"/>
      <c r="R281" s="42"/>
      <c r="S281" s="14" t="s">
        <v>13</v>
      </c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</row>
    <row r="282" spans="1:32" ht="22.5" customHeight="1" x14ac:dyDescent="0.2">
      <c r="A282" s="56"/>
      <c r="B282" s="40"/>
      <c r="C282" s="41"/>
      <c r="D282" s="41"/>
      <c r="E282" s="54"/>
      <c r="F282" s="40"/>
      <c r="G282" s="45"/>
      <c r="H282" s="45"/>
      <c r="I282" s="41"/>
      <c r="J282" s="39"/>
      <c r="K282" s="42"/>
      <c r="L282" s="42"/>
      <c r="M282" s="42"/>
      <c r="N282" s="42"/>
      <c r="O282" s="42"/>
      <c r="P282" s="42"/>
      <c r="Q282" s="42"/>
      <c r="R282" s="42"/>
      <c r="S282" s="14" t="s">
        <v>14</v>
      </c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</row>
    <row r="283" spans="1:32" ht="22.5" customHeight="1" x14ac:dyDescent="0.2">
      <c r="A283" s="56"/>
      <c r="B283" s="40"/>
      <c r="C283" s="41"/>
      <c r="D283" s="41"/>
      <c r="E283" s="36"/>
      <c r="F283" s="40"/>
      <c r="G283" s="43"/>
      <c r="H283" s="43"/>
      <c r="I283" s="41"/>
      <c r="J283" s="38"/>
      <c r="K283" s="42"/>
      <c r="L283" s="42"/>
      <c r="M283" s="42"/>
      <c r="N283" s="42"/>
      <c r="O283" s="42"/>
      <c r="P283" s="42"/>
      <c r="Q283" s="42"/>
      <c r="R283" s="42"/>
      <c r="S283" s="14" t="s">
        <v>12</v>
      </c>
      <c r="T283" s="20"/>
      <c r="U283" s="20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</row>
    <row r="284" spans="1:32" ht="22.5" customHeight="1" x14ac:dyDescent="0.2">
      <c r="A284" s="56"/>
      <c r="B284" s="40"/>
      <c r="C284" s="41"/>
      <c r="D284" s="41"/>
      <c r="E284" s="37"/>
      <c r="F284" s="40"/>
      <c r="G284" s="44"/>
      <c r="H284" s="44"/>
      <c r="I284" s="41"/>
      <c r="J284" s="39"/>
      <c r="K284" s="42"/>
      <c r="L284" s="42"/>
      <c r="M284" s="42"/>
      <c r="N284" s="42"/>
      <c r="O284" s="42"/>
      <c r="P284" s="42"/>
      <c r="Q284" s="42"/>
      <c r="R284" s="42"/>
      <c r="S284" s="14" t="s">
        <v>13</v>
      </c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</row>
    <row r="285" spans="1:32" ht="22.5" customHeight="1" x14ac:dyDescent="0.2">
      <c r="A285" s="56"/>
      <c r="B285" s="40"/>
      <c r="C285" s="41"/>
      <c r="D285" s="41"/>
      <c r="E285" s="54"/>
      <c r="F285" s="40"/>
      <c r="G285" s="45"/>
      <c r="H285" s="45"/>
      <c r="I285" s="41"/>
      <c r="J285" s="39"/>
      <c r="K285" s="42"/>
      <c r="L285" s="42"/>
      <c r="M285" s="42"/>
      <c r="N285" s="42"/>
      <c r="O285" s="42"/>
      <c r="P285" s="42"/>
      <c r="Q285" s="42"/>
      <c r="R285" s="42"/>
      <c r="S285" s="14" t="s">
        <v>14</v>
      </c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0"/>
    </row>
    <row r="286" spans="1:32" ht="22.5" customHeight="1" x14ac:dyDescent="0.2">
      <c r="A286" s="56"/>
      <c r="B286" s="40"/>
      <c r="C286" s="41"/>
      <c r="D286" s="41"/>
      <c r="E286" s="36"/>
      <c r="F286" s="40"/>
      <c r="G286" s="43"/>
      <c r="H286" s="43"/>
      <c r="I286" s="41"/>
      <c r="J286" s="38"/>
      <c r="K286" s="42"/>
      <c r="L286" s="42"/>
      <c r="M286" s="42"/>
      <c r="N286" s="42"/>
      <c r="O286" s="42"/>
      <c r="P286" s="42"/>
      <c r="Q286" s="42"/>
      <c r="R286" s="42"/>
      <c r="S286" s="14" t="s">
        <v>12</v>
      </c>
      <c r="T286" s="20"/>
      <c r="U286" s="20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</row>
    <row r="287" spans="1:32" ht="22.5" customHeight="1" x14ac:dyDescent="0.2">
      <c r="A287" s="56"/>
      <c r="B287" s="40"/>
      <c r="C287" s="41"/>
      <c r="D287" s="41"/>
      <c r="E287" s="37"/>
      <c r="F287" s="40"/>
      <c r="G287" s="44"/>
      <c r="H287" s="44"/>
      <c r="I287" s="41"/>
      <c r="J287" s="39"/>
      <c r="K287" s="42"/>
      <c r="L287" s="42"/>
      <c r="M287" s="42"/>
      <c r="N287" s="42"/>
      <c r="O287" s="42"/>
      <c r="P287" s="42"/>
      <c r="Q287" s="42"/>
      <c r="R287" s="42"/>
      <c r="S287" s="14" t="s">
        <v>13</v>
      </c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</row>
    <row r="288" spans="1:32" ht="22.5" customHeight="1" x14ac:dyDescent="0.2">
      <c r="A288" s="56"/>
      <c r="B288" s="40"/>
      <c r="C288" s="41"/>
      <c r="D288" s="41"/>
      <c r="E288" s="54"/>
      <c r="F288" s="40"/>
      <c r="G288" s="45"/>
      <c r="H288" s="45"/>
      <c r="I288" s="41"/>
      <c r="J288" s="39"/>
      <c r="K288" s="42"/>
      <c r="L288" s="42"/>
      <c r="M288" s="42"/>
      <c r="N288" s="42"/>
      <c r="O288" s="42"/>
      <c r="P288" s="42"/>
      <c r="Q288" s="42"/>
      <c r="R288" s="42"/>
      <c r="S288" s="14" t="s">
        <v>14</v>
      </c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</row>
    <row r="289" spans="1:32" ht="22.5" customHeight="1" x14ac:dyDescent="0.2">
      <c r="A289" s="56"/>
      <c r="B289" s="40"/>
      <c r="C289" s="41"/>
      <c r="D289" s="41"/>
      <c r="E289" s="36"/>
      <c r="F289" s="40"/>
      <c r="G289" s="43"/>
      <c r="H289" s="43"/>
      <c r="I289" s="41"/>
      <c r="J289" s="38"/>
      <c r="K289" s="42"/>
      <c r="L289" s="42"/>
      <c r="M289" s="42"/>
      <c r="N289" s="42"/>
      <c r="O289" s="42"/>
      <c r="P289" s="42"/>
      <c r="Q289" s="42"/>
      <c r="R289" s="42"/>
      <c r="S289" s="14" t="s">
        <v>12</v>
      </c>
      <c r="T289" s="20"/>
      <c r="U289" s="20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</row>
    <row r="290" spans="1:32" ht="22.5" customHeight="1" x14ac:dyDescent="0.2">
      <c r="A290" s="56"/>
      <c r="B290" s="40"/>
      <c r="C290" s="41"/>
      <c r="D290" s="41"/>
      <c r="E290" s="37"/>
      <c r="F290" s="40"/>
      <c r="G290" s="44"/>
      <c r="H290" s="44"/>
      <c r="I290" s="41"/>
      <c r="J290" s="39"/>
      <c r="K290" s="42"/>
      <c r="L290" s="42"/>
      <c r="M290" s="42"/>
      <c r="N290" s="42"/>
      <c r="O290" s="42"/>
      <c r="P290" s="42"/>
      <c r="Q290" s="42"/>
      <c r="R290" s="42"/>
      <c r="S290" s="14" t="s">
        <v>13</v>
      </c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0"/>
    </row>
    <row r="291" spans="1:32" ht="22.5" customHeight="1" x14ac:dyDescent="0.2">
      <c r="A291" s="56"/>
      <c r="B291" s="40"/>
      <c r="C291" s="41"/>
      <c r="D291" s="41"/>
      <c r="E291" s="54"/>
      <c r="F291" s="40"/>
      <c r="G291" s="45"/>
      <c r="H291" s="45"/>
      <c r="I291" s="41"/>
      <c r="J291" s="39"/>
      <c r="K291" s="42"/>
      <c r="L291" s="42"/>
      <c r="M291" s="42"/>
      <c r="N291" s="42"/>
      <c r="O291" s="42"/>
      <c r="P291" s="42"/>
      <c r="Q291" s="42"/>
      <c r="R291" s="42"/>
      <c r="S291" s="14" t="s">
        <v>14</v>
      </c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</row>
  </sheetData>
  <mergeCells count="1730">
    <mergeCell ref="C286:C288"/>
    <mergeCell ref="D286:D288"/>
    <mergeCell ref="E286:E288"/>
    <mergeCell ref="F286:F288"/>
    <mergeCell ref="G286:G288"/>
    <mergeCell ref="H286:H288"/>
    <mergeCell ref="I286:I288"/>
    <mergeCell ref="P289:P291"/>
    <mergeCell ref="Q289:Q291"/>
    <mergeCell ref="R289:R291"/>
    <mergeCell ref="A289:A291"/>
    <mergeCell ref="B289:B291"/>
    <mergeCell ref="C289:C291"/>
    <mergeCell ref="D289:D291"/>
    <mergeCell ref="E289:E291"/>
    <mergeCell ref="F289:F291"/>
    <mergeCell ref="G289:G291"/>
    <mergeCell ref="H289:H291"/>
    <mergeCell ref="I289:I291"/>
    <mergeCell ref="J289:J291"/>
    <mergeCell ref="K289:K291"/>
    <mergeCell ref="L289:L291"/>
    <mergeCell ref="M289:M291"/>
    <mergeCell ref="N289:N291"/>
    <mergeCell ref="O289:O291"/>
    <mergeCell ref="J286:J288"/>
    <mergeCell ref="K286:K288"/>
    <mergeCell ref="L286:L288"/>
    <mergeCell ref="M286:M288"/>
    <mergeCell ref="N286:N288"/>
    <mergeCell ref="O286:O288"/>
    <mergeCell ref="P286:P288"/>
    <mergeCell ref="A283:A285"/>
    <mergeCell ref="B283:B285"/>
    <mergeCell ref="C283:C285"/>
    <mergeCell ref="D283:D285"/>
    <mergeCell ref="E283:E285"/>
    <mergeCell ref="F283:F285"/>
    <mergeCell ref="G283:G285"/>
    <mergeCell ref="H283:H285"/>
    <mergeCell ref="I283:I285"/>
    <mergeCell ref="J283:J285"/>
    <mergeCell ref="K283:K285"/>
    <mergeCell ref="L283:L285"/>
    <mergeCell ref="M283:M285"/>
    <mergeCell ref="N283:N285"/>
    <mergeCell ref="O283:O285"/>
    <mergeCell ref="A280:A282"/>
    <mergeCell ref="B280:B282"/>
    <mergeCell ref="Q286:Q288"/>
    <mergeCell ref="R286:R288"/>
    <mergeCell ref="A286:A288"/>
    <mergeCell ref="B286:B288"/>
    <mergeCell ref="P283:P285"/>
    <mergeCell ref="Q283:Q285"/>
    <mergeCell ref="R283:R285"/>
    <mergeCell ref="P274:P276"/>
    <mergeCell ref="Q274:Q276"/>
    <mergeCell ref="R274:R276"/>
    <mergeCell ref="G280:G282"/>
    <mergeCell ref="H280:H282"/>
    <mergeCell ref="I280:I282"/>
    <mergeCell ref="J280:J282"/>
    <mergeCell ref="K280:K282"/>
    <mergeCell ref="L280:L282"/>
    <mergeCell ref="M280:M282"/>
    <mergeCell ref="P277:P279"/>
    <mergeCell ref="Q277:Q279"/>
    <mergeCell ref="R277:R279"/>
    <mergeCell ref="N280:N282"/>
    <mergeCell ref="A277:A279"/>
    <mergeCell ref="B277:B279"/>
    <mergeCell ref="C277:C279"/>
    <mergeCell ref="D277:D279"/>
    <mergeCell ref="E277:E279"/>
    <mergeCell ref="F277:F279"/>
    <mergeCell ref="G277:G279"/>
    <mergeCell ref="H277:H279"/>
    <mergeCell ref="I277:I279"/>
    <mergeCell ref="J277:J279"/>
    <mergeCell ref="K277:K279"/>
    <mergeCell ref="L277:L279"/>
    <mergeCell ref="M277:M279"/>
    <mergeCell ref="N277:N279"/>
    <mergeCell ref="O277:O279"/>
    <mergeCell ref="C280:C282"/>
    <mergeCell ref="D280:D282"/>
    <mergeCell ref="E280:E282"/>
    <mergeCell ref="F280:F282"/>
    <mergeCell ref="Q271:Q273"/>
    <mergeCell ref="R271:R273"/>
    <mergeCell ref="A274:A276"/>
    <mergeCell ref="B274:B276"/>
    <mergeCell ref="C274:C276"/>
    <mergeCell ref="D274:D276"/>
    <mergeCell ref="E274:E276"/>
    <mergeCell ref="F274:F276"/>
    <mergeCell ref="G274:G276"/>
    <mergeCell ref="H274:H276"/>
    <mergeCell ref="I274:I276"/>
    <mergeCell ref="J274:J276"/>
    <mergeCell ref="K274:K276"/>
    <mergeCell ref="L274:L276"/>
    <mergeCell ref="M274:M276"/>
    <mergeCell ref="N274:N276"/>
    <mergeCell ref="O274:O276"/>
    <mergeCell ref="O280:O282"/>
    <mergeCell ref="P280:P282"/>
    <mergeCell ref="Q280:Q282"/>
    <mergeCell ref="R280:R282"/>
    <mergeCell ref="N265:N267"/>
    <mergeCell ref="O265:O267"/>
    <mergeCell ref="P265:P267"/>
    <mergeCell ref="Q265:Q267"/>
    <mergeCell ref="R265:R267"/>
    <mergeCell ref="N268:N270"/>
    <mergeCell ref="O268:O270"/>
    <mergeCell ref="P268:P270"/>
    <mergeCell ref="Q268:Q270"/>
    <mergeCell ref="R268:R270"/>
    <mergeCell ref="A271:A273"/>
    <mergeCell ref="B271:B273"/>
    <mergeCell ref="C271:C273"/>
    <mergeCell ref="D271:D273"/>
    <mergeCell ref="E271:E273"/>
    <mergeCell ref="F271:F273"/>
    <mergeCell ref="G271:G273"/>
    <mergeCell ref="H271:H273"/>
    <mergeCell ref="I271:I273"/>
    <mergeCell ref="J271:J273"/>
    <mergeCell ref="K271:K273"/>
    <mergeCell ref="L271:L273"/>
    <mergeCell ref="M271:M273"/>
    <mergeCell ref="N271:N273"/>
    <mergeCell ref="O271:O273"/>
    <mergeCell ref="A268:A270"/>
    <mergeCell ref="B268:B270"/>
    <mergeCell ref="C268:C270"/>
    <mergeCell ref="D268:D270"/>
    <mergeCell ref="E268:E270"/>
    <mergeCell ref="F268:F270"/>
    <mergeCell ref="P271:P273"/>
    <mergeCell ref="G268:G270"/>
    <mergeCell ref="H268:H270"/>
    <mergeCell ref="I268:I270"/>
    <mergeCell ref="J268:J270"/>
    <mergeCell ref="K268:K270"/>
    <mergeCell ref="L268:L270"/>
    <mergeCell ref="M268:M270"/>
    <mergeCell ref="A265:A267"/>
    <mergeCell ref="B265:B267"/>
    <mergeCell ref="C265:C267"/>
    <mergeCell ref="D265:D267"/>
    <mergeCell ref="E265:E267"/>
    <mergeCell ref="F265:F267"/>
    <mergeCell ref="G265:G267"/>
    <mergeCell ref="H265:H267"/>
    <mergeCell ref="I265:I267"/>
    <mergeCell ref="J265:J267"/>
    <mergeCell ref="K265:K267"/>
    <mergeCell ref="L265:L267"/>
    <mergeCell ref="M265:M267"/>
    <mergeCell ref="Q259:Q261"/>
    <mergeCell ref="R259:R261"/>
    <mergeCell ref="A262:A264"/>
    <mergeCell ref="B262:B264"/>
    <mergeCell ref="C262:C264"/>
    <mergeCell ref="D262:D264"/>
    <mergeCell ref="E262:E264"/>
    <mergeCell ref="F262:F264"/>
    <mergeCell ref="G262:G264"/>
    <mergeCell ref="H262:H264"/>
    <mergeCell ref="I262:I264"/>
    <mergeCell ref="J262:J264"/>
    <mergeCell ref="K262:K264"/>
    <mergeCell ref="L262:L264"/>
    <mergeCell ref="M262:M264"/>
    <mergeCell ref="N262:N264"/>
    <mergeCell ref="O262:O264"/>
    <mergeCell ref="P262:P264"/>
    <mergeCell ref="Q262:Q264"/>
    <mergeCell ref="R262:R264"/>
    <mergeCell ref="N253:N255"/>
    <mergeCell ref="O253:O255"/>
    <mergeCell ref="P253:P255"/>
    <mergeCell ref="Q253:Q255"/>
    <mergeCell ref="R253:R255"/>
    <mergeCell ref="N256:N258"/>
    <mergeCell ref="O256:O258"/>
    <mergeCell ref="P256:P258"/>
    <mergeCell ref="Q256:Q258"/>
    <mergeCell ref="R256:R258"/>
    <mergeCell ref="A259:A261"/>
    <mergeCell ref="B259:B261"/>
    <mergeCell ref="C259:C261"/>
    <mergeCell ref="D259:D261"/>
    <mergeCell ref="E259:E261"/>
    <mergeCell ref="F259:F261"/>
    <mergeCell ref="G259:G261"/>
    <mergeCell ref="H259:H261"/>
    <mergeCell ref="I259:I261"/>
    <mergeCell ref="J259:J261"/>
    <mergeCell ref="K259:K261"/>
    <mergeCell ref="L259:L261"/>
    <mergeCell ref="M259:M261"/>
    <mergeCell ref="N259:N261"/>
    <mergeCell ref="O259:O261"/>
    <mergeCell ref="A256:A258"/>
    <mergeCell ref="B256:B258"/>
    <mergeCell ref="C256:C258"/>
    <mergeCell ref="D256:D258"/>
    <mergeCell ref="E256:E258"/>
    <mergeCell ref="F256:F258"/>
    <mergeCell ref="P259:P261"/>
    <mergeCell ref="G256:G258"/>
    <mergeCell ref="H256:H258"/>
    <mergeCell ref="I256:I258"/>
    <mergeCell ref="J256:J258"/>
    <mergeCell ref="K256:K258"/>
    <mergeCell ref="L256:L258"/>
    <mergeCell ref="M256:M258"/>
    <mergeCell ref="A253:A255"/>
    <mergeCell ref="B253:B255"/>
    <mergeCell ref="C253:C255"/>
    <mergeCell ref="D253:D255"/>
    <mergeCell ref="E253:E255"/>
    <mergeCell ref="F253:F255"/>
    <mergeCell ref="G253:G255"/>
    <mergeCell ref="H253:H255"/>
    <mergeCell ref="I253:I255"/>
    <mergeCell ref="J253:J255"/>
    <mergeCell ref="K253:K255"/>
    <mergeCell ref="L253:L255"/>
    <mergeCell ref="M253:M255"/>
    <mergeCell ref="Q247:Q249"/>
    <mergeCell ref="R247:R249"/>
    <mergeCell ref="A250:A252"/>
    <mergeCell ref="B250:B252"/>
    <mergeCell ref="C250:C252"/>
    <mergeCell ref="D250:D252"/>
    <mergeCell ref="E250:E252"/>
    <mergeCell ref="F250:F252"/>
    <mergeCell ref="G250:G252"/>
    <mergeCell ref="H250:H252"/>
    <mergeCell ref="I250:I252"/>
    <mergeCell ref="J250:J252"/>
    <mergeCell ref="K250:K252"/>
    <mergeCell ref="L250:L252"/>
    <mergeCell ref="M250:M252"/>
    <mergeCell ref="N250:N252"/>
    <mergeCell ref="O250:O252"/>
    <mergeCell ref="P250:P252"/>
    <mergeCell ref="Q250:Q252"/>
    <mergeCell ref="R250:R252"/>
    <mergeCell ref="N241:N243"/>
    <mergeCell ref="O241:O243"/>
    <mergeCell ref="P241:P243"/>
    <mergeCell ref="Q241:Q243"/>
    <mergeCell ref="R241:R243"/>
    <mergeCell ref="N244:N246"/>
    <mergeCell ref="O244:O246"/>
    <mergeCell ref="P244:P246"/>
    <mergeCell ref="Q244:Q246"/>
    <mergeCell ref="R244:R246"/>
    <mergeCell ref="A247:A249"/>
    <mergeCell ref="B247:B249"/>
    <mergeCell ref="C247:C249"/>
    <mergeCell ref="D247:D249"/>
    <mergeCell ref="E247:E249"/>
    <mergeCell ref="F247:F249"/>
    <mergeCell ref="G247:G249"/>
    <mergeCell ref="H247:H249"/>
    <mergeCell ref="I247:I249"/>
    <mergeCell ref="J247:J249"/>
    <mergeCell ref="K247:K249"/>
    <mergeCell ref="L247:L249"/>
    <mergeCell ref="M247:M249"/>
    <mergeCell ref="N247:N249"/>
    <mergeCell ref="O247:O249"/>
    <mergeCell ref="A244:A246"/>
    <mergeCell ref="B244:B246"/>
    <mergeCell ref="C244:C246"/>
    <mergeCell ref="D244:D246"/>
    <mergeCell ref="E244:E246"/>
    <mergeCell ref="F244:F246"/>
    <mergeCell ref="P247:P249"/>
    <mergeCell ref="G244:G246"/>
    <mergeCell ref="H244:H246"/>
    <mergeCell ref="I244:I246"/>
    <mergeCell ref="J244:J246"/>
    <mergeCell ref="K244:K246"/>
    <mergeCell ref="L244:L246"/>
    <mergeCell ref="M244:M246"/>
    <mergeCell ref="A241:A243"/>
    <mergeCell ref="B241:B243"/>
    <mergeCell ref="C241:C243"/>
    <mergeCell ref="D241:D243"/>
    <mergeCell ref="E241:E243"/>
    <mergeCell ref="F241:F243"/>
    <mergeCell ref="G241:G243"/>
    <mergeCell ref="H241:H243"/>
    <mergeCell ref="I241:I243"/>
    <mergeCell ref="J241:J243"/>
    <mergeCell ref="K241:K243"/>
    <mergeCell ref="L241:L243"/>
    <mergeCell ref="M241:M243"/>
    <mergeCell ref="Q235:Q237"/>
    <mergeCell ref="R235:R237"/>
    <mergeCell ref="A238:A240"/>
    <mergeCell ref="B238:B240"/>
    <mergeCell ref="C238:C240"/>
    <mergeCell ref="D238:D240"/>
    <mergeCell ref="E238:E240"/>
    <mergeCell ref="F238:F240"/>
    <mergeCell ref="G238:G240"/>
    <mergeCell ref="H238:H240"/>
    <mergeCell ref="I238:I240"/>
    <mergeCell ref="J238:J240"/>
    <mergeCell ref="K238:K240"/>
    <mergeCell ref="L238:L240"/>
    <mergeCell ref="M238:M240"/>
    <mergeCell ref="N238:N240"/>
    <mergeCell ref="O238:O240"/>
    <mergeCell ref="P238:P240"/>
    <mergeCell ref="Q238:Q240"/>
    <mergeCell ref="R238:R240"/>
    <mergeCell ref="N229:N231"/>
    <mergeCell ref="O229:O231"/>
    <mergeCell ref="P229:P231"/>
    <mergeCell ref="Q229:Q231"/>
    <mergeCell ref="R229:R231"/>
    <mergeCell ref="N232:N234"/>
    <mergeCell ref="O232:O234"/>
    <mergeCell ref="P232:P234"/>
    <mergeCell ref="Q232:Q234"/>
    <mergeCell ref="R232:R234"/>
    <mergeCell ref="A235:A237"/>
    <mergeCell ref="B235:B237"/>
    <mergeCell ref="C235:C237"/>
    <mergeCell ref="D235:D237"/>
    <mergeCell ref="E235:E237"/>
    <mergeCell ref="F235:F237"/>
    <mergeCell ref="G235:G237"/>
    <mergeCell ref="H235:H237"/>
    <mergeCell ref="I235:I237"/>
    <mergeCell ref="J235:J237"/>
    <mergeCell ref="K235:K237"/>
    <mergeCell ref="L235:L237"/>
    <mergeCell ref="M235:M237"/>
    <mergeCell ref="N235:N237"/>
    <mergeCell ref="O235:O237"/>
    <mergeCell ref="A232:A234"/>
    <mergeCell ref="B232:B234"/>
    <mergeCell ref="C232:C234"/>
    <mergeCell ref="D232:D234"/>
    <mergeCell ref="E232:E234"/>
    <mergeCell ref="F232:F234"/>
    <mergeCell ref="P235:P237"/>
    <mergeCell ref="G232:G234"/>
    <mergeCell ref="H232:H234"/>
    <mergeCell ref="I232:I234"/>
    <mergeCell ref="J232:J234"/>
    <mergeCell ref="K232:K234"/>
    <mergeCell ref="L232:L234"/>
    <mergeCell ref="M232:M234"/>
    <mergeCell ref="A229:A231"/>
    <mergeCell ref="B229:B231"/>
    <mergeCell ref="C229:C231"/>
    <mergeCell ref="D229:D231"/>
    <mergeCell ref="E229:E231"/>
    <mergeCell ref="F229:F231"/>
    <mergeCell ref="G229:G231"/>
    <mergeCell ref="H229:H231"/>
    <mergeCell ref="I229:I231"/>
    <mergeCell ref="J229:J231"/>
    <mergeCell ref="K229:K231"/>
    <mergeCell ref="L229:L231"/>
    <mergeCell ref="M229:M231"/>
    <mergeCell ref="Q223:Q225"/>
    <mergeCell ref="R223:R225"/>
    <mergeCell ref="A226:A228"/>
    <mergeCell ref="B226:B228"/>
    <mergeCell ref="C226:C228"/>
    <mergeCell ref="D226:D228"/>
    <mergeCell ref="E226:E228"/>
    <mergeCell ref="F226:F228"/>
    <mergeCell ref="G226:G228"/>
    <mergeCell ref="H226:H228"/>
    <mergeCell ref="I226:I228"/>
    <mergeCell ref="J226:J228"/>
    <mergeCell ref="K226:K228"/>
    <mergeCell ref="L226:L228"/>
    <mergeCell ref="M226:M228"/>
    <mergeCell ref="N226:N228"/>
    <mergeCell ref="O226:O228"/>
    <mergeCell ref="P226:P228"/>
    <mergeCell ref="Q226:Q228"/>
    <mergeCell ref="R226:R228"/>
    <mergeCell ref="N217:N219"/>
    <mergeCell ref="O217:O219"/>
    <mergeCell ref="P217:P219"/>
    <mergeCell ref="Q217:Q219"/>
    <mergeCell ref="R217:R219"/>
    <mergeCell ref="N220:N222"/>
    <mergeCell ref="O220:O222"/>
    <mergeCell ref="P220:P222"/>
    <mergeCell ref="Q220:Q222"/>
    <mergeCell ref="R220:R222"/>
    <mergeCell ref="A223:A225"/>
    <mergeCell ref="B223:B225"/>
    <mergeCell ref="C223:C225"/>
    <mergeCell ref="D223:D225"/>
    <mergeCell ref="E223:E225"/>
    <mergeCell ref="F223:F225"/>
    <mergeCell ref="G223:G225"/>
    <mergeCell ref="H223:H225"/>
    <mergeCell ref="I223:I225"/>
    <mergeCell ref="J223:J225"/>
    <mergeCell ref="K223:K225"/>
    <mergeCell ref="L223:L225"/>
    <mergeCell ref="M223:M225"/>
    <mergeCell ref="N223:N225"/>
    <mergeCell ref="O223:O225"/>
    <mergeCell ref="A220:A222"/>
    <mergeCell ref="B220:B222"/>
    <mergeCell ref="C220:C222"/>
    <mergeCell ref="D220:D222"/>
    <mergeCell ref="E220:E222"/>
    <mergeCell ref="F220:F222"/>
    <mergeCell ref="P223:P225"/>
    <mergeCell ref="G220:G222"/>
    <mergeCell ref="H220:H222"/>
    <mergeCell ref="I220:I222"/>
    <mergeCell ref="J220:J222"/>
    <mergeCell ref="K220:K222"/>
    <mergeCell ref="L220:L222"/>
    <mergeCell ref="M220:M222"/>
    <mergeCell ref="A217:A219"/>
    <mergeCell ref="B217:B219"/>
    <mergeCell ref="C217:C219"/>
    <mergeCell ref="D217:D219"/>
    <mergeCell ref="E217:E219"/>
    <mergeCell ref="F217:F219"/>
    <mergeCell ref="G217:G219"/>
    <mergeCell ref="H217:H219"/>
    <mergeCell ref="I217:I219"/>
    <mergeCell ref="J217:J219"/>
    <mergeCell ref="K217:K219"/>
    <mergeCell ref="L217:L219"/>
    <mergeCell ref="M217:M219"/>
    <mergeCell ref="Q211:Q213"/>
    <mergeCell ref="R211:R213"/>
    <mergeCell ref="A214:A216"/>
    <mergeCell ref="B214:B216"/>
    <mergeCell ref="C214:C216"/>
    <mergeCell ref="D214:D216"/>
    <mergeCell ref="E214:E216"/>
    <mergeCell ref="F214:F216"/>
    <mergeCell ref="G214:G216"/>
    <mergeCell ref="H214:H216"/>
    <mergeCell ref="I214:I216"/>
    <mergeCell ref="J214:J216"/>
    <mergeCell ref="K214:K216"/>
    <mergeCell ref="L214:L216"/>
    <mergeCell ref="M214:M216"/>
    <mergeCell ref="N214:N216"/>
    <mergeCell ref="O214:O216"/>
    <mergeCell ref="P214:P216"/>
    <mergeCell ref="Q214:Q216"/>
    <mergeCell ref="R214:R216"/>
    <mergeCell ref="N205:N207"/>
    <mergeCell ref="O205:O207"/>
    <mergeCell ref="P205:P207"/>
    <mergeCell ref="Q205:Q207"/>
    <mergeCell ref="R205:R207"/>
    <mergeCell ref="N208:N210"/>
    <mergeCell ref="O208:O210"/>
    <mergeCell ref="P208:P210"/>
    <mergeCell ref="Q208:Q210"/>
    <mergeCell ref="R208:R210"/>
    <mergeCell ref="A211:A213"/>
    <mergeCell ref="B211:B213"/>
    <mergeCell ref="C211:C213"/>
    <mergeCell ref="D211:D213"/>
    <mergeCell ref="E211:E213"/>
    <mergeCell ref="F211:F213"/>
    <mergeCell ref="G211:G213"/>
    <mergeCell ref="H211:H213"/>
    <mergeCell ref="I211:I213"/>
    <mergeCell ref="J211:J213"/>
    <mergeCell ref="K211:K213"/>
    <mergeCell ref="L211:L213"/>
    <mergeCell ref="M211:M213"/>
    <mergeCell ref="N211:N213"/>
    <mergeCell ref="O211:O213"/>
    <mergeCell ref="A208:A210"/>
    <mergeCell ref="B208:B210"/>
    <mergeCell ref="C208:C210"/>
    <mergeCell ref="D208:D210"/>
    <mergeCell ref="E208:E210"/>
    <mergeCell ref="F208:F210"/>
    <mergeCell ref="P211:P213"/>
    <mergeCell ref="G208:G210"/>
    <mergeCell ref="H208:H210"/>
    <mergeCell ref="I208:I210"/>
    <mergeCell ref="J208:J210"/>
    <mergeCell ref="K208:K210"/>
    <mergeCell ref="L208:L210"/>
    <mergeCell ref="M208:M210"/>
    <mergeCell ref="A205:A207"/>
    <mergeCell ref="B205:B207"/>
    <mergeCell ref="C205:C207"/>
    <mergeCell ref="D205:D207"/>
    <mergeCell ref="E205:E207"/>
    <mergeCell ref="F205:F207"/>
    <mergeCell ref="G205:G207"/>
    <mergeCell ref="H205:H207"/>
    <mergeCell ref="I205:I207"/>
    <mergeCell ref="J205:J207"/>
    <mergeCell ref="K205:K207"/>
    <mergeCell ref="L205:L207"/>
    <mergeCell ref="M205:M207"/>
    <mergeCell ref="P199:P201"/>
    <mergeCell ref="Q199:Q201"/>
    <mergeCell ref="R199:R201"/>
    <mergeCell ref="A202:A204"/>
    <mergeCell ref="B202:B204"/>
    <mergeCell ref="C202:C204"/>
    <mergeCell ref="D202:D204"/>
    <mergeCell ref="E202:E204"/>
    <mergeCell ref="F202:F204"/>
    <mergeCell ref="G202:G204"/>
    <mergeCell ref="H202:H204"/>
    <mergeCell ref="I202:I204"/>
    <mergeCell ref="J202:J204"/>
    <mergeCell ref="K202:K204"/>
    <mergeCell ref="L202:L204"/>
    <mergeCell ref="M202:M204"/>
    <mergeCell ref="N202:N204"/>
    <mergeCell ref="O202:O204"/>
    <mergeCell ref="P202:P204"/>
    <mergeCell ref="Q202:Q204"/>
    <mergeCell ref="R202:R204"/>
    <mergeCell ref="A199:A201"/>
    <mergeCell ref="B199:B201"/>
    <mergeCell ref="C199:C201"/>
    <mergeCell ref="D199:D201"/>
    <mergeCell ref="E199:E201"/>
    <mergeCell ref="F199:F201"/>
    <mergeCell ref="G199:G201"/>
    <mergeCell ref="H199:H201"/>
    <mergeCell ref="I199:I201"/>
    <mergeCell ref="J199:J201"/>
    <mergeCell ref="K199:K201"/>
    <mergeCell ref="L199:L201"/>
    <mergeCell ref="M199:M201"/>
    <mergeCell ref="N199:N201"/>
    <mergeCell ref="O199:O201"/>
    <mergeCell ref="A196:A198"/>
    <mergeCell ref="B196:B198"/>
    <mergeCell ref="C196:C198"/>
    <mergeCell ref="D196:D198"/>
    <mergeCell ref="E196:E198"/>
    <mergeCell ref="F196:F198"/>
    <mergeCell ref="R190:R192"/>
    <mergeCell ref="G196:G198"/>
    <mergeCell ref="H196:H198"/>
    <mergeCell ref="I196:I198"/>
    <mergeCell ref="J196:J198"/>
    <mergeCell ref="K196:K198"/>
    <mergeCell ref="L196:L198"/>
    <mergeCell ref="M196:M198"/>
    <mergeCell ref="A193:A195"/>
    <mergeCell ref="B193:B195"/>
    <mergeCell ref="C193:C195"/>
    <mergeCell ref="D193:D195"/>
    <mergeCell ref="E193:E195"/>
    <mergeCell ref="F193:F195"/>
    <mergeCell ref="G193:G195"/>
    <mergeCell ref="H193:H195"/>
    <mergeCell ref="I193:I195"/>
    <mergeCell ref="J193:J195"/>
    <mergeCell ref="K193:K195"/>
    <mergeCell ref="L193:L195"/>
    <mergeCell ref="M193:M195"/>
    <mergeCell ref="N193:N195"/>
    <mergeCell ref="O193:O195"/>
    <mergeCell ref="P193:P195"/>
    <mergeCell ref="Q193:Q195"/>
    <mergeCell ref="R193:R195"/>
    <mergeCell ref="N196:N198"/>
    <mergeCell ref="O196:O198"/>
    <mergeCell ref="P196:P198"/>
    <mergeCell ref="Q196:Q198"/>
    <mergeCell ref="R196:R198"/>
    <mergeCell ref="A190:A192"/>
    <mergeCell ref="B190:B192"/>
    <mergeCell ref="C190:C192"/>
    <mergeCell ref="D190:D192"/>
    <mergeCell ref="E190:E192"/>
    <mergeCell ref="F190:F192"/>
    <mergeCell ref="G190:G192"/>
    <mergeCell ref="H190:H192"/>
    <mergeCell ref="I190:I192"/>
    <mergeCell ref="J190:J192"/>
    <mergeCell ref="K190:K192"/>
    <mergeCell ref="L190:L192"/>
    <mergeCell ref="M190:M192"/>
    <mergeCell ref="N190:N192"/>
    <mergeCell ref="O190:O192"/>
    <mergeCell ref="P190:P192"/>
    <mergeCell ref="Q190:Q192"/>
    <mergeCell ref="N184:N186"/>
    <mergeCell ref="O184:O186"/>
    <mergeCell ref="P184:P186"/>
    <mergeCell ref="Q184:Q186"/>
    <mergeCell ref="R184:R186"/>
    <mergeCell ref="A187:A189"/>
    <mergeCell ref="B187:B189"/>
    <mergeCell ref="C187:C189"/>
    <mergeCell ref="D187:D189"/>
    <mergeCell ref="E187:E189"/>
    <mergeCell ref="F187:F189"/>
    <mergeCell ref="G187:G189"/>
    <mergeCell ref="H187:H189"/>
    <mergeCell ref="I187:I189"/>
    <mergeCell ref="J187:J189"/>
    <mergeCell ref="K187:K189"/>
    <mergeCell ref="L187:L189"/>
    <mergeCell ref="M187:M189"/>
    <mergeCell ref="N187:N189"/>
    <mergeCell ref="O187:O189"/>
    <mergeCell ref="A184:A186"/>
    <mergeCell ref="B184:B186"/>
    <mergeCell ref="C184:C186"/>
    <mergeCell ref="D184:D186"/>
    <mergeCell ref="E184:E186"/>
    <mergeCell ref="F184:F186"/>
    <mergeCell ref="P187:P189"/>
    <mergeCell ref="Q187:Q189"/>
    <mergeCell ref="R187:R189"/>
    <mergeCell ref="G184:G186"/>
    <mergeCell ref="H184:H186"/>
    <mergeCell ref="I184:I186"/>
    <mergeCell ref="J184:J186"/>
    <mergeCell ref="K184:K186"/>
    <mergeCell ref="L184:L186"/>
    <mergeCell ref="H154:H156"/>
    <mergeCell ref="G157:G159"/>
    <mergeCell ref="H157:H159"/>
    <mergeCell ref="K142:K144"/>
    <mergeCell ref="L142:L144"/>
    <mergeCell ref="L73:L75"/>
    <mergeCell ref="J64:J66"/>
    <mergeCell ref="M184:M186"/>
    <mergeCell ref="G166:G168"/>
    <mergeCell ref="H166:H168"/>
    <mergeCell ref="G169:G171"/>
    <mergeCell ref="H169:H171"/>
    <mergeCell ref="G172:G174"/>
    <mergeCell ref="H172:H174"/>
    <mergeCell ref="G175:G177"/>
    <mergeCell ref="H175:H177"/>
    <mergeCell ref="G178:G180"/>
    <mergeCell ref="H178:H180"/>
    <mergeCell ref="G181:G183"/>
    <mergeCell ref="H181:H183"/>
    <mergeCell ref="L169:L171"/>
    <mergeCell ref="M166:M168"/>
    <mergeCell ref="I181:I183"/>
    <mergeCell ref="K181:K183"/>
    <mergeCell ref="L181:L183"/>
    <mergeCell ref="M181:M183"/>
    <mergeCell ref="J172:J174"/>
    <mergeCell ref="M178:M180"/>
    <mergeCell ref="G43:G45"/>
    <mergeCell ref="H43:H45"/>
    <mergeCell ref="G46:G48"/>
    <mergeCell ref="H46:H48"/>
    <mergeCell ref="G52:G54"/>
    <mergeCell ref="H52:H54"/>
    <mergeCell ref="G55:G57"/>
    <mergeCell ref="H55:H57"/>
    <mergeCell ref="H37:H39"/>
    <mergeCell ref="G37:G39"/>
    <mergeCell ref="H61:H63"/>
    <mergeCell ref="G64:G66"/>
    <mergeCell ref="H64:H66"/>
    <mergeCell ref="G76:G78"/>
    <mergeCell ref="H76:H78"/>
    <mergeCell ref="H85:H87"/>
    <mergeCell ref="G124:G126"/>
    <mergeCell ref="H124:H126"/>
    <mergeCell ref="N178:N180"/>
    <mergeCell ref="O178:O180"/>
    <mergeCell ref="K178:K180"/>
    <mergeCell ref="L178:L180"/>
    <mergeCell ref="B178:B180"/>
    <mergeCell ref="D178:D180"/>
    <mergeCell ref="F178:F180"/>
    <mergeCell ref="I178:I180"/>
    <mergeCell ref="Q175:Q177"/>
    <mergeCell ref="J175:J177"/>
    <mergeCell ref="E175:E177"/>
    <mergeCell ref="J46:J48"/>
    <mergeCell ref="J49:J51"/>
    <mergeCell ref="J52:J54"/>
    <mergeCell ref="J76:J78"/>
    <mergeCell ref="J79:J81"/>
    <mergeCell ref="J82:J84"/>
    <mergeCell ref="J85:J87"/>
    <mergeCell ref="J88:J90"/>
    <mergeCell ref="J124:J126"/>
    <mergeCell ref="J127:J129"/>
    <mergeCell ref="J130:J132"/>
    <mergeCell ref="J133:J135"/>
    <mergeCell ref="J136:J138"/>
    <mergeCell ref="J139:J141"/>
    <mergeCell ref="J142:J144"/>
    <mergeCell ref="J157:J159"/>
    <mergeCell ref="J160:J162"/>
    <mergeCell ref="G58:G60"/>
    <mergeCell ref="H58:H60"/>
    <mergeCell ref="G61:G63"/>
    <mergeCell ref="G154:G156"/>
    <mergeCell ref="A178:A180"/>
    <mergeCell ref="R175:R177"/>
    <mergeCell ref="C178:C180"/>
    <mergeCell ref="C181:C183"/>
    <mergeCell ref="O175:O177"/>
    <mergeCell ref="P175:P177"/>
    <mergeCell ref="A175:A177"/>
    <mergeCell ref="B175:B177"/>
    <mergeCell ref="D175:D177"/>
    <mergeCell ref="F175:F177"/>
    <mergeCell ref="I175:I177"/>
    <mergeCell ref="K175:K177"/>
    <mergeCell ref="L175:L177"/>
    <mergeCell ref="M175:M177"/>
    <mergeCell ref="N175:N177"/>
    <mergeCell ref="E178:E180"/>
    <mergeCell ref="E181:E183"/>
    <mergeCell ref="P181:P183"/>
    <mergeCell ref="Q181:Q183"/>
    <mergeCell ref="R181:R183"/>
    <mergeCell ref="N181:N183"/>
    <mergeCell ref="O181:O183"/>
    <mergeCell ref="R178:R180"/>
    <mergeCell ref="A181:A183"/>
    <mergeCell ref="B181:B183"/>
    <mergeCell ref="D181:D183"/>
    <mergeCell ref="F181:F183"/>
    <mergeCell ref="C175:C177"/>
    <mergeCell ref="P178:P180"/>
    <mergeCell ref="J178:J180"/>
    <mergeCell ref="J181:J183"/>
    <mergeCell ref="Q178:Q180"/>
    <mergeCell ref="R172:R174"/>
    <mergeCell ref="N172:N174"/>
    <mergeCell ref="O172:O174"/>
    <mergeCell ref="Q166:Q168"/>
    <mergeCell ref="R166:R168"/>
    <mergeCell ref="O166:O168"/>
    <mergeCell ref="P166:P168"/>
    <mergeCell ref="J169:J171"/>
    <mergeCell ref="J166:J168"/>
    <mergeCell ref="A166:A168"/>
    <mergeCell ref="B166:B168"/>
    <mergeCell ref="D166:D168"/>
    <mergeCell ref="F166:F168"/>
    <mergeCell ref="I166:I168"/>
    <mergeCell ref="K166:K168"/>
    <mergeCell ref="L166:L168"/>
    <mergeCell ref="A172:A174"/>
    <mergeCell ref="B172:B174"/>
    <mergeCell ref="D172:D174"/>
    <mergeCell ref="F172:F174"/>
    <mergeCell ref="I172:I174"/>
    <mergeCell ref="K172:K174"/>
    <mergeCell ref="L172:L174"/>
    <mergeCell ref="M172:M174"/>
    <mergeCell ref="D169:D171"/>
    <mergeCell ref="F169:F171"/>
    <mergeCell ref="I169:I171"/>
    <mergeCell ref="C172:C174"/>
    <mergeCell ref="E169:E171"/>
    <mergeCell ref="E172:E174"/>
    <mergeCell ref="P172:P174"/>
    <mergeCell ref="Q172:Q174"/>
    <mergeCell ref="A160:A162"/>
    <mergeCell ref="B160:B162"/>
    <mergeCell ref="D160:D162"/>
    <mergeCell ref="F160:F162"/>
    <mergeCell ref="I160:I162"/>
    <mergeCell ref="G160:G162"/>
    <mergeCell ref="H160:H162"/>
    <mergeCell ref="N166:N168"/>
    <mergeCell ref="C166:C168"/>
    <mergeCell ref="C169:C171"/>
    <mergeCell ref="R169:R171"/>
    <mergeCell ref="E166:E168"/>
    <mergeCell ref="P169:P171"/>
    <mergeCell ref="Q169:Q171"/>
    <mergeCell ref="M169:M171"/>
    <mergeCell ref="N169:N171"/>
    <mergeCell ref="O169:O171"/>
    <mergeCell ref="K169:K171"/>
    <mergeCell ref="A163:A165"/>
    <mergeCell ref="B163:B165"/>
    <mergeCell ref="D163:D165"/>
    <mergeCell ref="F163:F165"/>
    <mergeCell ref="I163:I165"/>
    <mergeCell ref="K163:K165"/>
    <mergeCell ref="L163:L165"/>
    <mergeCell ref="M163:M165"/>
    <mergeCell ref="A169:A171"/>
    <mergeCell ref="B169:B171"/>
    <mergeCell ref="R160:R162"/>
    <mergeCell ref="C160:C162"/>
    <mergeCell ref="C163:C165"/>
    <mergeCell ref="P163:P165"/>
    <mergeCell ref="Q163:Q165"/>
    <mergeCell ref="R163:R165"/>
    <mergeCell ref="N163:N165"/>
    <mergeCell ref="O163:O165"/>
    <mergeCell ref="J163:J165"/>
    <mergeCell ref="E163:E165"/>
    <mergeCell ref="G163:G165"/>
    <mergeCell ref="H163:H165"/>
    <mergeCell ref="E160:E162"/>
    <mergeCell ref="P160:P162"/>
    <mergeCell ref="Q160:Q162"/>
    <mergeCell ref="M160:M162"/>
    <mergeCell ref="N160:N162"/>
    <mergeCell ref="O160:O162"/>
    <mergeCell ref="K160:K162"/>
    <mergeCell ref="L160:L162"/>
    <mergeCell ref="J154:J156"/>
    <mergeCell ref="A157:A159"/>
    <mergeCell ref="B157:B159"/>
    <mergeCell ref="D157:D159"/>
    <mergeCell ref="F157:F159"/>
    <mergeCell ref="I157:I159"/>
    <mergeCell ref="K157:K159"/>
    <mergeCell ref="L157:L159"/>
    <mergeCell ref="M157:M159"/>
    <mergeCell ref="N157:N159"/>
    <mergeCell ref="P154:P156"/>
    <mergeCell ref="Q154:Q156"/>
    <mergeCell ref="R154:R156"/>
    <mergeCell ref="G151:G153"/>
    <mergeCell ref="H151:H153"/>
    <mergeCell ref="N154:N156"/>
    <mergeCell ref="O154:O156"/>
    <mergeCell ref="C154:C156"/>
    <mergeCell ref="C157:C159"/>
    <mergeCell ref="A154:A156"/>
    <mergeCell ref="B154:B156"/>
    <mergeCell ref="D154:D156"/>
    <mergeCell ref="F154:F156"/>
    <mergeCell ref="I154:I156"/>
    <mergeCell ref="K154:K156"/>
    <mergeCell ref="L154:L156"/>
    <mergeCell ref="M154:M156"/>
    <mergeCell ref="E154:E156"/>
    <mergeCell ref="E157:E159"/>
    <mergeCell ref="Q157:Q159"/>
    <mergeCell ref="R157:R159"/>
    <mergeCell ref="O157:O159"/>
    <mergeCell ref="P157:P159"/>
    <mergeCell ref="C151:C153"/>
    <mergeCell ref="R151:R153"/>
    <mergeCell ref="E148:E150"/>
    <mergeCell ref="E151:E153"/>
    <mergeCell ref="P151:P153"/>
    <mergeCell ref="Q151:Q153"/>
    <mergeCell ref="M151:M153"/>
    <mergeCell ref="N151:N153"/>
    <mergeCell ref="O151:O153"/>
    <mergeCell ref="K151:K153"/>
    <mergeCell ref="L151:L153"/>
    <mergeCell ref="A151:A153"/>
    <mergeCell ref="B151:B153"/>
    <mergeCell ref="D151:D153"/>
    <mergeCell ref="F151:F153"/>
    <mergeCell ref="I151:I153"/>
    <mergeCell ref="Q148:Q150"/>
    <mergeCell ref="R148:R150"/>
    <mergeCell ref="J148:J150"/>
    <mergeCell ref="J151:J153"/>
    <mergeCell ref="G148:G150"/>
    <mergeCell ref="H148:H150"/>
    <mergeCell ref="A142:A144"/>
    <mergeCell ref="B142:B144"/>
    <mergeCell ref="D142:D144"/>
    <mergeCell ref="F142:F144"/>
    <mergeCell ref="I142:I144"/>
    <mergeCell ref="O148:O150"/>
    <mergeCell ref="P148:P150"/>
    <mergeCell ref="A148:A150"/>
    <mergeCell ref="B148:B150"/>
    <mergeCell ref="D148:D150"/>
    <mergeCell ref="F148:F150"/>
    <mergeCell ref="I148:I150"/>
    <mergeCell ref="K148:K150"/>
    <mergeCell ref="L148:L150"/>
    <mergeCell ref="M148:M150"/>
    <mergeCell ref="N148:N150"/>
    <mergeCell ref="C148:C150"/>
    <mergeCell ref="J145:J147"/>
    <mergeCell ref="G142:G144"/>
    <mergeCell ref="H142:H144"/>
    <mergeCell ref="G145:G147"/>
    <mergeCell ref="H145:H147"/>
    <mergeCell ref="R142:R144"/>
    <mergeCell ref="C142:C144"/>
    <mergeCell ref="C145:C147"/>
    <mergeCell ref="P145:P147"/>
    <mergeCell ref="Q145:Q147"/>
    <mergeCell ref="R145:R147"/>
    <mergeCell ref="N145:N147"/>
    <mergeCell ref="A139:A141"/>
    <mergeCell ref="B139:B141"/>
    <mergeCell ref="D139:D141"/>
    <mergeCell ref="F139:F141"/>
    <mergeCell ref="I139:I141"/>
    <mergeCell ref="K139:K141"/>
    <mergeCell ref="L139:L141"/>
    <mergeCell ref="M139:M141"/>
    <mergeCell ref="N139:N141"/>
    <mergeCell ref="E142:E144"/>
    <mergeCell ref="E145:E147"/>
    <mergeCell ref="O145:O147"/>
    <mergeCell ref="A145:A147"/>
    <mergeCell ref="B145:B147"/>
    <mergeCell ref="D145:D147"/>
    <mergeCell ref="F145:F147"/>
    <mergeCell ref="I145:I147"/>
    <mergeCell ref="K145:K147"/>
    <mergeCell ref="L145:L147"/>
    <mergeCell ref="M145:M147"/>
    <mergeCell ref="P142:P144"/>
    <mergeCell ref="Q142:Q144"/>
    <mergeCell ref="M142:M144"/>
    <mergeCell ref="N142:N144"/>
    <mergeCell ref="O142:O144"/>
    <mergeCell ref="P136:P138"/>
    <mergeCell ref="Q136:Q138"/>
    <mergeCell ref="R136:R138"/>
    <mergeCell ref="N136:N138"/>
    <mergeCell ref="O136:O138"/>
    <mergeCell ref="C136:C138"/>
    <mergeCell ref="C139:C141"/>
    <mergeCell ref="A136:A138"/>
    <mergeCell ref="B136:B138"/>
    <mergeCell ref="D136:D138"/>
    <mergeCell ref="F136:F138"/>
    <mergeCell ref="I136:I138"/>
    <mergeCell ref="K136:K138"/>
    <mergeCell ref="L136:L138"/>
    <mergeCell ref="M136:M138"/>
    <mergeCell ref="E136:E138"/>
    <mergeCell ref="E139:E141"/>
    <mergeCell ref="Q139:Q141"/>
    <mergeCell ref="R139:R141"/>
    <mergeCell ref="O139:O141"/>
    <mergeCell ref="P139:P141"/>
    <mergeCell ref="G136:G138"/>
    <mergeCell ref="H136:H138"/>
    <mergeCell ref="G139:G141"/>
    <mergeCell ref="H139:H141"/>
    <mergeCell ref="C133:C135"/>
    <mergeCell ref="R133:R135"/>
    <mergeCell ref="E130:E132"/>
    <mergeCell ref="E133:E135"/>
    <mergeCell ref="P133:P135"/>
    <mergeCell ref="Q133:Q135"/>
    <mergeCell ref="M133:M135"/>
    <mergeCell ref="N133:N135"/>
    <mergeCell ref="O133:O135"/>
    <mergeCell ref="K133:K135"/>
    <mergeCell ref="L133:L135"/>
    <mergeCell ref="N127:N129"/>
    <mergeCell ref="A133:A135"/>
    <mergeCell ref="B133:B135"/>
    <mergeCell ref="D133:D135"/>
    <mergeCell ref="F133:F135"/>
    <mergeCell ref="I133:I135"/>
    <mergeCell ref="Q130:Q132"/>
    <mergeCell ref="R130:R132"/>
    <mergeCell ref="G127:G129"/>
    <mergeCell ref="H127:H129"/>
    <mergeCell ref="G130:G132"/>
    <mergeCell ref="H130:H132"/>
    <mergeCell ref="G133:G135"/>
    <mergeCell ref="H133:H135"/>
    <mergeCell ref="R124:R126"/>
    <mergeCell ref="C124:C126"/>
    <mergeCell ref="C127:C129"/>
    <mergeCell ref="P127:P129"/>
    <mergeCell ref="Q127:Q129"/>
    <mergeCell ref="R127:R129"/>
    <mergeCell ref="O130:O132"/>
    <mergeCell ref="P130:P132"/>
    <mergeCell ref="A130:A132"/>
    <mergeCell ref="B130:B132"/>
    <mergeCell ref="D130:D132"/>
    <mergeCell ref="F130:F132"/>
    <mergeCell ref="I130:I132"/>
    <mergeCell ref="K130:K132"/>
    <mergeCell ref="L130:L132"/>
    <mergeCell ref="M130:M132"/>
    <mergeCell ref="N130:N132"/>
    <mergeCell ref="C130:C132"/>
    <mergeCell ref="F127:F129"/>
    <mergeCell ref="I127:I129"/>
    <mergeCell ref="K127:K129"/>
    <mergeCell ref="L127:L129"/>
    <mergeCell ref="P124:P126"/>
    <mergeCell ref="Q124:Q126"/>
    <mergeCell ref="M124:M126"/>
    <mergeCell ref="N124:N126"/>
    <mergeCell ref="O124:O126"/>
    <mergeCell ref="O127:O129"/>
    <mergeCell ref="C118:C120"/>
    <mergeCell ref="C121:C123"/>
    <mergeCell ref="A118:A120"/>
    <mergeCell ref="B118:B120"/>
    <mergeCell ref="D118:D120"/>
    <mergeCell ref="F118:F120"/>
    <mergeCell ref="I118:I120"/>
    <mergeCell ref="K118:K120"/>
    <mergeCell ref="L118:L120"/>
    <mergeCell ref="M118:M120"/>
    <mergeCell ref="A127:A129"/>
    <mergeCell ref="B127:B129"/>
    <mergeCell ref="D127:D129"/>
    <mergeCell ref="E121:E123"/>
    <mergeCell ref="K124:K126"/>
    <mergeCell ref="L124:L126"/>
    <mergeCell ref="A124:A126"/>
    <mergeCell ref="B124:B126"/>
    <mergeCell ref="D124:D126"/>
    <mergeCell ref="F124:F126"/>
    <mergeCell ref="I124:I126"/>
    <mergeCell ref="M127:M129"/>
    <mergeCell ref="A121:A123"/>
    <mergeCell ref="B121:B123"/>
    <mergeCell ref="D121:D123"/>
    <mergeCell ref="F121:F123"/>
    <mergeCell ref="I121:I123"/>
    <mergeCell ref="K121:K123"/>
    <mergeCell ref="L121:L123"/>
    <mergeCell ref="E124:E126"/>
    <mergeCell ref="E127:E129"/>
    <mergeCell ref="R121:R123"/>
    <mergeCell ref="O121:O123"/>
    <mergeCell ref="P121:P123"/>
    <mergeCell ref="P115:P117"/>
    <mergeCell ref="Q115:Q117"/>
    <mergeCell ref="M115:M117"/>
    <mergeCell ref="N115:N117"/>
    <mergeCell ref="O115:O117"/>
    <mergeCell ref="K115:K117"/>
    <mergeCell ref="L115:L117"/>
    <mergeCell ref="J118:J120"/>
    <mergeCell ref="J121:J123"/>
    <mergeCell ref="G115:G117"/>
    <mergeCell ref="H115:H117"/>
    <mergeCell ref="G118:G120"/>
    <mergeCell ref="H118:H120"/>
    <mergeCell ref="G121:G123"/>
    <mergeCell ref="H121:H123"/>
    <mergeCell ref="M121:M123"/>
    <mergeCell ref="N121:N123"/>
    <mergeCell ref="N118:N120"/>
    <mergeCell ref="O118:O120"/>
    <mergeCell ref="Q121:Q123"/>
    <mergeCell ref="A115:A117"/>
    <mergeCell ref="B115:B117"/>
    <mergeCell ref="D115:D117"/>
    <mergeCell ref="F115:F117"/>
    <mergeCell ref="I115:I117"/>
    <mergeCell ref="Q112:Q114"/>
    <mergeCell ref="R112:R114"/>
    <mergeCell ref="P118:P120"/>
    <mergeCell ref="Q118:Q120"/>
    <mergeCell ref="R118:R120"/>
    <mergeCell ref="L106:L108"/>
    <mergeCell ref="A106:A108"/>
    <mergeCell ref="B106:B108"/>
    <mergeCell ref="D106:D108"/>
    <mergeCell ref="F106:F108"/>
    <mergeCell ref="I106:I108"/>
    <mergeCell ref="O112:O114"/>
    <mergeCell ref="P112:P114"/>
    <mergeCell ref="J115:J117"/>
    <mergeCell ref="A112:A114"/>
    <mergeCell ref="B112:B114"/>
    <mergeCell ref="D112:D114"/>
    <mergeCell ref="F112:F114"/>
    <mergeCell ref="I112:I114"/>
    <mergeCell ref="K112:K114"/>
    <mergeCell ref="L112:L114"/>
    <mergeCell ref="E118:E120"/>
    <mergeCell ref="M112:M114"/>
    <mergeCell ref="N112:N114"/>
    <mergeCell ref="C112:C114"/>
    <mergeCell ref="C115:C117"/>
    <mergeCell ref="R115:R117"/>
    <mergeCell ref="E112:E114"/>
    <mergeCell ref="E115:E117"/>
    <mergeCell ref="R106:R108"/>
    <mergeCell ref="C106:C108"/>
    <mergeCell ref="C109:C111"/>
    <mergeCell ref="P109:P111"/>
    <mergeCell ref="Q109:Q111"/>
    <mergeCell ref="R109:R111"/>
    <mergeCell ref="N109:N111"/>
    <mergeCell ref="E109:E111"/>
    <mergeCell ref="J106:J108"/>
    <mergeCell ref="J109:J111"/>
    <mergeCell ref="J112:J114"/>
    <mergeCell ref="G106:G108"/>
    <mergeCell ref="H106:H108"/>
    <mergeCell ref="G109:G111"/>
    <mergeCell ref="H109:H111"/>
    <mergeCell ref="G112:G114"/>
    <mergeCell ref="H112:H114"/>
    <mergeCell ref="E106:E108"/>
    <mergeCell ref="O109:O111"/>
    <mergeCell ref="Q103:Q105"/>
    <mergeCell ref="R103:R105"/>
    <mergeCell ref="O103:O105"/>
    <mergeCell ref="P103:P105"/>
    <mergeCell ref="J100:J102"/>
    <mergeCell ref="J103:J105"/>
    <mergeCell ref="G100:G102"/>
    <mergeCell ref="H100:H102"/>
    <mergeCell ref="G103:G105"/>
    <mergeCell ref="H103:H105"/>
    <mergeCell ref="A109:A111"/>
    <mergeCell ref="B109:B111"/>
    <mergeCell ref="D109:D111"/>
    <mergeCell ref="F109:F111"/>
    <mergeCell ref="I109:I111"/>
    <mergeCell ref="K109:K111"/>
    <mergeCell ref="L109:L111"/>
    <mergeCell ref="M109:M111"/>
    <mergeCell ref="P106:P108"/>
    <mergeCell ref="Q106:Q108"/>
    <mergeCell ref="M106:M108"/>
    <mergeCell ref="N106:N108"/>
    <mergeCell ref="O106:O108"/>
    <mergeCell ref="K106:K108"/>
    <mergeCell ref="A103:A105"/>
    <mergeCell ref="B103:B105"/>
    <mergeCell ref="D103:D105"/>
    <mergeCell ref="F103:F105"/>
    <mergeCell ref="I103:I105"/>
    <mergeCell ref="K103:K105"/>
    <mergeCell ref="L103:L105"/>
    <mergeCell ref="M103:M105"/>
    <mergeCell ref="N103:N105"/>
    <mergeCell ref="P100:P102"/>
    <mergeCell ref="Q100:Q102"/>
    <mergeCell ref="R100:R102"/>
    <mergeCell ref="J94:J96"/>
    <mergeCell ref="J97:J99"/>
    <mergeCell ref="G94:G96"/>
    <mergeCell ref="H94:H96"/>
    <mergeCell ref="G97:G99"/>
    <mergeCell ref="H97:H99"/>
    <mergeCell ref="N100:N102"/>
    <mergeCell ref="O100:O102"/>
    <mergeCell ref="C100:C102"/>
    <mergeCell ref="C103:C105"/>
    <mergeCell ref="A100:A102"/>
    <mergeCell ref="B100:B102"/>
    <mergeCell ref="D100:D102"/>
    <mergeCell ref="F100:F102"/>
    <mergeCell ref="I100:I102"/>
    <mergeCell ref="K100:K102"/>
    <mergeCell ref="L100:L102"/>
    <mergeCell ref="M100:M102"/>
    <mergeCell ref="E100:E102"/>
    <mergeCell ref="E103:E105"/>
    <mergeCell ref="C97:C99"/>
    <mergeCell ref="R97:R99"/>
    <mergeCell ref="E94:E96"/>
    <mergeCell ref="E97:E99"/>
    <mergeCell ref="P97:P99"/>
    <mergeCell ref="Q97:Q99"/>
    <mergeCell ref="M97:M99"/>
    <mergeCell ref="N97:N99"/>
    <mergeCell ref="O97:O99"/>
    <mergeCell ref="K97:K99"/>
    <mergeCell ref="L97:L99"/>
    <mergeCell ref="A97:A99"/>
    <mergeCell ref="B97:B99"/>
    <mergeCell ref="D97:D99"/>
    <mergeCell ref="F97:F99"/>
    <mergeCell ref="I97:I99"/>
    <mergeCell ref="Q94:Q96"/>
    <mergeCell ref="R94:R96"/>
    <mergeCell ref="K88:K90"/>
    <mergeCell ref="L88:L90"/>
    <mergeCell ref="A88:A90"/>
    <mergeCell ref="B88:B90"/>
    <mergeCell ref="D88:D90"/>
    <mergeCell ref="F88:F90"/>
    <mergeCell ref="I88:I90"/>
    <mergeCell ref="J91:J93"/>
    <mergeCell ref="G88:G90"/>
    <mergeCell ref="H88:H90"/>
    <mergeCell ref="G91:G93"/>
    <mergeCell ref="H91:H93"/>
    <mergeCell ref="O94:O96"/>
    <mergeCell ref="P94:P96"/>
    <mergeCell ref="A94:A96"/>
    <mergeCell ref="B94:B96"/>
    <mergeCell ref="D94:D96"/>
    <mergeCell ref="F94:F96"/>
    <mergeCell ref="I94:I96"/>
    <mergeCell ref="K94:K96"/>
    <mergeCell ref="L94:L96"/>
    <mergeCell ref="M94:M96"/>
    <mergeCell ref="N94:N96"/>
    <mergeCell ref="C94:C96"/>
    <mergeCell ref="R88:R90"/>
    <mergeCell ref="C88:C90"/>
    <mergeCell ref="C91:C93"/>
    <mergeCell ref="P91:P93"/>
    <mergeCell ref="Q91:Q93"/>
    <mergeCell ref="R91:R93"/>
    <mergeCell ref="N91:N93"/>
    <mergeCell ref="A85:A87"/>
    <mergeCell ref="B85:B87"/>
    <mergeCell ref="D85:D87"/>
    <mergeCell ref="F85:F87"/>
    <mergeCell ref="I85:I87"/>
    <mergeCell ref="K85:K87"/>
    <mergeCell ref="L85:L87"/>
    <mergeCell ref="M85:M87"/>
    <mergeCell ref="N85:N87"/>
    <mergeCell ref="E88:E90"/>
    <mergeCell ref="E91:E93"/>
    <mergeCell ref="O91:O93"/>
    <mergeCell ref="A91:A93"/>
    <mergeCell ref="B91:B93"/>
    <mergeCell ref="D91:D93"/>
    <mergeCell ref="F91:F93"/>
    <mergeCell ref="I91:I93"/>
    <mergeCell ref="K91:K93"/>
    <mergeCell ref="L91:L93"/>
    <mergeCell ref="M91:M93"/>
    <mergeCell ref="P88:P90"/>
    <mergeCell ref="Q88:Q90"/>
    <mergeCell ref="M88:M90"/>
    <mergeCell ref="N88:N90"/>
    <mergeCell ref="O88:O90"/>
    <mergeCell ref="P82:P84"/>
    <mergeCell ref="Q82:Q84"/>
    <mergeCell ref="R82:R84"/>
    <mergeCell ref="N82:N84"/>
    <mergeCell ref="O82:O84"/>
    <mergeCell ref="C82:C84"/>
    <mergeCell ref="C85:C87"/>
    <mergeCell ref="A82:A84"/>
    <mergeCell ref="B82:B84"/>
    <mergeCell ref="D82:D84"/>
    <mergeCell ref="F82:F84"/>
    <mergeCell ref="I82:I84"/>
    <mergeCell ref="K82:K84"/>
    <mergeCell ref="L82:L84"/>
    <mergeCell ref="M82:M84"/>
    <mergeCell ref="E82:E84"/>
    <mergeCell ref="E85:E87"/>
    <mergeCell ref="Q85:Q87"/>
    <mergeCell ref="R85:R87"/>
    <mergeCell ref="O85:O87"/>
    <mergeCell ref="P85:P87"/>
    <mergeCell ref="G82:G84"/>
    <mergeCell ref="H82:H84"/>
    <mergeCell ref="G85:G87"/>
    <mergeCell ref="C79:C81"/>
    <mergeCell ref="R79:R81"/>
    <mergeCell ref="E76:E78"/>
    <mergeCell ref="E79:E81"/>
    <mergeCell ref="P79:P81"/>
    <mergeCell ref="Q79:Q81"/>
    <mergeCell ref="M79:M81"/>
    <mergeCell ref="N79:N81"/>
    <mergeCell ref="O79:O81"/>
    <mergeCell ref="K79:K81"/>
    <mergeCell ref="L79:L81"/>
    <mergeCell ref="A79:A81"/>
    <mergeCell ref="B79:B81"/>
    <mergeCell ref="D79:D81"/>
    <mergeCell ref="F79:F81"/>
    <mergeCell ref="I79:I81"/>
    <mergeCell ref="Q76:Q78"/>
    <mergeCell ref="R76:R78"/>
    <mergeCell ref="G79:G81"/>
    <mergeCell ref="H79:H81"/>
    <mergeCell ref="R70:R72"/>
    <mergeCell ref="O76:O78"/>
    <mergeCell ref="P76:P78"/>
    <mergeCell ref="A76:A78"/>
    <mergeCell ref="B76:B78"/>
    <mergeCell ref="D76:D78"/>
    <mergeCell ref="F76:F78"/>
    <mergeCell ref="I76:I78"/>
    <mergeCell ref="K76:K78"/>
    <mergeCell ref="L76:L78"/>
    <mergeCell ref="M76:M78"/>
    <mergeCell ref="N76:N78"/>
    <mergeCell ref="C76:C78"/>
    <mergeCell ref="A70:A72"/>
    <mergeCell ref="A73:A75"/>
    <mergeCell ref="M70:M72"/>
    <mergeCell ref="N70:N72"/>
    <mergeCell ref="J73:J75"/>
    <mergeCell ref="G73:G75"/>
    <mergeCell ref="H73:H75"/>
    <mergeCell ref="R64:R66"/>
    <mergeCell ref="J70:J72"/>
    <mergeCell ref="G67:G69"/>
    <mergeCell ref="H67:H69"/>
    <mergeCell ref="G70:G72"/>
    <mergeCell ref="H70:H72"/>
    <mergeCell ref="B70:B72"/>
    <mergeCell ref="D70:D72"/>
    <mergeCell ref="F70:F72"/>
    <mergeCell ref="I70:I72"/>
    <mergeCell ref="Q67:Q69"/>
    <mergeCell ref="R67:R69"/>
    <mergeCell ref="O67:O69"/>
    <mergeCell ref="P67:P69"/>
    <mergeCell ref="P73:P75"/>
    <mergeCell ref="Q73:Q75"/>
    <mergeCell ref="R73:R75"/>
    <mergeCell ref="N73:N75"/>
    <mergeCell ref="O73:O75"/>
    <mergeCell ref="B73:B75"/>
    <mergeCell ref="D73:D75"/>
    <mergeCell ref="F73:F75"/>
    <mergeCell ref="I73:I75"/>
    <mergeCell ref="E64:E66"/>
    <mergeCell ref="K73:K75"/>
    <mergeCell ref="B67:B69"/>
    <mergeCell ref="D67:D69"/>
    <mergeCell ref="F67:F69"/>
    <mergeCell ref="I67:I69"/>
    <mergeCell ref="K67:K69"/>
    <mergeCell ref="L67:L69"/>
    <mergeCell ref="M67:M69"/>
    <mergeCell ref="N67:N69"/>
    <mergeCell ref="J67:J69"/>
    <mergeCell ref="P64:P66"/>
    <mergeCell ref="Q64:Q66"/>
    <mergeCell ref="C70:C72"/>
    <mergeCell ref="C73:C75"/>
    <mergeCell ref="A64:A66"/>
    <mergeCell ref="B64:B66"/>
    <mergeCell ref="D64:D66"/>
    <mergeCell ref="F64:F66"/>
    <mergeCell ref="I64:I66"/>
    <mergeCell ref="K64:K66"/>
    <mergeCell ref="L64:L66"/>
    <mergeCell ref="M64:M66"/>
    <mergeCell ref="E67:E69"/>
    <mergeCell ref="E70:E72"/>
    <mergeCell ref="E73:E75"/>
    <mergeCell ref="N64:N66"/>
    <mergeCell ref="O64:O66"/>
    <mergeCell ref="C64:C66"/>
    <mergeCell ref="C67:C69"/>
    <mergeCell ref="O70:O72"/>
    <mergeCell ref="K70:K72"/>
    <mergeCell ref="L70:L72"/>
    <mergeCell ref="A67:A69"/>
    <mergeCell ref="M73:M75"/>
    <mergeCell ref="P70:P72"/>
    <mergeCell ref="Q70:Q72"/>
    <mergeCell ref="R58:R60"/>
    <mergeCell ref="O58:O60"/>
    <mergeCell ref="P58:P60"/>
    <mergeCell ref="J58:J60"/>
    <mergeCell ref="J61:J63"/>
    <mergeCell ref="A58:A60"/>
    <mergeCell ref="B58:B60"/>
    <mergeCell ref="D58:D60"/>
    <mergeCell ref="F58:F60"/>
    <mergeCell ref="I58:I60"/>
    <mergeCell ref="K58:K60"/>
    <mergeCell ref="L58:L60"/>
    <mergeCell ref="M58:M60"/>
    <mergeCell ref="N58:N60"/>
    <mergeCell ref="C58:C60"/>
    <mergeCell ref="C61:C63"/>
    <mergeCell ref="R61:R63"/>
    <mergeCell ref="E58:E60"/>
    <mergeCell ref="E61:E63"/>
    <mergeCell ref="P61:P63"/>
    <mergeCell ref="Q61:Q63"/>
    <mergeCell ref="M61:M63"/>
    <mergeCell ref="N61:N63"/>
    <mergeCell ref="O61:O63"/>
    <mergeCell ref="K61:K63"/>
    <mergeCell ref="L61:L63"/>
    <mergeCell ref="A61:A63"/>
    <mergeCell ref="B61:B63"/>
    <mergeCell ref="D61:D63"/>
    <mergeCell ref="F61:F63"/>
    <mergeCell ref="I61:I63"/>
    <mergeCell ref="Q58:Q60"/>
    <mergeCell ref="R52:R54"/>
    <mergeCell ref="C55:C57"/>
    <mergeCell ref="P55:P57"/>
    <mergeCell ref="Q55:Q57"/>
    <mergeCell ref="R55:R57"/>
    <mergeCell ref="N55:N57"/>
    <mergeCell ref="O55:O57"/>
    <mergeCell ref="J55:J57"/>
    <mergeCell ref="E55:E57"/>
    <mergeCell ref="C52:C54"/>
    <mergeCell ref="E52:E54"/>
    <mergeCell ref="A55:A57"/>
    <mergeCell ref="B55:B57"/>
    <mergeCell ref="D55:D57"/>
    <mergeCell ref="F55:F57"/>
    <mergeCell ref="I55:I57"/>
    <mergeCell ref="K55:K57"/>
    <mergeCell ref="L55:L57"/>
    <mergeCell ref="M55:M57"/>
    <mergeCell ref="P52:P54"/>
    <mergeCell ref="Q52:Q54"/>
    <mergeCell ref="M52:M54"/>
    <mergeCell ref="N52:N54"/>
    <mergeCell ref="O52:O54"/>
    <mergeCell ref="K52:K54"/>
    <mergeCell ref="L52:L54"/>
    <mergeCell ref="A52:A54"/>
    <mergeCell ref="B52:B54"/>
    <mergeCell ref="D52:D54"/>
    <mergeCell ref="F52:F54"/>
    <mergeCell ref="I52:I54"/>
    <mergeCell ref="A49:A51"/>
    <mergeCell ref="B49:B51"/>
    <mergeCell ref="D49:D51"/>
    <mergeCell ref="F49:F51"/>
    <mergeCell ref="I49:I51"/>
    <mergeCell ref="K49:K51"/>
    <mergeCell ref="L49:L51"/>
    <mergeCell ref="M49:M51"/>
    <mergeCell ref="N49:N51"/>
    <mergeCell ref="P46:P48"/>
    <mergeCell ref="Q46:Q48"/>
    <mergeCell ref="R46:R48"/>
    <mergeCell ref="N46:N48"/>
    <mergeCell ref="O46:O48"/>
    <mergeCell ref="A46:A48"/>
    <mergeCell ref="B46:B48"/>
    <mergeCell ref="D46:D48"/>
    <mergeCell ref="F46:F48"/>
    <mergeCell ref="I46:I48"/>
    <mergeCell ref="K46:K48"/>
    <mergeCell ref="L46:L48"/>
    <mergeCell ref="M46:M48"/>
    <mergeCell ref="C46:C48"/>
    <mergeCell ref="C49:C51"/>
    <mergeCell ref="E46:E48"/>
    <mergeCell ref="E49:E51"/>
    <mergeCell ref="Q49:Q51"/>
    <mergeCell ref="R49:R51"/>
    <mergeCell ref="O49:O51"/>
    <mergeCell ref="P49:P51"/>
    <mergeCell ref="G49:G51"/>
    <mergeCell ref="H49:H51"/>
    <mergeCell ref="A10:A12"/>
    <mergeCell ref="R43:R45"/>
    <mergeCell ref="C40:C42"/>
    <mergeCell ref="C43:C45"/>
    <mergeCell ref="E40:E42"/>
    <mergeCell ref="E43:E45"/>
    <mergeCell ref="P43:P45"/>
    <mergeCell ref="Q43:Q45"/>
    <mergeCell ref="M43:M45"/>
    <mergeCell ref="N43:N45"/>
    <mergeCell ref="O43:O45"/>
    <mergeCell ref="K43:K45"/>
    <mergeCell ref="L43:L45"/>
    <mergeCell ref="A43:A45"/>
    <mergeCell ref="B43:B45"/>
    <mergeCell ref="D43:D45"/>
    <mergeCell ref="F43:F45"/>
    <mergeCell ref="I43:I45"/>
    <mergeCell ref="Q40:Q42"/>
    <mergeCell ref="R40:R42"/>
    <mergeCell ref="J40:J42"/>
    <mergeCell ref="J43:J45"/>
    <mergeCell ref="G19:G21"/>
    <mergeCell ref="H19:H21"/>
    <mergeCell ref="G22:G24"/>
    <mergeCell ref="H22:H24"/>
    <mergeCell ref="G25:G27"/>
    <mergeCell ref="H25:H27"/>
    <mergeCell ref="G28:G30"/>
    <mergeCell ref="H28:H30"/>
    <mergeCell ref="G40:G42"/>
    <mergeCell ref="H40:H42"/>
    <mergeCell ref="J37:J39"/>
    <mergeCell ref="B34:B36"/>
    <mergeCell ref="D34:D36"/>
    <mergeCell ref="F34:F36"/>
    <mergeCell ref="I34:I36"/>
    <mergeCell ref="O40:O42"/>
    <mergeCell ref="P40:P42"/>
    <mergeCell ref="A40:A42"/>
    <mergeCell ref="B40:B42"/>
    <mergeCell ref="D40:D42"/>
    <mergeCell ref="F40:F42"/>
    <mergeCell ref="I40:I42"/>
    <mergeCell ref="K40:K42"/>
    <mergeCell ref="L40:L42"/>
    <mergeCell ref="M40:M42"/>
    <mergeCell ref="N40:N42"/>
    <mergeCell ref="M28:M30"/>
    <mergeCell ref="C28:C30"/>
    <mergeCell ref="F31:F33"/>
    <mergeCell ref="I31:I33"/>
    <mergeCell ref="K31:K33"/>
    <mergeCell ref="L31:L33"/>
    <mergeCell ref="M31:M33"/>
    <mergeCell ref="N31:N33"/>
    <mergeCell ref="P28:P30"/>
    <mergeCell ref="R34:R36"/>
    <mergeCell ref="P37:P39"/>
    <mergeCell ref="Q37:Q39"/>
    <mergeCell ref="R37:R39"/>
    <mergeCell ref="N37:N39"/>
    <mergeCell ref="O37:O39"/>
    <mergeCell ref="G31:G33"/>
    <mergeCell ref="H31:H33"/>
    <mergeCell ref="C34:C36"/>
    <mergeCell ref="C37:C39"/>
    <mergeCell ref="E37:E39"/>
    <mergeCell ref="A37:A39"/>
    <mergeCell ref="B37:B39"/>
    <mergeCell ref="D37:D39"/>
    <mergeCell ref="F37:F39"/>
    <mergeCell ref="I37:I39"/>
    <mergeCell ref="K37:K39"/>
    <mergeCell ref="L37:L39"/>
    <mergeCell ref="M37:M39"/>
    <mergeCell ref="P34:P36"/>
    <mergeCell ref="Q34:Q36"/>
    <mergeCell ref="M34:M36"/>
    <mergeCell ref="N34:N36"/>
    <mergeCell ref="O34:O36"/>
    <mergeCell ref="K34:K36"/>
    <mergeCell ref="L34:L36"/>
    <mergeCell ref="A34:A36"/>
    <mergeCell ref="G34:G36"/>
    <mergeCell ref="H34:H36"/>
    <mergeCell ref="A31:A33"/>
    <mergeCell ref="B31:B33"/>
    <mergeCell ref="D31:D33"/>
    <mergeCell ref="Q28:Q30"/>
    <mergeCell ref="R28:R30"/>
    <mergeCell ref="N28:N30"/>
    <mergeCell ref="O28:O30"/>
    <mergeCell ref="C31:C33"/>
    <mergeCell ref="Q31:Q33"/>
    <mergeCell ref="R31:R33"/>
    <mergeCell ref="O31:O33"/>
    <mergeCell ref="P31:P33"/>
    <mergeCell ref="A28:A30"/>
    <mergeCell ref="B28:B30"/>
    <mergeCell ref="D28:D30"/>
    <mergeCell ref="F28:F30"/>
    <mergeCell ref="I28:I30"/>
    <mergeCell ref="K28:K30"/>
    <mergeCell ref="L28:L30"/>
    <mergeCell ref="Q22:Q24"/>
    <mergeCell ref="R22:R24"/>
    <mergeCell ref="O22:O24"/>
    <mergeCell ref="P22:P24"/>
    <mergeCell ref="A22:A24"/>
    <mergeCell ref="B22:B24"/>
    <mergeCell ref="D22:D24"/>
    <mergeCell ref="F22:F24"/>
    <mergeCell ref="I22:I24"/>
    <mergeCell ref="K22:K24"/>
    <mergeCell ref="L22:L24"/>
    <mergeCell ref="M22:M24"/>
    <mergeCell ref="N22:N24"/>
    <mergeCell ref="C22:C24"/>
    <mergeCell ref="R25:R27"/>
    <mergeCell ref="P25:P27"/>
    <mergeCell ref="Q25:Q27"/>
    <mergeCell ref="M25:M27"/>
    <mergeCell ref="N25:N27"/>
    <mergeCell ref="O25:O27"/>
    <mergeCell ref="K25:K27"/>
    <mergeCell ref="L25:L27"/>
    <mergeCell ref="A25:A27"/>
    <mergeCell ref="B25:B27"/>
    <mergeCell ref="D25:D27"/>
    <mergeCell ref="F25:F27"/>
    <mergeCell ref="I25:I27"/>
    <mergeCell ref="C25:C27"/>
    <mergeCell ref="A16:A18"/>
    <mergeCell ref="A13:A15"/>
    <mergeCell ref="B13:B15"/>
    <mergeCell ref="D13:D15"/>
    <mergeCell ref="F13:F15"/>
    <mergeCell ref="I13:I15"/>
    <mergeCell ref="K13:K15"/>
    <mergeCell ref="L13:L15"/>
    <mergeCell ref="M13:M15"/>
    <mergeCell ref="N13:N15"/>
    <mergeCell ref="P19:P21"/>
    <mergeCell ref="Q19:Q21"/>
    <mergeCell ref="K16:K18"/>
    <mergeCell ref="L16:L18"/>
    <mergeCell ref="E16:E18"/>
    <mergeCell ref="E19:E21"/>
    <mergeCell ref="E22:E24"/>
    <mergeCell ref="E25:E27"/>
    <mergeCell ref="R19:R21"/>
    <mergeCell ref="N19:N21"/>
    <mergeCell ref="O19:O21"/>
    <mergeCell ref="A19:A21"/>
    <mergeCell ref="B19:B21"/>
    <mergeCell ref="D19:D21"/>
    <mergeCell ref="F19:F21"/>
    <mergeCell ref="I19:I21"/>
    <mergeCell ref="K19:K21"/>
    <mergeCell ref="L19:L21"/>
    <mergeCell ref="M19:M21"/>
    <mergeCell ref="C19:C21"/>
    <mergeCell ref="G13:G15"/>
    <mergeCell ref="H13:H15"/>
    <mergeCell ref="G16:G18"/>
    <mergeCell ref="H16:H18"/>
    <mergeCell ref="R16:R18"/>
    <mergeCell ref="B16:B18"/>
    <mergeCell ref="D16:D18"/>
    <mergeCell ref="F16:F18"/>
    <mergeCell ref="I16:I18"/>
    <mergeCell ref="Q13:Q15"/>
    <mergeCell ref="R13:R15"/>
    <mergeCell ref="O13:O15"/>
    <mergeCell ref="P13:P15"/>
    <mergeCell ref="P16:P18"/>
    <mergeCell ref="Q16:Q18"/>
    <mergeCell ref="M16:M18"/>
    <mergeCell ref="N16:N18"/>
    <mergeCell ref="C13:C15"/>
    <mergeCell ref="C16:C18"/>
    <mergeCell ref="O16:O18"/>
    <mergeCell ref="K2:R2"/>
    <mergeCell ref="T1:AF1"/>
    <mergeCell ref="A4:A6"/>
    <mergeCell ref="B4:B6"/>
    <mergeCell ref="D4:D6"/>
    <mergeCell ref="F4:F6"/>
    <mergeCell ref="I4:I6"/>
    <mergeCell ref="K4:K6"/>
    <mergeCell ref="L4:L6"/>
    <mergeCell ref="M4:M6"/>
    <mergeCell ref="N4:N6"/>
    <mergeCell ref="N7:N9"/>
    <mergeCell ref="O7:O9"/>
    <mergeCell ref="K7:K9"/>
    <mergeCell ref="L7:L9"/>
    <mergeCell ref="A7:A9"/>
    <mergeCell ref="B7:B9"/>
    <mergeCell ref="I7:I9"/>
    <mergeCell ref="Q4:Q6"/>
    <mergeCell ref="R4:R6"/>
    <mergeCell ref="O4:O6"/>
    <mergeCell ref="C4:C6"/>
    <mergeCell ref="C7:C9"/>
    <mergeCell ref="P4:P6"/>
    <mergeCell ref="G4:G6"/>
    <mergeCell ref="M7:M9"/>
    <mergeCell ref="G7:G9"/>
    <mergeCell ref="H7:H9"/>
    <mergeCell ref="H4:H6"/>
    <mergeCell ref="K10:K12"/>
    <mergeCell ref="L10:L12"/>
    <mergeCell ref="M10:M12"/>
    <mergeCell ref="P7:P9"/>
    <mergeCell ref="Q7:Q9"/>
    <mergeCell ref="C10:C12"/>
    <mergeCell ref="P10:P12"/>
    <mergeCell ref="G10:G12"/>
    <mergeCell ref="H10:H12"/>
    <mergeCell ref="E4:E6"/>
    <mergeCell ref="E7:E9"/>
    <mergeCell ref="E10:E12"/>
    <mergeCell ref="E13:E15"/>
    <mergeCell ref="Q10:Q12"/>
    <mergeCell ref="R10:R12"/>
    <mergeCell ref="N10:N12"/>
    <mergeCell ref="O10:O12"/>
    <mergeCell ref="R7:R9"/>
    <mergeCell ref="D7:D9"/>
    <mergeCell ref="F7:F9"/>
    <mergeCell ref="E28:E30"/>
    <mergeCell ref="E31:E33"/>
    <mergeCell ref="E34:E36"/>
    <mergeCell ref="J4:J6"/>
    <mergeCell ref="J7:J9"/>
    <mergeCell ref="J10:J12"/>
    <mergeCell ref="J13:J15"/>
    <mergeCell ref="J16:J18"/>
    <mergeCell ref="J19:J21"/>
    <mergeCell ref="J22:J24"/>
    <mergeCell ref="J25:J27"/>
    <mergeCell ref="J28:J30"/>
    <mergeCell ref="J31:J33"/>
    <mergeCell ref="J34:J36"/>
    <mergeCell ref="B10:B12"/>
    <mergeCell ref="D10:D12"/>
    <mergeCell ref="F10:F12"/>
    <mergeCell ref="I10:I12"/>
  </mergeCells>
  <phoneticPr fontId="1" type="noConversion"/>
  <conditionalFormatting sqref="K1:S1">
    <cfRule type="cellIs" dxfId="0" priority="1" operator="equal">
      <formula>0</formula>
    </cfRule>
  </conditionalFormatting>
  <dataValidations count="2">
    <dataValidation type="list" allowBlank="1" showInputMessage="1" showErrorMessage="1" sqref="D2">
      <formula1>POStatus</formula1>
    </dataValidation>
    <dataValidation type="list" showInputMessage="1" showErrorMessage="1" sqref="A2">
      <formula1>"RS,EM"</formula1>
    </dataValidation>
  </dataValidations>
  <pageMargins left="0.39370078740157483" right="0.39370078740157483" top="0.31496062992125984" bottom="0.31496062992125984" header="0.19685039370078741" footer="0.19685039370078741"/>
  <pageSetup paperSize="9" scale="58" fitToHeight="0" orientation="landscape" horizontalDpi="300" verticalDpi="300" r:id="rId1"/>
  <headerFooter alignWithMargins="0"/>
  <rowBreaks count="7" manualBreakCount="7">
    <brk id="39" max="41" man="1"/>
    <brk id="75" max="41" man="1"/>
    <brk id="111" max="41" man="1"/>
    <brk id="147" max="41" man="1"/>
    <brk id="183" max="41" man="1"/>
    <brk id="219" max="41" man="1"/>
    <brk id="255" max="4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84" r:id="rId4" name="Button 764">
              <controlPr defaultSize="0" print="0" autoFill="0" autoPict="0" macro="[0]!Main">
                <anchor moveWithCells="1" sizeWithCells="1">
                  <from>
                    <xdr:col>33</xdr:col>
                    <xdr:colOff>0</xdr:colOff>
                    <xdr:row>1</xdr:row>
                    <xdr:rowOff>19050</xdr:rowOff>
                  </from>
                  <to>
                    <xdr:col>34</xdr:col>
                    <xdr:colOff>314325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86" r:id="rId5" name="Button 766">
              <controlPr defaultSize="0" print="0" autoFill="0" autoPict="0" macro="[0]!clearPics_sheet">
                <anchor moveWithCells="1" sizeWithCells="1">
                  <from>
                    <xdr:col>33</xdr:col>
                    <xdr:colOff>19050</xdr:colOff>
                    <xdr:row>4</xdr:row>
                    <xdr:rowOff>9525</xdr:rowOff>
                  </from>
                  <to>
                    <xdr:col>34</xdr:col>
                    <xdr:colOff>333375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87" r:id="rId6" name="Button 767">
              <controlPr defaultSize="0" print="0" autoFill="0" autoPict="0" macro="[0]!clearData">
                <anchor moveWithCells="1" sizeWithCells="1">
                  <from>
                    <xdr:col>33</xdr:col>
                    <xdr:colOff>19050</xdr:colOff>
                    <xdr:row>7</xdr:row>
                    <xdr:rowOff>19050</xdr:rowOff>
                  </from>
                  <to>
                    <xdr:col>34</xdr:col>
                    <xdr:colOff>371475</xdr:colOff>
                    <xdr:row>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88" r:id="rId7" name="Button 768">
              <controlPr defaultSize="0" print="0" autoFill="0" autoPict="0" macro="[0]!UpdateSOH">
                <anchor moveWithCells="1" sizeWithCells="1">
                  <from>
                    <xdr:col>33</xdr:col>
                    <xdr:colOff>19050</xdr:colOff>
                    <xdr:row>10</xdr:row>
                    <xdr:rowOff>19050</xdr:rowOff>
                  </from>
                  <to>
                    <xdr:col>34</xdr:col>
                    <xdr:colOff>371475</xdr:colOff>
                    <xdr:row>11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53"/>
  <sheetViews>
    <sheetView topLeftCell="A10" workbookViewId="0">
      <selection activeCell="N24" sqref="N24"/>
    </sheetView>
  </sheetViews>
  <sheetFormatPr defaultRowHeight="12.75" x14ac:dyDescent="0.2"/>
  <cols>
    <col min="1" max="1" width="14" bestFit="1" customWidth="1"/>
    <col min="2" max="2" width="24.140625" bestFit="1" customWidth="1"/>
    <col min="3" max="3" width="9.5703125" bestFit="1" customWidth="1"/>
    <col min="4" max="4" width="11.42578125" bestFit="1" customWidth="1"/>
    <col min="5" max="5" width="10.7109375" bestFit="1" customWidth="1"/>
    <col min="6" max="6" width="9.42578125" bestFit="1" customWidth="1"/>
    <col min="7" max="7" width="17.85546875" bestFit="1" customWidth="1"/>
    <col min="8" max="8" width="8.42578125" bestFit="1" customWidth="1"/>
    <col min="9" max="9" width="11" bestFit="1" customWidth="1"/>
    <col min="10" max="10" width="6.140625" bestFit="1" customWidth="1"/>
    <col min="11" max="11" width="7.28515625" bestFit="1" customWidth="1"/>
    <col min="12" max="12" width="8.42578125" bestFit="1" customWidth="1"/>
    <col min="13" max="13" width="8.5703125" bestFit="1" customWidth="1"/>
    <col min="14" max="14" width="9.42578125" bestFit="1" customWidth="1"/>
  </cols>
  <sheetData>
    <row r="1" spans="1:11" x14ac:dyDescent="0.2">
      <c r="A1" t="s">
        <v>41</v>
      </c>
      <c r="B1" t="s">
        <v>20</v>
      </c>
      <c r="C1" t="s">
        <v>42</v>
      </c>
      <c r="D1" t="s">
        <v>43</v>
      </c>
      <c r="E1" t="s">
        <v>44</v>
      </c>
      <c r="F1" t="s">
        <v>45</v>
      </c>
      <c r="G1" t="s">
        <v>31</v>
      </c>
      <c r="H1" t="s">
        <v>46</v>
      </c>
      <c r="I1" t="s">
        <v>40</v>
      </c>
      <c r="J1" t="s">
        <v>48</v>
      </c>
      <c r="K1" t="s">
        <v>47</v>
      </c>
    </row>
    <row r="2" spans="1:11" x14ac:dyDescent="0.2">
      <c r="A2" t="s">
        <v>62</v>
      </c>
      <c r="B2" t="s">
        <v>63</v>
      </c>
      <c r="C2" t="s">
        <v>49</v>
      </c>
      <c r="D2" t="s">
        <v>64</v>
      </c>
      <c r="E2">
        <v>59.95</v>
      </c>
      <c r="F2">
        <v>6.52</v>
      </c>
      <c r="G2" t="s">
        <v>59</v>
      </c>
      <c r="H2" t="s">
        <v>65</v>
      </c>
      <c r="I2" t="s">
        <v>66</v>
      </c>
      <c r="J2">
        <v>1718</v>
      </c>
      <c r="K2">
        <v>1</v>
      </c>
    </row>
    <row r="3" spans="1:11" x14ac:dyDescent="0.2">
      <c r="A3" t="s">
        <v>67</v>
      </c>
      <c r="B3" t="s">
        <v>68</v>
      </c>
      <c r="C3" t="s">
        <v>49</v>
      </c>
      <c r="D3" t="s">
        <v>64</v>
      </c>
      <c r="E3">
        <v>39.950000000000003</v>
      </c>
      <c r="F3">
        <v>7.39</v>
      </c>
      <c r="G3" t="s">
        <v>59</v>
      </c>
      <c r="H3" t="s">
        <v>65</v>
      </c>
      <c r="I3" t="s">
        <v>66</v>
      </c>
      <c r="J3">
        <v>1718</v>
      </c>
      <c r="K3">
        <v>1</v>
      </c>
    </row>
    <row r="4" spans="1:11" x14ac:dyDescent="0.2">
      <c r="A4" t="s">
        <v>69</v>
      </c>
      <c r="B4" t="s">
        <v>70</v>
      </c>
      <c r="C4" t="s">
        <v>49</v>
      </c>
      <c r="D4" t="s">
        <v>71</v>
      </c>
      <c r="E4">
        <v>39.950000000000003</v>
      </c>
      <c r="F4">
        <v>5.33</v>
      </c>
      <c r="G4" t="s">
        <v>59</v>
      </c>
      <c r="H4" t="s">
        <v>72</v>
      </c>
      <c r="I4" t="s">
        <v>66</v>
      </c>
      <c r="J4">
        <v>1718</v>
      </c>
      <c r="K4">
        <v>1</v>
      </c>
    </row>
    <row r="5" spans="1:11" x14ac:dyDescent="0.2">
      <c r="A5" t="s">
        <v>73</v>
      </c>
      <c r="B5" t="s">
        <v>74</v>
      </c>
      <c r="C5" t="s">
        <v>49</v>
      </c>
      <c r="D5" t="s">
        <v>75</v>
      </c>
      <c r="E5">
        <v>59.95</v>
      </c>
      <c r="F5">
        <v>8.0399999999999991</v>
      </c>
      <c r="G5" t="s">
        <v>76</v>
      </c>
      <c r="H5" t="s">
        <v>77</v>
      </c>
      <c r="I5" t="s">
        <v>66</v>
      </c>
      <c r="J5">
        <v>1718</v>
      </c>
      <c r="K5">
        <v>1</v>
      </c>
    </row>
    <row r="6" spans="1:11" x14ac:dyDescent="0.2">
      <c r="A6" t="s">
        <v>78</v>
      </c>
      <c r="B6" t="s">
        <v>74</v>
      </c>
      <c r="C6" t="s">
        <v>49</v>
      </c>
      <c r="D6" t="s">
        <v>75</v>
      </c>
      <c r="E6">
        <v>59.95</v>
      </c>
      <c r="F6">
        <v>7.61</v>
      </c>
      <c r="G6" t="s">
        <v>76</v>
      </c>
      <c r="H6" t="s">
        <v>77</v>
      </c>
      <c r="I6" t="s">
        <v>66</v>
      </c>
      <c r="J6">
        <v>1718</v>
      </c>
      <c r="K6">
        <v>1</v>
      </c>
    </row>
    <row r="7" spans="1:11" x14ac:dyDescent="0.2">
      <c r="A7" t="s">
        <v>79</v>
      </c>
      <c r="B7" t="s">
        <v>74</v>
      </c>
      <c r="C7" t="s">
        <v>49</v>
      </c>
      <c r="D7" t="s">
        <v>75</v>
      </c>
      <c r="E7">
        <v>59.95</v>
      </c>
      <c r="F7">
        <v>8.48</v>
      </c>
      <c r="G7" t="s">
        <v>76</v>
      </c>
      <c r="H7" t="s">
        <v>77</v>
      </c>
      <c r="I7" t="s">
        <v>66</v>
      </c>
      <c r="J7">
        <v>1718</v>
      </c>
      <c r="K7">
        <v>1</v>
      </c>
    </row>
    <row r="8" spans="1:11" x14ac:dyDescent="0.2">
      <c r="A8" t="s">
        <v>80</v>
      </c>
      <c r="B8" t="s">
        <v>74</v>
      </c>
      <c r="C8" t="s">
        <v>49</v>
      </c>
      <c r="D8" t="s">
        <v>75</v>
      </c>
      <c r="E8">
        <v>59.95</v>
      </c>
      <c r="F8">
        <v>8.48</v>
      </c>
      <c r="G8" t="s">
        <v>76</v>
      </c>
      <c r="H8" t="s">
        <v>77</v>
      </c>
      <c r="I8" t="s">
        <v>66</v>
      </c>
      <c r="J8">
        <v>1718</v>
      </c>
      <c r="K8">
        <v>1</v>
      </c>
    </row>
    <row r="9" spans="1:11" x14ac:dyDescent="0.2">
      <c r="A9" t="s">
        <v>81</v>
      </c>
      <c r="B9" t="s">
        <v>82</v>
      </c>
      <c r="C9" t="s">
        <v>54</v>
      </c>
      <c r="D9" t="s">
        <v>83</v>
      </c>
      <c r="E9">
        <v>29.95</v>
      </c>
      <c r="F9">
        <v>4.57</v>
      </c>
      <c r="G9" t="s">
        <v>55</v>
      </c>
      <c r="H9" t="s">
        <v>56</v>
      </c>
      <c r="I9" t="s">
        <v>66</v>
      </c>
      <c r="J9">
        <v>1718</v>
      </c>
      <c r="K9">
        <v>1</v>
      </c>
    </row>
    <row r="10" spans="1:11" x14ac:dyDescent="0.2">
      <c r="A10" t="s">
        <v>84</v>
      </c>
      <c r="B10" t="s">
        <v>85</v>
      </c>
      <c r="C10" t="s">
        <v>57</v>
      </c>
      <c r="D10" t="s">
        <v>83</v>
      </c>
      <c r="E10">
        <v>29.95</v>
      </c>
      <c r="F10">
        <v>3.37</v>
      </c>
      <c r="G10" t="s">
        <v>86</v>
      </c>
      <c r="H10" t="s">
        <v>87</v>
      </c>
      <c r="I10" t="s">
        <v>66</v>
      </c>
      <c r="J10">
        <v>1718</v>
      </c>
      <c r="K10">
        <v>1</v>
      </c>
    </row>
    <row r="11" spans="1:11" x14ac:dyDescent="0.2">
      <c r="A11" t="s">
        <v>88</v>
      </c>
      <c r="B11" t="s">
        <v>89</v>
      </c>
      <c r="C11" t="s">
        <v>57</v>
      </c>
      <c r="D11" t="s">
        <v>71</v>
      </c>
      <c r="E11">
        <v>39.950000000000003</v>
      </c>
      <c r="F11">
        <v>4.67</v>
      </c>
      <c r="G11" t="s">
        <v>55</v>
      </c>
      <c r="H11" t="s">
        <v>72</v>
      </c>
      <c r="I11" t="s">
        <v>66</v>
      </c>
      <c r="J11">
        <v>1718</v>
      </c>
      <c r="K11">
        <v>1</v>
      </c>
    </row>
    <row r="12" spans="1:11" x14ac:dyDescent="0.2">
      <c r="A12" t="s">
        <v>90</v>
      </c>
      <c r="B12" t="s">
        <v>91</v>
      </c>
      <c r="C12" t="s">
        <v>57</v>
      </c>
      <c r="D12" t="s">
        <v>71</v>
      </c>
      <c r="E12">
        <v>39.950000000000003</v>
      </c>
      <c r="F12">
        <v>4.0199999999999996</v>
      </c>
      <c r="G12" t="s">
        <v>59</v>
      </c>
      <c r="H12" t="s">
        <v>72</v>
      </c>
      <c r="I12" t="s">
        <v>66</v>
      </c>
      <c r="J12">
        <v>1718</v>
      </c>
      <c r="K12">
        <v>1</v>
      </c>
    </row>
    <row r="13" spans="1:11" x14ac:dyDescent="0.2">
      <c r="A13" t="s">
        <v>92</v>
      </c>
      <c r="B13" t="s">
        <v>93</v>
      </c>
      <c r="C13" t="s">
        <v>54</v>
      </c>
      <c r="D13" t="s">
        <v>94</v>
      </c>
      <c r="E13">
        <v>59.95</v>
      </c>
      <c r="F13">
        <v>6.52</v>
      </c>
      <c r="G13" t="s">
        <v>55</v>
      </c>
      <c r="H13" t="s">
        <v>56</v>
      </c>
      <c r="I13" t="s">
        <v>66</v>
      </c>
      <c r="J13">
        <v>1718</v>
      </c>
      <c r="K13">
        <v>1</v>
      </c>
    </row>
    <row r="14" spans="1:11" x14ac:dyDescent="0.2">
      <c r="A14" t="s">
        <v>95</v>
      </c>
      <c r="B14" t="s">
        <v>96</v>
      </c>
      <c r="C14" t="s">
        <v>97</v>
      </c>
      <c r="D14" t="s">
        <v>83</v>
      </c>
      <c r="E14">
        <v>14.95</v>
      </c>
      <c r="F14">
        <v>4.13</v>
      </c>
      <c r="G14" t="s">
        <v>98</v>
      </c>
      <c r="H14" t="s">
        <v>87</v>
      </c>
      <c r="I14" t="s">
        <v>66</v>
      </c>
      <c r="J14">
        <v>1718</v>
      </c>
      <c r="K14">
        <v>1</v>
      </c>
    </row>
    <row r="15" spans="1:11" x14ac:dyDescent="0.2">
      <c r="A15" t="s">
        <v>99</v>
      </c>
      <c r="B15" t="s">
        <v>96</v>
      </c>
      <c r="C15" t="s">
        <v>97</v>
      </c>
      <c r="D15" t="s">
        <v>83</v>
      </c>
      <c r="E15">
        <v>14.95</v>
      </c>
      <c r="F15">
        <v>4.22</v>
      </c>
      <c r="G15" t="s">
        <v>98</v>
      </c>
      <c r="H15" t="s">
        <v>87</v>
      </c>
      <c r="I15" t="s">
        <v>66</v>
      </c>
      <c r="J15">
        <v>1718</v>
      </c>
      <c r="K15">
        <v>1</v>
      </c>
    </row>
    <row r="16" spans="1:11" x14ac:dyDescent="0.2">
      <c r="A16" t="s">
        <v>100</v>
      </c>
      <c r="B16" t="s">
        <v>101</v>
      </c>
      <c r="C16" t="s">
        <v>57</v>
      </c>
      <c r="D16" t="s">
        <v>83</v>
      </c>
      <c r="E16">
        <v>39.950000000000003</v>
      </c>
      <c r="F16">
        <v>3.7</v>
      </c>
      <c r="G16" t="s">
        <v>55</v>
      </c>
      <c r="H16" t="s">
        <v>56</v>
      </c>
      <c r="I16" t="s">
        <v>66</v>
      </c>
      <c r="J16">
        <v>1718</v>
      </c>
      <c r="K16">
        <v>1</v>
      </c>
    </row>
    <row r="17" spans="1:11" x14ac:dyDescent="0.2">
      <c r="A17" t="s">
        <v>102</v>
      </c>
      <c r="B17" t="s">
        <v>101</v>
      </c>
      <c r="C17" t="s">
        <v>57</v>
      </c>
      <c r="D17" t="s">
        <v>83</v>
      </c>
      <c r="E17">
        <v>39.950000000000003</v>
      </c>
      <c r="F17">
        <v>3.7</v>
      </c>
      <c r="G17" t="s">
        <v>55</v>
      </c>
      <c r="H17" t="s">
        <v>56</v>
      </c>
      <c r="I17" t="s">
        <v>66</v>
      </c>
      <c r="J17">
        <v>1718</v>
      </c>
      <c r="K17">
        <v>1</v>
      </c>
    </row>
    <row r="18" spans="1:11" x14ac:dyDescent="0.2">
      <c r="A18" t="s">
        <v>103</v>
      </c>
      <c r="B18" t="s">
        <v>104</v>
      </c>
      <c r="C18" t="s">
        <v>49</v>
      </c>
      <c r="D18" t="s">
        <v>83</v>
      </c>
      <c r="E18">
        <v>39.950000000000003</v>
      </c>
      <c r="F18">
        <v>5.76</v>
      </c>
      <c r="G18" t="s">
        <v>59</v>
      </c>
      <c r="H18" t="s">
        <v>61</v>
      </c>
      <c r="I18" t="s">
        <v>66</v>
      </c>
      <c r="J18">
        <v>1718</v>
      </c>
      <c r="K18">
        <v>1</v>
      </c>
    </row>
    <row r="19" spans="1:11" x14ac:dyDescent="0.2">
      <c r="A19" t="s">
        <v>105</v>
      </c>
      <c r="B19" t="s">
        <v>106</v>
      </c>
      <c r="C19" t="s">
        <v>49</v>
      </c>
      <c r="D19" t="s">
        <v>83</v>
      </c>
      <c r="E19">
        <v>59.95</v>
      </c>
      <c r="F19">
        <v>7.5</v>
      </c>
      <c r="G19" t="s">
        <v>52</v>
      </c>
      <c r="H19" t="s">
        <v>107</v>
      </c>
      <c r="I19" t="s">
        <v>66</v>
      </c>
      <c r="J19">
        <v>1718</v>
      </c>
      <c r="K19">
        <v>1</v>
      </c>
    </row>
    <row r="20" spans="1:11" x14ac:dyDescent="0.2">
      <c r="A20" t="s">
        <v>108</v>
      </c>
      <c r="B20" t="s">
        <v>109</v>
      </c>
      <c r="C20" t="s">
        <v>49</v>
      </c>
      <c r="D20" t="s">
        <v>64</v>
      </c>
      <c r="E20">
        <v>59.95</v>
      </c>
      <c r="F20">
        <v>6.96</v>
      </c>
      <c r="G20" t="s">
        <v>53</v>
      </c>
      <c r="H20" t="s">
        <v>72</v>
      </c>
      <c r="I20" t="s">
        <v>66</v>
      </c>
      <c r="J20">
        <v>1718</v>
      </c>
      <c r="K20">
        <v>1</v>
      </c>
    </row>
    <row r="21" spans="1:11" x14ac:dyDescent="0.2">
      <c r="A21" t="s">
        <v>110</v>
      </c>
      <c r="B21" t="s">
        <v>111</v>
      </c>
      <c r="C21" t="s">
        <v>57</v>
      </c>
      <c r="D21" t="s">
        <v>64</v>
      </c>
      <c r="E21">
        <v>59.95</v>
      </c>
      <c r="F21">
        <v>6.09</v>
      </c>
      <c r="G21" t="s">
        <v>53</v>
      </c>
      <c r="H21" t="s">
        <v>60</v>
      </c>
      <c r="I21" t="s">
        <v>66</v>
      </c>
      <c r="J21">
        <v>1718</v>
      </c>
      <c r="K21">
        <v>1</v>
      </c>
    </row>
    <row r="22" spans="1:11" x14ac:dyDescent="0.2">
      <c r="A22" t="s">
        <v>112</v>
      </c>
      <c r="B22" t="s">
        <v>113</v>
      </c>
      <c r="C22" t="s">
        <v>57</v>
      </c>
      <c r="D22" t="s">
        <v>114</v>
      </c>
      <c r="E22">
        <v>59.95</v>
      </c>
      <c r="F22">
        <v>6.96</v>
      </c>
      <c r="G22" t="s">
        <v>53</v>
      </c>
      <c r="H22" t="s">
        <v>51</v>
      </c>
      <c r="I22" t="s">
        <v>66</v>
      </c>
      <c r="J22">
        <v>1718</v>
      </c>
      <c r="K22">
        <v>1</v>
      </c>
    </row>
    <row r="23" spans="1:11" x14ac:dyDescent="0.2">
      <c r="A23" t="s">
        <v>115</v>
      </c>
      <c r="B23" t="s">
        <v>116</v>
      </c>
      <c r="C23" t="s">
        <v>49</v>
      </c>
      <c r="D23" t="s">
        <v>94</v>
      </c>
      <c r="E23">
        <v>59.95</v>
      </c>
      <c r="F23">
        <v>8.0399999999999991</v>
      </c>
      <c r="G23" t="s">
        <v>53</v>
      </c>
      <c r="H23" t="s">
        <v>60</v>
      </c>
      <c r="I23" t="s">
        <v>66</v>
      </c>
      <c r="J23">
        <v>1718</v>
      </c>
      <c r="K23">
        <v>1</v>
      </c>
    </row>
    <row r="24" spans="1:11" x14ac:dyDescent="0.2">
      <c r="A24" t="s">
        <v>117</v>
      </c>
      <c r="B24" t="s">
        <v>118</v>
      </c>
      <c r="C24" t="s">
        <v>57</v>
      </c>
      <c r="D24" t="s">
        <v>83</v>
      </c>
      <c r="E24">
        <v>29.95</v>
      </c>
      <c r="F24">
        <v>4.3499999999999996</v>
      </c>
      <c r="G24" t="s">
        <v>55</v>
      </c>
      <c r="H24" t="s">
        <v>56</v>
      </c>
      <c r="I24" t="s">
        <v>66</v>
      </c>
      <c r="J24">
        <v>1718</v>
      </c>
      <c r="K24">
        <v>1</v>
      </c>
    </row>
    <row r="25" spans="1:11" x14ac:dyDescent="0.2">
      <c r="A25" t="s">
        <v>119</v>
      </c>
      <c r="B25" t="s">
        <v>120</v>
      </c>
      <c r="C25" t="s">
        <v>49</v>
      </c>
      <c r="D25" t="s">
        <v>83</v>
      </c>
      <c r="E25">
        <v>59.95</v>
      </c>
      <c r="F25">
        <v>4.8899999999999997</v>
      </c>
      <c r="G25" t="s">
        <v>58</v>
      </c>
      <c r="H25" t="s">
        <v>107</v>
      </c>
      <c r="I25" t="s">
        <v>66</v>
      </c>
      <c r="J25">
        <v>1718</v>
      </c>
      <c r="K25">
        <v>1</v>
      </c>
    </row>
    <row r="26" spans="1:11" x14ac:dyDescent="0.2">
      <c r="A26" t="s">
        <v>121</v>
      </c>
      <c r="B26" t="s">
        <v>122</v>
      </c>
      <c r="C26" t="s">
        <v>49</v>
      </c>
      <c r="D26" t="s">
        <v>83</v>
      </c>
      <c r="E26">
        <v>59.95</v>
      </c>
      <c r="F26">
        <v>4.67</v>
      </c>
      <c r="G26" t="s">
        <v>59</v>
      </c>
      <c r="H26" t="s">
        <v>107</v>
      </c>
      <c r="I26" t="s">
        <v>66</v>
      </c>
      <c r="J26">
        <v>1718</v>
      </c>
      <c r="K26">
        <v>1</v>
      </c>
    </row>
    <row r="27" spans="1:11" x14ac:dyDescent="0.2">
      <c r="A27" t="s">
        <v>123</v>
      </c>
      <c r="B27" t="s">
        <v>124</v>
      </c>
      <c r="C27" t="s">
        <v>54</v>
      </c>
      <c r="D27" t="s">
        <v>83</v>
      </c>
      <c r="E27">
        <v>39.950000000000003</v>
      </c>
      <c r="F27">
        <v>4.67</v>
      </c>
      <c r="G27" t="s">
        <v>55</v>
      </c>
      <c r="H27" t="s">
        <v>56</v>
      </c>
      <c r="I27" t="s">
        <v>66</v>
      </c>
      <c r="J27">
        <v>1718</v>
      </c>
      <c r="K27">
        <v>1</v>
      </c>
    </row>
    <row r="28" spans="1:11" x14ac:dyDescent="0.2">
      <c r="A28" t="s">
        <v>125</v>
      </c>
      <c r="B28" t="s">
        <v>126</v>
      </c>
      <c r="C28" t="s">
        <v>49</v>
      </c>
      <c r="D28" t="s">
        <v>83</v>
      </c>
      <c r="E28">
        <v>59.95</v>
      </c>
      <c r="F28">
        <v>6.96</v>
      </c>
      <c r="G28" t="s">
        <v>59</v>
      </c>
      <c r="H28" t="s">
        <v>60</v>
      </c>
      <c r="I28" t="s">
        <v>66</v>
      </c>
      <c r="J28">
        <v>1718</v>
      </c>
      <c r="K28">
        <v>1</v>
      </c>
    </row>
    <row r="29" spans="1:11" x14ac:dyDescent="0.2">
      <c r="A29" t="s">
        <v>127</v>
      </c>
      <c r="B29" t="s">
        <v>70</v>
      </c>
      <c r="C29" t="s">
        <v>49</v>
      </c>
      <c r="D29" t="s">
        <v>71</v>
      </c>
      <c r="E29">
        <v>59.95</v>
      </c>
      <c r="F29">
        <v>5</v>
      </c>
      <c r="G29" t="s">
        <v>52</v>
      </c>
      <c r="H29" t="s">
        <v>128</v>
      </c>
      <c r="I29" t="s">
        <v>66</v>
      </c>
      <c r="J29">
        <v>1718</v>
      </c>
      <c r="K29">
        <v>1</v>
      </c>
    </row>
    <row r="30" spans="1:11" x14ac:dyDescent="0.2">
      <c r="A30" t="s">
        <v>129</v>
      </c>
      <c r="B30" t="s">
        <v>70</v>
      </c>
      <c r="C30" t="s">
        <v>97</v>
      </c>
      <c r="D30" t="s">
        <v>71</v>
      </c>
      <c r="E30">
        <v>39.950000000000003</v>
      </c>
      <c r="F30">
        <v>4.57</v>
      </c>
      <c r="G30" t="s">
        <v>98</v>
      </c>
      <c r="H30" t="s">
        <v>87</v>
      </c>
      <c r="I30" t="s">
        <v>66</v>
      </c>
      <c r="J30">
        <v>1718</v>
      </c>
      <c r="K30">
        <v>1</v>
      </c>
    </row>
    <row r="31" spans="1:11" x14ac:dyDescent="0.2">
      <c r="A31" t="s">
        <v>130</v>
      </c>
      <c r="B31" t="s">
        <v>131</v>
      </c>
      <c r="C31" t="s">
        <v>57</v>
      </c>
      <c r="D31" t="s">
        <v>114</v>
      </c>
      <c r="E31">
        <v>59.95</v>
      </c>
      <c r="F31">
        <v>9.4600000000000009</v>
      </c>
      <c r="G31" t="s">
        <v>52</v>
      </c>
      <c r="H31" t="s">
        <v>60</v>
      </c>
      <c r="I31" t="s">
        <v>66</v>
      </c>
      <c r="J31">
        <v>1718</v>
      </c>
      <c r="K31">
        <v>1</v>
      </c>
    </row>
    <row r="32" spans="1:11" x14ac:dyDescent="0.2">
      <c r="A32" t="s">
        <v>132</v>
      </c>
      <c r="B32" t="s">
        <v>133</v>
      </c>
      <c r="C32" t="s">
        <v>57</v>
      </c>
      <c r="D32" t="s">
        <v>114</v>
      </c>
      <c r="E32">
        <v>89.95</v>
      </c>
      <c r="F32">
        <v>6.52</v>
      </c>
      <c r="G32" t="s">
        <v>52</v>
      </c>
      <c r="H32" t="s">
        <v>50</v>
      </c>
      <c r="I32" t="s">
        <v>66</v>
      </c>
      <c r="J32">
        <v>1718</v>
      </c>
      <c r="K32">
        <v>1</v>
      </c>
    </row>
    <row r="33" spans="1:11" x14ac:dyDescent="0.2">
      <c r="A33" t="s">
        <v>134</v>
      </c>
      <c r="B33" t="s">
        <v>113</v>
      </c>
      <c r="C33" t="s">
        <v>57</v>
      </c>
      <c r="D33" t="s">
        <v>114</v>
      </c>
      <c r="E33">
        <v>89.95</v>
      </c>
      <c r="F33">
        <v>7.39</v>
      </c>
      <c r="G33" t="s">
        <v>59</v>
      </c>
      <c r="H33" t="s">
        <v>51</v>
      </c>
      <c r="I33" t="s">
        <v>66</v>
      </c>
      <c r="J33">
        <v>1718</v>
      </c>
      <c r="K33">
        <v>1</v>
      </c>
    </row>
    <row r="34" spans="1:11" x14ac:dyDescent="0.2">
      <c r="A34" t="s">
        <v>135</v>
      </c>
      <c r="B34" t="s">
        <v>136</v>
      </c>
      <c r="C34" t="s">
        <v>57</v>
      </c>
      <c r="D34" t="s">
        <v>114</v>
      </c>
      <c r="E34">
        <v>89.95</v>
      </c>
      <c r="F34">
        <v>9.1300000000000008</v>
      </c>
      <c r="G34" t="s">
        <v>52</v>
      </c>
      <c r="H34" t="s">
        <v>50</v>
      </c>
      <c r="I34" t="s">
        <v>66</v>
      </c>
      <c r="J34">
        <v>1718</v>
      </c>
      <c r="K34">
        <v>1</v>
      </c>
    </row>
    <row r="35" spans="1:11" x14ac:dyDescent="0.2">
      <c r="A35" t="s">
        <v>137</v>
      </c>
      <c r="B35" t="s">
        <v>138</v>
      </c>
      <c r="C35" t="s">
        <v>49</v>
      </c>
      <c r="D35" t="s">
        <v>94</v>
      </c>
      <c r="E35">
        <v>59.95</v>
      </c>
      <c r="F35">
        <v>7.17</v>
      </c>
      <c r="G35" t="s">
        <v>53</v>
      </c>
      <c r="H35" t="s">
        <v>51</v>
      </c>
      <c r="I35" t="s">
        <v>66</v>
      </c>
      <c r="J35">
        <v>1718</v>
      </c>
      <c r="K35">
        <v>1</v>
      </c>
    </row>
    <row r="36" spans="1:11" x14ac:dyDescent="0.2">
      <c r="A36" t="s">
        <v>139</v>
      </c>
      <c r="B36" t="s">
        <v>140</v>
      </c>
      <c r="C36" t="s">
        <v>49</v>
      </c>
      <c r="D36" t="s">
        <v>94</v>
      </c>
      <c r="E36">
        <v>59.95</v>
      </c>
      <c r="F36">
        <v>8.0399999999999991</v>
      </c>
      <c r="G36" t="s">
        <v>52</v>
      </c>
      <c r="H36" t="s">
        <v>141</v>
      </c>
      <c r="I36" t="s">
        <v>66</v>
      </c>
      <c r="J36">
        <v>1718</v>
      </c>
      <c r="K36">
        <v>1</v>
      </c>
    </row>
    <row r="37" spans="1:11" x14ac:dyDescent="0.2">
      <c r="A37" t="s">
        <v>142</v>
      </c>
      <c r="B37" t="s">
        <v>143</v>
      </c>
      <c r="C37" t="s">
        <v>49</v>
      </c>
      <c r="D37" t="s">
        <v>94</v>
      </c>
      <c r="E37">
        <v>39.950000000000003</v>
      </c>
      <c r="F37">
        <v>7.17</v>
      </c>
      <c r="G37" t="s">
        <v>53</v>
      </c>
      <c r="H37" t="s">
        <v>60</v>
      </c>
      <c r="I37" t="s">
        <v>66</v>
      </c>
      <c r="J37">
        <v>1718</v>
      </c>
      <c r="K37">
        <v>1</v>
      </c>
    </row>
    <row r="38" spans="1:11" x14ac:dyDescent="0.2">
      <c r="A38" t="s">
        <v>144</v>
      </c>
      <c r="B38" t="s">
        <v>145</v>
      </c>
      <c r="C38" t="s">
        <v>49</v>
      </c>
      <c r="D38" t="s">
        <v>83</v>
      </c>
      <c r="E38">
        <v>59.95</v>
      </c>
      <c r="F38">
        <v>6.3</v>
      </c>
      <c r="G38" t="s">
        <v>59</v>
      </c>
      <c r="H38" t="s">
        <v>51</v>
      </c>
      <c r="I38" t="s">
        <v>66</v>
      </c>
      <c r="J38">
        <v>1718</v>
      </c>
      <c r="K38">
        <v>1</v>
      </c>
    </row>
    <row r="39" spans="1:11" x14ac:dyDescent="0.2">
      <c r="A39" t="s">
        <v>146</v>
      </c>
      <c r="B39" t="s">
        <v>147</v>
      </c>
      <c r="C39" t="s">
        <v>54</v>
      </c>
      <c r="D39" t="s">
        <v>83</v>
      </c>
      <c r="E39">
        <v>29.95</v>
      </c>
      <c r="F39">
        <v>3.37</v>
      </c>
      <c r="G39" t="s">
        <v>55</v>
      </c>
      <c r="H39" t="s">
        <v>56</v>
      </c>
      <c r="I39" t="s">
        <v>66</v>
      </c>
      <c r="J39">
        <v>1718</v>
      </c>
      <c r="K39">
        <v>1</v>
      </c>
    </row>
    <row r="40" spans="1:11" x14ac:dyDescent="0.2">
      <c r="A40" t="s">
        <v>148</v>
      </c>
      <c r="B40" t="s">
        <v>147</v>
      </c>
      <c r="C40" t="s">
        <v>54</v>
      </c>
      <c r="D40" t="s">
        <v>83</v>
      </c>
      <c r="E40">
        <v>29.95</v>
      </c>
      <c r="F40">
        <v>4.13</v>
      </c>
      <c r="G40" t="s">
        <v>55</v>
      </c>
      <c r="H40" t="s">
        <v>56</v>
      </c>
      <c r="I40" t="s">
        <v>66</v>
      </c>
      <c r="J40">
        <v>1718</v>
      </c>
      <c r="K40">
        <v>1</v>
      </c>
    </row>
    <row r="41" spans="1:11" x14ac:dyDescent="0.2">
      <c r="A41" t="s">
        <v>149</v>
      </c>
      <c r="B41" t="s">
        <v>150</v>
      </c>
      <c r="C41" t="s">
        <v>49</v>
      </c>
      <c r="D41" t="s">
        <v>83</v>
      </c>
      <c r="E41">
        <v>39.950000000000003</v>
      </c>
      <c r="F41">
        <v>6.2</v>
      </c>
      <c r="G41" t="s">
        <v>52</v>
      </c>
      <c r="H41" t="s">
        <v>107</v>
      </c>
      <c r="I41" t="s">
        <v>66</v>
      </c>
      <c r="J41">
        <v>1718</v>
      </c>
      <c r="K41">
        <v>1</v>
      </c>
    </row>
    <row r="42" spans="1:11" x14ac:dyDescent="0.2">
      <c r="A42" t="s">
        <v>151</v>
      </c>
      <c r="B42" t="s">
        <v>152</v>
      </c>
      <c r="C42" t="s">
        <v>49</v>
      </c>
      <c r="D42" t="s">
        <v>71</v>
      </c>
      <c r="E42">
        <v>59.95</v>
      </c>
      <c r="F42">
        <v>4.57</v>
      </c>
      <c r="G42" t="s">
        <v>58</v>
      </c>
      <c r="H42" t="s">
        <v>65</v>
      </c>
      <c r="I42" t="s">
        <v>66</v>
      </c>
      <c r="J42">
        <v>1718</v>
      </c>
      <c r="K42">
        <v>1</v>
      </c>
    </row>
    <row r="43" spans="1:11" x14ac:dyDescent="0.2">
      <c r="A43" t="s">
        <v>153</v>
      </c>
      <c r="B43" t="s">
        <v>152</v>
      </c>
      <c r="C43" t="s">
        <v>49</v>
      </c>
      <c r="D43" t="s">
        <v>71</v>
      </c>
      <c r="E43">
        <v>59.95</v>
      </c>
      <c r="F43">
        <v>4.3499999999999996</v>
      </c>
      <c r="G43" t="s">
        <v>59</v>
      </c>
      <c r="H43" t="s">
        <v>128</v>
      </c>
      <c r="I43" t="s">
        <v>66</v>
      </c>
      <c r="J43">
        <v>1718</v>
      </c>
      <c r="K43">
        <v>1</v>
      </c>
    </row>
    <row r="44" spans="1:11" x14ac:dyDescent="0.2">
      <c r="A44" t="s">
        <v>154</v>
      </c>
      <c r="B44" t="s">
        <v>155</v>
      </c>
      <c r="C44" t="s">
        <v>49</v>
      </c>
      <c r="D44" t="s">
        <v>71</v>
      </c>
      <c r="E44">
        <v>39.950000000000003</v>
      </c>
      <c r="F44">
        <v>4.57</v>
      </c>
      <c r="G44" t="s">
        <v>53</v>
      </c>
      <c r="H44" t="s">
        <v>65</v>
      </c>
      <c r="I44" t="s">
        <v>66</v>
      </c>
      <c r="J44">
        <v>1718</v>
      </c>
      <c r="K44">
        <v>1</v>
      </c>
    </row>
    <row r="45" spans="1:11" x14ac:dyDescent="0.2">
      <c r="A45" t="s">
        <v>156</v>
      </c>
      <c r="B45" t="s">
        <v>157</v>
      </c>
      <c r="C45" t="s">
        <v>49</v>
      </c>
      <c r="D45" t="s">
        <v>114</v>
      </c>
      <c r="E45">
        <v>59.95</v>
      </c>
      <c r="F45">
        <v>8.0399999999999991</v>
      </c>
      <c r="G45" t="s">
        <v>52</v>
      </c>
      <c r="H45" t="s">
        <v>51</v>
      </c>
      <c r="I45" t="s">
        <v>66</v>
      </c>
      <c r="J45">
        <v>1718</v>
      </c>
      <c r="K45">
        <v>1</v>
      </c>
    </row>
    <row r="46" spans="1:11" x14ac:dyDescent="0.2">
      <c r="A46" t="s">
        <v>158</v>
      </c>
      <c r="B46" t="s">
        <v>159</v>
      </c>
      <c r="C46" t="s">
        <v>49</v>
      </c>
      <c r="D46" t="s">
        <v>114</v>
      </c>
      <c r="E46">
        <v>89.95</v>
      </c>
      <c r="F46">
        <v>7.83</v>
      </c>
      <c r="G46" t="s">
        <v>58</v>
      </c>
      <c r="H46" t="s">
        <v>51</v>
      </c>
      <c r="I46" t="s">
        <v>66</v>
      </c>
      <c r="J46">
        <v>1718</v>
      </c>
      <c r="K46">
        <v>1</v>
      </c>
    </row>
    <row r="47" spans="1:11" x14ac:dyDescent="0.2">
      <c r="A47" t="s">
        <v>160</v>
      </c>
      <c r="B47" t="s">
        <v>159</v>
      </c>
      <c r="C47" t="s">
        <v>49</v>
      </c>
      <c r="D47" t="s">
        <v>114</v>
      </c>
      <c r="E47">
        <v>89.95</v>
      </c>
      <c r="F47">
        <v>7.39</v>
      </c>
      <c r="G47" t="s">
        <v>59</v>
      </c>
      <c r="H47" t="s">
        <v>51</v>
      </c>
      <c r="I47" t="s">
        <v>66</v>
      </c>
      <c r="J47">
        <v>1718</v>
      </c>
      <c r="K47">
        <v>1</v>
      </c>
    </row>
    <row r="48" spans="1:11" x14ac:dyDescent="0.2">
      <c r="A48" t="s">
        <v>161</v>
      </c>
      <c r="B48" t="s">
        <v>159</v>
      </c>
      <c r="C48" t="s">
        <v>57</v>
      </c>
      <c r="D48" t="s">
        <v>114</v>
      </c>
      <c r="E48">
        <v>59.95</v>
      </c>
      <c r="F48">
        <v>6.96</v>
      </c>
      <c r="G48" t="s">
        <v>59</v>
      </c>
      <c r="H48" t="s">
        <v>51</v>
      </c>
      <c r="I48" t="s">
        <v>66</v>
      </c>
      <c r="J48">
        <v>1718</v>
      </c>
      <c r="K48">
        <v>1</v>
      </c>
    </row>
    <row r="49" spans="1:11" x14ac:dyDescent="0.2">
      <c r="A49" t="s">
        <v>162</v>
      </c>
      <c r="B49" t="s">
        <v>163</v>
      </c>
      <c r="C49" t="s">
        <v>97</v>
      </c>
      <c r="D49" t="s">
        <v>94</v>
      </c>
      <c r="E49">
        <v>39.950000000000003</v>
      </c>
      <c r="F49">
        <v>4.3499999999999996</v>
      </c>
      <c r="G49" t="s">
        <v>98</v>
      </c>
      <c r="H49" t="s">
        <v>87</v>
      </c>
      <c r="I49" t="s">
        <v>66</v>
      </c>
      <c r="J49">
        <v>1718</v>
      </c>
      <c r="K49">
        <v>1</v>
      </c>
    </row>
    <row r="50" spans="1:11" x14ac:dyDescent="0.2">
      <c r="A50" t="s">
        <v>164</v>
      </c>
      <c r="B50" t="s">
        <v>165</v>
      </c>
      <c r="C50" t="s">
        <v>57</v>
      </c>
      <c r="D50" t="s">
        <v>75</v>
      </c>
      <c r="E50">
        <v>59.95</v>
      </c>
      <c r="F50">
        <v>7.61</v>
      </c>
      <c r="G50" t="s">
        <v>58</v>
      </c>
      <c r="H50" t="s">
        <v>128</v>
      </c>
      <c r="I50" t="s">
        <v>166</v>
      </c>
      <c r="J50">
        <v>1718</v>
      </c>
      <c r="K50">
        <v>1</v>
      </c>
    </row>
    <row r="51" spans="1:11" x14ac:dyDescent="0.2">
      <c r="A51" t="s">
        <v>167</v>
      </c>
      <c r="B51" t="s">
        <v>168</v>
      </c>
      <c r="C51" t="s">
        <v>97</v>
      </c>
      <c r="D51" t="s">
        <v>71</v>
      </c>
      <c r="E51">
        <v>19.95</v>
      </c>
      <c r="F51">
        <v>5</v>
      </c>
      <c r="G51" t="s">
        <v>98</v>
      </c>
      <c r="H51" t="s">
        <v>87</v>
      </c>
      <c r="I51" t="s">
        <v>166</v>
      </c>
      <c r="J51">
        <v>1718</v>
      </c>
      <c r="K51">
        <v>1</v>
      </c>
    </row>
    <row r="52" spans="1:11" x14ac:dyDescent="0.2">
      <c r="A52" t="s">
        <v>169</v>
      </c>
      <c r="B52" t="s">
        <v>170</v>
      </c>
      <c r="C52" t="s">
        <v>49</v>
      </c>
      <c r="D52" t="s">
        <v>83</v>
      </c>
      <c r="E52">
        <v>59.95</v>
      </c>
      <c r="F52">
        <v>7.83</v>
      </c>
      <c r="G52" t="s">
        <v>59</v>
      </c>
      <c r="H52" t="s">
        <v>107</v>
      </c>
      <c r="I52" t="s">
        <v>171</v>
      </c>
      <c r="J52">
        <v>1718</v>
      </c>
      <c r="K52">
        <v>1</v>
      </c>
    </row>
    <row r="53" spans="1:11" x14ac:dyDescent="0.2">
      <c r="A53" t="s">
        <v>172</v>
      </c>
      <c r="B53" t="s">
        <v>173</v>
      </c>
      <c r="C53" t="s">
        <v>49</v>
      </c>
      <c r="D53" t="s">
        <v>174</v>
      </c>
      <c r="E53">
        <v>59.95</v>
      </c>
      <c r="F53">
        <v>8.91</v>
      </c>
      <c r="G53" t="s">
        <v>53</v>
      </c>
      <c r="H53" t="s">
        <v>50</v>
      </c>
      <c r="I53" t="s">
        <v>171</v>
      </c>
      <c r="J53">
        <v>1718</v>
      </c>
      <c r="K53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"/>
  <sheetViews>
    <sheetView workbookViewId="0">
      <selection activeCell="D30" sqref="D30"/>
    </sheetView>
  </sheetViews>
  <sheetFormatPr defaultRowHeight="12.75" x14ac:dyDescent="0.2"/>
  <sheetData>
    <row r="1" spans="1:3" x14ac:dyDescent="0.2">
      <c r="A1" s="18" t="s">
        <v>17</v>
      </c>
      <c r="C1" s="18" t="s">
        <v>32</v>
      </c>
    </row>
    <row r="2" spans="1:3" x14ac:dyDescent="0.2">
      <c r="A2" s="18" t="s">
        <v>19</v>
      </c>
      <c r="C2" s="18" t="s">
        <v>33</v>
      </c>
    </row>
    <row r="3" spans="1:3" x14ac:dyDescent="0.2">
      <c r="A3" s="18" t="s">
        <v>18</v>
      </c>
      <c r="C3" s="18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VM</vt:lpstr>
      <vt:lpstr>PO</vt:lpstr>
      <vt:lpstr>Canon</vt:lpstr>
      <vt:lpstr>POStatus</vt:lpstr>
      <vt:lpstr>VM!Print_Area</vt:lpstr>
      <vt:lpstr>VM!Print_Titles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Wang</dc:creator>
  <cp:lastModifiedBy>Stephen Wang</cp:lastModifiedBy>
  <cp:lastPrinted>2017-05-15T23:52:49Z</cp:lastPrinted>
  <dcterms:created xsi:type="dcterms:W3CDTF">2013-10-07T22:53:13Z</dcterms:created>
  <dcterms:modified xsi:type="dcterms:W3CDTF">2017-06-29T06:36:19Z</dcterms:modified>
</cp:coreProperties>
</file>