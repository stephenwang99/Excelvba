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phen.w\Desktop\"/>
    </mc:Choice>
  </mc:AlternateContent>
  <bookViews>
    <workbookView xWindow="0" yWindow="0" windowWidth="28800" windowHeight="11820"/>
  </bookViews>
  <sheets>
    <sheet name="Main" sheetId="16" r:id="rId1"/>
    <sheet name="Day avg Portion" sheetId="6" r:id="rId2"/>
    <sheet name="fix " sheetId="14" r:id="rId3"/>
    <sheet name="Portion_value adjust tool" sheetId="7" state="hidden" r:id="rId4"/>
    <sheet name="HotToCold" sheetId="13" state="hidden" r:id="rId5"/>
    <sheet name="Data" sheetId="17" r:id="rId6"/>
    <sheet name="canon" sheetId="10" r:id="rId7"/>
  </sheets>
  <externalReferences>
    <externalReference r:id="rId8"/>
  </externalReferences>
  <definedNames>
    <definedName name="db1_backend_Daily.accdb" localSheetId="5" hidden="1">Data!$A$1:$G$3521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7" l="1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H102" i="17"/>
  <c r="H103" i="17"/>
  <c r="H104" i="17"/>
  <c r="H105" i="17"/>
  <c r="H106" i="17"/>
  <c r="H107" i="17"/>
  <c r="H108" i="17"/>
  <c r="H109" i="17"/>
  <c r="H110" i="17"/>
  <c r="H111" i="17"/>
  <c r="H112" i="17"/>
  <c r="H113" i="17"/>
  <c r="H114" i="17"/>
  <c r="H115" i="17"/>
  <c r="H116" i="17"/>
  <c r="H117" i="17"/>
  <c r="H118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60" i="17"/>
  <c r="H161" i="17"/>
  <c r="H162" i="17"/>
  <c r="H163" i="17"/>
  <c r="H164" i="17"/>
  <c r="H165" i="17"/>
  <c r="H166" i="17"/>
  <c r="H167" i="17"/>
  <c r="H168" i="17"/>
  <c r="H169" i="17"/>
  <c r="H170" i="17"/>
  <c r="H171" i="17"/>
  <c r="H172" i="17"/>
  <c r="H173" i="17"/>
  <c r="H174" i="17"/>
  <c r="H175" i="17"/>
  <c r="H176" i="17"/>
  <c r="H177" i="17"/>
  <c r="H178" i="17"/>
  <c r="H179" i="17"/>
  <c r="H180" i="17"/>
  <c r="H181" i="17"/>
  <c r="H182" i="17"/>
  <c r="H183" i="17"/>
  <c r="H184" i="17"/>
  <c r="H185" i="17"/>
  <c r="H186" i="17"/>
  <c r="H187" i="17"/>
  <c r="H188" i="17"/>
  <c r="H189" i="17"/>
  <c r="H190" i="17"/>
  <c r="H191" i="17"/>
  <c r="H192" i="17"/>
  <c r="H193" i="17"/>
  <c r="H194" i="17"/>
  <c r="H195" i="17"/>
  <c r="H196" i="17"/>
  <c r="H197" i="17"/>
  <c r="H198" i="17"/>
  <c r="H199" i="17"/>
  <c r="H200" i="17"/>
  <c r="H201" i="17"/>
  <c r="H202" i="17"/>
  <c r="H203" i="17"/>
  <c r="H204" i="17"/>
  <c r="H205" i="17"/>
  <c r="H206" i="17"/>
  <c r="H207" i="17"/>
  <c r="H208" i="17"/>
  <c r="H209" i="17"/>
  <c r="H210" i="17"/>
  <c r="H211" i="17"/>
  <c r="H212" i="17"/>
  <c r="H213" i="17"/>
  <c r="H214" i="17"/>
  <c r="H215" i="17"/>
  <c r="H216" i="17"/>
  <c r="H217" i="17"/>
  <c r="H218" i="17"/>
  <c r="H219" i="17"/>
  <c r="H220" i="17"/>
  <c r="H221" i="17"/>
  <c r="H222" i="17"/>
  <c r="H223" i="17"/>
  <c r="H224" i="17"/>
  <c r="H225" i="17"/>
  <c r="H226" i="17"/>
  <c r="H227" i="17"/>
  <c r="H228" i="17"/>
  <c r="H229" i="17"/>
  <c r="H230" i="17"/>
  <c r="H231" i="17"/>
  <c r="H232" i="17"/>
  <c r="H233" i="17"/>
  <c r="H234" i="17"/>
  <c r="H235" i="17"/>
  <c r="H236" i="17"/>
  <c r="H237" i="17"/>
  <c r="H238" i="17"/>
  <c r="H239" i="17"/>
  <c r="H240" i="17"/>
  <c r="H241" i="17"/>
  <c r="H242" i="17"/>
  <c r="H243" i="17"/>
  <c r="H244" i="17"/>
  <c r="H245" i="17"/>
  <c r="H246" i="17"/>
  <c r="H247" i="17"/>
  <c r="H248" i="17"/>
  <c r="H249" i="17"/>
  <c r="H250" i="17"/>
  <c r="H251" i="17"/>
  <c r="H252" i="17"/>
  <c r="H253" i="17"/>
  <c r="H254" i="17"/>
  <c r="H255" i="17"/>
  <c r="H256" i="17"/>
  <c r="H257" i="17"/>
  <c r="H258" i="17"/>
  <c r="H259" i="17"/>
  <c r="H260" i="17"/>
  <c r="H261" i="17"/>
  <c r="H262" i="17"/>
  <c r="H263" i="17"/>
  <c r="H264" i="17"/>
  <c r="H265" i="17"/>
  <c r="H266" i="17"/>
  <c r="H267" i="17"/>
  <c r="H268" i="17"/>
  <c r="H269" i="17"/>
  <c r="H270" i="17"/>
  <c r="H271" i="17"/>
  <c r="H272" i="17"/>
  <c r="H273" i="17"/>
  <c r="H274" i="17"/>
  <c r="H275" i="17"/>
  <c r="H276" i="17"/>
  <c r="H277" i="17"/>
  <c r="H278" i="17"/>
  <c r="H279" i="17"/>
  <c r="H280" i="17"/>
  <c r="H281" i="17"/>
  <c r="H282" i="17"/>
  <c r="H283" i="17"/>
  <c r="H284" i="17"/>
  <c r="H285" i="17"/>
  <c r="H286" i="17"/>
  <c r="H287" i="17"/>
  <c r="H288" i="17"/>
  <c r="H289" i="17"/>
  <c r="H290" i="17"/>
  <c r="H291" i="17"/>
  <c r="H292" i="17"/>
  <c r="H293" i="17"/>
  <c r="H294" i="17"/>
  <c r="H295" i="17"/>
  <c r="H296" i="17"/>
  <c r="H297" i="17"/>
  <c r="H298" i="17"/>
  <c r="H299" i="17"/>
  <c r="H300" i="17"/>
  <c r="H301" i="17"/>
  <c r="H302" i="17"/>
  <c r="H303" i="17"/>
  <c r="H304" i="17"/>
  <c r="H305" i="17"/>
  <c r="H306" i="17"/>
  <c r="H307" i="17"/>
  <c r="H308" i="17"/>
  <c r="H309" i="17"/>
  <c r="H310" i="17"/>
  <c r="H311" i="17"/>
  <c r="H312" i="17"/>
  <c r="H313" i="17"/>
  <c r="H314" i="17"/>
  <c r="H315" i="17"/>
  <c r="H316" i="17"/>
  <c r="H317" i="17"/>
  <c r="H318" i="17"/>
  <c r="H319" i="17"/>
  <c r="H320" i="17"/>
  <c r="H321" i="17"/>
  <c r="H322" i="17"/>
  <c r="H323" i="17"/>
  <c r="H324" i="17"/>
  <c r="H325" i="17"/>
  <c r="H326" i="17"/>
  <c r="H327" i="17"/>
  <c r="H328" i="17"/>
  <c r="H329" i="17"/>
  <c r="H330" i="17"/>
  <c r="H331" i="17"/>
  <c r="H332" i="17"/>
  <c r="H333" i="17"/>
  <c r="H334" i="17"/>
  <c r="H335" i="17"/>
  <c r="H336" i="17"/>
  <c r="H337" i="17"/>
  <c r="H338" i="17"/>
  <c r="H339" i="17"/>
  <c r="H340" i="17"/>
  <c r="H341" i="17"/>
  <c r="H342" i="17"/>
  <c r="H343" i="17"/>
  <c r="H344" i="17"/>
  <c r="H345" i="17"/>
  <c r="H346" i="17"/>
  <c r="H347" i="17"/>
  <c r="H348" i="17"/>
  <c r="H349" i="17"/>
  <c r="H350" i="17"/>
  <c r="H351" i="17"/>
  <c r="H352" i="17"/>
  <c r="H353" i="17"/>
  <c r="H354" i="17"/>
  <c r="H355" i="17"/>
  <c r="H356" i="17"/>
  <c r="H357" i="17"/>
  <c r="H358" i="17"/>
  <c r="H359" i="17"/>
  <c r="H360" i="17"/>
  <c r="H361" i="17"/>
  <c r="H362" i="17"/>
  <c r="H363" i="17"/>
  <c r="H364" i="17"/>
  <c r="H365" i="17"/>
  <c r="H366" i="17"/>
  <c r="H367" i="17"/>
  <c r="H368" i="17"/>
  <c r="H369" i="17"/>
  <c r="H370" i="17"/>
  <c r="H371" i="17"/>
  <c r="H372" i="17"/>
  <c r="H373" i="17"/>
  <c r="H374" i="17"/>
  <c r="H375" i="17"/>
  <c r="H376" i="17"/>
  <c r="H377" i="17"/>
  <c r="H378" i="17"/>
  <c r="H379" i="17"/>
  <c r="H380" i="17"/>
  <c r="H381" i="17"/>
  <c r="H382" i="17"/>
  <c r="H383" i="17"/>
  <c r="H384" i="17"/>
  <c r="H385" i="17"/>
  <c r="H386" i="17"/>
  <c r="H387" i="17"/>
  <c r="H388" i="17"/>
  <c r="H389" i="17"/>
  <c r="H390" i="17"/>
  <c r="H391" i="17"/>
  <c r="H392" i="17"/>
  <c r="H393" i="17"/>
  <c r="H394" i="17"/>
  <c r="H395" i="17"/>
  <c r="H396" i="17"/>
  <c r="H397" i="17"/>
  <c r="H398" i="17"/>
  <c r="H399" i="17"/>
  <c r="H400" i="17"/>
  <c r="H401" i="17"/>
  <c r="H402" i="17"/>
  <c r="H403" i="17"/>
  <c r="H404" i="17"/>
  <c r="H405" i="17"/>
  <c r="H406" i="17"/>
  <c r="H407" i="17"/>
  <c r="H408" i="17"/>
  <c r="H409" i="17"/>
  <c r="H410" i="17"/>
  <c r="H411" i="17"/>
  <c r="H412" i="17"/>
  <c r="H413" i="17"/>
  <c r="H414" i="17"/>
  <c r="H415" i="17"/>
  <c r="H416" i="17"/>
  <c r="H417" i="17"/>
  <c r="H418" i="17"/>
  <c r="H419" i="17"/>
  <c r="H420" i="17"/>
  <c r="H421" i="17"/>
  <c r="H422" i="17"/>
  <c r="H423" i="17"/>
  <c r="H424" i="17"/>
  <c r="H425" i="17"/>
  <c r="H426" i="17"/>
  <c r="H427" i="17"/>
  <c r="H428" i="17"/>
  <c r="H429" i="17"/>
  <c r="H430" i="17"/>
  <c r="H431" i="17"/>
  <c r="H432" i="17"/>
  <c r="H433" i="17"/>
  <c r="H434" i="17"/>
  <c r="H435" i="17"/>
  <c r="H436" i="17"/>
  <c r="H437" i="17"/>
  <c r="H438" i="17"/>
  <c r="H439" i="17"/>
  <c r="H440" i="17"/>
  <c r="H441" i="17"/>
  <c r="H442" i="17"/>
  <c r="H443" i="17"/>
  <c r="H444" i="17"/>
  <c r="H445" i="17"/>
  <c r="H446" i="17"/>
  <c r="H447" i="17"/>
  <c r="H448" i="17"/>
  <c r="H449" i="17"/>
  <c r="H450" i="17"/>
  <c r="H451" i="17"/>
  <c r="H452" i="17"/>
  <c r="H453" i="17"/>
  <c r="H454" i="17"/>
  <c r="H455" i="17"/>
  <c r="H456" i="17"/>
  <c r="H457" i="17"/>
  <c r="H458" i="17"/>
  <c r="H459" i="17"/>
  <c r="H460" i="17"/>
  <c r="H461" i="17"/>
  <c r="H462" i="17"/>
  <c r="H463" i="17"/>
  <c r="H464" i="17"/>
  <c r="H465" i="17"/>
  <c r="H466" i="17"/>
  <c r="H467" i="17"/>
  <c r="H468" i="17"/>
  <c r="H469" i="17"/>
  <c r="H470" i="17"/>
  <c r="H471" i="17"/>
  <c r="H472" i="17"/>
  <c r="H473" i="17"/>
  <c r="H474" i="17"/>
  <c r="H475" i="17"/>
  <c r="H476" i="17"/>
  <c r="H477" i="17"/>
  <c r="H478" i="17"/>
  <c r="H479" i="17"/>
  <c r="H480" i="17"/>
  <c r="H481" i="17"/>
  <c r="H482" i="17"/>
  <c r="H483" i="17"/>
  <c r="H484" i="17"/>
  <c r="H485" i="17"/>
  <c r="H486" i="17"/>
  <c r="H487" i="17"/>
  <c r="H488" i="17"/>
  <c r="H489" i="17"/>
  <c r="H490" i="17"/>
  <c r="H491" i="17"/>
  <c r="H492" i="17"/>
  <c r="H493" i="17"/>
  <c r="H494" i="17"/>
  <c r="H495" i="17"/>
  <c r="H496" i="17"/>
  <c r="H497" i="17"/>
  <c r="H498" i="17"/>
  <c r="H499" i="17"/>
  <c r="H500" i="17"/>
  <c r="H501" i="17"/>
  <c r="H502" i="17"/>
  <c r="H503" i="17"/>
  <c r="H504" i="17"/>
  <c r="H505" i="17"/>
  <c r="H506" i="17"/>
  <c r="H507" i="17"/>
  <c r="H508" i="17"/>
  <c r="H509" i="17"/>
  <c r="H510" i="17"/>
  <c r="H511" i="17"/>
  <c r="H512" i="17"/>
  <c r="H513" i="17"/>
  <c r="H514" i="17"/>
  <c r="H515" i="17"/>
  <c r="H516" i="17"/>
  <c r="H517" i="17"/>
  <c r="H518" i="17"/>
  <c r="H519" i="17"/>
  <c r="H520" i="17"/>
  <c r="H521" i="17"/>
  <c r="H522" i="17"/>
  <c r="H523" i="17"/>
  <c r="H524" i="17"/>
  <c r="H525" i="17"/>
  <c r="H526" i="17"/>
  <c r="H527" i="17"/>
  <c r="H528" i="17"/>
  <c r="H529" i="17"/>
  <c r="H530" i="17"/>
  <c r="H531" i="17"/>
  <c r="H532" i="17"/>
  <c r="H533" i="17"/>
  <c r="H534" i="17"/>
  <c r="H535" i="17"/>
  <c r="H536" i="17"/>
  <c r="H537" i="17"/>
  <c r="H538" i="17"/>
  <c r="H539" i="17"/>
  <c r="H540" i="17"/>
  <c r="H541" i="17"/>
  <c r="H542" i="17"/>
  <c r="H543" i="17"/>
  <c r="H544" i="17"/>
  <c r="H545" i="17"/>
  <c r="H546" i="17"/>
  <c r="H547" i="17"/>
  <c r="H548" i="17"/>
  <c r="H549" i="17"/>
  <c r="H550" i="17"/>
  <c r="H551" i="17"/>
  <c r="H552" i="17"/>
  <c r="H553" i="17"/>
  <c r="H554" i="17"/>
  <c r="H555" i="17"/>
  <c r="H556" i="17"/>
  <c r="H557" i="17"/>
  <c r="H558" i="17"/>
  <c r="H559" i="17"/>
  <c r="H560" i="17"/>
  <c r="H561" i="17"/>
  <c r="H562" i="17"/>
  <c r="H563" i="17"/>
  <c r="H564" i="17"/>
  <c r="H565" i="17"/>
  <c r="H566" i="17"/>
  <c r="H567" i="17"/>
  <c r="H568" i="17"/>
  <c r="H569" i="17"/>
  <c r="H570" i="17"/>
  <c r="H571" i="17"/>
  <c r="H572" i="17"/>
  <c r="H573" i="17"/>
  <c r="H574" i="17"/>
  <c r="H575" i="17"/>
  <c r="H576" i="17"/>
  <c r="H577" i="17"/>
  <c r="H578" i="17"/>
  <c r="H579" i="17"/>
  <c r="H580" i="17"/>
  <c r="H581" i="17"/>
  <c r="H582" i="17"/>
  <c r="H583" i="17"/>
  <c r="H584" i="17"/>
  <c r="H585" i="17"/>
  <c r="H586" i="17"/>
  <c r="H587" i="17"/>
  <c r="H588" i="17"/>
  <c r="H589" i="17"/>
  <c r="H590" i="17"/>
  <c r="H591" i="17"/>
  <c r="H592" i="17"/>
  <c r="H593" i="17"/>
  <c r="H594" i="17"/>
  <c r="H595" i="17"/>
  <c r="H596" i="17"/>
  <c r="H597" i="17"/>
  <c r="H598" i="17"/>
  <c r="H599" i="17"/>
  <c r="H600" i="17"/>
  <c r="H601" i="17"/>
  <c r="H602" i="17"/>
  <c r="H603" i="17"/>
  <c r="H604" i="17"/>
  <c r="H605" i="17"/>
  <c r="H606" i="17"/>
  <c r="H607" i="17"/>
  <c r="H608" i="17"/>
  <c r="H609" i="17"/>
  <c r="H610" i="17"/>
  <c r="H611" i="17"/>
  <c r="H612" i="17"/>
  <c r="H613" i="17"/>
  <c r="H614" i="17"/>
  <c r="H615" i="17"/>
  <c r="H616" i="17"/>
  <c r="H617" i="17"/>
  <c r="H618" i="17"/>
  <c r="H619" i="17"/>
  <c r="H620" i="17"/>
  <c r="H621" i="17"/>
  <c r="H622" i="17"/>
  <c r="H623" i="17"/>
  <c r="H624" i="17"/>
  <c r="H625" i="17"/>
  <c r="H626" i="17"/>
  <c r="H627" i="17"/>
  <c r="H628" i="17"/>
  <c r="H629" i="17"/>
  <c r="H630" i="17"/>
  <c r="H631" i="17"/>
  <c r="H632" i="17"/>
  <c r="H633" i="17"/>
  <c r="H634" i="17"/>
  <c r="H635" i="17"/>
  <c r="H636" i="17"/>
  <c r="H637" i="17"/>
  <c r="H638" i="17"/>
  <c r="H639" i="17"/>
  <c r="H640" i="17"/>
  <c r="H641" i="17"/>
  <c r="H642" i="17"/>
  <c r="H643" i="17"/>
  <c r="H644" i="17"/>
  <c r="H645" i="17"/>
  <c r="H646" i="17"/>
  <c r="H647" i="17"/>
  <c r="H648" i="17"/>
  <c r="H649" i="17"/>
  <c r="H650" i="17"/>
  <c r="H651" i="17"/>
  <c r="H652" i="17"/>
  <c r="H653" i="17"/>
  <c r="H654" i="17"/>
  <c r="H655" i="17"/>
  <c r="H656" i="17"/>
  <c r="H657" i="17"/>
  <c r="H658" i="17"/>
  <c r="H659" i="17"/>
  <c r="H660" i="17"/>
  <c r="H661" i="17"/>
  <c r="H662" i="17"/>
  <c r="H663" i="17"/>
  <c r="H664" i="17"/>
  <c r="H665" i="17"/>
  <c r="H666" i="17"/>
  <c r="H667" i="17"/>
  <c r="H668" i="17"/>
  <c r="H669" i="17"/>
  <c r="H670" i="17"/>
  <c r="H671" i="17"/>
  <c r="H672" i="17"/>
  <c r="H673" i="17"/>
  <c r="H674" i="17"/>
  <c r="H675" i="17"/>
  <c r="H676" i="17"/>
  <c r="H677" i="17"/>
  <c r="H678" i="17"/>
  <c r="H679" i="17"/>
  <c r="H680" i="17"/>
  <c r="H681" i="17"/>
  <c r="H682" i="17"/>
  <c r="H683" i="17"/>
  <c r="H684" i="17"/>
  <c r="H685" i="17"/>
  <c r="H686" i="17"/>
  <c r="H687" i="17"/>
  <c r="H688" i="17"/>
  <c r="H689" i="17"/>
  <c r="H690" i="17"/>
  <c r="H691" i="17"/>
  <c r="H692" i="17"/>
  <c r="H693" i="17"/>
  <c r="H694" i="17"/>
  <c r="H695" i="17"/>
  <c r="H696" i="17"/>
  <c r="H697" i="17"/>
  <c r="H698" i="17"/>
  <c r="H699" i="17"/>
  <c r="H700" i="17"/>
  <c r="H701" i="17"/>
  <c r="H702" i="17"/>
  <c r="H703" i="17"/>
  <c r="H704" i="17"/>
  <c r="H705" i="17"/>
  <c r="H706" i="17"/>
  <c r="H707" i="17"/>
  <c r="H708" i="17"/>
  <c r="H709" i="17"/>
  <c r="H710" i="17"/>
  <c r="H711" i="17"/>
  <c r="H712" i="17"/>
  <c r="H713" i="17"/>
  <c r="H714" i="17"/>
  <c r="H715" i="17"/>
  <c r="H716" i="17"/>
  <c r="H717" i="17"/>
  <c r="H718" i="17"/>
  <c r="H719" i="17"/>
  <c r="H720" i="17"/>
  <c r="H721" i="17"/>
  <c r="H722" i="17"/>
  <c r="H723" i="17"/>
  <c r="H724" i="17"/>
  <c r="H725" i="17"/>
  <c r="H726" i="17"/>
  <c r="H727" i="17"/>
  <c r="H728" i="17"/>
  <c r="H729" i="17"/>
  <c r="H730" i="17"/>
  <c r="H731" i="17"/>
  <c r="H732" i="17"/>
  <c r="H733" i="17"/>
  <c r="H734" i="17"/>
  <c r="H735" i="17"/>
  <c r="H736" i="17"/>
  <c r="H737" i="17"/>
  <c r="H738" i="17"/>
  <c r="H739" i="17"/>
  <c r="H740" i="17"/>
  <c r="H741" i="17"/>
  <c r="H742" i="17"/>
  <c r="H743" i="17"/>
  <c r="H744" i="17"/>
  <c r="H745" i="17"/>
  <c r="H746" i="17"/>
  <c r="H747" i="17"/>
  <c r="H748" i="17"/>
  <c r="H749" i="17"/>
  <c r="H750" i="17"/>
  <c r="H751" i="17"/>
  <c r="H752" i="17"/>
  <c r="H753" i="17"/>
  <c r="H754" i="17"/>
  <c r="H755" i="17"/>
  <c r="H756" i="17"/>
  <c r="H757" i="17"/>
  <c r="H758" i="17"/>
  <c r="H759" i="17"/>
  <c r="H760" i="17"/>
  <c r="H761" i="17"/>
  <c r="H762" i="17"/>
  <c r="H763" i="17"/>
  <c r="H764" i="17"/>
  <c r="H765" i="17"/>
  <c r="H766" i="17"/>
  <c r="H767" i="17"/>
  <c r="H768" i="17"/>
  <c r="H769" i="17"/>
  <c r="H770" i="17"/>
  <c r="H771" i="17"/>
  <c r="H772" i="17"/>
  <c r="H773" i="17"/>
  <c r="H774" i="17"/>
  <c r="H775" i="17"/>
  <c r="H776" i="17"/>
  <c r="H777" i="17"/>
  <c r="H778" i="17"/>
  <c r="H779" i="17"/>
  <c r="H780" i="17"/>
  <c r="H781" i="17"/>
  <c r="H782" i="17"/>
  <c r="H783" i="17"/>
  <c r="H784" i="17"/>
  <c r="H785" i="17"/>
  <c r="H786" i="17"/>
  <c r="H787" i="17"/>
  <c r="H788" i="17"/>
  <c r="H789" i="17"/>
  <c r="H790" i="17"/>
  <c r="H791" i="17"/>
  <c r="H792" i="17"/>
  <c r="H793" i="17"/>
  <c r="H794" i="17"/>
  <c r="H795" i="17"/>
  <c r="H796" i="17"/>
  <c r="H797" i="17"/>
  <c r="H798" i="17"/>
  <c r="H799" i="17"/>
  <c r="H800" i="17"/>
  <c r="H801" i="17"/>
  <c r="H802" i="17"/>
  <c r="H803" i="17"/>
  <c r="H804" i="17"/>
  <c r="H805" i="17"/>
  <c r="H806" i="17"/>
  <c r="H807" i="17"/>
  <c r="H808" i="17"/>
  <c r="H809" i="17"/>
  <c r="H810" i="17"/>
  <c r="H811" i="17"/>
  <c r="H812" i="17"/>
  <c r="H813" i="17"/>
  <c r="H814" i="17"/>
  <c r="H815" i="17"/>
  <c r="H816" i="17"/>
  <c r="H817" i="17"/>
  <c r="H818" i="17"/>
  <c r="H819" i="17"/>
  <c r="H820" i="17"/>
  <c r="H821" i="17"/>
  <c r="H822" i="17"/>
  <c r="H823" i="17"/>
  <c r="H824" i="17"/>
  <c r="H825" i="17"/>
  <c r="H826" i="17"/>
  <c r="H827" i="17"/>
  <c r="H828" i="17"/>
  <c r="H829" i="17"/>
  <c r="H830" i="17"/>
  <c r="H831" i="17"/>
  <c r="H832" i="17"/>
  <c r="H833" i="17"/>
  <c r="H834" i="17"/>
  <c r="H835" i="17"/>
  <c r="H836" i="17"/>
  <c r="H837" i="17"/>
  <c r="H838" i="17"/>
  <c r="H839" i="17"/>
  <c r="H840" i="17"/>
  <c r="H841" i="17"/>
  <c r="H842" i="17"/>
  <c r="H843" i="17"/>
  <c r="H844" i="17"/>
  <c r="H845" i="17"/>
  <c r="H846" i="17"/>
  <c r="H847" i="17"/>
  <c r="H848" i="17"/>
  <c r="H849" i="17"/>
  <c r="H850" i="17"/>
  <c r="H851" i="17"/>
  <c r="H852" i="17"/>
  <c r="H853" i="17"/>
  <c r="H854" i="17"/>
  <c r="H855" i="17"/>
  <c r="H856" i="17"/>
  <c r="H857" i="17"/>
  <c r="H858" i="17"/>
  <c r="H859" i="17"/>
  <c r="H860" i="17"/>
  <c r="H861" i="17"/>
  <c r="H862" i="17"/>
  <c r="H863" i="17"/>
  <c r="H864" i="17"/>
  <c r="H865" i="17"/>
  <c r="H866" i="17"/>
  <c r="H867" i="17"/>
  <c r="H868" i="17"/>
  <c r="H869" i="17"/>
  <c r="H870" i="17"/>
  <c r="H871" i="17"/>
  <c r="H872" i="17"/>
  <c r="H873" i="17"/>
  <c r="H874" i="17"/>
  <c r="H875" i="17"/>
  <c r="H876" i="17"/>
  <c r="H877" i="17"/>
  <c r="H878" i="17"/>
  <c r="H879" i="17"/>
  <c r="H880" i="17"/>
  <c r="H881" i="17"/>
  <c r="H882" i="17"/>
  <c r="H883" i="17"/>
  <c r="H884" i="17"/>
  <c r="H885" i="17"/>
  <c r="H886" i="17"/>
  <c r="H887" i="17"/>
  <c r="H888" i="17"/>
  <c r="H889" i="17"/>
  <c r="H890" i="17"/>
  <c r="H891" i="17"/>
  <c r="H892" i="17"/>
  <c r="H893" i="17"/>
  <c r="H894" i="17"/>
  <c r="H895" i="17"/>
  <c r="H896" i="17"/>
  <c r="H897" i="17"/>
  <c r="H898" i="17"/>
  <c r="H899" i="17"/>
  <c r="H900" i="17"/>
  <c r="H901" i="17"/>
  <c r="H902" i="17"/>
  <c r="H903" i="17"/>
  <c r="H904" i="17"/>
  <c r="H905" i="17"/>
  <c r="H906" i="17"/>
  <c r="H907" i="17"/>
  <c r="H908" i="17"/>
  <c r="H909" i="17"/>
  <c r="H910" i="17"/>
  <c r="H911" i="17"/>
  <c r="H912" i="17"/>
  <c r="H913" i="17"/>
  <c r="H914" i="17"/>
  <c r="H915" i="17"/>
  <c r="H916" i="17"/>
  <c r="H917" i="17"/>
  <c r="H918" i="17"/>
  <c r="H919" i="17"/>
  <c r="H920" i="17"/>
  <c r="H921" i="17"/>
  <c r="H922" i="17"/>
  <c r="H923" i="17"/>
  <c r="H924" i="17"/>
  <c r="H925" i="17"/>
  <c r="H926" i="17"/>
  <c r="H927" i="17"/>
  <c r="H928" i="17"/>
  <c r="H929" i="17"/>
  <c r="H930" i="17"/>
  <c r="H931" i="17"/>
  <c r="H932" i="17"/>
  <c r="H933" i="17"/>
  <c r="H934" i="17"/>
  <c r="H935" i="17"/>
  <c r="H936" i="17"/>
  <c r="H937" i="17"/>
  <c r="H938" i="17"/>
  <c r="H939" i="17"/>
  <c r="H940" i="17"/>
  <c r="H941" i="17"/>
  <c r="H942" i="17"/>
  <c r="H943" i="17"/>
  <c r="H944" i="17"/>
  <c r="H945" i="17"/>
  <c r="H946" i="17"/>
  <c r="H947" i="17"/>
  <c r="H948" i="17"/>
  <c r="H949" i="17"/>
  <c r="H950" i="17"/>
  <c r="H951" i="17"/>
  <c r="H952" i="17"/>
  <c r="H953" i="17"/>
  <c r="H954" i="17"/>
  <c r="H955" i="17"/>
  <c r="H956" i="17"/>
  <c r="H957" i="17"/>
  <c r="H958" i="17"/>
  <c r="H959" i="17"/>
  <c r="H960" i="17"/>
  <c r="H961" i="17"/>
  <c r="H962" i="17"/>
  <c r="H963" i="17"/>
  <c r="H964" i="17"/>
  <c r="H965" i="17"/>
  <c r="H966" i="17"/>
  <c r="H967" i="17"/>
  <c r="H968" i="17"/>
  <c r="H969" i="17"/>
  <c r="H970" i="17"/>
  <c r="H971" i="17"/>
  <c r="H972" i="17"/>
  <c r="H973" i="17"/>
  <c r="H974" i="17"/>
  <c r="H975" i="17"/>
  <c r="H976" i="17"/>
  <c r="H977" i="17"/>
  <c r="H978" i="17"/>
  <c r="H979" i="17"/>
  <c r="H980" i="17"/>
  <c r="H981" i="17"/>
  <c r="H982" i="17"/>
  <c r="H983" i="17"/>
  <c r="H984" i="17"/>
  <c r="H985" i="17"/>
  <c r="H986" i="17"/>
  <c r="H987" i="17"/>
  <c r="H988" i="17"/>
  <c r="H989" i="17"/>
  <c r="H990" i="17"/>
  <c r="H991" i="17"/>
  <c r="H992" i="17"/>
  <c r="H993" i="17"/>
  <c r="H994" i="17"/>
  <c r="H995" i="17"/>
  <c r="H996" i="17"/>
  <c r="H997" i="17"/>
  <c r="H998" i="17"/>
  <c r="H999" i="17"/>
  <c r="H1000" i="17"/>
  <c r="H1001" i="17"/>
  <c r="H1002" i="17"/>
  <c r="H1003" i="17"/>
  <c r="H1004" i="17"/>
  <c r="H1005" i="17"/>
  <c r="H1006" i="17"/>
  <c r="H1007" i="17"/>
  <c r="H1008" i="17"/>
  <c r="H1009" i="17"/>
  <c r="H1010" i="17"/>
  <c r="H1011" i="17"/>
  <c r="H1012" i="17"/>
  <c r="H1013" i="17"/>
  <c r="H1014" i="17"/>
  <c r="H1015" i="17"/>
  <c r="H1016" i="17"/>
  <c r="H1017" i="17"/>
  <c r="H1018" i="17"/>
  <c r="H1019" i="17"/>
  <c r="H1020" i="17"/>
  <c r="H1021" i="17"/>
  <c r="H1022" i="17"/>
  <c r="H1023" i="17"/>
  <c r="H1024" i="17"/>
  <c r="H1025" i="17"/>
  <c r="H1026" i="17"/>
  <c r="H1027" i="17"/>
  <c r="H1028" i="17"/>
  <c r="H1029" i="17"/>
  <c r="H1030" i="17"/>
  <c r="H1031" i="17"/>
  <c r="H1032" i="17"/>
  <c r="H1033" i="17"/>
  <c r="H1034" i="17"/>
  <c r="H1035" i="17"/>
  <c r="H1036" i="17"/>
  <c r="H1037" i="17"/>
  <c r="H1038" i="17"/>
  <c r="H1039" i="17"/>
  <c r="H1040" i="17"/>
  <c r="H1041" i="17"/>
  <c r="H1042" i="17"/>
  <c r="H1043" i="17"/>
  <c r="H1044" i="17"/>
  <c r="H1045" i="17"/>
  <c r="H1046" i="17"/>
  <c r="H1047" i="17"/>
  <c r="H1048" i="17"/>
  <c r="H1049" i="17"/>
  <c r="H1050" i="17"/>
  <c r="H1051" i="17"/>
  <c r="H1052" i="17"/>
  <c r="H1053" i="17"/>
  <c r="H1054" i="17"/>
  <c r="H1055" i="17"/>
  <c r="H1056" i="17"/>
  <c r="H1057" i="17"/>
  <c r="H1058" i="17"/>
  <c r="H1059" i="17"/>
  <c r="H1060" i="17"/>
  <c r="H1061" i="17"/>
  <c r="H1062" i="17"/>
  <c r="H1063" i="17"/>
  <c r="H1064" i="17"/>
  <c r="H1065" i="17"/>
  <c r="H1066" i="17"/>
  <c r="H1067" i="17"/>
  <c r="H1068" i="17"/>
  <c r="H1069" i="17"/>
  <c r="H1070" i="17"/>
  <c r="H1071" i="17"/>
  <c r="H1072" i="17"/>
  <c r="H1073" i="17"/>
  <c r="H1074" i="17"/>
  <c r="H1075" i="17"/>
  <c r="H1076" i="17"/>
  <c r="H1077" i="17"/>
  <c r="H1078" i="17"/>
  <c r="H1079" i="17"/>
  <c r="H1080" i="17"/>
  <c r="H1081" i="17"/>
  <c r="H1082" i="17"/>
  <c r="H1083" i="17"/>
  <c r="H1084" i="17"/>
  <c r="H1085" i="17"/>
  <c r="H1086" i="17"/>
  <c r="H1087" i="17"/>
  <c r="H1088" i="17"/>
  <c r="H1089" i="17"/>
  <c r="H1090" i="17"/>
  <c r="H1091" i="17"/>
  <c r="H1092" i="17"/>
  <c r="H1093" i="17"/>
  <c r="H1094" i="17"/>
  <c r="H1095" i="17"/>
  <c r="H1096" i="17"/>
  <c r="H1097" i="17"/>
  <c r="H1098" i="17"/>
  <c r="H1099" i="17"/>
  <c r="H1100" i="17"/>
  <c r="H1101" i="17"/>
  <c r="H1102" i="17"/>
  <c r="H1103" i="17"/>
  <c r="H1104" i="17"/>
  <c r="H1105" i="17"/>
  <c r="H1106" i="17"/>
  <c r="H1107" i="17"/>
  <c r="H1108" i="17"/>
  <c r="H1109" i="17"/>
  <c r="H1110" i="17"/>
  <c r="H1111" i="17"/>
  <c r="H1112" i="17"/>
  <c r="H1113" i="17"/>
  <c r="H1114" i="17"/>
  <c r="H1115" i="17"/>
  <c r="H1116" i="17"/>
  <c r="H1117" i="17"/>
  <c r="H1118" i="17"/>
  <c r="H1119" i="17"/>
  <c r="H1120" i="17"/>
  <c r="H1121" i="17"/>
  <c r="H1122" i="17"/>
  <c r="H1123" i="17"/>
  <c r="H1124" i="17"/>
  <c r="H1125" i="17"/>
  <c r="H1126" i="17"/>
  <c r="H1127" i="17"/>
  <c r="H1128" i="17"/>
  <c r="H1129" i="17"/>
  <c r="H1130" i="17"/>
  <c r="H1131" i="17"/>
  <c r="H1132" i="17"/>
  <c r="H1133" i="17"/>
  <c r="H1134" i="17"/>
  <c r="H1135" i="17"/>
  <c r="H1136" i="17"/>
  <c r="H1137" i="17"/>
  <c r="H1138" i="17"/>
  <c r="H1139" i="17"/>
  <c r="H1140" i="17"/>
  <c r="H1141" i="17"/>
  <c r="H1142" i="17"/>
  <c r="H1143" i="17"/>
  <c r="H1144" i="17"/>
  <c r="H1145" i="17"/>
  <c r="H1146" i="17"/>
  <c r="H1147" i="17"/>
  <c r="H1148" i="17"/>
  <c r="H1149" i="17"/>
  <c r="H1150" i="17"/>
  <c r="H1151" i="17"/>
  <c r="H1152" i="17"/>
  <c r="H1153" i="17"/>
  <c r="H1154" i="17"/>
  <c r="H1155" i="17"/>
  <c r="H1156" i="17"/>
  <c r="H1157" i="17"/>
  <c r="H1158" i="17"/>
  <c r="H1159" i="17"/>
  <c r="H1160" i="17"/>
  <c r="H1161" i="17"/>
  <c r="H1162" i="17"/>
  <c r="H1163" i="17"/>
  <c r="H1164" i="17"/>
  <c r="H1165" i="17"/>
  <c r="H1166" i="17"/>
  <c r="H1167" i="17"/>
  <c r="H1168" i="17"/>
  <c r="H1169" i="17"/>
  <c r="H1170" i="17"/>
  <c r="H1171" i="17"/>
  <c r="H1172" i="17"/>
  <c r="H1173" i="17"/>
  <c r="H1174" i="17"/>
  <c r="H1175" i="17"/>
  <c r="H1176" i="17"/>
  <c r="H1177" i="17"/>
  <c r="H1178" i="17"/>
  <c r="H1179" i="17"/>
  <c r="H1180" i="17"/>
  <c r="H1181" i="17"/>
  <c r="H1182" i="17"/>
  <c r="H1183" i="17"/>
  <c r="H1184" i="17"/>
  <c r="H1185" i="17"/>
  <c r="H1186" i="17"/>
  <c r="H1187" i="17"/>
  <c r="H1188" i="17"/>
  <c r="H1189" i="17"/>
  <c r="H1190" i="17"/>
  <c r="H1191" i="17"/>
  <c r="H1192" i="17"/>
  <c r="H1193" i="17"/>
  <c r="H1194" i="17"/>
  <c r="H1195" i="17"/>
  <c r="H1196" i="17"/>
  <c r="H1197" i="17"/>
  <c r="H1198" i="17"/>
  <c r="H1199" i="17"/>
  <c r="H1200" i="17"/>
  <c r="H1201" i="17"/>
  <c r="H1202" i="17"/>
  <c r="H1203" i="17"/>
  <c r="H1204" i="17"/>
  <c r="H1205" i="17"/>
  <c r="H1206" i="17"/>
  <c r="H1207" i="17"/>
  <c r="H1208" i="17"/>
  <c r="H1209" i="17"/>
  <c r="H1210" i="17"/>
  <c r="H1211" i="17"/>
  <c r="H1212" i="17"/>
  <c r="H1213" i="17"/>
  <c r="H1214" i="17"/>
  <c r="H1215" i="17"/>
  <c r="H1216" i="17"/>
  <c r="H1217" i="17"/>
  <c r="H1218" i="17"/>
  <c r="H1219" i="17"/>
  <c r="H1220" i="17"/>
  <c r="H1221" i="17"/>
  <c r="H1222" i="17"/>
  <c r="H1223" i="17"/>
  <c r="H1224" i="17"/>
  <c r="H1225" i="17"/>
  <c r="H1226" i="17"/>
  <c r="H1227" i="17"/>
  <c r="H1228" i="17"/>
  <c r="H1229" i="17"/>
  <c r="H1230" i="17"/>
  <c r="H1231" i="17"/>
  <c r="H1232" i="17"/>
  <c r="H1233" i="17"/>
  <c r="H1234" i="17"/>
  <c r="H1235" i="17"/>
  <c r="H1236" i="17"/>
  <c r="H1237" i="17"/>
  <c r="H1238" i="17"/>
  <c r="H1239" i="17"/>
  <c r="H1240" i="17"/>
  <c r="H1241" i="17"/>
  <c r="H1242" i="17"/>
  <c r="H1243" i="17"/>
  <c r="H1244" i="17"/>
  <c r="H1245" i="17"/>
  <c r="H1246" i="17"/>
  <c r="H1247" i="17"/>
  <c r="H1248" i="17"/>
  <c r="H1249" i="17"/>
  <c r="H1250" i="17"/>
  <c r="H1251" i="17"/>
  <c r="H1252" i="17"/>
  <c r="H1253" i="17"/>
  <c r="H1254" i="17"/>
  <c r="H1255" i="17"/>
  <c r="H1256" i="17"/>
  <c r="H1257" i="17"/>
  <c r="H1258" i="17"/>
  <c r="H1259" i="17"/>
  <c r="H1260" i="17"/>
  <c r="H1261" i="17"/>
  <c r="H1262" i="17"/>
  <c r="H1263" i="17"/>
  <c r="H1264" i="17"/>
  <c r="H1265" i="17"/>
  <c r="H1266" i="17"/>
  <c r="H1267" i="17"/>
  <c r="H1268" i="17"/>
  <c r="H1269" i="17"/>
  <c r="H1270" i="17"/>
  <c r="H1271" i="17"/>
  <c r="H1272" i="17"/>
  <c r="H1273" i="17"/>
  <c r="H1274" i="17"/>
  <c r="H1275" i="17"/>
  <c r="H1276" i="17"/>
  <c r="H1277" i="17"/>
  <c r="H1278" i="17"/>
  <c r="H1279" i="17"/>
  <c r="H1280" i="17"/>
  <c r="H1281" i="17"/>
  <c r="H1282" i="17"/>
  <c r="H1283" i="17"/>
  <c r="H1284" i="17"/>
  <c r="H1285" i="17"/>
  <c r="H1286" i="17"/>
  <c r="H1287" i="17"/>
  <c r="H1288" i="17"/>
  <c r="H1289" i="17"/>
  <c r="H1290" i="17"/>
  <c r="H1291" i="17"/>
  <c r="H1292" i="17"/>
  <c r="H1293" i="17"/>
  <c r="H1294" i="17"/>
  <c r="H1295" i="17"/>
  <c r="H1296" i="17"/>
  <c r="H1297" i="17"/>
  <c r="H1298" i="17"/>
  <c r="H1299" i="17"/>
  <c r="H1300" i="17"/>
  <c r="H1301" i="17"/>
  <c r="H1302" i="17"/>
  <c r="H1303" i="17"/>
  <c r="H1304" i="17"/>
  <c r="H1305" i="17"/>
  <c r="H1306" i="17"/>
  <c r="H1307" i="17"/>
  <c r="H1308" i="17"/>
  <c r="H1309" i="17"/>
  <c r="H1310" i="17"/>
  <c r="H1311" i="17"/>
  <c r="H1312" i="17"/>
  <c r="H1313" i="17"/>
  <c r="H1314" i="17"/>
  <c r="H1315" i="17"/>
  <c r="H1316" i="17"/>
  <c r="H1317" i="17"/>
  <c r="H1318" i="17"/>
  <c r="H1319" i="17"/>
  <c r="H1320" i="17"/>
  <c r="H1321" i="17"/>
  <c r="H1322" i="17"/>
  <c r="H1323" i="17"/>
  <c r="H1324" i="17"/>
  <c r="H1325" i="17"/>
  <c r="H1326" i="17"/>
  <c r="H1327" i="17"/>
  <c r="H1328" i="17"/>
  <c r="H1329" i="17"/>
  <c r="H1330" i="17"/>
  <c r="H1331" i="17"/>
  <c r="H1332" i="17"/>
  <c r="H1333" i="17"/>
  <c r="H1334" i="17"/>
  <c r="H1335" i="17"/>
  <c r="H1336" i="17"/>
  <c r="H1337" i="17"/>
  <c r="H1338" i="17"/>
  <c r="H1339" i="17"/>
  <c r="H1340" i="17"/>
  <c r="H1341" i="17"/>
  <c r="H1342" i="17"/>
  <c r="H1343" i="17"/>
  <c r="H1344" i="17"/>
  <c r="H1345" i="17"/>
  <c r="H1346" i="17"/>
  <c r="H1347" i="17"/>
  <c r="H1348" i="17"/>
  <c r="H1349" i="17"/>
  <c r="H1350" i="17"/>
  <c r="H1351" i="17"/>
  <c r="H1352" i="17"/>
  <c r="H1353" i="17"/>
  <c r="H1354" i="17"/>
  <c r="H1355" i="17"/>
  <c r="H1356" i="17"/>
  <c r="H1357" i="17"/>
  <c r="H1358" i="17"/>
  <c r="H1359" i="17"/>
  <c r="H1360" i="17"/>
  <c r="H1361" i="17"/>
  <c r="H1362" i="17"/>
  <c r="H1363" i="17"/>
  <c r="H1364" i="17"/>
  <c r="H1365" i="17"/>
  <c r="H1366" i="17"/>
  <c r="H1367" i="17"/>
  <c r="H1368" i="17"/>
  <c r="H1369" i="17"/>
  <c r="H1370" i="17"/>
  <c r="H1371" i="17"/>
  <c r="H1372" i="17"/>
  <c r="H1373" i="17"/>
  <c r="H1374" i="17"/>
  <c r="H1375" i="17"/>
  <c r="H1376" i="17"/>
  <c r="H1377" i="17"/>
  <c r="H1378" i="17"/>
  <c r="H1379" i="17"/>
  <c r="H1380" i="17"/>
  <c r="H1381" i="17"/>
  <c r="H1382" i="17"/>
  <c r="H1383" i="17"/>
  <c r="H1384" i="17"/>
  <c r="H1385" i="17"/>
  <c r="H1386" i="17"/>
  <c r="H1387" i="17"/>
  <c r="H1388" i="17"/>
  <c r="H1389" i="17"/>
  <c r="H1390" i="17"/>
  <c r="H1391" i="17"/>
  <c r="H1392" i="17"/>
  <c r="H1393" i="17"/>
  <c r="H1394" i="17"/>
  <c r="H1395" i="17"/>
  <c r="H1396" i="17"/>
  <c r="H1397" i="17"/>
  <c r="H1398" i="17"/>
  <c r="H1399" i="17"/>
  <c r="H1400" i="17"/>
  <c r="H1401" i="17"/>
  <c r="H1402" i="17"/>
  <c r="H1403" i="17"/>
  <c r="H1404" i="17"/>
  <c r="H1405" i="17"/>
  <c r="H1406" i="17"/>
  <c r="H1407" i="17"/>
  <c r="H1408" i="17"/>
  <c r="H1409" i="17"/>
  <c r="H1410" i="17"/>
  <c r="H1411" i="17"/>
  <c r="H1412" i="17"/>
  <c r="H1413" i="17"/>
  <c r="H1414" i="17"/>
  <c r="H1415" i="17"/>
  <c r="H1416" i="17"/>
  <c r="H1417" i="17"/>
  <c r="H1418" i="17"/>
  <c r="H1419" i="17"/>
  <c r="H1420" i="17"/>
  <c r="H1421" i="17"/>
  <c r="H1422" i="17"/>
  <c r="H1423" i="17"/>
  <c r="H1424" i="17"/>
  <c r="H1425" i="17"/>
  <c r="H1426" i="17"/>
  <c r="H1427" i="17"/>
  <c r="H1428" i="17"/>
  <c r="H1429" i="17"/>
  <c r="H1430" i="17"/>
  <c r="H1431" i="17"/>
  <c r="H1432" i="17"/>
  <c r="H1433" i="17"/>
  <c r="H1434" i="17"/>
  <c r="H1435" i="17"/>
  <c r="H1436" i="17"/>
  <c r="H1437" i="17"/>
  <c r="H1438" i="17"/>
  <c r="H1439" i="17"/>
  <c r="H1440" i="17"/>
  <c r="H1441" i="17"/>
  <c r="H1442" i="17"/>
  <c r="H1443" i="17"/>
  <c r="H1444" i="17"/>
  <c r="H1445" i="17"/>
  <c r="H1446" i="17"/>
  <c r="H1447" i="17"/>
  <c r="H1448" i="17"/>
  <c r="H1449" i="17"/>
  <c r="H1450" i="17"/>
  <c r="H1451" i="17"/>
  <c r="H1452" i="17"/>
  <c r="H1453" i="17"/>
  <c r="H1454" i="17"/>
  <c r="H1455" i="17"/>
  <c r="H1456" i="17"/>
  <c r="H1457" i="17"/>
  <c r="H1458" i="17"/>
  <c r="H1459" i="17"/>
  <c r="H1460" i="17"/>
  <c r="H1461" i="17"/>
  <c r="H1462" i="17"/>
  <c r="H1463" i="17"/>
  <c r="H1464" i="17"/>
  <c r="H1465" i="17"/>
  <c r="H1466" i="17"/>
  <c r="H1467" i="17"/>
  <c r="H1468" i="17"/>
  <c r="H1469" i="17"/>
  <c r="H1470" i="17"/>
  <c r="H1471" i="17"/>
  <c r="H1472" i="17"/>
  <c r="H1473" i="17"/>
  <c r="H1474" i="17"/>
  <c r="H1475" i="17"/>
  <c r="H1476" i="17"/>
  <c r="H1477" i="17"/>
  <c r="H1478" i="17"/>
  <c r="H1479" i="17"/>
  <c r="H1480" i="17"/>
  <c r="H1481" i="17"/>
  <c r="H1482" i="17"/>
  <c r="H1483" i="17"/>
  <c r="H1484" i="17"/>
  <c r="H1485" i="17"/>
  <c r="H1486" i="17"/>
  <c r="H1487" i="17"/>
  <c r="H1488" i="17"/>
  <c r="H1489" i="17"/>
  <c r="H1490" i="17"/>
  <c r="H1491" i="17"/>
  <c r="H1492" i="17"/>
  <c r="H1493" i="17"/>
  <c r="H1494" i="17"/>
  <c r="H1495" i="17"/>
  <c r="H1496" i="17"/>
  <c r="H1497" i="17"/>
  <c r="H1498" i="17"/>
  <c r="H1499" i="17"/>
  <c r="H1500" i="17"/>
  <c r="H1501" i="17"/>
  <c r="H1502" i="17"/>
  <c r="H1503" i="17"/>
  <c r="H1504" i="17"/>
  <c r="H1505" i="17"/>
  <c r="H1506" i="17"/>
  <c r="H1507" i="17"/>
  <c r="H1508" i="17"/>
  <c r="H1509" i="17"/>
  <c r="H1510" i="17"/>
  <c r="H1511" i="17"/>
  <c r="H1512" i="17"/>
  <c r="H1513" i="17"/>
  <c r="H1514" i="17"/>
  <c r="H1515" i="17"/>
  <c r="H1516" i="17"/>
  <c r="H1517" i="17"/>
  <c r="H1518" i="17"/>
  <c r="H1519" i="17"/>
  <c r="H1520" i="17"/>
  <c r="H1521" i="17"/>
  <c r="H1522" i="17"/>
  <c r="H1523" i="17"/>
  <c r="H1524" i="17"/>
  <c r="H1525" i="17"/>
  <c r="H1526" i="17"/>
  <c r="H1527" i="17"/>
  <c r="H1528" i="17"/>
  <c r="H1529" i="17"/>
  <c r="H1530" i="17"/>
  <c r="H1531" i="17"/>
  <c r="H1532" i="17"/>
  <c r="H1533" i="17"/>
  <c r="H1534" i="17"/>
  <c r="H1535" i="17"/>
  <c r="H1536" i="17"/>
  <c r="H1537" i="17"/>
  <c r="H1538" i="17"/>
  <c r="H1539" i="17"/>
  <c r="H1540" i="17"/>
  <c r="H1541" i="17"/>
  <c r="H1542" i="17"/>
  <c r="H1543" i="17"/>
  <c r="H1544" i="17"/>
  <c r="H1545" i="17"/>
  <c r="H1546" i="17"/>
  <c r="H1547" i="17"/>
  <c r="H1548" i="17"/>
  <c r="H1549" i="17"/>
  <c r="H1550" i="17"/>
  <c r="H1551" i="17"/>
  <c r="H1552" i="17"/>
  <c r="H1553" i="17"/>
  <c r="H1554" i="17"/>
  <c r="H1555" i="17"/>
  <c r="H1556" i="17"/>
  <c r="H1557" i="17"/>
  <c r="H1558" i="17"/>
  <c r="H1559" i="17"/>
  <c r="H1560" i="17"/>
  <c r="H1561" i="17"/>
  <c r="H1562" i="17"/>
  <c r="H1563" i="17"/>
  <c r="H1564" i="17"/>
  <c r="H1565" i="17"/>
  <c r="H1566" i="17"/>
  <c r="H1567" i="17"/>
  <c r="H1568" i="17"/>
  <c r="H1569" i="17"/>
  <c r="H1570" i="17"/>
  <c r="H1571" i="17"/>
  <c r="H1572" i="17"/>
  <c r="H1573" i="17"/>
  <c r="H1574" i="17"/>
  <c r="H1575" i="17"/>
  <c r="H1576" i="17"/>
  <c r="H1577" i="17"/>
  <c r="H1578" i="17"/>
  <c r="H1579" i="17"/>
  <c r="H1580" i="17"/>
  <c r="H1581" i="17"/>
  <c r="H1582" i="17"/>
  <c r="H1583" i="17"/>
  <c r="H1584" i="17"/>
  <c r="H1585" i="17"/>
  <c r="H1586" i="17"/>
  <c r="H1587" i="17"/>
  <c r="H1588" i="17"/>
  <c r="H1589" i="17"/>
  <c r="H1590" i="17"/>
  <c r="H1591" i="17"/>
  <c r="H1592" i="17"/>
  <c r="H1593" i="17"/>
  <c r="H1594" i="17"/>
  <c r="H1595" i="17"/>
  <c r="H1596" i="17"/>
  <c r="H1597" i="17"/>
  <c r="H1598" i="17"/>
  <c r="H1599" i="17"/>
  <c r="H1600" i="17"/>
  <c r="H1601" i="17"/>
  <c r="H1602" i="17"/>
  <c r="H1603" i="17"/>
  <c r="H1604" i="17"/>
  <c r="H1605" i="17"/>
  <c r="H1606" i="17"/>
  <c r="H1607" i="17"/>
  <c r="H1608" i="17"/>
  <c r="H1609" i="17"/>
  <c r="H1610" i="17"/>
  <c r="H1611" i="17"/>
  <c r="H1612" i="17"/>
  <c r="H1613" i="17"/>
  <c r="H1614" i="17"/>
  <c r="H1615" i="17"/>
  <c r="H1616" i="17"/>
  <c r="H1617" i="17"/>
  <c r="H1618" i="17"/>
  <c r="H1619" i="17"/>
  <c r="H1620" i="17"/>
  <c r="H1621" i="17"/>
  <c r="H1622" i="17"/>
  <c r="H1623" i="17"/>
  <c r="H1624" i="17"/>
  <c r="H1625" i="17"/>
  <c r="H1626" i="17"/>
  <c r="H1627" i="17"/>
  <c r="H1628" i="17"/>
  <c r="H1629" i="17"/>
  <c r="H1630" i="17"/>
  <c r="H1631" i="17"/>
  <c r="H1632" i="17"/>
  <c r="H1633" i="17"/>
  <c r="H1634" i="17"/>
  <c r="H1635" i="17"/>
  <c r="H1636" i="17"/>
  <c r="H1637" i="17"/>
  <c r="H1638" i="17"/>
  <c r="H1639" i="17"/>
  <c r="H1640" i="17"/>
  <c r="H1641" i="17"/>
  <c r="H1642" i="17"/>
  <c r="H1643" i="17"/>
  <c r="H1644" i="17"/>
  <c r="H1645" i="17"/>
  <c r="H1646" i="17"/>
  <c r="H1647" i="17"/>
  <c r="H1648" i="17"/>
  <c r="H1649" i="17"/>
  <c r="H1650" i="17"/>
  <c r="H1651" i="17"/>
  <c r="H1652" i="17"/>
  <c r="H1653" i="17"/>
  <c r="H1654" i="17"/>
  <c r="H1655" i="17"/>
  <c r="H1656" i="17"/>
  <c r="H1657" i="17"/>
  <c r="H1658" i="17"/>
  <c r="H1659" i="17"/>
  <c r="H1660" i="17"/>
  <c r="H1661" i="17"/>
  <c r="H1662" i="17"/>
  <c r="H1663" i="17"/>
  <c r="H1664" i="17"/>
  <c r="H1665" i="17"/>
  <c r="H1666" i="17"/>
  <c r="H1667" i="17"/>
  <c r="H1668" i="17"/>
  <c r="H1669" i="17"/>
  <c r="H1670" i="17"/>
  <c r="H1671" i="17"/>
  <c r="H1672" i="17"/>
  <c r="H1673" i="17"/>
  <c r="H1674" i="17"/>
  <c r="H1675" i="17"/>
  <c r="H1676" i="17"/>
  <c r="H1677" i="17"/>
  <c r="H1678" i="17"/>
  <c r="H1679" i="17"/>
  <c r="H1680" i="17"/>
  <c r="H1681" i="17"/>
  <c r="H1682" i="17"/>
  <c r="H1683" i="17"/>
  <c r="H1684" i="17"/>
  <c r="H1685" i="17"/>
  <c r="H1686" i="17"/>
  <c r="H1687" i="17"/>
  <c r="H1688" i="17"/>
  <c r="H1689" i="17"/>
  <c r="H1690" i="17"/>
  <c r="H1691" i="17"/>
  <c r="H1692" i="17"/>
  <c r="H1693" i="17"/>
  <c r="H1694" i="17"/>
  <c r="H1695" i="17"/>
  <c r="H1696" i="17"/>
  <c r="H1697" i="17"/>
  <c r="H1698" i="17"/>
  <c r="H1699" i="17"/>
  <c r="H1700" i="17"/>
  <c r="H1701" i="17"/>
  <c r="H1702" i="17"/>
  <c r="H1703" i="17"/>
  <c r="H1704" i="17"/>
  <c r="H1705" i="17"/>
  <c r="H1706" i="17"/>
  <c r="H1707" i="17"/>
  <c r="H1708" i="17"/>
  <c r="H1709" i="17"/>
  <c r="H1710" i="17"/>
  <c r="H1711" i="17"/>
  <c r="H1712" i="17"/>
  <c r="H1713" i="17"/>
  <c r="H1714" i="17"/>
  <c r="H1715" i="17"/>
  <c r="H1716" i="17"/>
  <c r="H1717" i="17"/>
  <c r="H1718" i="17"/>
  <c r="H1719" i="17"/>
  <c r="H1720" i="17"/>
  <c r="H1721" i="17"/>
  <c r="H1722" i="17"/>
  <c r="H1723" i="17"/>
  <c r="H1724" i="17"/>
  <c r="H1725" i="17"/>
  <c r="H1726" i="17"/>
  <c r="H1727" i="17"/>
  <c r="H1728" i="17"/>
  <c r="H1729" i="17"/>
  <c r="H1730" i="17"/>
  <c r="H1731" i="17"/>
  <c r="H1732" i="17"/>
  <c r="H1733" i="17"/>
  <c r="H1734" i="17"/>
  <c r="H1735" i="17"/>
  <c r="H1736" i="17"/>
  <c r="H1737" i="17"/>
  <c r="H1738" i="17"/>
  <c r="H1739" i="17"/>
  <c r="H1740" i="17"/>
  <c r="H1741" i="17"/>
  <c r="H1742" i="17"/>
  <c r="H1743" i="17"/>
  <c r="H1744" i="17"/>
  <c r="H1745" i="17"/>
  <c r="H1746" i="17"/>
  <c r="H1747" i="17"/>
  <c r="H1748" i="17"/>
  <c r="H1749" i="17"/>
  <c r="H1750" i="17"/>
  <c r="H1751" i="17"/>
  <c r="H1752" i="17"/>
  <c r="H1753" i="17"/>
  <c r="H1754" i="17"/>
  <c r="H1755" i="17"/>
  <c r="H1756" i="17"/>
  <c r="H1757" i="17"/>
  <c r="H1758" i="17"/>
  <c r="H1759" i="17"/>
  <c r="H1760" i="17"/>
  <c r="H1761" i="17"/>
  <c r="H1762" i="17"/>
  <c r="H1763" i="17"/>
  <c r="H1764" i="17"/>
  <c r="H1765" i="17"/>
  <c r="H1766" i="17"/>
  <c r="H1767" i="17"/>
  <c r="H1768" i="17"/>
  <c r="H1769" i="17"/>
  <c r="H1770" i="17"/>
  <c r="H1771" i="17"/>
  <c r="H1772" i="17"/>
  <c r="H1773" i="17"/>
  <c r="H1774" i="17"/>
  <c r="H1775" i="17"/>
  <c r="H1776" i="17"/>
  <c r="H1777" i="17"/>
  <c r="H1778" i="17"/>
  <c r="H1779" i="17"/>
  <c r="H1780" i="17"/>
  <c r="H1781" i="17"/>
  <c r="H1782" i="17"/>
  <c r="H1783" i="17"/>
  <c r="H1784" i="17"/>
  <c r="H1785" i="17"/>
  <c r="H1786" i="17"/>
  <c r="H1787" i="17"/>
  <c r="H1788" i="17"/>
  <c r="H1789" i="17"/>
  <c r="H1790" i="17"/>
  <c r="H1791" i="17"/>
  <c r="H1792" i="17"/>
  <c r="H1793" i="17"/>
  <c r="H1794" i="17"/>
  <c r="H1795" i="17"/>
  <c r="H1796" i="17"/>
  <c r="H1797" i="17"/>
  <c r="H1798" i="17"/>
  <c r="H1799" i="17"/>
  <c r="H1800" i="17"/>
  <c r="H1801" i="17"/>
  <c r="H1802" i="17"/>
  <c r="H1803" i="17"/>
  <c r="H1804" i="17"/>
  <c r="H1805" i="17"/>
  <c r="H1806" i="17"/>
  <c r="H1807" i="17"/>
  <c r="H1808" i="17"/>
  <c r="H1809" i="17"/>
  <c r="H1810" i="17"/>
  <c r="H1811" i="17"/>
  <c r="H1812" i="17"/>
  <c r="H1813" i="17"/>
  <c r="H1814" i="17"/>
  <c r="H1815" i="17"/>
  <c r="H1816" i="17"/>
  <c r="H1817" i="17"/>
  <c r="H1818" i="17"/>
  <c r="H1819" i="17"/>
  <c r="H1820" i="17"/>
  <c r="H1821" i="17"/>
  <c r="H1822" i="17"/>
  <c r="H1823" i="17"/>
  <c r="H1824" i="17"/>
  <c r="H1825" i="17"/>
  <c r="H1826" i="17"/>
  <c r="H1827" i="17"/>
  <c r="H1828" i="17"/>
  <c r="H1829" i="17"/>
  <c r="H1830" i="17"/>
  <c r="H1831" i="17"/>
  <c r="H1832" i="17"/>
  <c r="H1833" i="17"/>
  <c r="H1834" i="17"/>
  <c r="H1835" i="17"/>
  <c r="H1836" i="17"/>
  <c r="H1837" i="17"/>
  <c r="H1838" i="17"/>
  <c r="H1839" i="17"/>
  <c r="H1840" i="17"/>
  <c r="H1841" i="17"/>
  <c r="H1842" i="17"/>
  <c r="H1843" i="17"/>
  <c r="H1844" i="17"/>
  <c r="H1845" i="17"/>
  <c r="H1846" i="17"/>
  <c r="H1847" i="17"/>
  <c r="H1848" i="17"/>
  <c r="H1849" i="17"/>
  <c r="H1850" i="17"/>
  <c r="H1851" i="17"/>
  <c r="H1852" i="17"/>
  <c r="H1853" i="17"/>
  <c r="H1854" i="17"/>
  <c r="H1855" i="17"/>
  <c r="H1856" i="17"/>
  <c r="H1857" i="17"/>
  <c r="H1858" i="17"/>
  <c r="H1859" i="17"/>
  <c r="H1860" i="17"/>
  <c r="H1861" i="17"/>
  <c r="H1862" i="17"/>
  <c r="H1863" i="17"/>
  <c r="H1864" i="17"/>
  <c r="H1865" i="17"/>
  <c r="H1866" i="17"/>
  <c r="H1867" i="17"/>
  <c r="H1868" i="17"/>
  <c r="H1869" i="17"/>
  <c r="H1870" i="17"/>
  <c r="H1871" i="17"/>
  <c r="H1872" i="17"/>
  <c r="H1873" i="17"/>
  <c r="H1874" i="17"/>
  <c r="H1875" i="17"/>
  <c r="H1876" i="17"/>
  <c r="H1877" i="17"/>
  <c r="H1878" i="17"/>
  <c r="H1879" i="17"/>
  <c r="H1880" i="17"/>
  <c r="H1881" i="17"/>
  <c r="H1882" i="17"/>
  <c r="H1883" i="17"/>
  <c r="H1884" i="17"/>
  <c r="H1885" i="17"/>
  <c r="H1886" i="17"/>
  <c r="H1887" i="17"/>
  <c r="H1888" i="17"/>
  <c r="H1889" i="17"/>
  <c r="H1890" i="17"/>
  <c r="H1891" i="17"/>
  <c r="H1892" i="17"/>
  <c r="H1893" i="17"/>
  <c r="H1894" i="17"/>
  <c r="H1895" i="17"/>
  <c r="H1896" i="17"/>
  <c r="H1897" i="17"/>
  <c r="H1898" i="17"/>
  <c r="H1899" i="17"/>
  <c r="H1900" i="17"/>
  <c r="H1901" i="17"/>
  <c r="H1902" i="17"/>
  <c r="H1903" i="17"/>
  <c r="H1904" i="17"/>
  <c r="H1905" i="17"/>
  <c r="H1906" i="17"/>
  <c r="H1907" i="17"/>
  <c r="H1908" i="17"/>
  <c r="H1909" i="17"/>
  <c r="H1910" i="17"/>
  <c r="H1911" i="17"/>
  <c r="H1912" i="17"/>
  <c r="H1913" i="17"/>
  <c r="H1914" i="17"/>
  <c r="H1915" i="17"/>
  <c r="H1916" i="17"/>
  <c r="H1917" i="17"/>
  <c r="H1918" i="17"/>
  <c r="H1919" i="17"/>
  <c r="H1920" i="17"/>
  <c r="H1921" i="17"/>
  <c r="H1922" i="17"/>
  <c r="H1923" i="17"/>
  <c r="H1924" i="17"/>
  <c r="H1925" i="17"/>
  <c r="H1926" i="17"/>
  <c r="H1927" i="17"/>
  <c r="H1928" i="17"/>
  <c r="H1929" i="17"/>
  <c r="H1930" i="17"/>
  <c r="H1931" i="17"/>
  <c r="H1932" i="17"/>
  <c r="H1933" i="17"/>
  <c r="H1934" i="17"/>
  <c r="H1935" i="17"/>
  <c r="H1936" i="17"/>
  <c r="H1937" i="17"/>
  <c r="H1938" i="17"/>
  <c r="H1939" i="17"/>
  <c r="H1940" i="17"/>
  <c r="H1941" i="17"/>
  <c r="H1942" i="17"/>
  <c r="H1943" i="17"/>
  <c r="H1944" i="17"/>
  <c r="H1945" i="17"/>
  <c r="H1946" i="17"/>
  <c r="H1947" i="17"/>
  <c r="H1948" i="17"/>
  <c r="H1949" i="17"/>
  <c r="H1950" i="17"/>
  <c r="H1951" i="17"/>
  <c r="H1952" i="17"/>
  <c r="H1953" i="17"/>
  <c r="H1954" i="17"/>
  <c r="H1955" i="17"/>
  <c r="H1956" i="17"/>
  <c r="H1957" i="17"/>
  <c r="H1958" i="17"/>
  <c r="H1959" i="17"/>
  <c r="H1960" i="17"/>
  <c r="H1961" i="17"/>
  <c r="H1962" i="17"/>
  <c r="H1963" i="17"/>
  <c r="H1964" i="17"/>
  <c r="H1965" i="17"/>
  <c r="H1966" i="17"/>
  <c r="H1967" i="17"/>
  <c r="H1968" i="17"/>
  <c r="H1969" i="17"/>
  <c r="H1970" i="17"/>
  <c r="H1971" i="17"/>
  <c r="H1972" i="17"/>
  <c r="H1973" i="17"/>
  <c r="H1974" i="17"/>
  <c r="H1975" i="17"/>
  <c r="H1976" i="17"/>
  <c r="H1977" i="17"/>
  <c r="H1978" i="17"/>
  <c r="H1979" i="17"/>
  <c r="H1980" i="17"/>
  <c r="H1981" i="17"/>
  <c r="H1982" i="17"/>
  <c r="H1983" i="17"/>
  <c r="H1984" i="17"/>
  <c r="H1985" i="17"/>
  <c r="H1986" i="17"/>
  <c r="H1987" i="17"/>
  <c r="H1988" i="17"/>
  <c r="H1989" i="17"/>
  <c r="H1990" i="17"/>
  <c r="H1991" i="17"/>
  <c r="H1992" i="17"/>
  <c r="H1993" i="17"/>
  <c r="H1994" i="17"/>
  <c r="H1995" i="17"/>
  <c r="H1996" i="17"/>
  <c r="H1997" i="17"/>
  <c r="H1998" i="17"/>
  <c r="H1999" i="17"/>
  <c r="H2000" i="17"/>
  <c r="H2001" i="17"/>
  <c r="H2002" i="17"/>
  <c r="H2003" i="17"/>
  <c r="H2004" i="17"/>
  <c r="H2005" i="17"/>
  <c r="H2006" i="17"/>
  <c r="H2007" i="17"/>
  <c r="H2008" i="17"/>
  <c r="H2009" i="17"/>
  <c r="H2010" i="17"/>
  <c r="H2011" i="17"/>
  <c r="H2012" i="17"/>
  <c r="H2013" i="17"/>
  <c r="H2014" i="17"/>
  <c r="H2015" i="17"/>
  <c r="H2016" i="17"/>
  <c r="H2017" i="17"/>
  <c r="H2018" i="17"/>
  <c r="H2019" i="17"/>
  <c r="H2020" i="17"/>
  <c r="H2021" i="17"/>
  <c r="H2022" i="17"/>
  <c r="H2023" i="17"/>
  <c r="H2024" i="17"/>
  <c r="H2025" i="17"/>
  <c r="H2026" i="17"/>
  <c r="H2027" i="17"/>
  <c r="H2028" i="17"/>
  <c r="H2029" i="17"/>
  <c r="H2030" i="17"/>
  <c r="H2031" i="17"/>
  <c r="H2032" i="17"/>
  <c r="H2033" i="17"/>
  <c r="H2034" i="17"/>
  <c r="H2035" i="17"/>
  <c r="H2036" i="17"/>
  <c r="H2037" i="17"/>
  <c r="H2038" i="17"/>
  <c r="H2039" i="17"/>
  <c r="H2040" i="17"/>
  <c r="H2041" i="17"/>
  <c r="H2042" i="17"/>
  <c r="H2043" i="17"/>
  <c r="H2044" i="17"/>
  <c r="H2045" i="17"/>
  <c r="H2046" i="17"/>
  <c r="H2047" i="17"/>
  <c r="H2048" i="17"/>
  <c r="H2049" i="17"/>
  <c r="H2050" i="17"/>
  <c r="H2051" i="17"/>
  <c r="H2052" i="17"/>
  <c r="H2053" i="17"/>
  <c r="H2054" i="17"/>
  <c r="H2055" i="17"/>
  <c r="H2056" i="17"/>
  <c r="H2057" i="17"/>
  <c r="H2058" i="17"/>
  <c r="H2059" i="17"/>
  <c r="H2060" i="17"/>
  <c r="H2061" i="17"/>
  <c r="H2062" i="17"/>
  <c r="H2063" i="17"/>
  <c r="H2064" i="17"/>
  <c r="H2065" i="17"/>
  <c r="H2066" i="17"/>
  <c r="H2067" i="17"/>
  <c r="H2068" i="17"/>
  <c r="H2069" i="17"/>
  <c r="H2070" i="17"/>
  <c r="H2071" i="17"/>
  <c r="H2072" i="17"/>
  <c r="H2073" i="17"/>
  <c r="H2074" i="17"/>
  <c r="H2075" i="17"/>
  <c r="H2076" i="17"/>
  <c r="H2077" i="17"/>
  <c r="H2078" i="17"/>
  <c r="H2079" i="17"/>
  <c r="H2080" i="17"/>
  <c r="H2081" i="17"/>
  <c r="H2082" i="17"/>
  <c r="H2083" i="17"/>
  <c r="H2084" i="17"/>
  <c r="H2085" i="17"/>
  <c r="H2086" i="17"/>
  <c r="H2087" i="17"/>
  <c r="H2088" i="17"/>
  <c r="H2089" i="17"/>
  <c r="H2090" i="17"/>
  <c r="H2091" i="17"/>
  <c r="H2092" i="17"/>
  <c r="H2093" i="17"/>
  <c r="H2094" i="17"/>
  <c r="H2095" i="17"/>
  <c r="H2096" i="17"/>
  <c r="H2097" i="17"/>
  <c r="H2098" i="17"/>
  <c r="H2099" i="17"/>
  <c r="H2100" i="17"/>
  <c r="H2101" i="17"/>
  <c r="H2102" i="17"/>
  <c r="H2103" i="17"/>
  <c r="H2104" i="17"/>
  <c r="H2105" i="17"/>
  <c r="H2106" i="17"/>
  <c r="H2107" i="17"/>
  <c r="H2108" i="17"/>
  <c r="H2109" i="17"/>
  <c r="H2110" i="17"/>
  <c r="H2111" i="17"/>
  <c r="H2112" i="17"/>
  <c r="H2113" i="17"/>
  <c r="H2114" i="17"/>
  <c r="H2115" i="17"/>
  <c r="H2116" i="17"/>
  <c r="H2117" i="17"/>
  <c r="H2118" i="17"/>
  <c r="H2119" i="17"/>
  <c r="H2120" i="17"/>
  <c r="H2121" i="17"/>
  <c r="H2122" i="17"/>
  <c r="H2123" i="17"/>
  <c r="H2124" i="17"/>
  <c r="H2125" i="17"/>
  <c r="H2126" i="17"/>
  <c r="H2127" i="17"/>
  <c r="H2128" i="17"/>
  <c r="H2129" i="17"/>
  <c r="H2130" i="17"/>
  <c r="H2131" i="17"/>
  <c r="H2132" i="17"/>
  <c r="H2133" i="17"/>
  <c r="H2134" i="17"/>
  <c r="H2135" i="17"/>
  <c r="H2136" i="17"/>
  <c r="H2137" i="17"/>
  <c r="H2138" i="17"/>
  <c r="H2139" i="17"/>
  <c r="H2140" i="17"/>
  <c r="H2141" i="17"/>
  <c r="H2142" i="17"/>
  <c r="H2143" i="17"/>
  <c r="H2144" i="17"/>
  <c r="H2145" i="17"/>
  <c r="H2146" i="17"/>
  <c r="H2147" i="17"/>
  <c r="H2148" i="17"/>
  <c r="H2149" i="17"/>
  <c r="H2150" i="17"/>
  <c r="H2151" i="17"/>
  <c r="H2152" i="17"/>
  <c r="H2153" i="17"/>
  <c r="H2154" i="17"/>
  <c r="H2155" i="17"/>
  <c r="H2156" i="17"/>
  <c r="H2157" i="17"/>
  <c r="H2158" i="17"/>
  <c r="H2159" i="17"/>
  <c r="H2160" i="17"/>
  <c r="H2161" i="17"/>
  <c r="H2162" i="17"/>
  <c r="H2163" i="17"/>
  <c r="H2164" i="17"/>
  <c r="H2165" i="17"/>
  <c r="H2166" i="17"/>
  <c r="H2167" i="17"/>
  <c r="H2168" i="17"/>
  <c r="H2169" i="17"/>
  <c r="H2170" i="17"/>
  <c r="H2171" i="17"/>
  <c r="H2172" i="17"/>
  <c r="H2173" i="17"/>
  <c r="H2174" i="17"/>
  <c r="H2175" i="17"/>
  <c r="H2176" i="17"/>
  <c r="H2177" i="17"/>
  <c r="H2178" i="17"/>
  <c r="H2179" i="17"/>
  <c r="H2180" i="17"/>
  <c r="H2181" i="17"/>
  <c r="H2182" i="17"/>
  <c r="H2183" i="17"/>
  <c r="H2184" i="17"/>
  <c r="H2185" i="17"/>
  <c r="H2186" i="17"/>
  <c r="H2187" i="17"/>
  <c r="H2188" i="17"/>
  <c r="H2189" i="17"/>
  <c r="H2190" i="17"/>
  <c r="H2191" i="17"/>
  <c r="H2192" i="17"/>
  <c r="H2193" i="17"/>
  <c r="H2194" i="17"/>
  <c r="H2195" i="17"/>
  <c r="H2196" i="17"/>
  <c r="H2197" i="17"/>
  <c r="H2198" i="17"/>
  <c r="H2199" i="17"/>
  <c r="H2200" i="17"/>
  <c r="H2201" i="17"/>
  <c r="H2202" i="17"/>
  <c r="H2203" i="17"/>
  <c r="H2204" i="17"/>
  <c r="H2205" i="17"/>
  <c r="H2206" i="17"/>
  <c r="H2207" i="17"/>
  <c r="H2208" i="17"/>
  <c r="H2209" i="17"/>
  <c r="H2210" i="17"/>
  <c r="H2211" i="17"/>
  <c r="H2212" i="17"/>
  <c r="H2213" i="17"/>
  <c r="H2214" i="17"/>
  <c r="H2215" i="17"/>
  <c r="H2216" i="17"/>
  <c r="H2217" i="17"/>
  <c r="H2218" i="17"/>
  <c r="H2219" i="17"/>
  <c r="H2220" i="17"/>
  <c r="H2221" i="17"/>
  <c r="H2222" i="17"/>
  <c r="H2223" i="17"/>
  <c r="H2224" i="17"/>
  <c r="H2225" i="17"/>
  <c r="H2226" i="17"/>
  <c r="H2227" i="17"/>
  <c r="H2228" i="17"/>
  <c r="H2229" i="17"/>
  <c r="H2230" i="17"/>
  <c r="H2231" i="17"/>
  <c r="H2232" i="17"/>
  <c r="H2233" i="17"/>
  <c r="H2234" i="17"/>
  <c r="H2235" i="17"/>
  <c r="H2236" i="17"/>
  <c r="H2237" i="17"/>
  <c r="H2238" i="17"/>
  <c r="H2239" i="17"/>
  <c r="H2240" i="17"/>
  <c r="H2241" i="17"/>
  <c r="H2242" i="17"/>
  <c r="H2243" i="17"/>
  <c r="H2244" i="17"/>
  <c r="H2245" i="17"/>
  <c r="H2246" i="17"/>
  <c r="H2247" i="17"/>
  <c r="H2248" i="17"/>
  <c r="H2249" i="17"/>
  <c r="H2250" i="17"/>
  <c r="H2251" i="17"/>
  <c r="H2252" i="17"/>
  <c r="H2253" i="17"/>
  <c r="H2254" i="17"/>
  <c r="H2255" i="17"/>
  <c r="H2256" i="17"/>
  <c r="H2257" i="17"/>
  <c r="H2258" i="17"/>
  <c r="H2259" i="17"/>
  <c r="H2260" i="17"/>
  <c r="H2261" i="17"/>
  <c r="H2262" i="17"/>
  <c r="H2263" i="17"/>
  <c r="H2264" i="17"/>
  <c r="H2265" i="17"/>
  <c r="H2266" i="17"/>
  <c r="H2267" i="17"/>
  <c r="H2268" i="17"/>
  <c r="H2269" i="17"/>
  <c r="H2270" i="17"/>
  <c r="H2271" i="17"/>
  <c r="H2272" i="17"/>
  <c r="H2273" i="17"/>
  <c r="H2274" i="17"/>
  <c r="H2275" i="17"/>
  <c r="H2276" i="17"/>
  <c r="H2277" i="17"/>
  <c r="H2278" i="17"/>
  <c r="H2279" i="17"/>
  <c r="H2280" i="17"/>
  <c r="H2281" i="17"/>
  <c r="H2282" i="17"/>
  <c r="H2283" i="17"/>
  <c r="H2284" i="17"/>
  <c r="H2285" i="17"/>
  <c r="H2286" i="17"/>
  <c r="H2287" i="17"/>
  <c r="H2288" i="17"/>
  <c r="H2289" i="17"/>
  <c r="H2290" i="17"/>
  <c r="H2291" i="17"/>
  <c r="H2292" i="17"/>
  <c r="H2293" i="17"/>
  <c r="H2294" i="17"/>
  <c r="H2295" i="17"/>
  <c r="H2296" i="17"/>
  <c r="H2297" i="17"/>
  <c r="H2298" i="17"/>
  <c r="H2299" i="17"/>
  <c r="H2300" i="17"/>
  <c r="H2301" i="17"/>
  <c r="H2302" i="17"/>
  <c r="H2303" i="17"/>
  <c r="H2304" i="17"/>
  <c r="H2305" i="17"/>
  <c r="H2306" i="17"/>
  <c r="H2307" i="17"/>
  <c r="H2308" i="17"/>
  <c r="H2309" i="17"/>
  <c r="H2310" i="17"/>
  <c r="H2311" i="17"/>
  <c r="H2312" i="17"/>
  <c r="H2313" i="17"/>
  <c r="H2314" i="17"/>
  <c r="H2315" i="17"/>
  <c r="H2316" i="17"/>
  <c r="H2317" i="17"/>
  <c r="H2318" i="17"/>
  <c r="H2319" i="17"/>
  <c r="H2320" i="17"/>
  <c r="H2321" i="17"/>
  <c r="H2322" i="17"/>
  <c r="H2323" i="17"/>
  <c r="H2324" i="17"/>
  <c r="H2325" i="17"/>
  <c r="H2326" i="17"/>
  <c r="H2327" i="17"/>
  <c r="H2328" i="17"/>
  <c r="H2329" i="17"/>
  <c r="H2330" i="17"/>
  <c r="H2331" i="17"/>
  <c r="H2332" i="17"/>
  <c r="H2333" i="17"/>
  <c r="H2334" i="17"/>
  <c r="H2335" i="17"/>
  <c r="H2336" i="17"/>
  <c r="H2337" i="17"/>
  <c r="H2338" i="17"/>
  <c r="H2339" i="17"/>
  <c r="H2340" i="17"/>
  <c r="H2341" i="17"/>
  <c r="H2342" i="17"/>
  <c r="H2343" i="17"/>
  <c r="H2344" i="17"/>
  <c r="H2345" i="17"/>
  <c r="H2346" i="17"/>
  <c r="H2347" i="17"/>
  <c r="H2348" i="17"/>
  <c r="H2349" i="17"/>
  <c r="H2350" i="17"/>
  <c r="H2351" i="17"/>
  <c r="H2352" i="17"/>
  <c r="H2353" i="17"/>
  <c r="H2354" i="17"/>
  <c r="H2355" i="17"/>
  <c r="H2356" i="17"/>
  <c r="H2357" i="17"/>
  <c r="H2358" i="17"/>
  <c r="H2359" i="17"/>
  <c r="H2360" i="17"/>
  <c r="H2361" i="17"/>
  <c r="H2362" i="17"/>
  <c r="H2363" i="17"/>
  <c r="H2364" i="17"/>
  <c r="H2365" i="17"/>
  <c r="H2366" i="17"/>
  <c r="H2367" i="17"/>
  <c r="H2368" i="17"/>
  <c r="H2369" i="17"/>
  <c r="H2370" i="17"/>
  <c r="H2371" i="17"/>
  <c r="H2372" i="17"/>
  <c r="H2373" i="17"/>
  <c r="H2374" i="17"/>
  <c r="H2375" i="17"/>
  <c r="H2376" i="17"/>
  <c r="H2377" i="17"/>
  <c r="H2378" i="17"/>
  <c r="H2379" i="17"/>
  <c r="H2380" i="17"/>
  <c r="H2381" i="17"/>
  <c r="H2382" i="17"/>
  <c r="H2383" i="17"/>
  <c r="H2384" i="17"/>
  <c r="H2385" i="17"/>
  <c r="H2386" i="17"/>
  <c r="H2387" i="17"/>
  <c r="H2388" i="17"/>
  <c r="H2389" i="17"/>
  <c r="H2390" i="17"/>
  <c r="H2391" i="17"/>
  <c r="H2392" i="17"/>
  <c r="H2393" i="17"/>
  <c r="H2394" i="17"/>
  <c r="H2395" i="17"/>
  <c r="H2396" i="17"/>
  <c r="H2397" i="17"/>
  <c r="H2398" i="17"/>
  <c r="H2399" i="17"/>
  <c r="H2400" i="17"/>
  <c r="H2401" i="17"/>
  <c r="H2402" i="17"/>
  <c r="H2403" i="17"/>
  <c r="H2404" i="17"/>
  <c r="H2405" i="17"/>
  <c r="H2406" i="17"/>
  <c r="H2407" i="17"/>
  <c r="H2408" i="17"/>
  <c r="H2409" i="17"/>
  <c r="H2410" i="17"/>
  <c r="H2411" i="17"/>
  <c r="H2412" i="17"/>
  <c r="H2413" i="17"/>
  <c r="H2414" i="17"/>
  <c r="H2415" i="17"/>
  <c r="H2416" i="17"/>
  <c r="H2417" i="17"/>
  <c r="H2418" i="17"/>
  <c r="H2419" i="17"/>
  <c r="H2420" i="17"/>
  <c r="H2421" i="17"/>
  <c r="H2422" i="17"/>
  <c r="H2423" i="17"/>
  <c r="H2424" i="17"/>
  <c r="H2425" i="17"/>
  <c r="H2426" i="17"/>
  <c r="H2427" i="17"/>
  <c r="H2428" i="17"/>
  <c r="H2429" i="17"/>
  <c r="H2430" i="17"/>
  <c r="H2431" i="17"/>
  <c r="H2432" i="17"/>
  <c r="H2433" i="17"/>
  <c r="H2434" i="17"/>
  <c r="H2435" i="17"/>
  <c r="H2436" i="17"/>
  <c r="H2437" i="17"/>
  <c r="H2438" i="17"/>
  <c r="H2439" i="17"/>
  <c r="H2440" i="17"/>
  <c r="H2441" i="17"/>
  <c r="H2442" i="17"/>
  <c r="H2443" i="17"/>
  <c r="H2444" i="17"/>
  <c r="H2445" i="17"/>
  <c r="H2446" i="17"/>
  <c r="H2447" i="17"/>
  <c r="H2448" i="17"/>
  <c r="H2449" i="17"/>
  <c r="H2450" i="17"/>
  <c r="H2451" i="17"/>
  <c r="H2452" i="17"/>
  <c r="H2453" i="17"/>
  <c r="H2454" i="17"/>
  <c r="H2455" i="17"/>
  <c r="H2456" i="17"/>
  <c r="H2457" i="17"/>
  <c r="H2458" i="17"/>
  <c r="H2459" i="17"/>
  <c r="H2460" i="17"/>
  <c r="H2461" i="17"/>
  <c r="H2462" i="17"/>
  <c r="H2463" i="17"/>
  <c r="H2464" i="17"/>
  <c r="H2465" i="17"/>
  <c r="H2466" i="17"/>
  <c r="H2467" i="17"/>
  <c r="H2468" i="17"/>
  <c r="H2469" i="17"/>
  <c r="H2470" i="17"/>
  <c r="H2471" i="17"/>
  <c r="H2472" i="17"/>
  <c r="H2473" i="17"/>
  <c r="H2474" i="17"/>
  <c r="H2475" i="17"/>
  <c r="H2476" i="17"/>
  <c r="H2477" i="17"/>
  <c r="H2478" i="17"/>
  <c r="H2479" i="17"/>
  <c r="H2480" i="17"/>
  <c r="H2481" i="17"/>
  <c r="H2482" i="17"/>
  <c r="H2483" i="17"/>
  <c r="H2484" i="17"/>
  <c r="H2485" i="17"/>
  <c r="H2486" i="17"/>
  <c r="H2487" i="17"/>
  <c r="H2488" i="17"/>
  <c r="H2489" i="17"/>
  <c r="H2490" i="17"/>
  <c r="H2491" i="17"/>
  <c r="H2492" i="17"/>
  <c r="H2493" i="17"/>
  <c r="H2494" i="17"/>
  <c r="H2495" i="17"/>
  <c r="H2496" i="17"/>
  <c r="H2497" i="17"/>
  <c r="H2498" i="17"/>
  <c r="H2499" i="17"/>
  <c r="H2500" i="17"/>
  <c r="H2501" i="17"/>
  <c r="H2502" i="17"/>
  <c r="H2503" i="17"/>
  <c r="H2504" i="17"/>
  <c r="H2505" i="17"/>
  <c r="H2506" i="17"/>
  <c r="H2507" i="17"/>
  <c r="H2508" i="17"/>
  <c r="H2509" i="17"/>
  <c r="H2510" i="17"/>
  <c r="H2511" i="17"/>
  <c r="H2512" i="17"/>
  <c r="H2513" i="17"/>
  <c r="H2514" i="17"/>
  <c r="H2515" i="17"/>
  <c r="H2516" i="17"/>
  <c r="H2517" i="17"/>
  <c r="H2518" i="17"/>
  <c r="H2519" i="17"/>
  <c r="H2520" i="17"/>
  <c r="H2521" i="17"/>
  <c r="H2522" i="17"/>
  <c r="H2523" i="17"/>
  <c r="H2524" i="17"/>
  <c r="H2525" i="17"/>
  <c r="H2526" i="17"/>
  <c r="H2527" i="17"/>
  <c r="H2528" i="17"/>
  <c r="H2529" i="17"/>
  <c r="H2530" i="17"/>
  <c r="H2531" i="17"/>
  <c r="H2532" i="17"/>
  <c r="H2533" i="17"/>
  <c r="H2534" i="17"/>
  <c r="H2535" i="17"/>
  <c r="H2536" i="17"/>
  <c r="H2537" i="17"/>
  <c r="H2538" i="17"/>
  <c r="H2539" i="17"/>
  <c r="H2540" i="17"/>
  <c r="H2541" i="17"/>
  <c r="H2542" i="17"/>
  <c r="H2543" i="17"/>
  <c r="H2544" i="17"/>
  <c r="H2545" i="17"/>
  <c r="H2546" i="17"/>
  <c r="H2547" i="17"/>
  <c r="H2548" i="17"/>
  <c r="H2549" i="17"/>
  <c r="H2550" i="17"/>
  <c r="H2551" i="17"/>
  <c r="H2552" i="17"/>
  <c r="H2553" i="17"/>
  <c r="H2554" i="17"/>
  <c r="H2555" i="17"/>
  <c r="H2556" i="17"/>
  <c r="H2557" i="17"/>
  <c r="H2558" i="17"/>
  <c r="H2559" i="17"/>
  <c r="H2560" i="17"/>
  <c r="H2561" i="17"/>
  <c r="H2562" i="17"/>
  <c r="H2563" i="17"/>
  <c r="H2564" i="17"/>
  <c r="H2565" i="17"/>
  <c r="H2566" i="17"/>
  <c r="H2567" i="17"/>
  <c r="H2568" i="17"/>
  <c r="H2569" i="17"/>
  <c r="H2570" i="17"/>
  <c r="H2571" i="17"/>
  <c r="H2572" i="17"/>
  <c r="H2573" i="17"/>
  <c r="H2574" i="17"/>
  <c r="H2575" i="17"/>
  <c r="H2576" i="17"/>
  <c r="H2577" i="17"/>
  <c r="H2578" i="17"/>
  <c r="H2579" i="17"/>
  <c r="H2580" i="17"/>
  <c r="H2581" i="17"/>
  <c r="H2582" i="17"/>
  <c r="H2583" i="17"/>
  <c r="H2584" i="17"/>
  <c r="H2585" i="17"/>
  <c r="H2586" i="17"/>
  <c r="H2587" i="17"/>
  <c r="H2588" i="17"/>
  <c r="H2589" i="17"/>
  <c r="H2590" i="17"/>
  <c r="H2591" i="17"/>
  <c r="H2592" i="17"/>
  <c r="H2593" i="17"/>
  <c r="H2594" i="17"/>
  <c r="H2595" i="17"/>
  <c r="H2596" i="17"/>
  <c r="H2597" i="17"/>
  <c r="H2598" i="17"/>
  <c r="H2599" i="17"/>
  <c r="H2600" i="17"/>
  <c r="H2601" i="17"/>
  <c r="H2602" i="17"/>
  <c r="H2603" i="17"/>
  <c r="H2604" i="17"/>
  <c r="H2605" i="17"/>
  <c r="H2606" i="17"/>
  <c r="H2607" i="17"/>
  <c r="H2608" i="17"/>
  <c r="H2609" i="17"/>
  <c r="H2610" i="17"/>
  <c r="H2611" i="17"/>
  <c r="H2612" i="17"/>
  <c r="H2613" i="17"/>
  <c r="H2614" i="17"/>
  <c r="H2615" i="17"/>
  <c r="H2616" i="17"/>
  <c r="H2617" i="17"/>
  <c r="H2618" i="17"/>
  <c r="H2619" i="17"/>
  <c r="H2620" i="17"/>
  <c r="H2621" i="17"/>
  <c r="H2622" i="17"/>
  <c r="H2623" i="17"/>
  <c r="H2624" i="17"/>
  <c r="H2625" i="17"/>
  <c r="H2626" i="17"/>
  <c r="H2627" i="17"/>
  <c r="H2628" i="17"/>
  <c r="H2629" i="17"/>
  <c r="H2630" i="17"/>
  <c r="H2631" i="17"/>
  <c r="H2632" i="17"/>
  <c r="H2633" i="17"/>
  <c r="H2634" i="17"/>
  <c r="H2635" i="17"/>
  <c r="H2636" i="17"/>
  <c r="H2637" i="17"/>
  <c r="H2638" i="17"/>
  <c r="H2639" i="17"/>
  <c r="H2640" i="17"/>
  <c r="H2641" i="17"/>
  <c r="H2642" i="17"/>
  <c r="H2643" i="17"/>
  <c r="H2644" i="17"/>
  <c r="H2645" i="17"/>
  <c r="H2646" i="17"/>
  <c r="H2647" i="17"/>
  <c r="H2648" i="17"/>
  <c r="H2649" i="17"/>
  <c r="H2650" i="17"/>
  <c r="H2651" i="17"/>
  <c r="H2652" i="17"/>
  <c r="H2653" i="17"/>
  <c r="H2654" i="17"/>
  <c r="H2655" i="17"/>
  <c r="H2656" i="17"/>
  <c r="H2657" i="17"/>
  <c r="H2658" i="17"/>
  <c r="H2659" i="17"/>
  <c r="H2660" i="17"/>
  <c r="H2661" i="17"/>
  <c r="H2662" i="17"/>
  <c r="H2663" i="17"/>
  <c r="H2664" i="17"/>
  <c r="H2665" i="17"/>
  <c r="H2666" i="17"/>
  <c r="H2667" i="17"/>
  <c r="H2668" i="17"/>
  <c r="H2669" i="17"/>
  <c r="H2670" i="17"/>
  <c r="H2671" i="17"/>
  <c r="H2672" i="17"/>
  <c r="H2673" i="17"/>
  <c r="H2674" i="17"/>
  <c r="H2675" i="17"/>
  <c r="H2676" i="17"/>
  <c r="H2677" i="17"/>
  <c r="H2678" i="17"/>
  <c r="H2679" i="17"/>
  <c r="H2680" i="17"/>
  <c r="H2681" i="17"/>
  <c r="H2682" i="17"/>
  <c r="H2683" i="17"/>
  <c r="H2684" i="17"/>
  <c r="H2685" i="17"/>
  <c r="H2686" i="17"/>
  <c r="H2687" i="17"/>
  <c r="H2688" i="17"/>
  <c r="H2689" i="17"/>
  <c r="H2690" i="17"/>
  <c r="H2691" i="17"/>
  <c r="H2692" i="17"/>
  <c r="H2693" i="17"/>
  <c r="H2694" i="17"/>
  <c r="H2695" i="17"/>
  <c r="H2696" i="17"/>
  <c r="H2697" i="17"/>
  <c r="H2698" i="17"/>
  <c r="H2699" i="17"/>
  <c r="H2700" i="17"/>
  <c r="H2701" i="17"/>
  <c r="H2702" i="17"/>
  <c r="H2703" i="17"/>
  <c r="H2704" i="17"/>
  <c r="H2705" i="17"/>
  <c r="H2706" i="17"/>
  <c r="H2707" i="17"/>
  <c r="H2708" i="17"/>
  <c r="H2709" i="17"/>
  <c r="H2710" i="17"/>
  <c r="H2711" i="17"/>
  <c r="H2712" i="17"/>
  <c r="H2713" i="17"/>
  <c r="H2714" i="17"/>
  <c r="H2715" i="17"/>
  <c r="H2716" i="17"/>
  <c r="H2717" i="17"/>
  <c r="H2718" i="17"/>
  <c r="H2719" i="17"/>
  <c r="H2720" i="17"/>
  <c r="H2721" i="17"/>
  <c r="H2722" i="17"/>
  <c r="H2723" i="17"/>
  <c r="H2724" i="17"/>
  <c r="H2725" i="17"/>
  <c r="H2726" i="17"/>
  <c r="H2727" i="17"/>
  <c r="H2728" i="17"/>
  <c r="H2729" i="17"/>
  <c r="H2730" i="17"/>
  <c r="H2731" i="17"/>
  <c r="H2732" i="17"/>
  <c r="H2733" i="17"/>
  <c r="H2734" i="17"/>
  <c r="H2735" i="17"/>
  <c r="H2736" i="17"/>
  <c r="H2737" i="17"/>
  <c r="H2738" i="17"/>
  <c r="H2739" i="17"/>
  <c r="H2740" i="17"/>
  <c r="H2741" i="17"/>
  <c r="H2742" i="17"/>
  <c r="H2743" i="17"/>
  <c r="H2744" i="17"/>
  <c r="H2745" i="17"/>
  <c r="H2746" i="17"/>
  <c r="H2747" i="17"/>
  <c r="H2748" i="17"/>
  <c r="H2749" i="17"/>
  <c r="H2750" i="17"/>
  <c r="H2751" i="17"/>
  <c r="H2752" i="17"/>
  <c r="H2753" i="17"/>
  <c r="H2754" i="17"/>
  <c r="H2755" i="17"/>
  <c r="H2756" i="17"/>
  <c r="H2757" i="17"/>
  <c r="H2758" i="17"/>
  <c r="H2759" i="17"/>
  <c r="H2760" i="17"/>
  <c r="H2761" i="17"/>
  <c r="H2762" i="17"/>
  <c r="H2763" i="17"/>
  <c r="H2764" i="17"/>
  <c r="H2765" i="17"/>
  <c r="H2766" i="17"/>
  <c r="H2767" i="17"/>
  <c r="H2768" i="17"/>
  <c r="H2769" i="17"/>
  <c r="H2770" i="17"/>
  <c r="H2771" i="17"/>
  <c r="H2772" i="17"/>
  <c r="H2773" i="17"/>
  <c r="H2774" i="17"/>
  <c r="H2775" i="17"/>
  <c r="H2776" i="17"/>
  <c r="H2777" i="17"/>
  <c r="H2778" i="17"/>
  <c r="H2779" i="17"/>
  <c r="H2780" i="17"/>
  <c r="H2781" i="17"/>
  <c r="H2782" i="17"/>
  <c r="H2783" i="17"/>
  <c r="H2784" i="17"/>
  <c r="H2785" i="17"/>
  <c r="H2786" i="17"/>
  <c r="H2787" i="17"/>
  <c r="H2788" i="17"/>
  <c r="H2789" i="17"/>
  <c r="H2790" i="17"/>
  <c r="H2791" i="17"/>
  <c r="H2792" i="17"/>
  <c r="H2793" i="17"/>
  <c r="H2794" i="17"/>
  <c r="H2795" i="17"/>
  <c r="H2796" i="17"/>
  <c r="H2797" i="17"/>
  <c r="H2798" i="17"/>
  <c r="H2799" i="17"/>
  <c r="H2800" i="17"/>
  <c r="H2801" i="17"/>
  <c r="H2802" i="17"/>
  <c r="H2803" i="17"/>
  <c r="H2804" i="17"/>
  <c r="H2805" i="17"/>
  <c r="H2806" i="17"/>
  <c r="H2807" i="17"/>
  <c r="H2808" i="17"/>
  <c r="H2809" i="17"/>
  <c r="H2810" i="17"/>
  <c r="H2811" i="17"/>
  <c r="H2812" i="17"/>
  <c r="H2813" i="17"/>
  <c r="H2814" i="17"/>
  <c r="H2815" i="17"/>
  <c r="H2816" i="17"/>
  <c r="H2817" i="17"/>
  <c r="H2818" i="17"/>
  <c r="H2819" i="17"/>
  <c r="H2820" i="17"/>
  <c r="H2821" i="17"/>
  <c r="H2822" i="17"/>
  <c r="H2823" i="17"/>
  <c r="H2824" i="17"/>
  <c r="H2825" i="17"/>
  <c r="H2826" i="17"/>
  <c r="H2827" i="17"/>
  <c r="H2828" i="17"/>
  <c r="H2829" i="17"/>
  <c r="H2830" i="17"/>
  <c r="H2831" i="17"/>
  <c r="H2832" i="17"/>
  <c r="H2833" i="17"/>
  <c r="H2834" i="17"/>
  <c r="H2835" i="17"/>
  <c r="H2836" i="17"/>
  <c r="H2837" i="17"/>
  <c r="H2838" i="17"/>
  <c r="H2839" i="17"/>
  <c r="H2840" i="17"/>
  <c r="H2841" i="17"/>
  <c r="H2842" i="17"/>
  <c r="H2843" i="17"/>
  <c r="H2844" i="17"/>
  <c r="H2845" i="17"/>
  <c r="H2846" i="17"/>
  <c r="H2847" i="17"/>
  <c r="H2848" i="17"/>
  <c r="H2849" i="17"/>
  <c r="H2850" i="17"/>
  <c r="H2851" i="17"/>
  <c r="H2852" i="17"/>
  <c r="H2853" i="17"/>
  <c r="H2854" i="17"/>
  <c r="H2855" i="17"/>
  <c r="H2856" i="17"/>
  <c r="H2857" i="17"/>
  <c r="H2858" i="17"/>
  <c r="H2859" i="17"/>
  <c r="H2860" i="17"/>
  <c r="H2861" i="17"/>
  <c r="H2862" i="17"/>
  <c r="H2863" i="17"/>
  <c r="H2864" i="17"/>
  <c r="H2865" i="17"/>
  <c r="H2866" i="17"/>
  <c r="H2867" i="17"/>
  <c r="H2868" i="17"/>
  <c r="H2869" i="17"/>
  <c r="H2870" i="17"/>
  <c r="H2871" i="17"/>
  <c r="H2872" i="17"/>
  <c r="H2873" i="17"/>
  <c r="H2874" i="17"/>
  <c r="H2875" i="17"/>
  <c r="H2876" i="17"/>
  <c r="H2877" i="17"/>
  <c r="H2878" i="17"/>
  <c r="H2879" i="17"/>
  <c r="H2880" i="17"/>
  <c r="H2881" i="17"/>
  <c r="H2882" i="17"/>
  <c r="H2883" i="17"/>
  <c r="H2884" i="17"/>
  <c r="H2885" i="17"/>
  <c r="H2886" i="17"/>
  <c r="H2887" i="17"/>
  <c r="H2888" i="17"/>
  <c r="H2889" i="17"/>
  <c r="H2890" i="17"/>
  <c r="H2891" i="17"/>
  <c r="H2892" i="17"/>
  <c r="H2893" i="17"/>
  <c r="H2894" i="17"/>
  <c r="H2895" i="17"/>
  <c r="H2896" i="17"/>
  <c r="H2897" i="17"/>
  <c r="H2898" i="17"/>
  <c r="H2899" i="17"/>
  <c r="H2900" i="17"/>
  <c r="H2901" i="17"/>
  <c r="H2902" i="17"/>
  <c r="H2903" i="17"/>
  <c r="H2904" i="17"/>
  <c r="H2905" i="17"/>
  <c r="H2906" i="17"/>
  <c r="H2907" i="17"/>
  <c r="H2908" i="17"/>
  <c r="H2909" i="17"/>
  <c r="H2910" i="17"/>
  <c r="H2911" i="17"/>
  <c r="H2912" i="17"/>
  <c r="H2913" i="17"/>
  <c r="H2914" i="17"/>
  <c r="H2915" i="17"/>
  <c r="H2916" i="17"/>
  <c r="H2917" i="17"/>
  <c r="H2918" i="17"/>
  <c r="H2919" i="17"/>
  <c r="H2920" i="17"/>
  <c r="H2921" i="17"/>
  <c r="H2922" i="17"/>
  <c r="H2923" i="17"/>
  <c r="H2924" i="17"/>
  <c r="H2925" i="17"/>
  <c r="H2926" i="17"/>
  <c r="H2927" i="17"/>
  <c r="H2928" i="17"/>
  <c r="H2929" i="17"/>
  <c r="H2930" i="17"/>
  <c r="H2931" i="17"/>
  <c r="H2932" i="17"/>
  <c r="H2933" i="17"/>
  <c r="H2934" i="17"/>
  <c r="H2935" i="17"/>
  <c r="H2936" i="17"/>
  <c r="H2937" i="17"/>
  <c r="H2938" i="17"/>
  <c r="H2939" i="17"/>
  <c r="H2940" i="17"/>
  <c r="H2941" i="17"/>
  <c r="H2942" i="17"/>
  <c r="H2943" i="17"/>
  <c r="H2944" i="17"/>
  <c r="H2945" i="17"/>
  <c r="H2946" i="17"/>
  <c r="H2947" i="17"/>
  <c r="H2948" i="17"/>
  <c r="H2949" i="17"/>
  <c r="H2950" i="17"/>
  <c r="H2951" i="17"/>
  <c r="H2952" i="17"/>
  <c r="H2953" i="17"/>
  <c r="H2954" i="17"/>
  <c r="H2955" i="17"/>
  <c r="H2956" i="17"/>
  <c r="H2957" i="17"/>
  <c r="H2958" i="17"/>
  <c r="H2959" i="17"/>
  <c r="H2960" i="17"/>
  <c r="H2961" i="17"/>
  <c r="H2962" i="17"/>
  <c r="H2963" i="17"/>
  <c r="H2964" i="17"/>
  <c r="H2965" i="17"/>
  <c r="H2966" i="17"/>
  <c r="H2967" i="17"/>
  <c r="H2968" i="17"/>
  <c r="H2969" i="17"/>
  <c r="H2970" i="17"/>
  <c r="H2971" i="17"/>
  <c r="H2972" i="17"/>
  <c r="H2973" i="17"/>
  <c r="H2974" i="17"/>
  <c r="H2975" i="17"/>
  <c r="H2976" i="17"/>
  <c r="H2977" i="17"/>
  <c r="H2978" i="17"/>
  <c r="H2979" i="17"/>
  <c r="H2980" i="17"/>
  <c r="H2981" i="17"/>
  <c r="H2982" i="17"/>
  <c r="H2983" i="17"/>
  <c r="H2984" i="17"/>
  <c r="H2985" i="17"/>
  <c r="H2986" i="17"/>
  <c r="H2987" i="17"/>
  <c r="H2988" i="17"/>
  <c r="H2989" i="17"/>
  <c r="H2990" i="17"/>
  <c r="H2991" i="17"/>
  <c r="H2992" i="17"/>
  <c r="H2993" i="17"/>
  <c r="H2994" i="17"/>
  <c r="H2995" i="17"/>
  <c r="H2996" i="17"/>
  <c r="H2997" i="17"/>
  <c r="H2998" i="17"/>
  <c r="H2999" i="17"/>
  <c r="H3000" i="17"/>
  <c r="H3001" i="17"/>
  <c r="H3002" i="17"/>
  <c r="H3003" i="17"/>
  <c r="H3004" i="17"/>
  <c r="H3005" i="17"/>
  <c r="H3006" i="17"/>
  <c r="H3007" i="17"/>
  <c r="H3008" i="17"/>
  <c r="H3009" i="17"/>
  <c r="H3010" i="17"/>
  <c r="H3011" i="17"/>
  <c r="H3012" i="17"/>
  <c r="H3013" i="17"/>
  <c r="H3014" i="17"/>
  <c r="H3015" i="17"/>
  <c r="H3016" i="17"/>
  <c r="H3017" i="17"/>
  <c r="H3018" i="17"/>
  <c r="H3019" i="17"/>
  <c r="H3020" i="17"/>
  <c r="H3021" i="17"/>
  <c r="H3022" i="17"/>
  <c r="H3023" i="17"/>
  <c r="H3024" i="17"/>
  <c r="H3025" i="17"/>
  <c r="H3026" i="17"/>
  <c r="H3027" i="17"/>
  <c r="H3028" i="17"/>
  <c r="H3029" i="17"/>
  <c r="H3030" i="17"/>
  <c r="H3031" i="17"/>
  <c r="H3032" i="17"/>
  <c r="H3033" i="17"/>
  <c r="H3034" i="17"/>
  <c r="H3035" i="17"/>
  <c r="H3036" i="17"/>
  <c r="H3037" i="17"/>
  <c r="H3038" i="17"/>
  <c r="H3039" i="17"/>
  <c r="H3040" i="17"/>
  <c r="H3041" i="17"/>
  <c r="H3042" i="17"/>
  <c r="H3043" i="17"/>
  <c r="H3044" i="17"/>
  <c r="H3045" i="17"/>
  <c r="H3046" i="17"/>
  <c r="H3047" i="17"/>
  <c r="H3048" i="17"/>
  <c r="H3049" i="17"/>
  <c r="H3050" i="17"/>
  <c r="H3051" i="17"/>
  <c r="H3052" i="17"/>
  <c r="H3053" i="17"/>
  <c r="H3054" i="17"/>
  <c r="H3055" i="17"/>
  <c r="H3056" i="17"/>
  <c r="H3057" i="17"/>
  <c r="H3058" i="17"/>
  <c r="H3059" i="17"/>
  <c r="H3060" i="17"/>
  <c r="H3061" i="17"/>
  <c r="H3062" i="17"/>
  <c r="H3063" i="17"/>
  <c r="H3064" i="17"/>
  <c r="H3065" i="17"/>
  <c r="H3066" i="17"/>
  <c r="H3067" i="17"/>
  <c r="H3068" i="17"/>
  <c r="H3069" i="17"/>
  <c r="H3070" i="17"/>
  <c r="H3071" i="17"/>
  <c r="H3072" i="17"/>
  <c r="H3073" i="17"/>
  <c r="H3074" i="17"/>
  <c r="H3075" i="17"/>
  <c r="H3076" i="17"/>
  <c r="H3077" i="17"/>
  <c r="H3078" i="17"/>
  <c r="H3079" i="17"/>
  <c r="H3080" i="17"/>
  <c r="H3081" i="17"/>
  <c r="H3082" i="17"/>
  <c r="H3083" i="17"/>
  <c r="H3084" i="17"/>
  <c r="H3085" i="17"/>
  <c r="H3086" i="17"/>
  <c r="H3087" i="17"/>
  <c r="H3088" i="17"/>
  <c r="H3089" i="17"/>
  <c r="H3090" i="17"/>
  <c r="H3091" i="17"/>
  <c r="H3092" i="17"/>
  <c r="H3093" i="17"/>
  <c r="H3094" i="17"/>
  <c r="H3095" i="17"/>
  <c r="H3096" i="17"/>
  <c r="H3097" i="17"/>
  <c r="H3098" i="17"/>
  <c r="H3099" i="17"/>
  <c r="H3100" i="17"/>
  <c r="H3101" i="17"/>
  <c r="H3102" i="17"/>
  <c r="H3103" i="17"/>
  <c r="H3104" i="17"/>
  <c r="H3105" i="17"/>
  <c r="H3106" i="17"/>
  <c r="H3107" i="17"/>
  <c r="H3108" i="17"/>
  <c r="H3109" i="17"/>
  <c r="H3110" i="17"/>
  <c r="H3111" i="17"/>
  <c r="H3112" i="17"/>
  <c r="H3113" i="17"/>
  <c r="H3114" i="17"/>
  <c r="H3115" i="17"/>
  <c r="H3116" i="17"/>
  <c r="H3117" i="17"/>
  <c r="H3118" i="17"/>
  <c r="H3119" i="17"/>
  <c r="H3120" i="17"/>
  <c r="H3121" i="17"/>
  <c r="H3122" i="17"/>
  <c r="H3123" i="17"/>
  <c r="H3124" i="17"/>
  <c r="H3125" i="17"/>
  <c r="H3126" i="17"/>
  <c r="H3127" i="17"/>
  <c r="H3128" i="17"/>
  <c r="H3129" i="17"/>
  <c r="H3130" i="17"/>
  <c r="H3131" i="17"/>
  <c r="H3132" i="17"/>
  <c r="H3133" i="17"/>
  <c r="H3134" i="17"/>
  <c r="H3135" i="17"/>
  <c r="H3136" i="17"/>
  <c r="H3137" i="17"/>
  <c r="H3138" i="17"/>
  <c r="H3139" i="17"/>
  <c r="H3140" i="17"/>
  <c r="H3141" i="17"/>
  <c r="H3142" i="17"/>
  <c r="H3143" i="17"/>
  <c r="H3144" i="17"/>
  <c r="H3145" i="17"/>
  <c r="H3146" i="17"/>
  <c r="H3147" i="17"/>
  <c r="H3148" i="17"/>
  <c r="H3149" i="17"/>
  <c r="H3150" i="17"/>
  <c r="H3151" i="17"/>
  <c r="H3152" i="17"/>
  <c r="H3153" i="17"/>
  <c r="H3154" i="17"/>
  <c r="H3155" i="17"/>
  <c r="H3156" i="17"/>
  <c r="H3157" i="17"/>
  <c r="H3158" i="17"/>
  <c r="H3159" i="17"/>
  <c r="H3160" i="17"/>
  <c r="H3161" i="17"/>
  <c r="H3162" i="17"/>
  <c r="H3163" i="17"/>
  <c r="H3164" i="17"/>
  <c r="H3165" i="17"/>
  <c r="H3166" i="17"/>
  <c r="H3167" i="17"/>
  <c r="H3168" i="17"/>
  <c r="H3169" i="17"/>
  <c r="H3170" i="17"/>
  <c r="H3171" i="17"/>
  <c r="H3172" i="17"/>
  <c r="H3173" i="17"/>
  <c r="H3174" i="17"/>
  <c r="H3175" i="17"/>
  <c r="H3176" i="17"/>
  <c r="H3177" i="17"/>
  <c r="H3178" i="17"/>
  <c r="H3179" i="17"/>
  <c r="H3180" i="17"/>
  <c r="H3181" i="17"/>
  <c r="H3182" i="17"/>
  <c r="H3183" i="17"/>
  <c r="H3184" i="17"/>
  <c r="H3185" i="17"/>
  <c r="H3186" i="17"/>
  <c r="H3187" i="17"/>
  <c r="H3188" i="17"/>
  <c r="H3189" i="17"/>
  <c r="H3190" i="17"/>
  <c r="H3191" i="17"/>
  <c r="H3192" i="17"/>
  <c r="H3193" i="17"/>
  <c r="H3194" i="17"/>
  <c r="H3195" i="17"/>
  <c r="H3196" i="17"/>
  <c r="H3197" i="17"/>
  <c r="H3198" i="17"/>
  <c r="H3199" i="17"/>
  <c r="H3200" i="17"/>
  <c r="H3201" i="17"/>
  <c r="H3202" i="17"/>
  <c r="H3203" i="17"/>
  <c r="H3204" i="17"/>
  <c r="H3205" i="17"/>
  <c r="H3206" i="17"/>
  <c r="H3207" i="17"/>
  <c r="H3208" i="17"/>
  <c r="H3209" i="17"/>
  <c r="H3210" i="17"/>
  <c r="H3211" i="17"/>
  <c r="H3212" i="17"/>
  <c r="H3213" i="17"/>
  <c r="H3214" i="17"/>
  <c r="H3215" i="17"/>
  <c r="H3216" i="17"/>
  <c r="H3217" i="17"/>
  <c r="H3218" i="17"/>
  <c r="H3219" i="17"/>
  <c r="H3220" i="17"/>
  <c r="H3221" i="17"/>
  <c r="H3222" i="17"/>
  <c r="H3223" i="17"/>
  <c r="H3224" i="17"/>
  <c r="H3225" i="17"/>
  <c r="H3226" i="17"/>
  <c r="H3227" i="17"/>
  <c r="H3228" i="17"/>
  <c r="H3229" i="17"/>
  <c r="H3230" i="17"/>
  <c r="H3231" i="17"/>
  <c r="H3232" i="17"/>
  <c r="H3233" i="17"/>
  <c r="H3234" i="17"/>
  <c r="H3235" i="17"/>
  <c r="H3236" i="17"/>
  <c r="H3237" i="17"/>
  <c r="H3238" i="17"/>
  <c r="H3239" i="17"/>
  <c r="H3240" i="17"/>
  <c r="H3241" i="17"/>
  <c r="H3242" i="17"/>
  <c r="H3243" i="17"/>
  <c r="H3244" i="17"/>
  <c r="H3245" i="17"/>
  <c r="H3246" i="17"/>
  <c r="H3247" i="17"/>
  <c r="H3248" i="17"/>
  <c r="H3249" i="17"/>
  <c r="H3250" i="17"/>
  <c r="H3251" i="17"/>
  <c r="H3252" i="17"/>
  <c r="H3253" i="17"/>
  <c r="H3254" i="17"/>
  <c r="H3255" i="17"/>
  <c r="H3256" i="17"/>
  <c r="H3257" i="17"/>
  <c r="H3258" i="17"/>
  <c r="H3259" i="17"/>
  <c r="H3260" i="17"/>
  <c r="H3261" i="17"/>
  <c r="H3262" i="17"/>
  <c r="H3263" i="17"/>
  <c r="H3264" i="17"/>
  <c r="H3265" i="17"/>
  <c r="H3266" i="17"/>
  <c r="H3267" i="17"/>
  <c r="H3268" i="17"/>
  <c r="H3269" i="17"/>
  <c r="H3270" i="17"/>
  <c r="H3271" i="17"/>
  <c r="H3272" i="17"/>
  <c r="H3273" i="17"/>
  <c r="H3274" i="17"/>
  <c r="H3275" i="17"/>
  <c r="H3276" i="17"/>
  <c r="H3277" i="17"/>
  <c r="H3278" i="17"/>
  <c r="H3279" i="17"/>
  <c r="H3280" i="17"/>
  <c r="H3281" i="17"/>
  <c r="H3282" i="17"/>
  <c r="H3283" i="17"/>
  <c r="H3284" i="17"/>
  <c r="H3285" i="17"/>
  <c r="H3286" i="17"/>
  <c r="H3287" i="17"/>
  <c r="H3288" i="17"/>
  <c r="H3289" i="17"/>
  <c r="H3290" i="17"/>
  <c r="H3291" i="17"/>
  <c r="H3292" i="17"/>
  <c r="H3293" i="17"/>
  <c r="H3294" i="17"/>
  <c r="H3295" i="17"/>
  <c r="H3296" i="17"/>
  <c r="H3297" i="17"/>
  <c r="H3298" i="17"/>
  <c r="H3299" i="17"/>
  <c r="H3300" i="17"/>
  <c r="H3301" i="17"/>
  <c r="H3302" i="17"/>
  <c r="H3303" i="17"/>
  <c r="H3304" i="17"/>
  <c r="H3305" i="17"/>
  <c r="H3306" i="17"/>
  <c r="H3307" i="17"/>
  <c r="H3308" i="17"/>
  <c r="H3309" i="17"/>
  <c r="H3310" i="17"/>
  <c r="H3311" i="17"/>
  <c r="H3312" i="17"/>
  <c r="H3313" i="17"/>
  <c r="H3314" i="17"/>
  <c r="H3315" i="17"/>
  <c r="H3316" i="17"/>
  <c r="H3317" i="17"/>
  <c r="H3318" i="17"/>
  <c r="H3319" i="17"/>
  <c r="H3320" i="17"/>
  <c r="H3321" i="17"/>
  <c r="H3322" i="17"/>
  <c r="H3323" i="17"/>
  <c r="H3324" i="17"/>
  <c r="H3325" i="17"/>
  <c r="H3326" i="17"/>
  <c r="H3327" i="17"/>
  <c r="H3328" i="17"/>
  <c r="H3329" i="17"/>
  <c r="H3330" i="17"/>
  <c r="H3331" i="17"/>
  <c r="H3332" i="17"/>
  <c r="H3333" i="17"/>
  <c r="H3334" i="17"/>
  <c r="H3335" i="17"/>
  <c r="H3336" i="17"/>
  <c r="H3337" i="17"/>
  <c r="H3338" i="17"/>
  <c r="H3339" i="17"/>
  <c r="H3340" i="17"/>
  <c r="H3341" i="17"/>
  <c r="H3342" i="17"/>
  <c r="H3343" i="17"/>
  <c r="H3344" i="17"/>
  <c r="H3345" i="17"/>
  <c r="H3346" i="17"/>
  <c r="H3347" i="17"/>
  <c r="H3348" i="17"/>
  <c r="H3349" i="17"/>
  <c r="H3350" i="17"/>
  <c r="H3351" i="17"/>
  <c r="H3352" i="17"/>
  <c r="H3353" i="17"/>
  <c r="H3354" i="17"/>
  <c r="H3355" i="17"/>
  <c r="H3356" i="17"/>
  <c r="H3357" i="17"/>
  <c r="H3358" i="17"/>
  <c r="H3359" i="17"/>
  <c r="H3360" i="17"/>
  <c r="H3361" i="17"/>
  <c r="H3362" i="17"/>
  <c r="H3363" i="17"/>
  <c r="H3364" i="17"/>
  <c r="H3365" i="17"/>
  <c r="H3366" i="17"/>
  <c r="H3367" i="17"/>
  <c r="H3368" i="17"/>
  <c r="H3369" i="17"/>
  <c r="H3370" i="17"/>
  <c r="H3371" i="17"/>
  <c r="H3372" i="17"/>
  <c r="H3373" i="17"/>
  <c r="H3374" i="17"/>
  <c r="H3375" i="17"/>
  <c r="H3376" i="17"/>
  <c r="H3377" i="17"/>
  <c r="H3378" i="17"/>
  <c r="H3379" i="17"/>
  <c r="H3380" i="17"/>
  <c r="H3381" i="17"/>
  <c r="H3382" i="17"/>
  <c r="H3383" i="17"/>
  <c r="H3384" i="17"/>
  <c r="H3385" i="17"/>
  <c r="H3386" i="17"/>
  <c r="H3387" i="17"/>
  <c r="H3388" i="17"/>
  <c r="H3389" i="17"/>
  <c r="H3390" i="17"/>
  <c r="H3391" i="17"/>
  <c r="H3392" i="17"/>
  <c r="H3393" i="17"/>
  <c r="H3394" i="17"/>
  <c r="H3395" i="17"/>
  <c r="H3396" i="17"/>
  <c r="H3397" i="17"/>
  <c r="H3398" i="17"/>
  <c r="H3399" i="17"/>
  <c r="H3400" i="17"/>
  <c r="H3401" i="17"/>
  <c r="H3402" i="17"/>
  <c r="H3403" i="17"/>
  <c r="H3404" i="17"/>
  <c r="H3405" i="17"/>
  <c r="H3406" i="17"/>
  <c r="H3407" i="17"/>
  <c r="H3408" i="17"/>
  <c r="H3409" i="17"/>
  <c r="H3410" i="17"/>
  <c r="H3411" i="17"/>
  <c r="H3412" i="17"/>
  <c r="H3413" i="17"/>
  <c r="H3414" i="17"/>
  <c r="H3415" i="17"/>
  <c r="H3416" i="17"/>
  <c r="H3417" i="17"/>
  <c r="H3418" i="17"/>
  <c r="H3419" i="17"/>
  <c r="H3420" i="17"/>
  <c r="H3421" i="17"/>
  <c r="H3422" i="17"/>
  <c r="H3423" i="17"/>
  <c r="H3424" i="17"/>
  <c r="H3425" i="17"/>
  <c r="H3426" i="17"/>
  <c r="H3427" i="17"/>
  <c r="H3428" i="17"/>
  <c r="H3429" i="17"/>
  <c r="H3430" i="17"/>
  <c r="H3431" i="17"/>
  <c r="H3432" i="17"/>
  <c r="H3433" i="17"/>
  <c r="H3434" i="17"/>
  <c r="H3435" i="17"/>
  <c r="H3436" i="17"/>
  <c r="H3437" i="17"/>
  <c r="H3438" i="17"/>
  <c r="H3439" i="17"/>
  <c r="H3440" i="17"/>
  <c r="H3441" i="17"/>
  <c r="H3442" i="17"/>
  <c r="H3443" i="17"/>
  <c r="H3444" i="17"/>
  <c r="H3445" i="17"/>
  <c r="H3446" i="17"/>
  <c r="H3447" i="17"/>
  <c r="H3448" i="17"/>
  <c r="H3449" i="17"/>
  <c r="H3450" i="17"/>
  <c r="H3451" i="17"/>
  <c r="H3452" i="17"/>
  <c r="H3453" i="17"/>
  <c r="H3454" i="17"/>
  <c r="H3455" i="17"/>
  <c r="H3456" i="17"/>
  <c r="H3457" i="17"/>
  <c r="H3458" i="17"/>
  <c r="H3459" i="17"/>
  <c r="H3460" i="17"/>
  <c r="H3461" i="17"/>
  <c r="H3462" i="17"/>
  <c r="H3463" i="17"/>
  <c r="H3464" i="17"/>
  <c r="H3465" i="17"/>
  <c r="H3466" i="17"/>
  <c r="H3467" i="17"/>
  <c r="H3468" i="17"/>
  <c r="H3469" i="17"/>
  <c r="H3470" i="17"/>
  <c r="H3471" i="17"/>
  <c r="H3472" i="17"/>
  <c r="H3473" i="17"/>
  <c r="H3474" i="17"/>
  <c r="H3475" i="17"/>
  <c r="H3476" i="17"/>
  <c r="H3477" i="17"/>
  <c r="H3478" i="17"/>
  <c r="H3479" i="17"/>
  <c r="H3480" i="17"/>
  <c r="H3481" i="17"/>
  <c r="H3482" i="17"/>
  <c r="H3483" i="17"/>
  <c r="H3484" i="17"/>
  <c r="H3485" i="17"/>
  <c r="H3486" i="17"/>
  <c r="H3487" i="17"/>
  <c r="H3488" i="17"/>
  <c r="H3489" i="17"/>
  <c r="H3490" i="17"/>
  <c r="H3491" i="17"/>
  <c r="H3492" i="17"/>
  <c r="H3493" i="17"/>
  <c r="H3494" i="17"/>
  <c r="H3495" i="17"/>
  <c r="H3496" i="17"/>
  <c r="H3497" i="17"/>
  <c r="H3498" i="17"/>
  <c r="H3499" i="17"/>
  <c r="H3500" i="17"/>
  <c r="H3501" i="17"/>
  <c r="H3502" i="17"/>
  <c r="H3503" i="17"/>
  <c r="H3504" i="17"/>
  <c r="H3505" i="17"/>
  <c r="H3506" i="17"/>
  <c r="H3507" i="17"/>
  <c r="H3508" i="17"/>
  <c r="H3509" i="17"/>
  <c r="H3510" i="17"/>
  <c r="H3511" i="17"/>
  <c r="H3512" i="17"/>
  <c r="H3513" i="17"/>
  <c r="H3514" i="17"/>
  <c r="H3515" i="17"/>
  <c r="H3516" i="17"/>
  <c r="H3517" i="17"/>
  <c r="H3518" i="17"/>
  <c r="H3519" i="17"/>
  <c r="H3520" i="17"/>
  <c r="H3521" i="17"/>
  <c r="I2" i="17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I507" i="17"/>
  <c r="I508" i="17"/>
  <c r="I509" i="17"/>
  <c r="I510" i="17"/>
  <c r="I511" i="17"/>
  <c r="I512" i="17"/>
  <c r="I513" i="17"/>
  <c r="I514" i="17"/>
  <c r="I515" i="17"/>
  <c r="I516" i="17"/>
  <c r="I517" i="17"/>
  <c r="I518" i="17"/>
  <c r="I519" i="17"/>
  <c r="I520" i="17"/>
  <c r="I521" i="17"/>
  <c r="I522" i="17"/>
  <c r="I523" i="17"/>
  <c r="I524" i="17"/>
  <c r="I525" i="17"/>
  <c r="I526" i="17"/>
  <c r="I527" i="17"/>
  <c r="I528" i="17"/>
  <c r="I529" i="17"/>
  <c r="I530" i="17"/>
  <c r="I531" i="17"/>
  <c r="I532" i="17"/>
  <c r="I533" i="17"/>
  <c r="I534" i="17"/>
  <c r="I535" i="17"/>
  <c r="I536" i="17"/>
  <c r="I537" i="17"/>
  <c r="I538" i="17"/>
  <c r="I539" i="17"/>
  <c r="I540" i="17"/>
  <c r="I541" i="17"/>
  <c r="I542" i="17"/>
  <c r="I543" i="17"/>
  <c r="I544" i="17"/>
  <c r="I545" i="17"/>
  <c r="I546" i="17"/>
  <c r="I547" i="17"/>
  <c r="I548" i="17"/>
  <c r="I549" i="17"/>
  <c r="I550" i="17"/>
  <c r="I551" i="17"/>
  <c r="I552" i="17"/>
  <c r="I553" i="17"/>
  <c r="I554" i="17"/>
  <c r="I555" i="17"/>
  <c r="I556" i="17"/>
  <c r="I557" i="17"/>
  <c r="I558" i="17"/>
  <c r="I559" i="17"/>
  <c r="I560" i="17"/>
  <c r="I561" i="17"/>
  <c r="I562" i="17"/>
  <c r="I563" i="17"/>
  <c r="I564" i="17"/>
  <c r="I565" i="17"/>
  <c r="I566" i="17"/>
  <c r="I567" i="17"/>
  <c r="I568" i="17"/>
  <c r="I569" i="17"/>
  <c r="I570" i="17"/>
  <c r="I571" i="17"/>
  <c r="I572" i="17"/>
  <c r="I573" i="17"/>
  <c r="I574" i="17"/>
  <c r="I575" i="17"/>
  <c r="I576" i="17"/>
  <c r="I577" i="17"/>
  <c r="I578" i="17"/>
  <c r="I579" i="17"/>
  <c r="I580" i="17"/>
  <c r="I581" i="17"/>
  <c r="I582" i="17"/>
  <c r="I583" i="17"/>
  <c r="I584" i="17"/>
  <c r="I585" i="17"/>
  <c r="I586" i="17"/>
  <c r="I587" i="17"/>
  <c r="I588" i="17"/>
  <c r="I589" i="17"/>
  <c r="I590" i="17"/>
  <c r="I591" i="17"/>
  <c r="I592" i="17"/>
  <c r="I593" i="17"/>
  <c r="I594" i="17"/>
  <c r="I595" i="17"/>
  <c r="I596" i="17"/>
  <c r="I597" i="17"/>
  <c r="I598" i="17"/>
  <c r="I599" i="17"/>
  <c r="I600" i="17"/>
  <c r="I601" i="17"/>
  <c r="I602" i="17"/>
  <c r="I603" i="17"/>
  <c r="I604" i="17"/>
  <c r="I605" i="17"/>
  <c r="I606" i="17"/>
  <c r="I607" i="17"/>
  <c r="I608" i="17"/>
  <c r="I609" i="17"/>
  <c r="I610" i="17"/>
  <c r="I611" i="17"/>
  <c r="I612" i="17"/>
  <c r="I613" i="17"/>
  <c r="I614" i="17"/>
  <c r="I615" i="17"/>
  <c r="I616" i="17"/>
  <c r="I617" i="17"/>
  <c r="I618" i="17"/>
  <c r="I619" i="17"/>
  <c r="I620" i="17"/>
  <c r="I621" i="17"/>
  <c r="I622" i="17"/>
  <c r="I623" i="17"/>
  <c r="I624" i="17"/>
  <c r="I625" i="17"/>
  <c r="I626" i="17"/>
  <c r="I627" i="17"/>
  <c r="I628" i="17"/>
  <c r="I629" i="17"/>
  <c r="I630" i="17"/>
  <c r="I631" i="17"/>
  <c r="I632" i="17"/>
  <c r="I633" i="17"/>
  <c r="I634" i="17"/>
  <c r="I635" i="17"/>
  <c r="I636" i="17"/>
  <c r="I637" i="17"/>
  <c r="I638" i="17"/>
  <c r="I639" i="17"/>
  <c r="I640" i="17"/>
  <c r="I641" i="17"/>
  <c r="I642" i="17"/>
  <c r="I643" i="17"/>
  <c r="I644" i="17"/>
  <c r="I645" i="17"/>
  <c r="I646" i="17"/>
  <c r="I647" i="17"/>
  <c r="I648" i="17"/>
  <c r="I649" i="17"/>
  <c r="I650" i="17"/>
  <c r="I651" i="17"/>
  <c r="I652" i="17"/>
  <c r="I653" i="17"/>
  <c r="I654" i="17"/>
  <c r="I655" i="17"/>
  <c r="I656" i="17"/>
  <c r="I657" i="17"/>
  <c r="I658" i="17"/>
  <c r="I659" i="17"/>
  <c r="I660" i="17"/>
  <c r="I661" i="17"/>
  <c r="I662" i="17"/>
  <c r="I663" i="17"/>
  <c r="I664" i="17"/>
  <c r="I665" i="17"/>
  <c r="I666" i="17"/>
  <c r="I667" i="17"/>
  <c r="I668" i="17"/>
  <c r="I669" i="17"/>
  <c r="I670" i="17"/>
  <c r="I671" i="17"/>
  <c r="I672" i="17"/>
  <c r="I673" i="17"/>
  <c r="I674" i="17"/>
  <c r="I675" i="17"/>
  <c r="I676" i="17"/>
  <c r="I677" i="17"/>
  <c r="I678" i="17"/>
  <c r="I679" i="17"/>
  <c r="I680" i="17"/>
  <c r="I681" i="17"/>
  <c r="I682" i="17"/>
  <c r="I683" i="17"/>
  <c r="I684" i="17"/>
  <c r="I685" i="17"/>
  <c r="I686" i="17"/>
  <c r="I687" i="17"/>
  <c r="I688" i="17"/>
  <c r="I689" i="17"/>
  <c r="I690" i="17"/>
  <c r="I691" i="17"/>
  <c r="I692" i="17"/>
  <c r="I693" i="17"/>
  <c r="I694" i="17"/>
  <c r="I695" i="17"/>
  <c r="I696" i="17"/>
  <c r="I697" i="17"/>
  <c r="I698" i="17"/>
  <c r="I699" i="17"/>
  <c r="I700" i="17"/>
  <c r="I701" i="17"/>
  <c r="I702" i="17"/>
  <c r="I703" i="17"/>
  <c r="I704" i="17"/>
  <c r="I705" i="17"/>
  <c r="I706" i="17"/>
  <c r="I707" i="17"/>
  <c r="I708" i="17"/>
  <c r="I709" i="17"/>
  <c r="I710" i="17"/>
  <c r="I711" i="17"/>
  <c r="I712" i="17"/>
  <c r="I713" i="17"/>
  <c r="I714" i="17"/>
  <c r="I715" i="17"/>
  <c r="I716" i="17"/>
  <c r="I717" i="17"/>
  <c r="I718" i="17"/>
  <c r="I719" i="17"/>
  <c r="I720" i="17"/>
  <c r="I721" i="17"/>
  <c r="I722" i="17"/>
  <c r="I723" i="17"/>
  <c r="I724" i="17"/>
  <c r="I725" i="17"/>
  <c r="I726" i="17"/>
  <c r="I727" i="17"/>
  <c r="I728" i="17"/>
  <c r="I729" i="17"/>
  <c r="I730" i="17"/>
  <c r="I731" i="17"/>
  <c r="I732" i="17"/>
  <c r="I733" i="17"/>
  <c r="I734" i="17"/>
  <c r="I735" i="17"/>
  <c r="I736" i="17"/>
  <c r="I737" i="17"/>
  <c r="I738" i="17"/>
  <c r="I739" i="17"/>
  <c r="I740" i="17"/>
  <c r="I741" i="17"/>
  <c r="I742" i="17"/>
  <c r="I743" i="17"/>
  <c r="I744" i="17"/>
  <c r="I745" i="17"/>
  <c r="I746" i="17"/>
  <c r="I747" i="17"/>
  <c r="I748" i="17"/>
  <c r="I749" i="17"/>
  <c r="I750" i="17"/>
  <c r="I751" i="17"/>
  <c r="I752" i="17"/>
  <c r="I753" i="17"/>
  <c r="I754" i="17"/>
  <c r="I755" i="17"/>
  <c r="I756" i="17"/>
  <c r="I757" i="17"/>
  <c r="I758" i="17"/>
  <c r="I759" i="17"/>
  <c r="I760" i="17"/>
  <c r="I761" i="17"/>
  <c r="I762" i="17"/>
  <c r="I763" i="17"/>
  <c r="I764" i="17"/>
  <c r="I765" i="17"/>
  <c r="I766" i="17"/>
  <c r="I767" i="17"/>
  <c r="I768" i="17"/>
  <c r="I769" i="17"/>
  <c r="I770" i="17"/>
  <c r="I771" i="17"/>
  <c r="I772" i="17"/>
  <c r="I773" i="17"/>
  <c r="I774" i="17"/>
  <c r="I775" i="17"/>
  <c r="I776" i="17"/>
  <c r="I777" i="17"/>
  <c r="I778" i="17"/>
  <c r="I779" i="17"/>
  <c r="I780" i="17"/>
  <c r="I781" i="17"/>
  <c r="I782" i="17"/>
  <c r="I783" i="17"/>
  <c r="I784" i="17"/>
  <c r="I785" i="17"/>
  <c r="I786" i="17"/>
  <c r="I787" i="17"/>
  <c r="I788" i="17"/>
  <c r="I789" i="17"/>
  <c r="I790" i="17"/>
  <c r="I791" i="17"/>
  <c r="I792" i="17"/>
  <c r="I793" i="17"/>
  <c r="I794" i="17"/>
  <c r="I795" i="17"/>
  <c r="I796" i="17"/>
  <c r="I797" i="17"/>
  <c r="I798" i="17"/>
  <c r="I799" i="17"/>
  <c r="I800" i="17"/>
  <c r="I801" i="17"/>
  <c r="I802" i="17"/>
  <c r="I803" i="17"/>
  <c r="I804" i="17"/>
  <c r="I805" i="17"/>
  <c r="I806" i="17"/>
  <c r="I807" i="17"/>
  <c r="I808" i="17"/>
  <c r="I809" i="17"/>
  <c r="I810" i="17"/>
  <c r="I811" i="17"/>
  <c r="I812" i="17"/>
  <c r="I813" i="17"/>
  <c r="I814" i="17"/>
  <c r="I815" i="17"/>
  <c r="I816" i="17"/>
  <c r="I817" i="17"/>
  <c r="I818" i="17"/>
  <c r="I819" i="17"/>
  <c r="I820" i="17"/>
  <c r="I821" i="17"/>
  <c r="I822" i="17"/>
  <c r="I823" i="17"/>
  <c r="I824" i="17"/>
  <c r="I825" i="17"/>
  <c r="I826" i="17"/>
  <c r="I827" i="17"/>
  <c r="I828" i="17"/>
  <c r="I829" i="17"/>
  <c r="I830" i="17"/>
  <c r="I831" i="17"/>
  <c r="I832" i="17"/>
  <c r="I833" i="17"/>
  <c r="I834" i="17"/>
  <c r="I835" i="17"/>
  <c r="I836" i="17"/>
  <c r="I837" i="17"/>
  <c r="I838" i="17"/>
  <c r="I839" i="17"/>
  <c r="I840" i="17"/>
  <c r="I841" i="17"/>
  <c r="I842" i="17"/>
  <c r="I843" i="17"/>
  <c r="I844" i="17"/>
  <c r="I845" i="17"/>
  <c r="I846" i="17"/>
  <c r="I847" i="17"/>
  <c r="I848" i="17"/>
  <c r="I849" i="17"/>
  <c r="I850" i="17"/>
  <c r="I851" i="17"/>
  <c r="I852" i="17"/>
  <c r="I853" i="17"/>
  <c r="I854" i="17"/>
  <c r="I855" i="17"/>
  <c r="I856" i="17"/>
  <c r="I857" i="17"/>
  <c r="I858" i="17"/>
  <c r="I859" i="17"/>
  <c r="I860" i="17"/>
  <c r="I861" i="17"/>
  <c r="I862" i="17"/>
  <c r="I863" i="17"/>
  <c r="I864" i="17"/>
  <c r="I865" i="17"/>
  <c r="I866" i="17"/>
  <c r="I867" i="17"/>
  <c r="I868" i="17"/>
  <c r="I869" i="17"/>
  <c r="I870" i="17"/>
  <c r="I871" i="17"/>
  <c r="I872" i="17"/>
  <c r="I873" i="17"/>
  <c r="I874" i="17"/>
  <c r="I875" i="17"/>
  <c r="I876" i="17"/>
  <c r="I877" i="17"/>
  <c r="I878" i="17"/>
  <c r="I879" i="17"/>
  <c r="I880" i="17"/>
  <c r="I881" i="17"/>
  <c r="I882" i="17"/>
  <c r="I883" i="17"/>
  <c r="I884" i="17"/>
  <c r="I885" i="17"/>
  <c r="I886" i="17"/>
  <c r="I887" i="17"/>
  <c r="I888" i="17"/>
  <c r="I889" i="17"/>
  <c r="I890" i="17"/>
  <c r="I891" i="17"/>
  <c r="I892" i="17"/>
  <c r="I893" i="17"/>
  <c r="I894" i="17"/>
  <c r="I895" i="17"/>
  <c r="I896" i="17"/>
  <c r="I897" i="17"/>
  <c r="I898" i="17"/>
  <c r="I899" i="17"/>
  <c r="I900" i="17"/>
  <c r="I901" i="17"/>
  <c r="I902" i="17"/>
  <c r="I903" i="17"/>
  <c r="I904" i="17"/>
  <c r="I905" i="17"/>
  <c r="I906" i="17"/>
  <c r="I907" i="17"/>
  <c r="I908" i="17"/>
  <c r="I909" i="17"/>
  <c r="I910" i="17"/>
  <c r="I911" i="17"/>
  <c r="I912" i="17"/>
  <c r="I913" i="17"/>
  <c r="I914" i="17"/>
  <c r="I915" i="17"/>
  <c r="I916" i="17"/>
  <c r="I917" i="17"/>
  <c r="I918" i="17"/>
  <c r="I919" i="17"/>
  <c r="I920" i="17"/>
  <c r="I921" i="17"/>
  <c r="I922" i="17"/>
  <c r="I923" i="17"/>
  <c r="I924" i="17"/>
  <c r="I925" i="17"/>
  <c r="I926" i="17"/>
  <c r="I927" i="17"/>
  <c r="I928" i="17"/>
  <c r="I929" i="17"/>
  <c r="I930" i="17"/>
  <c r="I931" i="17"/>
  <c r="I932" i="17"/>
  <c r="I933" i="17"/>
  <c r="I934" i="17"/>
  <c r="I935" i="17"/>
  <c r="I936" i="17"/>
  <c r="I937" i="17"/>
  <c r="I938" i="17"/>
  <c r="I939" i="17"/>
  <c r="I940" i="17"/>
  <c r="I941" i="17"/>
  <c r="I942" i="17"/>
  <c r="I943" i="17"/>
  <c r="I944" i="17"/>
  <c r="I945" i="17"/>
  <c r="I946" i="17"/>
  <c r="I947" i="17"/>
  <c r="I948" i="17"/>
  <c r="I949" i="17"/>
  <c r="I950" i="17"/>
  <c r="I951" i="17"/>
  <c r="I952" i="17"/>
  <c r="I953" i="17"/>
  <c r="I954" i="17"/>
  <c r="I955" i="17"/>
  <c r="I956" i="17"/>
  <c r="I957" i="17"/>
  <c r="I958" i="17"/>
  <c r="I959" i="17"/>
  <c r="I960" i="17"/>
  <c r="I961" i="17"/>
  <c r="I962" i="17"/>
  <c r="I963" i="17"/>
  <c r="I964" i="17"/>
  <c r="I965" i="17"/>
  <c r="I966" i="17"/>
  <c r="I967" i="17"/>
  <c r="I968" i="17"/>
  <c r="I969" i="17"/>
  <c r="I970" i="17"/>
  <c r="I971" i="17"/>
  <c r="I972" i="17"/>
  <c r="I973" i="17"/>
  <c r="I974" i="17"/>
  <c r="I975" i="17"/>
  <c r="I976" i="17"/>
  <c r="I977" i="17"/>
  <c r="I978" i="17"/>
  <c r="I979" i="17"/>
  <c r="I980" i="17"/>
  <c r="I981" i="17"/>
  <c r="I982" i="17"/>
  <c r="I983" i="17"/>
  <c r="I984" i="17"/>
  <c r="I985" i="17"/>
  <c r="I986" i="17"/>
  <c r="I987" i="17"/>
  <c r="I988" i="17"/>
  <c r="I989" i="17"/>
  <c r="I990" i="17"/>
  <c r="I991" i="17"/>
  <c r="I992" i="17"/>
  <c r="I993" i="17"/>
  <c r="I994" i="17"/>
  <c r="I995" i="17"/>
  <c r="I996" i="17"/>
  <c r="I997" i="17"/>
  <c r="I998" i="17"/>
  <c r="I999" i="17"/>
  <c r="I1000" i="17"/>
  <c r="I1001" i="17"/>
  <c r="I1002" i="17"/>
  <c r="I1003" i="17"/>
  <c r="I1004" i="17"/>
  <c r="I1005" i="17"/>
  <c r="I1006" i="17"/>
  <c r="I1007" i="17"/>
  <c r="I1008" i="17"/>
  <c r="I1009" i="17"/>
  <c r="I1010" i="17"/>
  <c r="I1011" i="17"/>
  <c r="I1012" i="17"/>
  <c r="I1013" i="17"/>
  <c r="I1014" i="17"/>
  <c r="I1015" i="17"/>
  <c r="I1016" i="17"/>
  <c r="I1017" i="17"/>
  <c r="I1018" i="17"/>
  <c r="I1019" i="17"/>
  <c r="I1020" i="17"/>
  <c r="I1021" i="17"/>
  <c r="I1022" i="17"/>
  <c r="I1023" i="17"/>
  <c r="I1024" i="17"/>
  <c r="I1025" i="17"/>
  <c r="I1026" i="17"/>
  <c r="I1027" i="17"/>
  <c r="I1028" i="17"/>
  <c r="I1029" i="17"/>
  <c r="I1030" i="17"/>
  <c r="I1031" i="17"/>
  <c r="I1032" i="17"/>
  <c r="I1033" i="17"/>
  <c r="I1034" i="17"/>
  <c r="I1035" i="17"/>
  <c r="I1036" i="17"/>
  <c r="I1037" i="17"/>
  <c r="I1038" i="17"/>
  <c r="I1039" i="17"/>
  <c r="I1040" i="17"/>
  <c r="I1041" i="17"/>
  <c r="I1042" i="17"/>
  <c r="I1043" i="17"/>
  <c r="I1044" i="17"/>
  <c r="I1045" i="17"/>
  <c r="I1046" i="17"/>
  <c r="I1047" i="17"/>
  <c r="I1048" i="17"/>
  <c r="I1049" i="17"/>
  <c r="I1050" i="17"/>
  <c r="I1051" i="17"/>
  <c r="I1052" i="17"/>
  <c r="I1053" i="17"/>
  <c r="I1054" i="17"/>
  <c r="I1055" i="17"/>
  <c r="I1056" i="17"/>
  <c r="I1057" i="17"/>
  <c r="I1058" i="17"/>
  <c r="I1059" i="17"/>
  <c r="I1060" i="17"/>
  <c r="I1061" i="17"/>
  <c r="I1062" i="17"/>
  <c r="I1063" i="17"/>
  <c r="I1064" i="17"/>
  <c r="I1065" i="17"/>
  <c r="I1066" i="17"/>
  <c r="I1067" i="17"/>
  <c r="I1068" i="17"/>
  <c r="I1069" i="17"/>
  <c r="I1070" i="17"/>
  <c r="I1071" i="17"/>
  <c r="I1072" i="17"/>
  <c r="I1073" i="17"/>
  <c r="I1074" i="17"/>
  <c r="I1075" i="17"/>
  <c r="I1076" i="17"/>
  <c r="I1077" i="17"/>
  <c r="I1078" i="17"/>
  <c r="I1079" i="17"/>
  <c r="I1080" i="17"/>
  <c r="I1081" i="17"/>
  <c r="I1082" i="17"/>
  <c r="I1083" i="17"/>
  <c r="I1084" i="17"/>
  <c r="I1085" i="17"/>
  <c r="I1086" i="17"/>
  <c r="I1087" i="17"/>
  <c r="I1088" i="17"/>
  <c r="I1089" i="17"/>
  <c r="I1090" i="17"/>
  <c r="I1091" i="17"/>
  <c r="I1092" i="17"/>
  <c r="I1093" i="17"/>
  <c r="I1094" i="17"/>
  <c r="I1095" i="17"/>
  <c r="I1096" i="17"/>
  <c r="I1097" i="17"/>
  <c r="I1098" i="17"/>
  <c r="I1099" i="17"/>
  <c r="I1100" i="17"/>
  <c r="I1101" i="17"/>
  <c r="I1102" i="17"/>
  <c r="I1103" i="17"/>
  <c r="I1104" i="17"/>
  <c r="I1105" i="17"/>
  <c r="I1106" i="17"/>
  <c r="I1107" i="17"/>
  <c r="I1108" i="17"/>
  <c r="I1109" i="17"/>
  <c r="I1110" i="17"/>
  <c r="I1111" i="17"/>
  <c r="I1112" i="17"/>
  <c r="I1113" i="17"/>
  <c r="I1114" i="17"/>
  <c r="I1115" i="17"/>
  <c r="I1116" i="17"/>
  <c r="I1117" i="17"/>
  <c r="I1118" i="17"/>
  <c r="I1119" i="17"/>
  <c r="I1120" i="17"/>
  <c r="I1121" i="17"/>
  <c r="I1122" i="17"/>
  <c r="I1123" i="17"/>
  <c r="I1124" i="17"/>
  <c r="I1125" i="17"/>
  <c r="I1126" i="17"/>
  <c r="I1127" i="17"/>
  <c r="I1128" i="17"/>
  <c r="I1129" i="17"/>
  <c r="I1130" i="17"/>
  <c r="I1131" i="17"/>
  <c r="I1132" i="17"/>
  <c r="I1133" i="17"/>
  <c r="I1134" i="17"/>
  <c r="I1135" i="17"/>
  <c r="I1136" i="17"/>
  <c r="I1137" i="17"/>
  <c r="I1138" i="17"/>
  <c r="I1139" i="17"/>
  <c r="I1140" i="17"/>
  <c r="I1141" i="17"/>
  <c r="I1142" i="17"/>
  <c r="I1143" i="17"/>
  <c r="I1144" i="17"/>
  <c r="I1145" i="17"/>
  <c r="I1146" i="17"/>
  <c r="I1147" i="17"/>
  <c r="I1148" i="17"/>
  <c r="I1149" i="17"/>
  <c r="I1150" i="17"/>
  <c r="I1151" i="17"/>
  <c r="I1152" i="17"/>
  <c r="I1153" i="17"/>
  <c r="I1154" i="17"/>
  <c r="I1155" i="17"/>
  <c r="I1156" i="17"/>
  <c r="I1157" i="17"/>
  <c r="I1158" i="17"/>
  <c r="I1159" i="17"/>
  <c r="I1160" i="17"/>
  <c r="I1161" i="17"/>
  <c r="I1162" i="17"/>
  <c r="I1163" i="17"/>
  <c r="I1164" i="17"/>
  <c r="I1165" i="17"/>
  <c r="I1166" i="17"/>
  <c r="I1167" i="17"/>
  <c r="I1168" i="17"/>
  <c r="I1169" i="17"/>
  <c r="I1170" i="17"/>
  <c r="I1171" i="17"/>
  <c r="I1172" i="17"/>
  <c r="I1173" i="17"/>
  <c r="I1174" i="17"/>
  <c r="I1175" i="17"/>
  <c r="I1176" i="17"/>
  <c r="I1177" i="17"/>
  <c r="I1178" i="17"/>
  <c r="I1179" i="17"/>
  <c r="I1180" i="17"/>
  <c r="I1181" i="17"/>
  <c r="I1182" i="17"/>
  <c r="I1183" i="17"/>
  <c r="I1184" i="17"/>
  <c r="I1185" i="17"/>
  <c r="I1186" i="17"/>
  <c r="I1187" i="17"/>
  <c r="I1188" i="17"/>
  <c r="I1189" i="17"/>
  <c r="I1190" i="17"/>
  <c r="I1191" i="17"/>
  <c r="I1192" i="17"/>
  <c r="I1193" i="17"/>
  <c r="I1194" i="17"/>
  <c r="I1195" i="17"/>
  <c r="I1196" i="17"/>
  <c r="I1197" i="17"/>
  <c r="I1198" i="17"/>
  <c r="I1199" i="17"/>
  <c r="I1200" i="17"/>
  <c r="I1201" i="17"/>
  <c r="I1202" i="17"/>
  <c r="I1203" i="17"/>
  <c r="I1204" i="17"/>
  <c r="I1205" i="17"/>
  <c r="I1206" i="17"/>
  <c r="I1207" i="17"/>
  <c r="I1208" i="17"/>
  <c r="I1209" i="17"/>
  <c r="I1210" i="17"/>
  <c r="I1211" i="17"/>
  <c r="I1212" i="17"/>
  <c r="I1213" i="17"/>
  <c r="I1214" i="17"/>
  <c r="I1215" i="17"/>
  <c r="I1216" i="17"/>
  <c r="I1217" i="17"/>
  <c r="I1218" i="17"/>
  <c r="I1219" i="17"/>
  <c r="I1220" i="17"/>
  <c r="I1221" i="17"/>
  <c r="I1222" i="17"/>
  <c r="I1223" i="17"/>
  <c r="I1224" i="17"/>
  <c r="I1225" i="17"/>
  <c r="I1226" i="17"/>
  <c r="I1227" i="17"/>
  <c r="I1228" i="17"/>
  <c r="I1229" i="17"/>
  <c r="I1230" i="17"/>
  <c r="I1231" i="17"/>
  <c r="I1232" i="17"/>
  <c r="I1233" i="17"/>
  <c r="I1234" i="17"/>
  <c r="I1235" i="17"/>
  <c r="I1236" i="17"/>
  <c r="I1237" i="17"/>
  <c r="I1238" i="17"/>
  <c r="I1239" i="17"/>
  <c r="I1240" i="17"/>
  <c r="I1241" i="17"/>
  <c r="I1242" i="17"/>
  <c r="I1243" i="17"/>
  <c r="I1244" i="17"/>
  <c r="I1245" i="17"/>
  <c r="I1246" i="17"/>
  <c r="I1247" i="17"/>
  <c r="I1248" i="17"/>
  <c r="I1249" i="17"/>
  <c r="I1250" i="17"/>
  <c r="I1251" i="17"/>
  <c r="I1252" i="17"/>
  <c r="I1253" i="17"/>
  <c r="I1254" i="17"/>
  <c r="I1255" i="17"/>
  <c r="I1256" i="17"/>
  <c r="I1257" i="17"/>
  <c r="I1258" i="17"/>
  <c r="I1259" i="17"/>
  <c r="I1260" i="17"/>
  <c r="I1261" i="17"/>
  <c r="I1262" i="17"/>
  <c r="I1263" i="17"/>
  <c r="I1264" i="17"/>
  <c r="I1265" i="17"/>
  <c r="I1266" i="17"/>
  <c r="I1267" i="17"/>
  <c r="I1268" i="17"/>
  <c r="I1269" i="17"/>
  <c r="I1270" i="17"/>
  <c r="I1271" i="17"/>
  <c r="I1272" i="17"/>
  <c r="I1273" i="17"/>
  <c r="I1274" i="17"/>
  <c r="I1275" i="17"/>
  <c r="I1276" i="17"/>
  <c r="I1277" i="17"/>
  <c r="I1278" i="17"/>
  <c r="I1279" i="17"/>
  <c r="I1280" i="17"/>
  <c r="I1281" i="17"/>
  <c r="I1282" i="17"/>
  <c r="I1283" i="17"/>
  <c r="I1284" i="17"/>
  <c r="I1285" i="17"/>
  <c r="I1286" i="17"/>
  <c r="I1287" i="17"/>
  <c r="I1288" i="17"/>
  <c r="I1289" i="17"/>
  <c r="I1290" i="17"/>
  <c r="I1291" i="17"/>
  <c r="I1292" i="17"/>
  <c r="I1293" i="17"/>
  <c r="I1294" i="17"/>
  <c r="I1295" i="17"/>
  <c r="I1296" i="17"/>
  <c r="I1297" i="17"/>
  <c r="I1298" i="17"/>
  <c r="I1299" i="17"/>
  <c r="I1300" i="17"/>
  <c r="I1301" i="17"/>
  <c r="I1302" i="17"/>
  <c r="I1303" i="17"/>
  <c r="I1304" i="17"/>
  <c r="I1305" i="17"/>
  <c r="I1306" i="17"/>
  <c r="I1307" i="17"/>
  <c r="I1308" i="17"/>
  <c r="I1309" i="17"/>
  <c r="I1310" i="17"/>
  <c r="I1311" i="17"/>
  <c r="I1312" i="17"/>
  <c r="I1313" i="17"/>
  <c r="I1314" i="17"/>
  <c r="I1315" i="17"/>
  <c r="I1316" i="17"/>
  <c r="I1317" i="17"/>
  <c r="I1318" i="17"/>
  <c r="I1319" i="17"/>
  <c r="I1320" i="17"/>
  <c r="I1321" i="17"/>
  <c r="I1322" i="17"/>
  <c r="I1323" i="17"/>
  <c r="I1324" i="17"/>
  <c r="I1325" i="17"/>
  <c r="I1326" i="17"/>
  <c r="I1327" i="17"/>
  <c r="I1328" i="17"/>
  <c r="I1329" i="17"/>
  <c r="I1330" i="17"/>
  <c r="I1331" i="17"/>
  <c r="I1332" i="17"/>
  <c r="I1333" i="17"/>
  <c r="I1334" i="17"/>
  <c r="I1335" i="17"/>
  <c r="I1336" i="17"/>
  <c r="I1337" i="17"/>
  <c r="I1338" i="17"/>
  <c r="I1339" i="17"/>
  <c r="I1340" i="17"/>
  <c r="I1341" i="17"/>
  <c r="I1342" i="17"/>
  <c r="I1343" i="17"/>
  <c r="I1344" i="17"/>
  <c r="I1345" i="17"/>
  <c r="I1346" i="17"/>
  <c r="I1347" i="17"/>
  <c r="I1348" i="17"/>
  <c r="I1349" i="17"/>
  <c r="I1350" i="17"/>
  <c r="I1351" i="17"/>
  <c r="I1352" i="17"/>
  <c r="I1353" i="17"/>
  <c r="I1354" i="17"/>
  <c r="I1355" i="17"/>
  <c r="I1356" i="17"/>
  <c r="I1357" i="17"/>
  <c r="I1358" i="17"/>
  <c r="I1359" i="17"/>
  <c r="I1360" i="17"/>
  <c r="I1361" i="17"/>
  <c r="I1362" i="17"/>
  <c r="I1363" i="17"/>
  <c r="I1364" i="17"/>
  <c r="I1365" i="17"/>
  <c r="I1366" i="17"/>
  <c r="I1367" i="17"/>
  <c r="I1368" i="17"/>
  <c r="I1369" i="17"/>
  <c r="I1370" i="17"/>
  <c r="I1371" i="17"/>
  <c r="I1372" i="17"/>
  <c r="I1373" i="17"/>
  <c r="I1374" i="17"/>
  <c r="I1375" i="17"/>
  <c r="I1376" i="17"/>
  <c r="I1377" i="17"/>
  <c r="I1378" i="17"/>
  <c r="I1379" i="17"/>
  <c r="I1380" i="17"/>
  <c r="I1381" i="17"/>
  <c r="I1382" i="17"/>
  <c r="I1383" i="17"/>
  <c r="I1384" i="17"/>
  <c r="I1385" i="17"/>
  <c r="I1386" i="17"/>
  <c r="I1387" i="17"/>
  <c r="I1388" i="17"/>
  <c r="I1389" i="17"/>
  <c r="I1390" i="17"/>
  <c r="I1391" i="17"/>
  <c r="I1392" i="17"/>
  <c r="I1393" i="17"/>
  <c r="I1394" i="17"/>
  <c r="I1395" i="17"/>
  <c r="I1396" i="17"/>
  <c r="I1397" i="17"/>
  <c r="I1398" i="17"/>
  <c r="I1399" i="17"/>
  <c r="I1400" i="17"/>
  <c r="I1401" i="17"/>
  <c r="I1402" i="17"/>
  <c r="I1403" i="17"/>
  <c r="I1404" i="17"/>
  <c r="I1405" i="17"/>
  <c r="I1406" i="17"/>
  <c r="I1407" i="17"/>
  <c r="I1408" i="17"/>
  <c r="I1409" i="17"/>
  <c r="I1410" i="17"/>
  <c r="I1411" i="17"/>
  <c r="I1412" i="17"/>
  <c r="I1413" i="17"/>
  <c r="I1414" i="17"/>
  <c r="I1415" i="17"/>
  <c r="I1416" i="17"/>
  <c r="I1417" i="17"/>
  <c r="I1418" i="17"/>
  <c r="I1419" i="17"/>
  <c r="I1420" i="17"/>
  <c r="I1421" i="17"/>
  <c r="I1422" i="17"/>
  <c r="I1423" i="17"/>
  <c r="I1424" i="17"/>
  <c r="I1425" i="17"/>
  <c r="I1426" i="17"/>
  <c r="I1427" i="17"/>
  <c r="I1428" i="17"/>
  <c r="I1429" i="17"/>
  <c r="I1430" i="17"/>
  <c r="I1431" i="17"/>
  <c r="I1432" i="17"/>
  <c r="I1433" i="17"/>
  <c r="I1434" i="17"/>
  <c r="I1435" i="17"/>
  <c r="I1436" i="17"/>
  <c r="I1437" i="17"/>
  <c r="I1438" i="17"/>
  <c r="I1439" i="17"/>
  <c r="I1440" i="17"/>
  <c r="I1441" i="17"/>
  <c r="I1442" i="17"/>
  <c r="I1443" i="17"/>
  <c r="I1444" i="17"/>
  <c r="I1445" i="17"/>
  <c r="I1446" i="17"/>
  <c r="I1447" i="17"/>
  <c r="I1448" i="17"/>
  <c r="I1449" i="17"/>
  <c r="I1450" i="17"/>
  <c r="I1451" i="17"/>
  <c r="I1452" i="17"/>
  <c r="I1453" i="17"/>
  <c r="I1454" i="17"/>
  <c r="I1455" i="17"/>
  <c r="I1456" i="17"/>
  <c r="I1457" i="17"/>
  <c r="I1458" i="17"/>
  <c r="I1459" i="17"/>
  <c r="I1460" i="17"/>
  <c r="I1461" i="17"/>
  <c r="I1462" i="17"/>
  <c r="I1463" i="17"/>
  <c r="I1464" i="17"/>
  <c r="I1465" i="17"/>
  <c r="I1466" i="17"/>
  <c r="I1467" i="17"/>
  <c r="I1468" i="17"/>
  <c r="I1469" i="17"/>
  <c r="I1470" i="17"/>
  <c r="I1471" i="17"/>
  <c r="I1472" i="17"/>
  <c r="I1473" i="17"/>
  <c r="I1474" i="17"/>
  <c r="I1475" i="17"/>
  <c r="I1476" i="17"/>
  <c r="I1477" i="17"/>
  <c r="I1478" i="17"/>
  <c r="I1479" i="17"/>
  <c r="I1480" i="17"/>
  <c r="I1481" i="17"/>
  <c r="I1482" i="17"/>
  <c r="I1483" i="17"/>
  <c r="I1484" i="17"/>
  <c r="I1485" i="17"/>
  <c r="I1486" i="17"/>
  <c r="I1487" i="17"/>
  <c r="I1488" i="17"/>
  <c r="I1489" i="17"/>
  <c r="I1490" i="17"/>
  <c r="I1491" i="17"/>
  <c r="I1492" i="17"/>
  <c r="I1493" i="17"/>
  <c r="I1494" i="17"/>
  <c r="I1495" i="17"/>
  <c r="I1496" i="17"/>
  <c r="I1497" i="17"/>
  <c r="I1498" i="17"/>
  <c r="I1499" i="17"/>
  <c r="I1500" i="17"/>
  <c r="I1501" i="17"/>
  <c r="I1502" i="17"/>
  <c r="I1503" i="17"/>
  <c r="I1504" i="17"/>
  <c r="I1505" i="17"/>
  <c r="I1506" i="17"/>
  <c r="I1507" i="17"/>
  <c r="I1508" i="17"/>
  <c r="I1509" i="17"/>
  <c r="I1510" i="17"/>
  <c r="I1511" i="17"/>
  <c r="I1512" i="17"/>
  <c r="I1513" i="17"/>
  <c r="I1514" i="17"/>
  <c r="I1515" i="17"/>
  <c r="I1516" i="17"/>
  <c r="I1517" i="17"/>
  <c r="I1518" i="17"/>
  <c r="I1519" i="17"/>
  <c r="I1520" i="17"/>
  <c r="I1521" i="17"/>
  <c r="I1522" i="17"/>
  <c r="I1523" i="17"/>
  <c r="I1524" i="17"/>
  <c r="I1525" i="17"/>
  <c r="I1526" i="17"/>
  <c r="I1527" i="17"/>
  <c r="I1528" i="17"/>
  <c r="I1529" i="17"/>
  <c r="I1530" i="17"/>
  <c r="I1531" i="17"/>
  <c r="I1532" i="17"/>
  <c r="I1533" i="17"/>
  <c r="I1534" i="17"/>
  <c r="I1535" i="17"/>
  <c r="I1536" i="17"/>
  <c r="I1537" i="17"/>
  <c r="I1538" i="17"/>
  <c r="I1539" i="17"/>
  <c r="I1540" i="17"/>
  <c r="I1541" i="17"/>
  <c r="I1542" i="17"/>
  <c r="I1543" i="17"/>
  <c r="I1544" i="17"/>
  <c r="I1545" i="17"/>
  <c r="I1546" i="17"/>
  <c r="I1547" i="17"/>
  <c r="I1548" i="17"/>
  <c r="I1549" i="17"/>
  <c r="I1550" i="17"/>
  <c r="I1551" i="17"/>
  <c r="I1552" i="17"/>
  <c r="I1553" i="17"/>
  <c r="I1554" i="17"/>
  <c r="I1555" i="17"/>
  <c r="I1556" i="17"/>
  <c r="I1557" i="17"/>
  <c r="I1558" i="17"/>
  <c r="I1559" i="17"/>
  <c r="I1560" i="17"/>
  <c r="I1561" i="17"/>
  <c r="I1562" i="17"/>
  <c r="I1563" i="17"/>
  <c r="I1564" i="17"/>
  <c r="I1565" i="17"/>
  <c r="I1566" i="17"/>
  <c r="I1567" i="17"/>
  <c r="I1568" i="17"/>
  <c r="I1569" i="17"/>
  <c r="I1570" i="17"/>
  <c r="I1571" i="17"/>
  <c r="I1572" i="17"/>
  <c r="I1573" i="17"/>
  <c r="I1574" i="17"/>
  <c r="I1575" i="17"/>
  <c r="I1576" i="17"/>
  <c r="I1577" i="17"/>
  <c r="I1578" i="17"/>
  <c r="I1579" i="17"/>
  <c r="I1580" i="17"/>
  <c r="I1581" i="17"/>
  <c r="I1582" i="17"/>
  <c r="I1583" i="17"/>
  <c r="I1584" i="17"/>
  <c r="I1585" i="17"/>
  <c r="I1586" i="17"/>
  <c r="I1587" i="17"/>
  <c r="I1588" i="17"/>
  <c r="I1589" i="17"/>
  <c r="I1590" i="17"/>
  <c r="I1591" i="17"/>
  <c r="I1592" i="17"/>
  <c r="I1593" i="17"/>
  <c r="I1594" i="17"/>
  <c r="I1595" i="17"/>
  <c r="I1596" i="17"/>
  <c r="I1597" i="17"/>
  <c r="I1598" i="17"/>
  <c r="I1599" i="17"/>
  <c r="I1600" i="17"/>
  <c r="I1601" i="17"/>
  <c r="I1602" i="17"/>
  <c r="I1603" i="17"/>
  <c r="I1604" i="17"/>
  <c r="I1605" i="17"/>
  <c r="I1606" i="17"/>
  <c r="I1607" i="17"/>
  <c r="I1608" i="17"/>
  <c r="I1609" i="17"/>
  <c r="I1610" i="17"/>
  <c r="I1611" i="17"/>
  <c r="I1612" i="17"/>
  <c r="I1613" i="17"/>
  <c r="I1614" i="17"/>
  <c r="I1615" i="17"/>
  <c r="I1616" i="17"/>
  <c r="I1617" i="17"/>
  <c r="I1618" i="17"/>
  <c r="I1619" i="17"/>
  <c r="I1620" i="17"/>
  <c r="I1621" i="17"/>
  <c r="I1622" i="17"/>
  <c r="I1623" i="17"/>
  <c r="I1624" i="17"/>
  <c r="I1625" i="17"/>
  <c r="I1626" i="17"/>
  <c r="I1627" i="17"/>
  <c r="I1628" i="17"/>
  <c r="I1629" i="17"/>
  <c r="I1630" i="17"/>
  <c r="I1631" i="17"/>
  <c r="I1632" i="17"/>
  <c r="I1633" i="17"/>
  <c r="I1634" i="17"/>
  <c r="I1635" i="17"/>
  <c r="I1636" i="17"/>
  <c r="I1637" i="17"/>
  <c r="I1638" i="17"/>
  <c r="I1639" i="17"/>
  <c r="I1640" i="17"/>
  <c r="I1641" i="17"/>
  <c r="I1642" i="17"/>
  <c r="I1643" i="17"/>
  <c r="I1644" i="17"/>
  <c r="I1645" i="17"/>
  <c r="I1646" i="17"/>
  <c r="I1647" i="17"/>
  <c r="I1648" i="17"/>
  <c r="I1649" i="17"/>
  <c r="I1650" i="17"/>
  <c r="I1651" i="17"/>
  <c r="I1652" i="17"/>
  <c r="I1653" i="17"/>
  <c r="I1654" i="17"/>
  <c r="I1655" i="17"/>
  <c r="I1656" i="17"/>
  <c r="I1657" i="17"/>
  <c r="I1658" i="17"/>
  <c r="I1659" i="17"/>
  <c r="I1660" i="17"/>
  <c r="I1661" i="17"/>
  <c r="I1662" i="17"/>
  <c r="I1663" i="17"/>
  <c r="I1664" i="17"/>
  <c r="I1665" i="17"/>
  <c r="I1666" i="17"/>
  <c r="I1667" i="17"/>
  <c r="I1668" i="17"/>
  <c r="I1669" i="17"/>
  <c r="I1670" i="17"/>
  <c r="I1671" i="17"/>
  <c r="I1672" i="17"/>
  <c r="I1673" i="17"/>
  <c r="I1674" i="17"/>
  <c r="I1675" i="17"/>
  <c r="I1676" i="17"/>
  <c r="I1677" i="17"/>
  <c r="I1678" i="17"/>
  <c r="I1679" i="17"/>
  <c r="I1680" i="17"/>
  <c r="I1681" i="17"/>
  <c r="I1682" i="17"/>
  <c r="I1683" i="17"/>
  <c r="I1684" i="17"/>
  <c r="I1685" i="17"/>
  <c r="I1686" i="17"/>
  <c r="I1687" i="17"/>
  <c r="I1688" i="17"/>
  <c r="I1689" i="17"/>
  <c r="I1690" i="17"/>
  <c r="I1691" i="17"/>
  <c r="I1692" i="17"/>
  <c r="I1693" i="17"/>
  <c r="I1694" i="17"/>
  <c r="I1695" i="17"/>
  <c r="I1696" i="17"/>
  <c r="I1697" i="17"/>
  <c r="I1698" i="17"/>
  <c r="I1699" i="17"/>
  <c r="I1700" i="17"/>
  <c r="I1701" i="17"/>
  <c r="I1702" i="17"/>
  <c r="I1703" i="17"/>
  <c r="I1704" i="17"/>
  <c r="I1705" i="17"/>
  <c r="I1706" i="17"/>
  <c r="I1707" i="17"/>
  <c r="I1708" i="17"/>
  <c r="I1709" i="17"/>
  <c r="I1710" i="17"/>
  <c r="I1711" i="17"/>
  <c r="I1712" i="17"/>
  <c r="I1713" i="17"/>
  <c r="I1714" i="17"/>
  <c r="I1715" i="17"/>
  <c r="I1716" i="17"/>
  <c r="I1717" i="17"/>
  <c r="I1718" i="17"/>
  <c r="I1719" i="17"/>
  <c r="I1720" i="17"/>
  <c r="I1721" i="17"/>
  <c r="I1722" i="17"/>
  <c r="I1723" i="17"/>
  <c r="I1724" i="17"/>
  <c r="I1725" i="17"/>
  <c r="I1726" i="17"/>
  <c r="I1727" i="17"/>
  <c r="I1728" i="17"/>
  <c r="I1729" i="17"/>
  <c r="I1730" i="17"/>
  <c r="I1731" i="17"/>
  <c r="I1732" i="17"/>
  <c r="I1733" i="17"/>
  <c r="I1734" i="17"/>
  <c r="I1735" i="17"/>
  <c r="I1736" i="17"/>
  <c r="I1737" i="17"/>
  <c r="I1738" i="17"/>
  <c r="I1739" i="17"/>
  <c r="I1740" i="17"/>
  <c r="I1741" i="17"/>
  <c r="I1742" i="17"/>
  <c r="I1743" i="17"/>
  <c r="I1744" i="17"/>
  <c r="I1745" i="17"/>
  <c r="I1746" i="17"/>
  <c r="I1747" i="17"/>
  <c r="I1748" i="17"/>
  <c r="I1749" i="17"/>
  <c r="I1750" i="17"/>
  <c r="I1751" i="17"/>
  <c r="I1752" i="17"/>
  <c r="I1753" i="17"/>
  <c r="I1754" i="17"/>
  <c r="I1755" i="17"/>
  <c r="I1756" i="17"/>
  <c r="I1757" i="17"/>
  <c r="I1758" i="17"/>
  <c r="I1759" i="17"/>
  <c r="I1760" i="17"/>
  <c r="I1761" i="17"/>
  <c r="I1762" i="17"/>
  <c r="I1763" i="17"/>
  <c r="I1764" i="17"/>
  <c r="I1765" i="17"/>
  <c r="I1766" i="17"/>
  <c r="I1767" i="17"/>
  <c r="I1768" i="17"/>
  <c r="I1769" i="17"/>
  <c r="I1770" i="17"/>
  <c r="I1771" i="17"/>
  <c r="I1772" i="17"/>
  <c r="I1773" i="17"/>
  <c r="I1774" i="17"/>
  <c r="I1775" i="17"/>
  <c r="I1776" i="17"/>
  <c r="I1777" i="17"/>
  <c r="I1778" i="17"/>
  <c r="I1779" i="17"/>
  <c r="I1780" i="17"/>
  <c r="I1781" i="17"/>
  <c r="I1782" i="17"/>
  <c r="I1783" i="17"/>
  <c r="I1784" i="17"/>
  <c r="I1785" i="17"/>
  <c r="I1786" i="17"/>
  <c r="I1787" i="17"/>
  <c r="I1788" i="17"/>
  <c r="I1789" i="17"/>
  <c r="I1790" i="17"/>
  <c r="I1791" i="17"/>
  <c r="I1792" i="17"/>
  <c r="I1793" i="17"/>
  <c r="I1794" i="17"/>
  <c r="I1795" i="17"/>
  <c r="I1796" i="17"/>
  <c r="I1797" i="17"/>
  <c r="I1798" i="17"/>
  <c r="I1799" i="17"/>
  <c r="I1800" i="17"/>
  <c r="I1801" i="17"/>
  <c r="I1802" i="17"/>
  <c r="I1803" i="17"/>
  <c r="I1804" i="17"/>
  <c r="I1805" i="17"/>
  <c r="I1806" i="17"/>
  <c r="I1807" i="17"/>
  <c r="I1808" i="17"/>
  <c r="I1809" i="17"/>
  <c r="I1810" i="17"/>
  <c r="I1811" i="17"/>
  <c r="I1812" i="17"/>
  <c r="I1813" i="17"/>
  <c r="I1814" i="17"/>
  <c r="I1815" i="17"/>
  <c r="I1816" i="17"/>
  <c r="I1817" i="17"/>
  <c r="I1818" i="17"/>
  <c r="I1819" i="17"/>
  <c r="I1820" i="17"/>
  <c r="I1821" i="17"/>
  <c r="I1822" i="17"/>
  <c r="I1823" i="17"/>
  <c r="I1824" i="17"/>
  <c r="I1825" i="17"/>
  <c r="I1826" i="17"/>
  <c r="I1827" i="17"/>
  <c r="I1828" i="17"/>
  <c r="I1829" i="17"/>
  <c r="I1830" i="17"/>
  <c r="I1831" i="17"/>
  <c r="I1832" i="17"/>
  <c r="I1833" i="17"/>
  <c r="I1834" i="17"/>
  <c r="I1835" i="17"/>
  <c r="I1836" i="17"/>
  <c r="I1837" i="17"/>
  <c r="I1838" i="17"/>
  <c r="I1839" i="17"/>
  <c r="I1840" i="17"/>
  <c r="I1841" i="17"/>
  <c r="I1842" i="17"/>
  <c r="I1843" i="17"/>
  <c r="I1844" i="17"/>
  <c r="I1845" i="17"/>
  <c r="I1846" i="17"/>
  <c r="I1847" i="17"/>
  <c r="I1848" i="17"/>
  <c r="I1849" i="17"/>
  <c r="I1850" i="17"/>
  <c r="I1851" i="17"/>
  <c r="I1852" i="17"/>
  <c r="I1853" i="17"/>
  <c r="I1854" i="17"/>
  <c r="I1855" i="17"/>
  <c r="I1856" i="17"/>
  <c r="I1857" i="17"/>
  <c r="I1858" i="17"/>
  <c r="I1859" i="17"/>
  <c r="I1860" i="17"/>
  <c r="I1861" i="17"/>
  <c r="I1862" i="17"/>
  <c r="I1863" i="17"/>
  <c r="I1864" i="17"/>
  <c r="I1865" i="17"/>
  <c r="I1866" i="17"/>
  <c r="I1867" i="17"/>
  <c r="I1868" i="17"/>
  <c r="I1869" i="17"/>
  <c r="I1870" i="17"/>
  <c r="I1871" i="17"/>
  <c r="I1872" i="17"/>
  <c r="I1873" i="17"/>
  <c r="I1874" i="17"/>
  <c r="I1875" i="17"/>
  <c r="I1876" i="17"/>
  <c r="I1877" i="17"/>
  <c r="I1878" i="17"/>
  <c r="I1879" i="17"/>
  <c r="I1880" i="17"/>
  <c r="I1881" i="17"/>
  <c r="I1882" i="17"/>
  <c r="I1883" i="17"/>
  <c r="I1884" i="17"/>
  <c r="I1885" i="17"/>
  <c r="I1886" i="17"/>
  <c r="I1887" i="17"/>
  <c r="I1888" i="17"/>
  <c r="I1889" i="17"/>
  <c r="I1890" i="17"/>
  <c r="I1891" i="17"/>
  <c r="I1892" i="17"/>
  <c r="I1893" i="17"/>
  <c r="I1894" i="17"/>
  <c r="I1895" i="17"/>
  <c r="I1896" i="17"/>
  <c r="I1897" i="17"/>
  <c r="I1898" i="17"/>
  <c r="I1899" i="17"/>
  <c r="I1900" i="17"/>
  <c r="I1901" i="17"/>
  <c r="I1902" i="17"/>
  <c r="I1903" i="17"/>
  <c r="I1904" i="17"/>
  <c r="I1905" i="17"/>
  <c r="I1906" i="17"/>
  <c r="I1907" i="17"/>
  <c r="I1908" i="17"/>
  <c r="I1909" i="17"/>
  <c r="I1910" i="17"/>
  <c r="I1911" i="17"/>
  <c r="I1912" i="17"/>
  <c r="I1913" i="17"/>
  <c r="I1914" i="17"/>
  <c r="I1915" i="17"/>
  <c r="I1916" i="17"/>
  <c r="I1917" i="17"/>
  <c r="I1918" i="17"/>
  <c r="I1919" i="17"/>
  <c r="I1920" i="17"/>
  <c r="I1921" i="17"/>
  <c r="I1922" i="17"/>
  <c r="I1923" i="17"/>
  <c r="I1924" i="17"/>
  <c r="I1925" i="17"/>
  <c r="I1926" i="17"/>
  <c r="I1927" i="17"/>
  <c r="I1928" i="17"/>
  <c r="I1929" i="17"/>
  <c r="I1930" i="17"/>
  <c r="I1931" i="17"/>
  <c r="I1932" i="17"/>
  <c r="I1933" i="17"/>
  <c r="I1934" i="17"/>
  <c r="I1935" i="17"/>
  <c r="I1936" i="17"/>
  <c r="I1937" i="17"/>
  <c r="I1938" i="17"/>
  <c r="I1939" i="17"/>
  <c r="I1940" i="17"/>
  <c r="I1941" i="17"/>
  <c r="I1942" i="17"/>
  <c r="I1943" i="17"/>
  <c r="I1944" i="17"/>
  <c r="I1945" i="17"/>
  <c r="I1946" i="17"/>
  <c r="I1947" i="17"/>
  <c r="I1948" i="17"/>
  <c r="I1949" i="17"/>
  <c r="I1950" i="17"/>
  <c r="I1951" i="17"/>
  <c r="I1952" i="17"/>
  <c r="I1953" i="17"/>
  <c r="I1954" i="17"/>
  <c r="I1955" i="17"/>
  <c r="I1956" i="17"/>
  <c r="I1957" i="17"/>
  <c r="I1958" i="17"/>
  <c r="I1959" i="17"/>
  <c r="I1960" i="17"/>
  <c r="I1961" i="17"/>
  <c r="I1962" i="17"/>
  <c r="I1963" i="17"/>
  <c r="I1964" i="17"/>
  <c r="I1965" i="17"/>
  <c r="I1966" i="17"/>
  <c r="I1967" i="17"/>
  <c r="I1968" i="17"/>
  <c r="I1969" i="17"/>
  <c r="I1970" i="17"/>
  <c r="I1971" i="17"/>
  <c r="I1972" i="17"/>
  <c r="I1973" i="17"/>
  <c r="I1974" i="17"/>
  <c r="I1975" i="17"/>
  <c r="I1976" i="17"/>
  <c r="I1977" i="17"/>
  <c r="I1978" i="17"/>
  <c r="I1979" i="17"/>
  <c r="I1980" i="17"/>
  <c r="I1981" i="17"/>
  <c r="I1982" i="17"/>
  <c r="I1983" i="17"/>
  <c r="I1984" i="17"/>
  <c r="I1985" i="17"/>
  <c r="I1986" i="17"/>
  <c r="I1987" i="17"/>
  <c r="I1988" i="17"/>
  <c r="I1989" i="17"/>
  <c r="I1990" i="17"/>
  <c r="I1991" i="17"/>
  <c r="I1992" i="17"/>
  <c r="I1993" i="17"/>
  <c r="I1994" i="17"/>
  <c r="I1995" i="17"/>
  <c r="I1996" i="17"/>
  <c r="I1997" i="17"/>
  <c r="I1998" i="17"/>
  <c r="I1999" i="17"/>
  <c r="I2000" i="17"/>
  <c r="I2001" i="17"/>
  <c r="I2002" i="17"/>
  <c r="I2003" i="17"/>
  <c r="I2004" i="17"/>
  <c r="I2005" i="17"/>
  <c r="I2006" i="17"/>
  <c r="I2007" i="17"/>
  <c r="I2008" i="17"/>
  <c r="I2009" i="17"/>
  <c r="I2010" i="17"/>
  <c r="I2011" i="17"/>
  <c r="I2012" i="17"/>
  <c r="I2013" i="17"/>
  <c r="I2014" i="17"/>
  <c r="I2015" i="17"/>
  <c r="I2016" i="17"/>
  <c r="I2017" i="17"/>
  <c r="I2018" i="17"/>
  <c r="I2019" i="17"/>
  <c r="I2020" i="17"/>
  <c r="I2021" i="17"/>
  <c r="I2022" i="17"/>
  <c r="I2023" i="17"/>
  <c r="I2024" i="17"/>
  <c r="I2025" i="17"/>
  <c r="I2026" i="17"/>
  <c r="I2027" i="17"/>
  <c r="I2028" i="17"/>
  <c r="I2029" i="17"/>
  <c r="I2030" i="17"/>
  <c r="I2031" i="17"/>
  <c r="I2032" i="17"/>
  <c r="I2033" i="17"/>
  <c r="I2034" i="17"/>
  <c r="I2035" i="17"/>
  <c r="I2036" i="17"/>
  <c r="I2037" i="17"/>
  <c r="I2038" i="17"/>
  <c r="I2039" i="17"/>
  <c r="I2040" i="17"/>
  <c r="I2041" i="17"/>
  <c r="I2042" i="17"/>
  <c r="I2043" i="17"/>
  <c r="I2044" i="17"/>
  <c r="I2045" i="17"/>
  <c r="I2046" i="17"/>
  <c r="I2047" i="17"/>
  <c r="I2048" i="17"/>
  <c r="I2049" i="17"/>
  <c r="I2050" i="17"/>
  <c r="I2051" i="17"/>
  <c r="I2052" i="17"/>
  <c r="I2053" i="17"/>
  <c r="I2054" i="17"/>
  <c r="I2055" i="17"/>
  <c r="I2056" i="17"/>
  <c r="I2057" i="17"/>
  <c r="I2058" i="17"/>
  <c r="I2059" i="17"/>
  <c r="I2060" i="17"/>
  <c r="I2061" i="17"/>
  <c r="I2062" i="17"/>
  <c r="I2063" i="17"/>
  <c r="I2064" i="17"/>
  <c r="I2065" i="17"/>
  <c r="I2066" i="17"/>
  <c r="I2067" i="17"/>
  <c r="I2068" i="17"/>
  <c r="I2069" i="17"/>
  <c r="I2070" i="17"/>
  <c r="I2071" i="17"/>
  <c r="I2072" i="17"/>
  <c r="I2073" i="17"/>
  <c r="I2074" i="17"/>
  <c r="I2075" i="17"/>
  <c r="I2076" i="17"/>
  <c r="I2077" i="17"/>
  <c r="I2078" i="17"/>
  <c r="I2079" i="17"/>
  <c r="I2080" i="17"/>
  <c r="I2081" i="17"/>
  <c r="I2082" i="17"/>
  <c r="I2083" i="17"/>
  <c r="I2084" i="17"/>
  <c r="I2085" i="17"/>
  <c r="I2086" i="17"/>
  <c r="I2087" i="17"/>
  <c r="I2088" i="17"/>
  <c r="I2089" i="17"/>
  <c r="I2090" i="17"/>
  <c r="I2091" i="17"/>
  <c r="I2092" i="17"/>
  <c r="I2093" i="17"/>
  <c r="I2094" i="17"/>
  <c r="I2095" i="17"/>
  <c r="I2096" i="17"/>
  <c r="I2097" i="17"/>
  <c r="I2098" i="17"/>
  <c r="I2099" i="17"/>
  <c r="I2100" i="17"/>
  <c r="I2101" i="17"/>
  <c r="I2102" i="17"/>
  <c r="I2103" i="17"/>
  <c r="I2104" i="17"/>
  <c r="I2105" i="17"/>
  <c r="I2106" i="17"/>
  <c r="I2107" i="17"/>
  <c r="I2108" i="17"/>
  <c r="I2109" i="17"/>
  <c r="I2110" i="17"/>
  <c r="I2111" i="17"/>
  <c r="I2112" i="17"/>
  <c r="I2113" i="17"/>
  <c r="I2114" i="17"/>
  <c r="I2115" i="17"/>
  <c r="I2116" i="17"/>
  <c r="I2117" i="17"/>
  <c r="I2118" i="17"/>
  <c r="I2119" i="17"/>
  <c r="I2120" i="17"/>
  <c r="I2121" i="17"/>
  <c r="I2122" i="17"/>
  <c r="I2123" i="17"/>
  <c r="I2124" i="17"/>
  <c r="I2125" i="17"/>
  <c r="I2126" i="17"/>
  <c r="I2127" i="17"/>
  <c r="I2128" i="17"/>
  <c r="I2129" i="17"/>
  <c r="I2130" i="17"/>
  <c r="I2131" i="17"/>
  <c r="I2132" i="17"/>
  <c r="I2133" i="17"/>
  <c r="I2134" i="17"/>
  <c r="I2135" i="17"/>
  <c r="I2136" i="17"/>
  <c r="I2137" i="17"/>
  <c r="I2138" i="17"/>
  <c r="I2139" i="17"/>
  <c r="I2140" i="17"/>
  <c r="I2141" i="17"/>
  <c r="I2142" i="17"/>
  <c r="I2143" i="17"/>
  <c r="I2144" i="17"/>
  <c r="I2145" i="17"/>
  <c r="I2146" i="17"/>
  <c r="I2147" i="17"/>
  <c r="I2148" i="17"/>
  <c r="I2149" i="17"/>
  <c r="I2150" i="17"/>
  <c r="I2151" i="17"/>
  <c r="I2152" i="17"/>
  <c r="I2153" i="17"/>
  <c r="I2154" i="17"/>
  <c r="I2155" i="17"/>
  <c r="I2156" i="17"/>
  <c r="I2157" i="17"/>
  <c r="I2158" i="17"/>
  <c r="I2159" i="17"/>
  <c r="I2160" i="17"/>
  <c r="I2161" i="17"/>
  <c r="I2162" i="17"/>
  <c r="I2163" i="17"/>
  <c r="I2164" i="17"/>
  <c r="I2165" i="17"/>
  <c r="I2166" i="17"/>
  <c r="I2167" i="17"/>
  <c r="I2168" i="17"/>
  <c r="I2169" i="17"/>
  <c r="I2170" i="17"/>
  <c r="I2171" i="17"/>
  <c r="I2172" i="17"/>
  <c r="I2173" i="17"/>
  <c r="I2174" i="17"/>
  <c r="I2175" i="17"/>
  <c r="I2176" i="17"/>
  <c r="I2177" i="17"/>
  <c r="I2178" i="17"/>
  <c r="I2179" i="17"/>
  <c r="I2180" i="17"/>
  <c r="I2181" i="17"/>
  <c r="I2182" i="17"/>
  <c r="I2183" i="17"/>
  <c r="I2184" i="17"/>
  <c r="I2185" i="17"/>
  <c r="I2186" i="17"/>
  <c r="I2187" i="17"/>
  <c r="I2188" i="17"/>
  <c r="I2189" i="17"/>
  <c r="I2190" i="17"/>
  <c r="I2191" i="17"/>
  <c r="I2192" i="17"/>
  <c r="I2193" i="17"/>
  <c r="I2194" i="17"/>
  <c r="I2195" i="17"/>
  <c r="I2196" i="17"/>
  <c r="I2197" i="17"/>
  <c r="I2198" i="17"/>
  <c r="I2199" i="17"/>
  <c r="I2200" i="17"/>
  <c r="I2201" i="17"/>
  <c r="I2202" i="17"/>
  <c r="I2203" i="17"/>
  <c r="I2204" i="17"/>
  <c r="I2205" i="17"/>
  <c r="I2206" i="17"/>
  <c r="I2207" i="17"/>
  <c r="I2208" i="17"/>
  <c r="I2209" i="17"/>
  <c r="I2210" i="17"/>
  <c r="I2211" i="17"/>
  <c r="I2212" i="17"/>
  <c r="I2213" i="17"/>
  <c r="I2214" i="17"/>
  <c r="I2215" i="17"/>
  <c r="I2216" i="17"/>
  <c r="I2217" i="17"/>
  <c r="I2218" i="17"/>
  <c r="I2219" i="17"/>
  <c r="I2220" i="17"/>
  <c r="I2221" i="17"/>
  <c r="I2222" i="17"/>
  <c r="I2223" i="17"/>
  <c r="I2224" i="17"/>
  <c r="I2225" i="17"/>
  <c r="I2226" i="17"/>
  <c r="I2227" i="17"/>
  <c r="I2228" i="17"/>
  <c r="I2229" i="17"/>
  <c r="I2230" i="17"/>
  <c r="I2231" i="17"/>
  <c r="I2232" i="17"/>
  <c r="I2233" i="17"/>
  <c r="I2234" i="17"/>
  <c r="I2235" i="17"/>
  <c r="I2236" i="17"/>
  <c r="I2237" i="17"/>
  <c r="I2238" i="17"/>
  <c r="I2239" i="17"/>
  <c r="I2240" i="17"/>
  <c r="I2241" i="17"/>
  <c r="I2242" i="17"/>
  <c r="I2243" i="17"/>
  <c r="I2244" i="17"/>
  <c r="I2245" i="17"/>
  <c r="I2246" i="17"/>
  <c r="I2247" i="17"/>
  <c r="I2248" i="17"/>
  <c r="I2249" i="17"/>
  <c r="I2250" i="17"/>
  <c r="I2251" i="17"/>
  <c r="I2252" i="17"/>
  <c r="I2253" i="17"/>
  <c r="I2254" i="17"/>
  <c r="I2255" i="17"/>
  <c r="I2256" i="17"/>
  <c r="I2257" i="17"/>
  <c r="I2258" i="17"/>
  <c r="I2259" i="17"/>
  <c r="I2260" i="17"/>
  <c r="I2261" i="17"/>
  <c r="I2262" i="17"/>
  <c r="I2263" i="17"/>
  <c r="I2264" i="17"/>
  <c r="I2265" i="17"/>
  <c r="I2266" i="17"/>
  <c r="I2267" i="17"/>
  <c r="I2268" i="17"/>
  <c r="I2269" i="17"/>
  <c r="I2270" i="17"/>
  <c r="I2271" i="17"/>
  <c r="I2272" i="17"/>
  <c r="I2273" i="17"/>
  <c r="I2274" i="17"/>
  <c r="I2275" i="17"/>
  <c r="I2276" i="17"/>
  <c r="I2277" i="17"/>
  <c r="I2278" i="17"/>
  <c r="I2279" i="17"/>
  <c r="I2280" i="17"/>
  <c r="I2281" i="17"/>
  <c r="I2282" i="17"/>
  <c r="I2283" i="17"/>
  <c r="I2284" i="17"/>
  <c r="I2285" i="17"/>
  <c r="I2286" i="17"/>
  <c r="I2287" i="17"/>
  <c r="I2288" i="17"/>
  <c r="I2289" i="17"/>
  <c r="I2290" i="17"/>
  <c r="I2291" i="17"/>
  <c r="I2292" i="17"/>
  <c r="I2293" i="17"/>
  <c r="I2294" i="17"/>
  <c r="I2295" i="17"/>
  <c r="I2296" i="17"/>
  <c r="I2297" i="17"/>
  <c r="I2298" i="17"/>
  <c r="I2299" i="17"/>
  <c r="I2300" i="17"/>
  <c r="I2301" i="17"/>
  <c r="I2302" i="17"/>
  <c r="I2303" i="17"/>
  <c r="I2304" i="17"/>
  <c r="I2305" i="17"/>
  <c r="I2306" i="17"/>
  <c r="I2307" i="17"/>
  <c r="I2308" i="17"/>
  <c r="I2309" i="17"/>
  <c r="I2310" i="17"/>
  <c r="I2311" i="17"/>
  <c r="I2312" i="17"/>
  <c r="I2313" i="17"/>
  <c r="I2314" i="17"/>
  <c r="I2315" i="17"/>
  <c r="I2316" i="17"/>
  <c r="I2317" i="17"/>
  <c r="I2318" i="17"/>
  <c r="I2319" i="17"/>
  <c r="I2320" i="17"/>
  <c r="I2321" i="17"/>
  <c r="I2322" i="17"/>
  <c r="I2323" i="17"/>
  <c r="I2324" i="17"/>
  <c r="I2325" i="17"/>
  <c r="I2326" i="17"/>
  <c r="I2327" i="17"/>
  <c r="I2328" i="17"/>
  <c r="I2329" i="17"/>
  <c r="I2330" i="17"/>
  <c r="I2331" i="17"/>
  <c r="I2332" i="17"/>
  <c r="I2333" i="17"/>
  <c r="I2334" i="17"/>
  <c r="I2335" i="17"/>
  <c r="I2336" i="17"/>
  <c r="I2337" i="17"/>
  <c r="I2338" i="17"/>
  <c r="I2339" i="17"/>
  <c r="I2340" i="17"/>
  <c r="I2341" i="17"/>
  <c r="I2342" i="17"/>
  <c r="I2343" i="17"/>
  <c r="I2344" i="17"/>
  <c r="I2345" i="17"/>
  <c r="I2346" i="17"/>
  <c r="I2347" i="17"/>
  <c r="I2348" i="17"/>
  <c r="I2349" i="17"/>
  <c r="I2350" i="17"/>
  <c r="I2351" i="17"/>
  <c r="I2352" i="17"/>
  <c r="I2353" i="17"/>
  <c r="I2354" i="17"/>
  <c r="I2355" i="17"/>
  <c r="I2356" i="17"/>
  <c r="I2357" i="17"/>
  <c r="I2358" i="17"/>
  <c r="I2359" i="17"/>
  <c r="I2360" i="17"/>
  <c r="I2361" i="17"/>
  <c r="I2362" i="17"/>
  <c r="I2363" i="17"/>
  <c r="I2364" i="17"/>
  <c r="I2365" i="17"/>
  <c r="I2366" i="17"/>
  <c r="I2367" i="17"/>
  <c r="I2368" i="17"/>
  <c r="I2369" i="17"/>
  <c r="I2370" i="17"/>
  <c r="I2371" i="17"/>
  <c r="I2372" i="17"/>
  <c r="I2373" i="17"/>
  <c r="I2374" i="17"/>
  <c r="I2375" i="17"/>
  <c r="I2376" i="17"/>
  <c r="I2377" i="17"/>
  <c r="I2378" i="17"/>
  <c r="I2379" i="17"/>
  <c r="I2380" i="17"/>
  <c r="I2381" i="17"/>
  <c r="I2382" i="17"/>
  <c r="I2383" i="17"/>
  <c r="I2384" i="17"/>
  <c r="I2385" i="17"/>
  <c r="I2386" i="17"/>
  <c r="I2387" i="17"/>
  <c r="I2388" i="17"/>
  <c r="I2389" i="17"/>
  <c r="I2390" i="17"/>
  <c r="I2391" i="17"/>
  <c r="I2392" i="17"/>
  <c r="I2393" i="17"/>
  <c r="I2394" i="17"/>
  <c r="I2395" i="17"/>
  <c r="I2396" i="17"/>
  <c r="I2397" i="17"/>
  <c r="I2398" i="17"/>
  <c r="I2399" i="17"/>
  <c r="I2400" i="17"/>
  <c r="I2401" i="17"/>
  <c r="I2402" i="17"/>
  <c r="I2403" i="17"/>
  <c r="I2404" i="17"/>
  <c r="I2405" i="17"/>
  <c r="I2406" i="17"/>
  <c r="I2407" i="17"/>
  <c r="I2408" i="17"/>
  <c r="I2409" i="17"/>
  <c r="I2410" i="17"/>
  <c r="I2411" i="17"/>
  <c r="I2412" i="17"/>
  <c r="I2413" i="17"/>
  <c r="I2414" i="17"/>
  <c r="I2415" i="17"/>
  <c r="I2416" i="17"/>
  <c r="I2417" i="17"/>
  <c r="I2418" i="17"/>
  <c r="I2419" i="17"/>
  <c r="I2420" i="17"/>
  <c r="I2421" i="17"/>
  <c r="I2422" i="17"/>
  <c r="I2423" i="17"/>
  <c r="I2424" i="17"/>
  <c r="I2425" i="17"/>
  <c r="I2426" i="17"/>
  <c r="I2427" i="17"/>
  <c r="I2428" i="17"/>
  <c r="I2429" i="17"/>
  <c r="I2430" i="17"/>
  <c r="I2431" i="17"/>
  <c r="I2432" i="17"/>
  <c r="I2433" i="17"/>
  <c r="I2434" i="17"/>
  <c r="I2435" i="17"/>
  <c r="I2436" i="17"/>
  <c r="I2437" i="17"/>
  <c r="I2438" i="17"/>
  <c r="I2439" i="17"/>
  <c r="I2440" i="17"/>
  <c r="I2441" i="17"/>
  <c r="I2442" i="17"/>
  <c r="I2443" i="17"/>
  <c r="I2444" i="17"/>
  <c r="I2445" i="17"/>
  <c r="I2446" i="17"/>
  <c r="I2447" i="17"/>
  <c r="I2448" i="17"/>
  <c r="I2449" i="17"/>
  <c r="I2450" i="17"/>
  <c r="I2451" i="17"/>
  <c r="I2452" i="17"/>
  <c r="I2453" i="17"/>
  <c r="I2454" i="17"/>
  <c r="I2455" i="17"/>
  <c r="I2456" i="17"/>
  <c r="I2457" i="17"/>
  <c r="I2458" i="17"/>
  <c r="I2459" i="17"/>
  <c r="I2460" i="17"/>
  <c r="I2461" i="17"/>
  <c r="I2462" i="17"/>
  <c r="I2463" i="17"/>
  <c r="I2464" i="17"/>
  <c r="I2465" i="17"/>
  <c r="I2466" i="17"/>
  <c r="I2467" i="17"/>
  <c r="I2468" i="17"/>
  <c r="I2469" i="17"/>
  <c r="I2470" i="17"/>
  <c r="I2471" i="17"/>
  <c r="I2472" i="17"/>
  <c r="I2473" i="17"/>
  <c r="I2474" i="17"/>
  <c r="I2475" i="17"/>
  <c r="I2476" i="17"/>
  <c r="I2477" i="17"/>
  <c r="I2478" i="17"/>
  <c r="I2479" i="17"/>
  <c r="I2480" i="17"/>
  <c r="I2481" i="17"/>
  <c r="I2482" i="17"/>
  <c r="I2483" i="17"/>
  <c r="I2484" i="17"/>
  <c r="I2485" i="17"/>
  <c r="I2486" i="17"/>
  <c r="I2487" i="17"/>
  <c r="I2488" i="17"/>
  <c r="I2489" i="17"/>
  <c r="I2490" i="17"/>
  <c r="I2491" i="17"/>
  <c r="I2492" i="17"/>
  <c r="I2493" i="17"/>
  <c r="I2494" i="17"/>
  <c r="I2495" i="17"/>
  <c r="I2496" i="17"/>
  <c r="I2497" i="17"/>
  <c r="I2498" i="17"/>
  <c r="I2499" i="17"/>
  <c r="I2500" i="17"/>
  <c r="I2501" i="17"/>
  <c r="I2502" i="17"/>
  <c r="I2503" i="17"/>
  <c r="I2504" i="17"/>
  <c r="I2505" i="17"/>
  <c r="I2506" i="17"/>
  <c r="I2507" i="17"/>
  <c r="I2508" i="17"/>
  <c r="I2509" i="17"/>
  <c r="I2510" i="17"/>
  <c r="I2511" i="17"/>
  <c r="I2512" i="17"/>
  <c r="I2513" i="17"/>
  <c r="I2514" i="17"/>
  <c r="I2515" i="17"/>
  <c r="I2516" i="17"/>
  <c r="I2517" i="17"/>
  <c r="I2518" i="17"/>
  <c r="I2519" i="17"/>
  <c r="I2520" i="17"/>
  <c r="I2521" i="17"/>
  <c r="I2522" i="17"/>
  <c r="I2523" i="17"/>
  <c r="I2524" i="17"/>
  <c r="I2525" i="17"/>
  <c r="I2526" i="17"/>
  <c r="I2527" i="17"/>
  <c r="I2528" i="17"/>
  <c r="I2529" i="17"/>
  <c r="I2530" i="17"/>
  <c r="I2531" i="17"/>
  <c r="I2532" i="17"/>
  <c r="I2533" i="17"/>
  <c r="I2534" i="17"/>
  <c r="I2535" i="17"/>
  <c r="I2536" i="17"/>
  <c r="I2537" i="17"/>
  <c r="I2538" i="17"/>
  <c r="I2539" i="17"/>
  <c r="I2540" i="17"/>
  <c r="I2541" i="17"/>
  <c r="I2542" i="17"/>
  <c r="I2543" i="17"/>
  <c r="I2544" i="17"/>
  <c r="I2545" i="17"/>
  <c r="I2546" i="17"/>
  <c r="I2547" i="17"/>
  <c r="I2548" i="17"/>
  <c r="I2549" i="17"/>
  <c r="I2550" i="17"/>
  <c r="I2551" i="17"/>
  <c r="I2552" i="17"/>
  <c r="I2553" i="17"/>
  <c r="I2554" i="17"/>
  <c r="I2555" i="17"/>
  <c r="I2556" i="17"/>
  <c r="I2557" i="17"/>
  <c r="I2558" i="17"/>
  <c r="I2559" i="17"/>
  <c r="I2560" i="17"/>
  <c r="I2561" i="17"/>
  <c r="I2562" i="17"/>
  <c r="I2563" i="17"/>
  <c r="I2564" i="17"/>
  <c r="I2565" i="17"/>
  <c r="I2566" i="17"/>
  <c r="I2567" i="17"/>
  <c r="I2568" i="17"/>
  <c r="I2569" i="17"/>
  <c r="I2570" i="17"/>
  <c r="I2571" i="17"/>
  <c r="I2572" i="17"/>
  <c r="I2573" i="17"/>
  <c r="I2574" i="17"/>
  <c r="I2575" i="17"/>
  <c r="I2576" i="17"/>
  <c r="I2577" i="17"/>
  <c r="I2578" i="17"/>
  <c r="I2579" i="17"/>
  <c r="I2580" i="17"/>
  <c r="I2581" i="17"/>
  <c r="I2582" i="17"/>
  <c r="I2583" i="17"/>
  <c r="I2584" i="17"/>
  <c r="I2585" i="17"/>
  <c r="I2586" i="17"/>
  <c r="I2587" i="17"/>
  <c r="I2588" i="17"/>
  <c r="I2589" i="17"/>
  <c r="I2590" i="17"/>
  <c r="I2591" i="17"/>
  <c r="I2592" i="17"/>
  <c r="I2593" i="17"/>
  <c r="I2594" i="17"/>
  <c r="I2595" i="17"/>
  <c r="I2596" i="17"/>
  <c r="I2597" i="17"/>
  <c r="I2598" i="17"/>
  <c r="I2599" i="17"/>
  <c r="I2600" i="17"/>
  <c r="I2601" i="17"/>
  <c r="I2602" i="17"/>
  <c r="I2603" i="17"/>
  <c r="I2604" i="17"/>
  <c r="I2605" i="17"/>
  <c r="I2606" i="17"/>
  <c r="I2607" i="17"/>
  <c r="I2608" i="17"/>
  <c r="I2609" i="17"/>
  <c r="I2610" i="17"/>
  <c r="I2611" i="17"/>
  <c r="I2612" i="17"/>
  <c r="I2613" i="17"/>
  <c r="I2614" i="17"/>
  <c r="I2615" i="17"/>
  <c r="I2616" i="17"/>
  <c r="I2617" i="17"/>
  <c r="I2618" i="17"/>
  <c r="I2619" i="17"/>
  <c r="I2620" i="17"/>
  <c r="I2621" i="17"/>
  <c r="I2622" i="17"/>
  <c r="I2623" i="17"/>
  <c r="I2624" i="17"/>
  <c r="I2625" i="17"/>
  <c r="I2626" i="17"/>
  <c r="I2627" i="17"/>
  <c r="I2628" i="17"/>
  <c r="I2629" i="17"/>
  <c r="I2630" i="17"/>
  <c r="I2631" i="17"/>
  <c r="I2632" i="17"/>
  <c r="I2633" i="17"/>
  <c r="I2634" i="17"/>
  <c r="I2635" i="17"/>
  <c r="I2636" i="17"/>
  <c r="I2637" i="17"/>
  <c r="I2638" i="17"/>
  <c r="I2639" i="17"/>
  <c r="I2640" i="17"/>
  <c r="I2641" i="17"/>
  <c r="I2642" i="17"/>
  <c r="I2643" i="17"/>
  <c r="I2644" i="17"/>
  <c r="I2645" i="17"/>
  <c r="I2646" i="17"/>
  <c r="I2647" i="17"/>
  <c r="I2648" i="17"/>
  <c r="I2649" i="17"/>
  <c r="I2650" i="17"/>
  <c r="I2651" i="17"/>
  <c r="I2652" i="17"/>
  <c r="I2653" i="17"/>
  <c r="I2654" i="17"/>
  <c r="I2655" i="17"/>
  <c r="I2656" i="17"/>
  <c r="I2657" i="17"/>
  <c r="I2658" i="17"/>
  <c r="I2659" i="17"/>
  <c r="I2660" i="17"/>
  <c r="I2661" i="17"/>
  <c r="I2662" i="17"/>
  <c r="I2663" i="17"/>
  <c r="I2664" i="17"/>
  <c r="I2665" i="17"/>
  <c r="I2666" i="17"/>
  <c r="I2667" i="17"/>
  <c r="I2668" i="17"/>
  <c r="I2669" i="17"/>
  <c r="I2670" i="17"/>
  <c r="I2671" i="17"/>
  <c r="I2672" i="17"/>
  <c r="I2673" i="17"/>
  <c r="I2674" i="17"/>
  <c r="I2675" i="17"/>
  <c r="I2676" i="17"/>
  <c r="I2677" i="17"/>
  <c r="I2678" i="17"/>
  <c r="I2679" i="17"/>
  <c r="I2680" i="17"/>
  <c r="I2681" i="17"/>
  <c r="I2682" i="17"/>
  <c r="I2683" i="17"/>
  <c r="I2684" i="17"/>
  <c r="I2685" i="17"/>
  <c r="I2686" i="17"/>
  <c r="I2687" i="17"/>
  <c r="I2688" i="17"/>
  <c r="I2689" i="17"/>
  <c r="I2690" i="17"/>
  <c r="I2691" i="17"/>
  <c r="I2692" i="17"/>
  <c r="I2693" i="17"/>
  <c r="I2694" i="17"/>
  <c r="I2695" i="17"/>
  <c r="I2696" i="17"/>
  <c r="I2697" i="17"/>
  <c r="I2698" i="17"/>
  <c r="I2699" i="17"/>
  <c r="I2700" i="17"/>
  <c r="I2701" i="17"/>
  <c r="I2702" i="17"/>
  <c r="I2703" i="17"/>
  <c r="I2704" i="17"/>
  <c r="I2705" i="17"/>
  <c r="I2706" i="17"/>
  <c r="I2707" i="17"/>
  <c r="I2708" i="17"/>
  <c r="I2709" i="17"/>
  <c r="I2710" i="17"/>
  <c r="I2711" i="17"/>
  <c r="I2712" i="17"/>
  <c r="I2713" i="17"/>
  <c r="I2714" i="17"/>
  <c r="I2715" i="17"/>
  <c r="I2716" i="17"/>
  <c r="I2717" i="17"/>
  <c r="I2718" i="17"/>
  <c r="I2719" i="17"/>
  <c r="I2720" i="17"/>
  <c r="I2721" i="17"/>
  <c r="I2722" i="17"/>
  <c r="I2723" i="17"/>
  <c r="I2724" i="17"/>
  <c r="I2725" i="17"/>
  <c r="I2726" i="17"/>
  <c r="I2727" i="17"/>
  <c r="I2728" i="17"/>
  <c r="I2729" i="17"/>
  <c r="I2730" i="17"/>
  <c r="I2731" i="17"/>
  <c r="I2732" i="17"/>
  <c r="I2733" i="17"/>
  <c r="I2734" i="17"/>
  <c r="I2735" i="17"/>
  <c r="I2736" i="17"/>
  <c r="I2737" i="17"/>
  <c r="I2738" i="17"/>
  <c r="I2739" i="17"/>
  <c r="I2740" i="17"/>
  <c r="I2741" i="17"/>
  <c r="I2742" i="17"/>
  <c r="I2743" i="17"/>
  <c r="I2744" i="17"/>
  <c r="I2745" i="17"/>
  <c r="I2746" i="17"/>
  <c r="I2747" i="17"/>
  <c r="I2748" i="17"/>
  <c r="I2749" i="17"/>
  <c r="I2750" i="17"/>
  <c r="I2751" i="17"/>
  <c r="I2752" i="17"/>
  <c r="I2753" i="17"/>
  <c r="I2754" i="17"/>
  <c r="I2755" i="17"/>
  <c r="I2756" i="17"/>
  <c r="I2757" i="17"/>
  <c r="I2758" i="17"/>
  <c r="I2759" i="17"/>
  <c r="I2760" i="17"/>
  <c r="I2761" i="17"/>
  <c r="I2762" i="17"/>
  <c r="I2763" i="17"/>
  <c r="I2764" i="17"/>
  <c r="I2765" i="17"/>
  <c r="I2766" i="17"/>
  <c r="I2767" i="17"/>
  <c r="I2768" i="17"/>
  <c r="I2769" i="17"/>
  <c r="I2770" i="17"/>
  <c r="I2771" i="17"/>
  <c r="I2772" i="17"/>
  <c r="I2773" i="17"/>
  <c r="I2774" i="17"/>
  <c r="I2775" i="17"/>
  <c r="I2776" i="17"/>
  <c r="I2777" i="17"/>
  <c r="I2778" i="17"/>
  <c r="I2779" i="17"/>
  <c r="I2780" i="17"/>
  <c r="I2781" i="17"/>
  <c r="I2782" i="17"/>
  <c r="I2783" i="17"/>
  <c r="I2784" i="17"/>
  <c r="I2785" i="17"/>
  <c r="I2786" i="17"/>
  <c r="I2787" i="17"/>
  <c r="I2788" i="17"/>
  <c r="I2789" i="17"/>
  <c r="I2790" i="17"/>
  <c r="I2791" i="17"/>
  <c r="I2792" i="17"/>
  <c r="I2793" i="17"/>
  <c r="I2794" i="17"/>
  <c r="I2795" i="17"/>
  <c r="I2796" i="17"/>
  <c r="I2797" i="17"/>
  <c r="I2798" i="17"/>
  <c r="I2799" i="17"/>
  <c r="I2800" i="17"/>
  <c r="I2801" i="17"/>
  <c r="I2802" i="17"/>
  <c r="I2803" i="17"/>
  <c r="I2804" i="17"/>
  <c r="I2805" i="17"/>
  <c r="I2806" i="17"/>
  <c r="I2807" i="17"/>
  <c r="I2808" i="17"/>
  <c r="I2809" i="17"/>
  <c r="I2810" i="17"/>
  <c r="I2811" i="17"/>
  <c r="I2812" i="17"/>
  <c r="I2813" i="17"/>
  <c r="I2814" i="17"/>
  <c r="I2815" i="17"/>
  <c r="I2816" i="17"/>
  <c r="I2817" i="17"/>
  <c r="I2818" i="17"/>
  <c r="I2819" i="17"/>
  <c r="I2820" i="17"/>
  <c r="I2821" i="17"/>
  <c r="I2822" i="17"/>
  <c r="I2823" i="17"/>
  <c r="I2824" i="17"/>
  <c r="I2825" i="17"/>
  <c r="I2826" i="17"/>
  <c r="I2827" i="17"/>
  <c r="I2828" i="17"/>
  <c r="I2829" i="17"/>
  <c r="I2830" i="17"/>
  <c r="I2831" i="17"/>
  <c r="I2832" i="17"/>
  <c r="I2833" i="17"/>
  <c r="I2834" i="17"/>
  <c r="I2835" i="17"/>
  <c r="I2836" i="17"/>
  <c r="I2837" i="17"/>
  <c r="I2838" i="17"/>
  <c r="I2839" i="17"/>
  <c r="I2840" i="17"/>
  <c r="I2841" i="17"/>
  <c r="I2842" i="17"/>
  <c r="I2843" i="17"/>
  <c r="I2844" i="17"/>
  <c r="I2845" i="17"/>
  <c r="I2846" i="17"/>
  <c r="I2847" i="17"/>
  <c r="I2848" i="17"/>
  <c r="I2849" i="17"/>
  <c r="I2850" i="17"/>
  <c r="I2851" i="17"/>
  <c r="I2852" i="17"/>
  <c r="I2853" i="17"/>
  <c r="I2854" i="17"/>
  <c r="I2855" i="17"/>
  <c r="I2856" i="17"/>
  <c r="I2857" i="17"/>
  <c r="I2858" i="17"/>
  <c r="I2859" i="17"/>
  <c r="I2860" i="17"/>
  <c r="I2861" i="17"/>
  <c r="I2862" i="17"/>
  <c r="I2863" i="17"/>
  <c r="I2864" i="17"/>
  <c r="I2865" i="17"/>
  <c r="I2866" i="17"/>
  <c r="I2867" i="17"/>
  <c r="I2868" i="17"/>
  <c r="I2869" i="17"/>
  <c r="I2870" i="17"/>
  <c r="I2871" i="17"/>
  <c r="I2872" i="17"/>
  <c r="I2873" i="17"/>
  <c r="I2874" i="17"/>
  <c r="I2875" i="17"/>
  <c r="I2876" i="17"/>
  <c r="I2877" i="17"/>
  <c r="I2878" i="17"/>
  <c r="I2879" i="17"/>
  <c r="I2880" i="17"/>
  <c r="I2881" i="17"/>
  <c r="I2882" i="17"/>
  <c r="I2883" i="17"/>
  <c r="I2884" i="17"/>
  <c r="I2885" i="17"/>
  <c r="I2886" i="17"/>
  <c r="I2887" i="17"/>
  <c r="I2888" i="17"/>
  <c r="I2889" i="17"/>
  <c r="I2890" i="17"/>
  <c r="I2891" i="17"/>
  <c r="I2892" i="17"/>
  <c r="I2893" i="17"/>
  <c r="I2894" i="17"/>
  <c r="I2895" i="17"/>
  <c r="I2896" i="17"/>
  <c r="I2897" i="17"/>
  <c r="I2898" i="17"/>
  <c r="I2899" i="17"/>
  <c r="I2900" i="17"/>
  <c r="I2901" i="17"/>
  <c r="I2902" i="17"/>
  <c r="I2903" i="17"/>
  <c r="I2904" i="17"/>
  <c r="I2905" i="17"/>
  <c r="I2906" i="17"/>
  <c r="I2907" i="17"/>
  <c r="I2908" i="17"/>
  <c r="I2909" i="17"/>
  <c r="I2910" i="17"/>
  <c r="I2911" i="17"/>
  <c r="I2912" i="17"/>
  <c r="I2913" i="17"/>
  <c r="I2914" i="17"/>
  <c r="I2915" i="17"/>
  <c r="I2916" i="17"/>
  <c r="I2917" i="17"/>
  <c r="I2918" i="17"/>
  <c r="I2919" i="17"/>
  <c r="I2920" i="17"/>
  <c r="I2921" i="17"/>
  <c r="I2922" i="17"/>
  <c r="I2923" i="17"/>
  <c r="I2924" i="17"/>
  <c r="I2925" i="17"/>
  <c r="I2926" i="17"/>
  <c r="I2927" i="17"/>
  <c r="I2928" i="17"/>
  <c r="I2929" i="17"/>
  <c r="I2930" i="17"/>
  <c r="I2931" i="17"/>
  <c r="I2932" i="17"/>
  <c r="I2933" i="17"/>
  <c r="I2934" i="17"/>
  <c r="I2935" i="17"/>
  <c r="I2936" i="17"/>
  <c r="I2937" i="17"/>
  <c r="I2938" i="17"/>
  <c r="I2939" i="17"/>
  <c r="I2940" i="17"/>
  <c r="I2941" i="17"/>
  <c r="I2942" i="17"/>
  <c r="I2943" i="17"/>
  <c r="I2944" i="17"/>
  <c r="I2945" i="17"/>
  <c r="I2946" i="17"/>
  <c r="I2947" i="17"/>
  <c r="I2948" i="17"/>
  <c r="I2949" i="17"/>
  <c r="I2950" i="17"/>
  <c r="I2951" i="17"/>
  <c r="I2952" i="17"/>
  <c r="I2953" i="17"/>
  <c r="I2954" i="17"/>
  <c r="I2955" i="17"/>
  <c r="I2956" i="17"/>
  <c r="I2957" i="17"/>
  <c r="I2958" i="17"/>
  <c r="I2959" i="17"/>
  <c r="I2960" i="17"/>
  <c r="I2961" i="17"/>
  <c r="I2962" i="17"/>
  <c r="I2963" i="17"/>
  <c r="I2964" i="17"/>
  <c r="I2965" i="17"/>
  <c r="I2966" i="17"/>
  <c r="I2967" i="17"/>
  <c r="I2968" i="17"/>
  <c r="I2969" i="17"/>
  <c r="I2970" i="17"/>
  <c r="I2971" i="17"/>
  <c r="I2972" i="17"/>
  <c r="I2973" i="17"/>
  <c r="I2974" i="17"/>
  <c r="I2975" i="17"/>
  <c r="I2976" i="17"/>
  <c r="I2977" i="17"/>
  <c r="I2978" i="17"/>
  <c r="I2979" i="17"/>
  <c r="I2980" i="17"/>
  <c r="I2981" i="17"/>
  <c r="I2982" i="17"/>
  <c r="I2983" i="17"/>
  <c r="I2984" i="17"/>
  <c r="I2985" i="17"/>
  <c r="I2986" i="17"/>
  <c r="I2987" i="17"/>
  <c r="I2988" i="17"/>
  <c r="I2989" i="17"/>
  <c r="I2990" i="17"/>
  <c r="I2991" i="17"/>
  <c r="I2992" i="17"/>
  <c r="I2993" i="17"/>
  <c r="I2994" i="17"/>
  <c r="I2995" i="17"/>
  <c r="I2996" i="17"/>
  <c r="I2997" i="17"/>
  <c r="I2998" i="17"/>
  <c r="I2999" i="17"/>
  <c r="I3000" i="17"/>
  <c r="I3001" i="17"/>
  <c r="I3002" i="17"/>
  <c r="I3003" i="17"/>
  <c r="I3004" i="17"/>
  <c r="I3005" i="17"/>
  <c r="I3006" i="17"/>
  <c r="I3007" i="17"/>
  <c r="I3008" i="17"/>
  <c r="I3009" i="17"/>
  <c r="I3010" i="17"/>
  <c r="I3011" i="17"/>
  <c r="I3012" i="17"/>
  <c r="I3013" i="17"/>
  <c r="I3014" i="17"/>
  <c r="I3015" i="17"/>
  <c r="I3016" i="17"/>
  <c r="I3017" i="17"/>
  <c r="I3018" i="17"/>
  <c r="I3019" i="17"/>
  <c r="I3020" i="17"/>
  <c r="I3021" i="17"/>
  <c r="I3022" i="17"/>
  <c r="I3023" i="17"/>
  <c r="I3024" i="17"/>
  <c r="I3025" i="17"/>
  <c r="I3026" i="17"/>
  <c r="I3027" i="17"/>
  <c r="I3028" i="17"/>
  <c r="I3029" i="17"/>
  <c r="I3030" i="17"/>
  <c r="I3031" i="17"/>
  <c r="I3032" i="17"/>
  <c r="I3033" i="17"/>
  <c r="I3034" i="17"/>
  <c r="I3035" i="17"/>
  <c r="I3036" i="17"/>
  <c r="I3037" i="17"/>
  <c r="I3038" i="17"/>
  <c r="I3039" i="17"/>
  <c r="I3040" i="17"/>
  <c r="I3041" i="17"/>
  <c r="I3042" i="17"/>
  <c r="I3043" i="17"/>
  <c r="I3044" i="17"/>
  <c r="I3045" i="17"/>
  <c r="I3046" i="17"/>
  <c r="I3047" i="17"/>
  <c r="I3048" i="17"/>
  <c r="I3049" i="17"/>
  <c r="I3050" i="17"/>
  <c r="I3051" i="17"/>
  <c r="I3052" i="17"/>
  <c r="I3053" i="17"/>
  <c r="I3054" i="17"/>
  <c r="I3055" i="17"/>
  <c r="I3056" i="17"/>
  <c r="I3057" i="17"/>
  <c r="I3058" i="17"/>
  <c r="I3059" i="17"/>
  <c r="I3060" i="17"/>
  <c r="I3061" i="17"/>
  <c r="I3062" i="17"/>
  <c r="I3063" i="17"/>
  <c r="I3064" i="17"/>
  <c r="I3065" i="17"/>
  <c r="I3066" i="17"/>
  <c r="I3067" i="17"/>
  <c r="I3068" i="17"/>
  <c r="I3069" i="17"/>
  <c r="I3070" i="17"/>
  <c r="I3071" i="17"/>
  <c r="I3072" i="17"/>
  <c r="I3073" i="17"/>
  <c r="I3074" i="17"/>
  <c r="I3075" i="17"/>
  <c r="I3076" i="17"/>
  <c r="I3077" i="17"/>
  <c r="I3078" i="17"/>
  <c r="I3079" i="17"/>
  <c r="I3080" i="17"/>
  <c r="I3081" i="17"/>
  <c r="I3082" i="17"/>
  <c r="I3083" i="17"/>
  <c r="I3084" i="17"/>
  <c r="I3085" i="17"/>
  <c r="I3086" i="17"/>
  <c r="I3087" i="17"/>
  <c r="I3088" i="17"/>
  <c r="I3089" i="17"/>
  <c r="I3090" i="17"/>
  <c r="I3091" i="17"/>
  <c r="I3092" i="17"/>
  <c r="I3093" i="17"/>
  <c r="I3094" i="17"/>
  <c r="I3095" i="17"/>
  <c r="I3096" i="17"/>
  <c r="I3097" i="17"/>
  <c r="I3098" i="17"/>
  <c r="I3099" i="17"/>
  <c r="I3100" i="17"/>
  <c r="I3101" i="17"/>
  <c r="I3102" i="17"/>
  <c r="I3103" i="17"/>
  <c r="I3104" i="17"/>
  <c r="I3105" i="17"/>
  <c r="I3106" i="17"/>
  <c r="I3107" i="17"/>
  <c r="I3108" i="17"/>
  <c r="I3109" i="17"/>
  <c r="I3110" i="17"/>
  <c r="I3111" i="17"/>
  <c r="I3112" i="17"/>
  <c r="I3113" i="17"/>
  <c r="I3114" i="17"/>
  <c r="I3115" i="17"/>
  <c r="I3116" i="17"/>
  <c r="I3117" i="17"/>
  <c r="I3118" i="17"/>
  <c r="I3119" i="17"/>
  <c r="I3120" i="17"/>
  <c r="I3121" i="17"/>
  <c r="I3122" i="17"/>
  <c r="I3123" i="17"/>
  <c r="I3124" i="17"/>
  <c r="I3125" i="17"/>
  <c r="I3126" i="17"/>
  <c r="I3127" i="17"/>
  <c r="I3128" i="17"/>
  <c r="I3129" i="17"/>
  <c r="I3130" i="17"/>
  <c r="I3131" i="17"/>
  <c r="I3132" i="17"/>
  <c r="I3133" i="17"/>
  <c r="I3134" i="17"/>
  <c r="I3135" i="17"/>
  <c r="I3136" i="17"/>
  <c r="I3137" i="17"/>
  <c r="I3138" i="17"/>
  <c r="I3139" i="17"/>
  <c r="I3140" i="17"/>
  <c r="I3141" i="17"/>
  <c r="I3142" i="17"/>
  <c r="I3143" i="17"/>
  <c r="I3144" i="17"/>
  <c r="I3145" i="17"/>
  <c r="I3146" i="17"/>
  <c r="I3147" i="17"/>
  <c r="I3148" i="17"/>
  <c r="I3149" i="17"/>
  <c r="I3150" i="17"/>
  <c r="I3151" i="17"/>
  <c r="I3152" i="17"/>
  <c r="I3153" i="17"/>
  <c r="I3154" i="17"/>
  <c r="I3155" i="17"/>
  <c r="I3156" i="17"/>
  <c r="I3157" i="17"/>
  <c r="I3158" i="17"/>
  <c r="I3159" i="17"/>
  <c r="I3160" i="17"/>
  <c r="I3161" i="17"/>
  <c r="I3162" i="17"/>
  <c r="I3163" i="17"/>
  <c r="I3164" i="17"/>
  <c r="I3165" i="17"/>
  <c r="I3166" i="17"/>
  <c r="I3167" i="17"/>
  <c r="I3168" i="17"/>
  <c r="I3169" i="17"/>
  <c r="I3170" i="17"/>
  <c r="I3171" i="17"/>
  <c r="I3172" i="17"/>
  <c r="I3173" i="17"/>
  <c r="I3174" i="17"/>
  <c r="I3175" i="17"/>
  <c r="I3176" i="17"/>
  <c r="I3177" i="17"/>
  <c r="I3178" i="17"/>
  <c r="I3179" i="17"/>
  <c r="I3180" i="17"/>
  <c r="I3181" i="17"/>
  <c r="I3182" i="17"/>
  <c r="I3183" i="17"/>
  <c r="I3184" i="17"/>
  <c r="I3185" i="17"/>
  <c r="I3186" i="17"/>
  <c r="I3187" i="17"/>
  <c r="I3188" i="17"/>
  <c r="I3189" i="17"/>
  <c r="I3190" i="17"/>
  <c r="I3191" i="17"/>
  <c r="I3192" i="17"/>
  <c r="I3193" i="17"/>
  <c r="I3194" i="17"/>
  <c r="I3195" i="17"/>
  <c r="I3196" i="17"/>
  <c r="I3197" i="17"/>
  <c r="I3198" i="17"/>
  <c r="I3199" i="17"/>
  <c r="I3200" i="17"/>
  <c r="I3201" i="17"/>
  <c r="I3202" i="17"/>
  <c r="I3203" i="17"/>
  <c r="I3204" i="17"/>
  <c r="I3205" i="17"/>
  <c r="I3206" i="17"/>
  <c r="I3207" i="17"/>
  <c r="I3208" i="17"/>
  <c r="I3209" i="17"/>
  <c r="I3210" i="17"/>
  <c r="I3211" i="17"/>
  <c r="I3212" i="17"/>
  <c r="I3213" i="17"/>
  <c r="I3214" i="17"/>
  <c r="I3215" i="17"/>
  <c r="I3216" i="17"/>
  <c r="I3217" i="17"/>
  <c r="I3218" i="17"/>
  <c r="I3219" i="17"/>
  <c r="I3220" i="17"/>
  <c r="I3221" i="17"/>
  <c r="I3222" i="17"/>
  <c r="I3223" i="17"/>
  <c r="I3224" i="17"/>
  <c r="I3225" i="17"/>
  <c r="I3226" i="17"/>
  <c r="I3227" i="17"/>
  <c r="I3228" i="17"/>
  <c r="I3229" i="17"/>
  <c r="I3230" i="17"/>
  <c r="I3231" i="17"/>
  <c r="I3232" i="17"/>
  <c r="I3233" i="17"/>
  <c r="I3234" i="17"/>
  <c r="I3235" i="17"/>
  <c r="I3236" i="17"/>
  <c r="I3237" i="17"/>
  <c r="I3238" i="17"/>
  <c r="I3239" i="17"/>
  <c r="I3240" i="17"/>
  <c r="I3241" i="17"/>
  <c r="I3242" i="17"/>
  <c r="I3243" i="17"/>
  <c r="I3244" i="17"/>
  <c r="I3245" i="17"/>
  <c r="I3246" i="17"/>
  <c r="I3247" i="17"/>
  <c r="I3248" i="17"/>
  <c r="I3249" i="17"/>
  <c r="I3250" i="17"/>
  <c r="I3251" i="17"/>
  <c r="I3252" i="17"/>
  <c r="I3253" i="17"/>
  <c r="I3254" i="17"/>
  <c r="I3255" i="17"/>
  <c r="I3256" i="17"/>
  <c r="I3257" i="17"/>
  <c r="I3258" i="17"/>
  <c r="I3259" i="17"/>
  <c r="I3260" i="17"/>
  <c r="I3261" i="17"/>
  <c r="I3262" i="17"/>
  <c r="I3263" i="17"/>
  <c r="I3264" i="17"/>
  <c r="I3265" i="17"/>
  <c r="I3266" i="17"/>
  <c r="I3267" i="17"/>
  <c r="I3268" i="17"/>
  <c r="I3269" i="17"/>
  <c r="I3270" i="17"/>
  <c r="I3271" i="17"/>
  <c r="I3272" i="17"/>
  <c r="I3273" i="17"/>
  <c r="I3274" i="17"/>
  <c r="I3275" i="17"/>
  <c r="I3276" i="17"/>
  <c r="I3277" i="17"/>
  <c r="I3278" i="17"/>
  <c r="I3279" i="17"/>
  <c r="I3280" i="17"/>
  <c r="I3281" i="17"/>
  <c r="I3282" i="17"/>
  <c r="I3283" i="17"/>
  <c r="I3284" i="17"/>
  <c r="I3285" i="17"/>
  <c r="I3286" i="17"/>
  <c r="I3287" i="17"/>
  <c r="I3288" i="17"/>
  <c r="I3289" i="17"/>
  <c r="I3290" i="17"/>
  <c r="I3291" i="17"/>
  <c r="I3292" i="17"/>
  <c r="I3293" i="17"/>
  <c r="I3294" i="17"/>
  <c r="I3295" i="17"/>
  <c r="I3296" i="17"/>
  <c r="I3297" i="17"/>
  <c r="I3298" i="17"/>
  <c r="I3299" i="17"/>
  <c r="I3300" i="17"/>
  <c r="I3301" i="17"/>
  <c r="I3302" i="17"/>
  <c r="I3303" i="17"/>
  <c r="I3304" i="17"/>
  <c r="I3305" i="17"/>
  <c r="I3306" i="17"/>
  <c r="I3307" i="17"/>
  <c r="I3308" i="17"/>
  <c r="I3309" i="17"/>
  <c r="I3310" i="17"/>
  <c r="I3311" i="17"/>
  <c r="I3312" i="17"/>
  <c r="I3313" i="17"/>
  <c r="I3314" i="17"/>
  <c r="I3315" i="17"/>
  <c r="I3316" i="17"/>
  <c r="I3317" i="17"/>
  <c r="I3318" i="17"/>
  <c r="I3319" i="17"/>
  <c r="I3320" i="17"/>
  <c r="I3321" i="17"/>
  <c r="I3322" i="17"/>
  <c r="I3323" i="17"/>
  <c r="I3324" i="17"/>
  <c r="I3325" i="17"/>
  <c r="I3326" i="17"/>
  <c r="I3327" i="17"/>
  <c r="I3328" i="17"/>
  <c r="I3329" i="17"/>
  <c r="I3330" i="17"/>
  <c r="I3331" i="17"/>
  <c r="I3332" i="17"/>
  <c r="I3333" i="17"/>
  <c r="I3334" i="17"/>
  <c r="I3335" i="17"/>
  <c r="I3336" i="17"/>
  <c r="I3337" i="17"/>
  <c r="I3338" i="17"/>
  <c r="I3339" i="17"/>
  <c r="I3340" i="17"/>
  <c r="I3341" i="17"/>
  <c r="I3342" i="17"/>
  <c r="I3343" i="17"/>
  <c r="I3344" i="17"/>
  <c r="I3345" i="17"/>
  <c r="I3346" i="17"/>
  <c r="I3347" i="17"/>
  <c r="I3348" i="17"/>
  <c r="I3349" i="17"/>
  <c r="I3350" i="17"/>
  <c r="I3351" i="17"/>
  <c r="I3352" i="17"/>
  <c r="I3353" i="17"/>
  <c r="I3354" i="17"/>
  <c r="I3355" i="17"/>
  <c r="I3356" i="17"/>
  <c r="I3357" i="17"/>
  <c r="I3358" i="17"/>
  <c r="I3359" i="17"/>
  <c r="I3360" i="17"/>
  <c r="I3361" i="17"/>
  <c r="I3362" i="17"/>
  <c r="I3363" i="17"/>
  <c r="I3364" i="17"/>
  <c r="I3365" i="17"/>
  <c r="I3366" i="17"/>
  <c r="I3367" i="17"/>
  <c r="I3368" i="17"/>
  <c r="I3369" i="17"/>
  <c r="I3370" i="17"/>
  <c r="I3371" i="17"/>
  <c r="I3372" i="17"/>
  <c r="I3373" i="17"/>
  <c r="I3374" i="17"/>
  <c r="I3375" i="17"/>
  <c r="I3376" i="17"/>
  <c r="I3377" i="17"/>
  <c r="I3378" i="17"/>
  <c r="I3379" i="17"/>
  <c r="I3380" i="17"/>
  <c r="I3381" i="17"/>
  <c r="I3382" i="17"/>
  <c r="I3383" i="17"/>
  <c r="I3384" i="17"/>
  <c r="I3385" i="17"/>
  <c r="I3386" i="17"/>
  <c r="I3387" i="17"/>
  <c r="I3388" i="17"/>
  <c r="I3389" i="17"/>
  <c r="I3390" i="17"/>
  <c r="I3391" i="17"/>
  <c r="I3392" i="17"/>
  <c r="I3393" i="17"/>
  <c r="I3394" i="17"/>
  <c r="I3395" i="17"/>
  <c r="I3396" i="17"/>
  <c r="I3397" i="17"/>
  <c r="I3398" i="17"/>
  <c r="I3399" i="17"/>
  <c r="I3400" i="17"/>
  <c r="I3401" i="17"/>
  <c r="I3402" i="17"/>
  <c r="I3403" i="17"/>
  <c r="I3404" i="17"/>
  <c r="I3405" i="17"/>
  <c r="I3406" i="17"/>
  <c r="I3407" i="17"/>
  <c r="I3408" i="17"/>
  <c r="I3409" i="17"/>
  <c r="I3410" i="17"/>
  <c r="I3411" i="17"/>
  <c r="I3412" i="17"/>
  <c r="I3413" i="17"/>
  <c r="I3414" i="17"/>
  <c r="I3415" i="17"/>
  <c r="I3416" i="17"/>
  <c r="I3417" i="17"/>
  <c r="I3418" i="17"/>
  <c r="I3419" i="17"/>
  <c r="I3420" i="17"/>
  <c r="I3421" i="17"/>
  <c r="I3422" i="17"/>
  <c r="I3423" i="17"/>
  <c r="I3424" i="17"/>
  <c r="I3425" i="17"/>
  <c r="I3426" i="17"/>
  <c r="I3427" i="17"/>
  <c r="I3428" i="17"/>
  <c r="I3429" i="17"/>
  <c r="I3430" i="17"/>
  <c r="I3431" i="17"/>
  <c r="I3432" i="17"/>
  <c r="I3433" i="17"/>
  <c r="I3434" i="17"/>
  <c r="I3435" i="17"/>
  <c r="I3436" i="17"/>
  <c r="I3437" i="17"/>
  <c r="I3438" i="17"/>
  <c r="I3439" i="17"/>
  <c r="I3440" i="17"/>
  <c r="I3441" i="17"/>
  <c r="I3442" i="17"/>
  <c r="I3443" i="17"/>
  <c r="I3444" i="17"/>
  <c r="I3445" i="17"/>
  <c r="I3446" i="17"/>
  <c r="I3447" i="17"/>
  <c r="I3448" i="17"/>
  <c r="I3449" i="17"/>
  <c r="I3450" i="17"/>
  <c r="I3451" i="17"/>
  <c r="I3452" i="17"/>
  <c r="I3453" i="17"/>
  <c r="I3454" i="17"/>
  <c r="I3455" i="17"/>
  <c r="I3456" i="17"/>
  <c r="I3457" i="17"/>
  <c r="I3458" i="17"/>
  <c r="I3459" i="17"/>
  <c r="I3460" i="17"/>
  <c r="I3461" i="17"/>
  <c r="I3462" i="17"/>
  <c r="I3463" i="17"/>
  <c r="I3464" i="17"/>
  <c r="I3465" i="17"/>
  <c r="I3466" i="17"/>
  <c r="I3467" i="17"/>
  <c r="I3468" i="17"/>
  <c r="I3469" i="17"/>
  <c r="I3470" i="17"/>
  <c r="I3471" i="17"/>
  <c r="I3472" i="17"/>
  <c r="I3473" i="17"/>
  <c r="I3474" i="17"/>
  <c r="I3475" i="17"/>
  <c r="I3476" i="17"/>
  <c r="I3477" i="17"/>
  <c r="I3478" i="17"/>
  <c r="I3479" i="17"/>
  <c r="I3480" i="17"/>
  <c r="I3481" i="17"/>
  <c r="I3482" i="17"/>
  <c r="I3483" i="17"/>
  <c r="I3484" i="17"/>
  <c r="I3485" i="17"/>
  <c r="I3486" i="17"/>
  <c r="I3487" i="17"/>
  <c r="I3488" i="17"/>
  <c r="I3489" i="17"/>
  <c r="I3490" i="17"/>
  <c r="I3491" i="17"/>
  <c r="I3492" i="17"/>
  <c r="I3493" i="17"/>
  <c r="I3494" i="17"/>
  <c r="I3495" i="17"/>
  <c r="I3496" i="17"/>
  <c r="I3497" i="17"/>
  <c r="I3498" i="17"/>
  <c r="I3499" i="17"/>
  <c r="I3500" i="17"/>
  <c r="I3501" i="17"/>
  <c r="I3502" i="17"/>
  <c r="I3503" i="17"/>
  <c r="I3504" i="17"/>
  <c r="I3505" i="17"/>
  <c r="I3506" i="17"/>
  <c r="I3507" i="17"/>
  <c r="I3508" i="17"/>
  <c r="I3509" i="17"/>
  <c r="I3510" i="17"/>
  <c r="I3511" i="17"/>
  <c r="I3512" i="17"/>
  <c r="I3513" i="17"/>
  <c r="I3514" i="17"/>
  <c r="I3515" i="17"/>
  <c r="I3516" i="17"/>
  <c r="I3517" i="17"/>
  <c r="I3518" i="17"/>
  <c r="I3519" i="17"/>
  <c r="I3520" i="17"/>
  <c r="I3521" i="17"/>
  <c r="J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J101" i="17"/>
  <c r="J102" i="17"/>
  <c r="J103" i="17"/>
  <c r="J104" i="17"/>
  <c r="J105" i="17"/>
  <c r="J106" i="17"/>
  <c r="J107" i="17"/>
  <c r="J108" i="17"/>
  <c r="J109" i="17"/>
  <c r="J110" i="17"/>
  <c r="J111" i="17"/>
  <c r="J112" i="17"/>
  <c r="J113" i="17"/>
  <c r="J114" i="17"/>
  <c r="J115" i="17"/>
  <c r="J116" i="17"/>
  <c r="J117" i="17"/>
  <c r="J118" i="17"/>
  <c r="J119" i="17"/>
  <c r="J120" i="17"/>
  <c r="J121" i="17"/>
  <c r="J122" i="17"/>
  <c r="J123" i="17"/>
  <c r="J124" i="17"/>
  <c r="J125" i="17"/>
  <c r="J126" i="17"/>
  <c r="J127" i="17"/>
  <c r="J128" i="17"/>
  <c r="J129" i="17"/>
  <c r="J130" i="17"/>
  <c r="J131" i="17"/>
  <c r="J132" i="17"/>
  <c r="J133" i="17"/>
  <c r="J134" i="17"/>
  <c r="J135" i="17"/>
  <c r="J136" i="17"/>
  <c r="J137" i="17"/>
  <c r="J138" i="17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61" i="17"/>
  <c r="J162" i="17"/>
  <c r="J163" i="17"/>
  <c r="J164" i="17"/>
  <c r="J165" i="17"/>
  <c r="J166" i="17"/>
  <c r="J167" i="17"/>
  <c r="J168" i="17"/>
  <c r="J169" i="17"/>
  <c r="J170" i="17"/>
  <c r="J171" i="17"/>
  <c r="J172" i="17"/>
  <c r="J173" i="17"/>
  <c r="J174" i="17"/>
  <c r="J175" i="17"/>
  <c r="J176" i="17"/>
  <c r="J177" i="17"/>
  <c r="J178" i="17"/>
  <c r="J179" i="17"/>
  <c r="J180" i="17"/>
  <c r="J181" i="17"/>
  <c r="J182" i="17"/>
  <c r="J183" i="17"/>
  <c r="J184" i="17"/>
  <c r="J185" i="17"/>
  <c r="J186" i="17"/>
  <c r="J187" i="17"/>
  <c r="J188" i="17"/>
  <c r="J189" i="17"/>
  <c r="J190" i="17"/>
  <c r="J191" i="17"/>
  <c r="J192" i="17"/>
  <c r="J193" i="17"/>
  <c r="J194" i="17"/>
  <c r="J195" i="17"/>
  <c r="J196" i="17"/>
  <c r="J197" i="17"/>
  <c r="J198" i="17"/>
  <c r="J199" i="17"/>
  <c r="J200" i="17"/>
  <c r="J201" i="17"/>
  <c r="J202" i="17"/>
  <c r="J203" i="17"/>
  <c r="J204" i="17"/>
  <c r="J205" i="17"/>
  <c r="J206" i="17"/>
  <c r="J207" i="17"/>
  <c r="J208" i="17"/>
  <c r="J209" i="17"/>
  <c r="J210" i="17"/>
  <c r="J211" i="17"/>
  <c r="J212" i="17"/>
  <c r="J213" i="17"/>
  <c r="J214" i="17"/>
  <c r="J215" i="17"/>
  <c r="J216" i="17"/>
  <c r="J217" i="17"/>
  <c r="J218" i="17"/>
  <c r="J219" i="17"/>
  <c r="J220" i="17"/>
  <c r="J221" i="17"/>
  <c r="J222" i="17"/>
  <c r="J223" i="17"/>
  <c r="J224" i="17"/>
  <c r="J225" i="17"/>
  <c r="J226" i="17"/>
  <c r="J227" i="17"/>
  <c r="J228" i="17"/>
  <c r="J229" i="17"/>
  <c r="J230" i="17"/>
  <c r="J231" i="17"/>
  <c r="J232" i="17"/>
  <c r="J233" i="17"/>
  <c r="J234" i="17"/>
  <c r="J235" i="17"/>
  <c r="J236" i="17"/>
  <c r="J237" i="17"/>
  <c r="J238" i="17"/>
  <c r="J239" i="17"/>
  <c r="J240" i="17"/>
  <c r="J241" i="17"/>
  <c r="J242" i="17"/>
  <c r="J243" i="17"/>
  <c r="J244" i="17"/>
  <c r="J245" i="17"/>
  <c r="J246" i="17"/>
  <c r="J247" i="17"/>
  <c r="J248" i="17"/>
  <c r="J249" i="17"/>
  <c r="J250" i="17"/>
  <c r="J251" i="17"/>
  <c r="J252" i="17"/>
  <c r="J253" i="17"/>
  <c r="J254" i="17"/>
  <c r="J255" i="17"/>
  <c r="J256" i="17"/>
  <c r="J257" i="17"/>
  <c r="J258" i="17"/>
  <c r="J259" i="17"/>
  <c r="J260" i="17"/>
  <c r="J261" i="17"/>
  <c r="J262" i="17"/>
  <c r="J263" i="17"/>
  <c r="J264" i="17"/>
  <c r="J265" i="17"/>
  <c r="J266" i="17"/>
  <c r="J267" i="17"/>
  <c r="J268" i="17"/>
  <c r="J269" i="17"/>
  <c r="J270" i="17"/>
  <c r="J271" i="17"/>
  <c r="J272" i="17"/>
  <c r="J273" i="17"/>
  <c r="J274" i="17"/>
  <c r="J275" i="17"/>
  <c r="J276" i="17"/>
  <c r="J277" i="17"/>
  <c r="J278" i="17"/>
  <c r="J279" i="17"/>
  <c r="J280" i="17"/>
  <c r="J281" i="17"/>
  <c r="J282" i="17"/>
  <c r="J283" i="17"/>
  <c r="J284" i="17"/>
  <c r="J285" i="17"/>
  <c r="J286" i="17"/>
  <c r="J287" i="17"/>
  <c r="J288" i="17"/>
  <c r="J289" i="17"/>
  <c r="J290" i="17"/>
  <c r="J291" i="17"/>
  <c r="J292" i="17"/>
  <c r="J293" i="17"/>
  <c r="J294" i="17"/>
  <c r="J295" i="17"/>
  <c r="J296" i="17"/>
  <c r="J297" i="17"/>
  <c r="J298" i="17"/>
  <c r="J299" i="17"/>
  <c r="J300" i="17"/>
  <c r="J301" i="17"/>
  <c r="J302" i="17"/>
  <c r="J303" i="17"/>
  <c r="J304" i="17"/>
  <c r="J305" i="17"/>
  <c r="J306" i="17"/>
  <c r="J307" i="17"/>
  <c r="J308" i="17"/>
  <c r="J309" i="17"/>
  <c r="J310" i="17"/>
  <c r="J311" i="17"/>
  <c r="J312" i="17"/>
  <c r="J313" i="17"/>
  <c r="J314" i="17"/>
  <c r="J315" i="17"/>
  <c r="J316" i="17"/>
  <c r="J317" i="17"/>
  <c r="J318" i="17"/>
  <c r="J319" i="17"/>
  <c r="J320" i="17"/>
  <c r="J321" i="17"/>
  <c r="J322" i="17"/>
  <c r="J323" i="17"/>
  <c r="J324" i="17"/>
  <c r="J325" i="17"/>
  <c r="J326" i="17"/>
  <c r="J327" i="17"/>
  <c r="J328" i="17"/>
  <c r="J329" i="17"/>
  <c r="J330" i="17"/>
  <c r="J331" i="17"/>
  <c r="J332" i="17"/>
  <c r="J333" i="17"/>
  <c r="J334" i="17"/>
  <c r="J335" i="17"/>
  <c r="J336" i="17"/>
  <c r="J337" i="17"/>
  <c r="J338" i="17"/>
  <c r="J339" i="17"/>
  <c r="J340" i="17"/>
  <c r="J341" i="17"/>
  <c r="J342" i="17"/>
  <c r="J343" i="17"/>
  <c r="J344" i="17"/>
  <c r="J345" i="17"/>
  <c r="J346" i="17"/>
  <c r="J347" i="17"/>
  <c r="J348" i="17"/>
  <c r="J349" i="17"/>
  <c r="J350" i="17"/>
  <c r="J351" i="17"/>
  <c r="J352" i="17"/>
  <c r="J353" i="17"/>
  <c r="J354" i="17"/>
  <c r="J355" i="17"/>
  <c r="J356" i="17"/>
  <c r="J357" i="17"/>
  <c r="J358" i="17"/>
  <c r="J359" i="17"/>
  <c r="J360" i="17"/>
  <c r="J361" i="17"/>
  <c r="J362" i="17"/>
  <c r="J363" i="17"/>
  <c r="J364" i="17"/>
  <c r="J365" i="17"/>
  <c r="J366" i="17"/>
  <c r="J367" i="17"/>
  <c r="J368" i="17"/>
  <c r="J369" i="17"/>
  <c r="J370" i="17"/>
  <c r="J371" i="17"/>
  <c r="J372" i="17"/>
  <c r="J373" i="17"/>
  <c r="J374" i="17"/>
  <c r="J375" i="17"/>
  <c r="J376" i="17"/>
  <c r="J377" i="17"/>
  <c r="J378" i="17"/>
  <c r="J379" i="17"/>
  <c r="J380" i="17"/>
  <c r="J381" i="17"/>
  <c r="J382" i="17"/>
  <c r="J383" i="17"/>
  <c r="J384" i="17"/>
  <c r="J385" i="17"/>
  <c r="J386" i="17"/>
  <c r="J387" i="17"/>
  <c r="J388" i="17"/>
  <c r="J389" i="17"/>
  <c r="J390" i="17"/>
  <c r="J391" i="17"/>
  <c r="J392" i="17"/>
  <c r="J393" i="17"/>
  <c r="J394" i="17"/>
  <c r="J395" i="17"/>
  <c r="J396" i="17"/>
  <c r="J397" i="17"/>
  <c r="J398" i="17"/>
  <c r="J399" i="17"/>
  <c r="J400" i="17"/>
  <c r="J401" i="17"/>
  <c r="J402" i="17"/>
  <c r="J403" i="17"/>
  <c r="J404" i="17"/>
  <c r="J405" i="17"/>
  <c r="J406" i="17"/>
  <c r="J407" i="17"/>
  <c r="J408" i="17"/>
  <c r="J409" i="17"/>
  <c r="J410" i="17"/>
  <c r="J411" i="17"/>
  <c r="J412" i="17"/>
  <c r="J413" i="17"/>
  <c r="J414" i="17"/>
  <c r="J415" i="17"/>
  <c r="J416" i="17"/>
  <c r="J417" i="17"/>
  <c r="J418" i="17"/>
  <c r="J419" i="17"/>
  <c r="J420" i="17"/>
  <c r="J421" i="17"/>
  <c r="J422" i="17"/>
  <c r="J423" i="17"/>
  <c r="J424" i="17"/>
  <c r="J425" i="17"/>
  <c r="J426" i="17"/>
  <c r="J427" i="17"/>
  <c r="J428" i="17"/>
  <c r="J429" i="17"/>
  <c r="J430" i="17"/>
  <c r="J431" i="17"/>
  <c r="J432" i="17"/>
  <c r="J433" i="17"/>
  <c r="J434" i="17"/>
  <c r="J435" i="17"/>
  <c r="J436" i="17"/>
  <c r="J437" i="17"/>
  <c r="J438" i="17"/>
  <c r="J439" i="17"/>
  <c r="J440" i="17"/>
  <c r="J441" i="17"/>
  <c r="J442" i="17"/>
  <c r="J443" i="17"/>
  <c r="J444" i="17"/>
  <c r="J445" i="17"/>
  <c r="J446" i="17"/>
  <c r="J447" i="17"/>
  <c r="J448" i="17"/>
  <c r="J449" i="17"/>
  <c r="J450" i="17"/>
  <c r="J451" i="17"/>
  <c r="J452" i="17"/>
  <c r="J453" i="17"/>
  <c r="J454" i="17"/>
  <c r="J455" i="17"/>
  <c r="J456" i="17"/>
  <c r="J457" i="17"/>
  <c r="J458" i="17"/>
  <c r="J459" i="17"/>
  <c r="J460" i="17"/>
  <c r="J461" i="17"/>
  <c r="J462" i="17"/>
  <c r="J463" i="17"/>
  <c r="J464" i="17"/>
  <c r="J465" i="17"/>
  <c r="J466" i="17"/>
  <c r="J467" i="17"/>
  <c r="J468" i="17"/>
  <c r="J469" i="17"/>
  <c r="J470" i="17"/>
  <c r="J471" i="17"/>
  <c r="J472" i="17"/>
  <c r="J473" i="17"/>
  <c r="J474" i="17"/>
  <c r="J475" i="17"/>
  <c r="J476" i="17"/>
  <c r="J477" i="17"/>
  <c r="J478" i="17"/>
  <c r="J479" i="17"/>
  <c r="J480" i="17"/>
  <c r="J481" i="17"/>
  <c r="J482" i="17"/>
  <c r="J483" i="17"/>
  <c r="J484" i="17"/>
  <c r="J485" i="17"/>
  <c r="J486" i="17"/>
  <c r="J487" i="17"/>
  <c r="J488" i="17"/>
  <c r="J489" i="17"/>
  <c r="J490" i="17"/>
  <c r="J491" i="17"/>
  <c r="J492" i="17"/>
  <c r="J493" i="17"/>
  <c r="J494" i="17"/>
  <c r="J495" i="17"/>
  <c r="J496" i="17"/>
  <c r="J497" i="17"/>
  <c r="J498" i="17"/>
  <c r="J499" i="17"/>
  <c r="J500" i="17"/>
  <c r="J501" i="17"/>
  <c r="J502" i="17"/>
  <c r="J503" i="17"/>
  <c r="J504" i="17"/>
  <c r="J505" i="17"/>
  <c r="J506" i="17"/>
  <c r="J507" i="17"/>
  <c r="J508" i="17"/>
  <c r="J509" i="17"/>
  <c r="J510" i="17"/>
  <c r="J511" i="17"/>
  <c r="J512" i="17"/>
  <c r="J513" i="17"/>
  <c r="J514" i="17"/>
  <c r="J515" i="17"/>
  <c r="J516" i="17"/>
  <c r="J517" i="17"/>
  <c r="J518" i="17"/>
  <c r="J519" i="17"/>
  <c r="J520" i="17"/>
  <c r="J521" i="17"/>
  <c r="J522" i="17"/>
  <c r="J523" i="17"/>
  <c r="J524" i="17"/>
  <c r="J525" i="17"/>
  <c r="J526" i="17"/>
  <c r="J527" i="17"/>
  <c r="J528" i="17"/>
  <c r="J529" i="17"/>
  <c r="J530" i="17"/>
  <c r="J531" i="17"/>
  <c r="J532" i="17"/>
  <c r="J533" i="17"/>
  <c r="J534" i="17"/>
  <c r="J535" i="17"/>
  <c r="J536" i="17"/>
  <c r="J537" i="17"/>
  <c r="J538" i="17"/>
  <c r="J539" i="17"/>
  <c r="J540" i="17"/>
  <c r="J541" i="17"/>
  <c r="J542" i="17"/>
  <c r="J543" i="17"/>
  <c r="J544" i="17"/>
  <c r="J545" i="17"/>
  <c r="J546" i="17"/>
  <c r="J547" i="17"/>
  <c r="J548" i="17"/>
  <c r="J549" i="17"/>
  <c r="J550" i="17"/>
  <c r="J551" i="17"/>
  <c r="J552" i="17"/>
  <c r="J553" i="17"/>
  <c r="J554" i="17"/>
  <c r="J555" i="17"/>
  <c r="J556" i="17"/>
  <c r="J557" i="17"/>
  <c r="J558" i="17"/>
  <c r="J559" i="17"/>
  <c r="J560" i="17"/>
  <c r="J561" i="17"/>
  <c r="J562" i="17"/>
  <c r="J563" i="17"/>
  <c r="J564" i="17"/>
  <c r="J565" i="17"/>
  <c r="J566" i="17"/>
  <c r="J567" i="17"/>
  <c r="J568" i="17"/>
  <c r="J569" i="17"/>
  <c r="J570" i="17"/>
  <c r="J571" i="17"/>
  <c r="J572" i="17"/>
  <c r="J573" i="17"/>
  <c r="J574" i="17"/>
  <c r="J575" i="17"/>
  <c r="J576" i="17"/>
  <c r="J577" i="17"/>
  <c r="J578" i="17"/>
  <c r="J579" i="17"/>
  <c r="J580" i="17"/>
  <c r="J581" i="17"/>
  <c r="J582" i="17"/>
  <c r="J583" i="17"/>
  <c r="J584" i="17"/>
  <c r="J585" i="17"/>
  <c r="J586" i="17"/>
  <c r="J587" i="17"/>
  <c r="J588" i="17"/>
  <c r="J589" i="17"/>
  <c r="J590" i="17"/>
  <c r="J591" i="17"/>
  <c r="J592" i="17"/>
  <c r="J593" i="17"/>
  <c r="J594" i="17"/>
  <c r="J595" i="17"/>
  <c r="J596" i="17"/>
  <c r="J597" i="17"/>
  <c r="J598" i="17"/>
  <c r="J599" i="17"/>
  <c r="J600" i="17"/>
  <c r="J601" i="17"/>
  <c r="J602" i="17"/>
  <c r="J603" i="17"/>
  <c r="J604" i="17"/>
  <c r="J605" i="17"/>
  <c r="J606" i="17"/>
  <c r="J607" i="17"/>
  <c r="J608" i="17"/>
  <c r="J609" i="17"/>
  <c r="J610" i="17"/>
  <c r="J611" i="17"/>
  <c r="J612" i="17"/>
  <c r="J613" i="17"/>
  <c r="J614" i="17"/>
  <c r="J615" i="17"/>
  <c r="J616" i="17"/>
  <c r="J617" i="17"/>
  <c r="J618" i="17"/>
  <c r="J619" i="17"/>
  <c r="J620" i="17"/>
  <c r="J621" i="17"/>
  <c r="J622" i="17"/>
  <c r="J623" i="17"/>
  <c r="J624" i="17"/>
  <c r="J625" i="17"/>
  <c r="J626" i="17"/>
  <c r="J627" i="17"/>
  <c r="J628" i="17"/>
  <c r="J629" i="17"/>
  <c r="J630" i="17"/>
  <c r="J631" i="17"/>
  <c r="J632" i="17"/>
  <c r="J633" i="17"/>
  <c r="J634" i="17"/>
  <c r="J635" i="17"/>
  <c r="J636" i="17"/>
  <c r="J637" i="17"/>
  <c r="J638" i="17"/>
  <c r="J639" i="17"/>
  <c r="J640" i="17"/>
  <c r="J641" i="17"/>
  <c r="J642" i="17"/>
  <c r="J643" i="17"/>
  <c r="J644" i="17"/>
  <c r="J645" i="17"/>
  <c r="J646" i="17"/>
  <c r="J647" i="17"/>
  <c r="J648" i="17"/>
  <c r="J649" i="17"/>
  <c r="J650" i="17"/>
  <c r="J651" i="17"/>
  <c r="J652" i="17"/>
  <c r="J653" i="17"/>
  <c r="J654" i="17"/>
  <c r="J655" i="17"/>
  <c r="J656" i="17"/>
  <c r="J657" i="17"/>
  <c r="J658" i="17"/>
  <c r="J659" i="17"/>
  <c r="J660" i="17"/>
  <c r="J661" i="17"/>
  <c r="J662" i="17"/>
  <c r="J663" i="17"/>
  <c r="J664" i="17"/>
  <c r="J665" i="17"/>
  <c r="J666" i="17"/>
  <c r="J667" i="17"/>
  <c r="J668" i="17"/>
  <c r="J669" i="17"/>
  <c r="J670" i="17"/>
  <c r="J671" i="17"/>
  <c r="J672" i="17"/>
  <c r="J673" i="17"/>
  <c r="J674" i="17"/>
  <c r="J675" i="17"/>
  <c r="J676" i="17"/>
  <c r="J677" i="17"/>
  <c r="J678" i="17"/>
  <c r="J679" i="17"/>
  <c r="J680" i="17"/>
  <c r="J681" i="17"/>
  <c r="J682" i="17"/>
  <c r="J683" i="17"/>
  <c r="J684" i="17"/>
  <c r="J685" i="17"/>
  <c r="J686" i="17"/>
  <c r="J687" i="17"/>
  <c r="J688" i="17"/>
  <c r="J689" i="17"/>
  <c r="J690" i="17"/>
  <c r="J691" i="17"/>
  <c r="J692" i="17"/>
  <c r="J693" i="17"/>
  <c r="J694" i="17"/>
  <c r="J695" i="17"/>
  <c r="J696" i="17"/>
  <c r="J697" i="17"/>
  <c r="J698" i="17"/>
  <c r="J699" i="17"/>
  <c r="J700" i="17"/>
  <c r="J701" i="17"/>
  <c r="J702" i="17"/>
  <c r="J703" i="17"/>
  <c r="J704" i="17"/>
  <c r="J705" i="17"/>
  <c r="J706" i="17"/>
  <c r="J707" i="17"/>
  <c r="J708" i="17"/>
  <c r="J709" i="17"/>
  <c r="J710" i="17"/>
  <c r="J711" i="17"/>
  <c r="J712" i="17"/>
  <c r="J713" i="17"/>
  <c r="J714" i="17"/>
  <c r="J715" i="17"/>
  <c r="J716" i="17"/>
  <c r="J717" i="17"/>
  <c r="J718" i="17"/>
  <c r="J719" i="17"/>
  <c r="J720" i="17"/>
  <c r="J721" i="17"/>
  <c r="J722" i="17"/>
  <c r="J723" i="17"/>
  <c r="J724" i="17"/>
  <c r="J725" i="17"/>
  <c r="J726" i="17"/>
  <c r="J727" i="17"/>
  <c r="J728" i="17"/>
  <c r="J729" i="17"/>
  <c r="J730" i="17"/>
  <c r="J731" i="17"/>
  <c r="J732" i="17"/>
  <c r="J733" i="17"/>
  <c r="J734" i="17"/>
  <c r="J735" i="17"/>
  <c r="J736" i="17"/>
  <c r="J737" i="17"/>
  <c r="J738" i="17"/>
  <c r="J739" i="17"/>
  <c r="J740" i="17"/>
  <c r="J741" i="17"/>
  <c r="J742" i="17"/>
  <c r="J743" i="17"/>
  <c r="J744" i="17"/>
  <c r="J745" i="17"/>
  <c r="J746" i="17"/>
  <c r="J747" i="17"/>
  <c r="J748" i="17"/>
  <c r="J749" i="17"/>
  <c r="J750" i="17"/>
  <c r="J751" i="17"/>
  <c r="J752" i="17"/>
  <c r="J753" i="17"/>
  <c r="J754" i="17"/>
  <c r="J755" i="17"/>
  <c r="J756" i="17"/>
  <c r="J757" i="17"/>
  <c r="J758" i="17"/>
  <c r="J759" i="17"/>
  <c r="J760" i="17"/>
  <c r="J761" i="17"/>
  <c r="J762" i="17"/>
  <c r="J763" i="17"/>
  <c r="J764" i="17"/>
  <c r="J765" i="17"/>
  <c r="J766" i="17"/>
  <c r="J767" i="17"/>
  <c r="J768" i="17"/>
  <c r="J769" i="17"/>
  <c r="J770" i="17"/>
  <c r="J771" i="17"/>
  <c r="J772" i="17"/>
  <c r="J773" i="17"/>
  <c r="J774" i="17"/>
  <c r="J775" i="17"/>
  <c r="J776" i="17"/>
  <c r="J777" i="17"/>
  <c r="J778" i="17"/>
  <c r="J779" i="17"/>
  <c r="J780" i="17"/>
  <c r="J781" i="17"/>
  <c r="J782" i="17"/>
  <c r="J783" i="17"/>
  <c r="J784" i="17"/>
  <c r="J785" i="17"/>
  <c r="J786" i="17"/>
  <c r="J787" i="17"/>
  <c r="J788" i="17"/>
  <c r="J789" i="17"/>
  <c r="J790" i="17"/>
  <c r="J791" i="17"/>
  <c r="J792" i="17"/>
  <c r="J793" i="17"/>
  <c r="J794" i="17"/>
  <c r="J795" i="17"/>
  <c r="J796" i="17"/>
  <c r="J797" i="17"/>
  <c r="J798" i="17"/>
  <c r="J799" i="17"/>
  <c r="J800" i="17"/>
  <c r="J801" i="17"/>
  <c r="J802" i="17"/>
  <c r="J803" i="17"/>
  <c r="J804" i="17"/>
  <c r="J805" i="17"/>
  <c r="J806" i="17"/>
  <c r="J807" i="17"/>
  <c r="J808" i="17"/>
  <c r="J809" i="17"/>
  <c r="J810" i="17"/>
  <c r="J811" i="17"/>
  <c r="J812" i="17"/>
  <c r="J813" i="17"/>
  <c r="J814" i="17"/>
  <c r="J815" i="17"/>
  <c r="J816" i="17"/>
  <c r="J817" i="17"/>
  <c r="J818" i="17"/>
  <c r="J819" i="17"/>
  <c r="J820" i="17"/>
  <c r="J821" i="17"/>
  <c r="J822" i="17"/>
  <c r="J823" i="17"/>
  <c r="J824" i="17"/>
  <c r="J825" i="17"/>
  <c r="J826" i="17"/>
  <c r="J827" i="17"/>
  <c r="J828" i="17"/>
  <c r="J829" i="17"/>
  <c r="J830" i="17"/>
  <c r="J831" i="17"/>
  <c r="J832" i="17"/>
  <c r="J833" i="17"/>
  <c r="J834" i="17"/>
  <c r="J835" i="17"/>
  <c r="J836" i="17"/>
  <c r="J837" i="17"/>
  <c r="J838" i="17"/>
  <c r="J839" i="17"/>
  <c r="J840" i="17"/>
  <c r="J841" i="17"/>
  <c r="J842" i="17"/>
  <c r="J843" i="17"/>
  <c r="J844" i="17"/>
  <c r="J845" i="17"/>
  <c r="J846" i="17"/>
  <c r="J847" i="17"/>
  <c r="J848" i="17"/>
  <c r="J849" i="17"/>
  <c r="J850" i="17"/>
  <c r="J851" i="17"/>
  <c r="J852" i="17"/>
  <c r="J853" i="17"/>
  <c r="J854" i="17"/>
  <c r="J855" i="17"/>
  <c r="J856" i="17"/>
  <c r="J857" i="17"/>
  <c r="J858" i="17"/>
  <c r="J859" i="17"/>
  <c r="J860" i="17"/>
  <c r="J861" i="17"/>
  <c r="J862" i="17"/>
  <c r="J863" i="17"/>
  <c r="J864" i="17"/>
  <c r="J865" i="17"/>
  <c r="J866" i="17"/>
  <c r="J867" i="17"/>
  <c r="J868" i="17"/>
  <c r="J869" i="17"/>
  <c r="J870" i="17"/>
  <c r="J871" i="17"/>
  <c r="J872" i="17"/>
  <c r="J873" i="17"/>
  <c r="J874" i="17"/>
  <c r="J875" i="17"/>
  <c r="J876" i="17"/>
  <c r="J877" i="17"/>
  <c r="J878" i="17"/>
  <c r="J879" i="17"/>
  <c r="J880" i="17"/>
  <c r="J881" i="17"/>
  <c r="J882" i="17"/>
  <c r="J883" i="17"/>
  <c r="J884" i="17"/>
  <c r="J885" i="17"/>
  <c r="J886" i="17"/>
  <c r="J887" i="17"/>
  <c r="J888" i="17"/>
  <c r="J889" i="17"/>
  <c r="J890" i="17"/>
  <c r="J891" i="17"/>
  <c r="J892" i="17"/>
  <c r="J893" i="17"/>
  <c r="J894" i="17"/>
  <c r="J895" i="17"/>
  <c r="J896" i="17"/>
  <c r="J897" i="17"/>
  <c r="J898" i="17"/>
  <c r="J899" i="17"/>
  <c r="J900" i="17"/>
  <c r="J901" i="17"/>
  <c r="J902" i="17"/>
  <c r="J903" i="17"/>
  <c r="J904" i="17"/>
  <c r="J905" i="17"/>
  <c r="J906" i="17"/>
  <c r="J907" i="17"/>
  <c r="J908" i="17"/>
  <c r="J909" i="17"/>
  <c r="J910" i="17"/>
  <c r="J911" i="17"/>
  <c r="J912" i="17"/>
  <c r="J913" i="17"/>
  <c r="J914" i="17"/>
  <c r="J915" i="17"/>
  <c r="J916" i="17"/>
  <c r="J917" i="17"/>
  <c r="J918" i="17"/>
  <c r="J919" i="17"/>
  <c r="J920" i="17"/>
  <c r="J921" i="17"/>
  <c r="J922" i="17"/>
  <c r="J923" i="17"/>
  <c r="J924" i="17"/>
  <c r="J925" i="17"/>
  <c r="J926" i="17"/>
  <c r="J927" i="17"/>
  <c r="J928" i="17"/>
  <c r="J929" i="17"/>
  <c r="J930" i="17"/>
  <c r="J931" i="17"/>
  <c r="J932" i="17"/>
  <c r="J933" i="17"/>
  <c r="J934" i="17"/>
  <c r="J935" i="17"/>
  <c r="J936" i="17"/>
  <c r="J937" i="17"/>
  <c r="J938" i="17"/>
  <c r="J939" i="17"/>
  <c r="J940" i="17"/>
  <c r="J941" i="17"/>
  <c r="J942" i="17"/>
  <c r="J943" i="17"/>
  <c r="J944" i="17"/>
  <c r="J945" i="17"/>
  <c r="J946" i="17"/>
  <c r="J947" i="17"/>
  <c r="J948" i="17"/>
  <c r="J949" i="17"/>
  <c r="J950" i="17"/>
  <c r="J951" i="17"/>
  <c r="J952" i="17"/>
  <c r="J953" i="17"/>
  <c r="J954" i="17"/>
  <c r="J955" i="17"/>
  <c r="J956" i="17"/>
  <c r="J957" i="17"/>
  <c r="J958" i="17"/>
  <c r="J959" i="17"/>
  <c r="J960" i="17"/>
  <c r="J961" i="17"/>
  <c r="J962" i="17"/>
  <c r="J963" i="17"/>
  <c r="J964" i="17"/>
  <c r="J965" i="17"/>
  <c r="J966" i="17"/>
  <c r="J967" i="17"/>
  <c r="J968" i="17"/>
  <c r="J969" i="17"/>
  <c r="J970" i="17"/>
  <c r="J971" i="17"/>
  <c r="J972" i="17"/>
  <c r="J973" i="17"/>
  <c r="J974" i="17"/>
  <c r="J975" i="17"/>
  <c r="J976" i="17"/>
  <c r="J977" i="17"/>
  <c r="J978" i="17"/>
  <c r="J979" i="17"/>
  <c r="J980" i="17"/>
  <c r="J981" i="17"/>
  <c r="J982" i="17"/>
  <c r="J983" i="17"/>
  <c r="J984" i="17"/>
  <c r="J985" i="17"/>
  <c r="J986" i="17"/>
  <c r="J987" i="17"/>
  <c r="J988" i="17"/>
  <c r="J989" i="17"/>
  <c r="J990" i="17"/>
  <c r="J991" i="17"/>
  <c r="J992" i="17"/>
  <c r="J993" i="17"/>
  <c r="J994" i="17"/>
  <c r="J995" i="17"/>
  <c r="J996" i="17"/>
  <c r="J997" i="17"/>
  <c r="J998" i="17"/>
  <c r="J999" i="17"/>
  <c r="J1000" i="17"/>
  <c r="J1001" i="17"/>
  <c r="J1002" i="17"/>
  <c r="J1003" i="17"/>
  <c r="J1004" i="17"/>
  <c r="J1005" i="17"/>
  <c r="J1006" i="17"/>
  <c r="J1007" i="17"/>
  <c r="J1008" i="17"/>
  <c r="J1009" i="17"/>
  <c r="J1010" i="17"/>
  <c r="J1011" i="17"/>
  <c r="J1012" i="17"/>
  <c r="J1013" i="17"/>
  <c r="J1014" i="17"/>
  <c r="J1015" i="17"/>
  <c r="J1016" i="17"/>
  <c r="J1017" i="17"/>
  <c r="J1018" i="17"/>
  <c r="J1019" i="17"/>
  <c r="J1020" i="17"/>
  <c r="J1021" i="17"/>
  <c r="J1022" i="17"/>
  <c r="J1023" i="17"/>
  <c r="J1024" i="17"/>
  <c r="J1025" i="17"/>
  <c r="J1026" i="17"/>
  <c r="J1027" i="17"/>
  <c r="J1028" i="17"/>
  <c r="J1029" i="17"/>
  <c r="J1030" i="17"/>
  <c r="J1031" i="17"/>
  <c r="J1032" i="17"/>
  <c r="J1033" i="17"/>
  <c r="J1034" i="17"/>
  <c r="J1035" i="17"/>
  <c r="J1036" i="17"/>
  <c r="J1037" i="17"/>
  <c r="J1038" i="17"/>
  <c r="J1039" i="17"/>
  <c r="J1040" i="17"/>
  <c r="J1041" i="17"/>
  <c r="J1042" i="17"/>
  <c r="J1043" i="17"/>
  <c r="J1044" i="17"/>
  <c r="J1045" i="17"/>
  <c r="J1046" i="17"/>
  <c r="J1047" i="17"/>
  <c r="J1048" i="17"/>
  <c r="J1049" i="17"/>
  <c r="J1050" i="17"/>
  <c r="J1051" i="17"/>
  <c r="J1052" i="17"/>
  <c r="J1053" i="17"/>
  <c r="J1054" i="17"/>
  <c r="J1055" i="17"/>
  <c r="J1056" i="17"/>
  <c r="J1057" i="17"/>
  <c r="J1058" i="17"/>
  <c r="J1059" i="17"/>
  <c r="J1060" i="17"/>
  <c r="J1061" i="17"/>
  <c r="J1062" i="17"/>
  <c r="J1063" i="17"/>
  <c r="J1064" i="17"/>
  <c r="J1065" i="17"/>
  <c r="J1066" i="17"/>
  <c r="J1067" i="17"/>
  <c r="J1068" i="17"/>
  <c r="J1069" i="17"/>
  <c r="J1070" i="17"/>
  <c r="J1071" i="17"/>
  <c r="J1072" i="17"/>
  <c r="J1073" i="17"/>
  <c r="J1074" i="17"/>
  <c r="J1075" i="17"/>
  <c r="J1076" i="17"/>
  <c r="J1077" i="17"/>
  <c r="J1078" i="17"/>
  <c r="J1079" i="17"/>
  <c r="J1080" i="17"/>
  <c r="J1081" i="17"/>
  <c r="J1082" i="17"/>
  <c r="J1083" i="17"/>
  <c r="J1084" i="17"/>
  <c r="J1085" i="17"/>
  <c r="J1086" i="17"/>
  <c r="J1087" i="17"/>
  <c r="J1088" i="17"/>
  <c r="J1089" i="17"/>
  <c r="J1090" i="17"/>
  <c r="J1091" i="17"/>
  <c r="J1092" i="17"/>
  <c r="J1093" i="17"/>
  <c r="J1094" i="17"/>
  <c r="J1095" i="17"/>
  <c r="J1096" i="17"/>
  <c r="J1097" i="17"/>
  <c r="J1098" i="17"/>
  <c r="J1099" i="17"/>
  <c r="J1100" i="17"/>
  <c r="J1101" i="17"/>
  <c r="J1102" i="17"/>
  <c r="J1103" i="17"/>
  <c r="J1104" i="17"/>
  <c r="J1105" i="17"/>
  <c r="J1106" i="17"/>
  <c r="J1107" i="17"/>
  <c r="J1108" i="17"/>
  <c r="J1109" i="17"/>
  <c r="J1110" i="17"/>
  <c r="J1111" i="17"/>
  <c r="J1112" i="17"/>
  <c r="J1113" i="17"/>
  <c r="J1114" i="17"/>
  <c r="J1115" i="17"/>
  <c r="J1116" i="17"/>
  <c r="J1117" i="17"/>
  <c r="J1118" i="17"/>
  <c r="J1119" i="17"/>
  <c r="J1120" i="17"/>
  <c r="J1121" i="17"/>
  <c r="J1122" i="17"/>
  <c r="J1123" i="17"/>
  <c r="J1124" i="17"/>
  <c r="J1125" i="17"/>
  <c r="J1126" i="17"/>
  <c r="J1127" i="17"/>
  <c r="J1128" i="17"/>
  <c r="J1129" i="17"/>
  <c r="J1130" i="17"/>
  <c r="J1131" i="17"/>
  <c r="J1132" i="17"/>
  <c r="J1133" i="17"/>
  <c r="J1134" i="17"/>
  <c r="J1135" i="17"/>
  <c r="J1136" i="17"/>
  <c r="J1137" i="17"/>
  <c r="J1138" i="17"/>
  <c r="J1139" i="17"/>
  <c r="J1140" i="17"/>
  <c r="J1141" i="17"/>
  <c r="J1142" i="17"/>
  <c r="J1143" i="17"/>
  <c r="J1144" i="17"/>
  <c r="J1145" i="17"/>
  <c r="J1146" i="17"/>
  <c r="J1147" i="17"/>
  <c r="J1148" i="17"/>
  <c r="J1149" i="17"/>
  <c r="J1150" i="17"/>
  <c r="J1151" i="17"/>
  <c r="J1152" i="17"/>
  <c r="J1153" i="17"/>
  <c r="J1154" i="17"/>
  <c r="J1155" i="17"/>
  <c r="J1156" i="17"/>
  <c r="J1157" i="17"/>
  <c r="J1158" i="17"/>
  <c r="J1159" i="17"/>
  <c r="J1160" i="17"/>
  <c r="J1161" i="17"/>
  <c r="J1162" i="17"/>
  <c r="J1163" i="17"/>
  <c r="J1164" i="17"/>
  <c r="J1165" i="17"/>
  <c r="J1166" i="17"/>
  <c r="J1167" i="17"/>
  <c r="J1168" i="17"/>
  <c r="J1169" i="17"/>
  <c r="J1170" i="17"/>
  <c r="J1171" i="17"/>
  <c r="J1172" i="17"/>
  <c r="J1173" i="17"/>
  <c r="J1174" i="17"/>
  <c r="J1175" i="17"/>
  <c r="J1176" i="17"/>
  <c r="J1177" i="17"/>
  <c r="J1178" i="17"/>
  <c r="J1179" i="17"/>
  <c r="J1180" i="17"/>
  <c r="J1181" i="17"/>
  <c r="J1182" i="17"/>
  <c r="J1183" i="17"/>
  <c r="J1184" i="17"/>
  <c r="J1185" i="17"/>
  <c r="J1186" i="17"/>
  <c r="J1187" i="17"/>
  <c r="J1188" i="17"/>
  <c r="J1189" i="17"/>
  <c r="J1190" i="17"/>
  <c r="J1191" i="17"/>
  <c r="J1192" i="17"/>
  <c r="J1193" i="17"/>
  <c r="J1194" i="17"/>
  <c r="J1195" i="17"/>
  <c r="J1196" i="17"/>
  <c r="J1197" i="17"/>
  <c r="J1198" i="17"/>
  <c r="J1199" i="17"/>
  <c r="J1200" i="17"/>
  <c r="J1201" i="17"/>
  <c r="J1202" i="17"/>
  <c r="J1203" i="17"/>
  <c r="J1204" i="17"/>
  <c r="J1205" i="17"/>
  <c r="J1206" i="17"/>
  <c r="J1207" i="17"/>
  <c r="J1208" i="17"/>
  <c r="J1209" i="17"/>
  <c r="J1210" i="17"/>
  <c r="J1211" i="17"/>
  <c r="J1212" i="17"/>
  <c r="J1213" i="17"/>
  <c r="J1214" i="17"/>
  <c r="J1215" i="17"/>
  <c r="J1216" i="17"/>
  <c r="J1217" i="17"/>
  <c r="J1218" i="17"/>
  <c r="J1219" i="17"/>
  <c r="J1220" i="17"/>
  <c r="J1221" i="17"/>
  <c r="J1222" i="17"/>
  <c r="J1223" i="17"/>
  <c r="J1224" i="17"/>
  <c r="J1225" i="17"/>
  <c r="J1226" i="17"/>
  <c r="J1227" i="17"/>
  <c r="J1228" i="17"/>
  <c r="J1229" i="17"/>
  <c r="J1230" i="17"/>
  <c r="J1231" i="17"/>
  <c r="J1232" i="17"/>
  <c r="J1233" i="17"/>
  <c r="J1234" i="17"/>
  <c r="J1235" i="17"/>
  <c r="J1236" i="17"/>
  <c r="J1237" i="17"/>
  <c r="J1238" i="17"/>
  <c r="J1239" i="17"/>
  <c r="J1240" i="17"/>
  <c r="J1241" i="17"/>
  <c r="J1242" i="17"/>
  <c r="J1243" i="17"/>
  <c r="J1244" i="17"/>
  <c r="J1245" i="17"/>
  <c r="J1246" i="17"/>
  <c r="J1247" i="17"/>
  <c r="J1248" i="17"/>
  <c r="J1249" i="17"/>
  <c r="J1250" i="17"/>
  <c r="J1251" i="17"/>
  <c r="J1252" i="17"/>
  <c r="J1253" i="17"/>
  <c r="J1254" i="17"/>
  <c r="J1255" i="17"/>
  <c r="J1256" i="17"/>
  <c r="J1257" i="17"/>
  <c r="J1258" i="17"/>
  <c r="J1259" i="17"/>
  <c r="J1260" i="17"/>
  <c r="J1261" i="17"/>
  <c r="J1262" i="17"/>
  <c r="J1263" i="17"/>
  <c r="J1264" i="17"/>
  <c r="J1265" i="17"/>
  <c r="J1266" i="17"/>
  <c r="J1267" i="17"/>
  <c r="J1268" i="17"/>
  <c r="J1269" i="17"/>
  <c r="J1270" i="17"/>
  <c r="J1271" i="17"/>
  <c r="J1272" i="17"/>
  <c r="J1273" i="17"/>
  <c r="J1274" i="17"/>
  <c r="J1275" i="17"/>
  <c r="J1276" i="17"/>
  <c r="J1277" i="17"/>
  <c r="J1278" i="17"/>
  <c r="J1279" i="17"/>
  <c r="J1280" i="17"/>
  <c r="J1281" i="17"/>
  <c r="J1282" i="17"/>
  <c r="J1283" i="17"/>
  <c r="J1284" i="17"/>
  <c r="J1285" i="17"/>
  <c r="J1286" i="17"/>
  <c r="J1287" i="17"/>
  <c r="J1288" i="17"/>
  <c r="J1289" i="17"/>
  <c r="J1290" i="17"/>
  <c r="J1291" i="17"/>
  <c r="J1292" i="17"/>
  <c r="J1293" i="17"/>
  <c r="J1294" i="17"/>
  <c r="J1295" i="17"/>
  <c r="J1296" i="17"/>
  <c r="J1297" i="17"/>
  <c r="J1298" i="17"/>
  <c r="J1299" i="17"/>
  <c r="J1300" i="17"/>
  <c r="J1301" i="17"/>
  <c r="J1302" i="17"/>
  <c r="J1303" i="17"/>
  <c r="J1304" i="17"/>
  <c r="J1305" i="17"/>
  <c r="J1306" i="17"/>
  <c r="J1307" i="17"/>
  <c r="J1308" i="17"/>
  <c r="J1309" i="17"/>
  <c r="J1310" i="17"/>
  <c r="J1311" i="17"/>
  <c r="J1312" i="17"/>
  <c r="J1313" i="17"/>
  <c r="J1314" i="17"/>
  <c r="J1315" i="17"/>
  <c r="J1316" i="17"/>
  <c r="J1317" i="17"/>
  <c r="J1318" i="17"/>
  <c r="J1319" i="17"/>
  <c r="J1320" i="17"/>
  <c r="J1321" i="17"/>
  <c r="J1322" i="17"/>
  <c r="J1323" i="17"/>
  <c r="J1324" i="17"/>
  <c r="J1325" i="17"/>
  <c r="J1326" i="17"/>
  <c r="J1327" i="17"/>
  <c r="J1328" i="17"/>
  <c r="J1329" i="17"/>
  <c r="J1330" i="17"/>
  <c r="J1331" i="17"/>
  <c r="J1332" i="17"/>
  <c r="J1333" i="17"/>
  <c r="J1334" i="17"/>
  <c r="J1335" i="17"/>
  <c r="J1336" i="17"/>
  <c r="J1337" i="17"/>
  <c r="J1338" i="17"/>
  <c r="J1339" i="17"/>
  <c r="J1340" i="17"/>
  <c r="J1341" i="17"/>
  <c r="J1342" i="17"/>
  <c r="J1343" i="17"/>
  <c r="J1344" i="17"/>
  <c r="J1345" i="17"/>
  <c r="J1346" i="17"/>
  <c r="J1347" i="17"/>
  <c r="J1348" i="17"/>
  <c r="J1349" i="17"/>
  <c r="J1350" i="17"/>
  <c r="J1351" i="17"/>
  <c r="J1352" i="17"/>
  <c r="J1353" i="17"/>
  <c r="J1354" i="17"/>
  <c r="J1355" i="17"/>
  <c r="J1356" i="17"/>
  <c r="J1357" i="17"/>
  <c r="J1358" i="17"/>
  <c r="J1359" i="17"/>
  <c r="J1360" i="17"/>
  <c r="J1361" i="17"/>
  <c r="J1362" i="17"/>
  <c r="J1363" i="17"/>
  <c r="J1364" i="17"/>
  <c r="J1365" i="17"/>
  <c r="J1366" i="17"/>
  <c r="J1367" i="17"/>
  <c r="J1368" i="17"/>
  <c r="J1369" i="17"/>
  <c r="J1370" i="17"/>
  <c r="J1371" i="17"/>
  <c r="J1372" i="17"/>
  <c r="J1373" i="17"/>
  <c r="J1374" i="17"/>
  <c r="J1375" i="17"/>
  <c r="J1376" i="17"/>
  <c r="J1377" i="17"/>
  <c r="J1378" i="17"/>
  <c r="J1379" i="17"/>
  <c r="J1380" i="17"/>
  <c r="J1381" i="17"/>
  <c r="J1382" i="17"/>
  <c r="J1383" i="17"/>
  <c r="J1384" i="17"/>
  <c r="J1385" i="17"/>
  <c r="J1386" i="17"/>
  <c r="J1387" i="17"/>
  <c r="J1388" i="17"/>
  <c r="J1389" i="17"/>
  <c r="J1390" i="17"/>
  <c r="J1391" i="17"/>
  <c r="J1392" i="17"/>
  <c r="J1393" i="17"/>
  <c r="J1394" i="17"/>
  <c r="J1395" i="17"/>
  <c r="J1396" i="17"/>
  <c r="J1397" i="17"/>
  <c r="J1398" i="17"/>
  <c r="J1399" i="17"/>
  <c r="J1400" i="17"/>
  <c r="J1401" i="17"/>
  <c r="J1402" i="17"/>
  <c r="J1403" i="17"/>
  <c r="J1404" i="17"/>
  <c r="J1405" i="17"/>
  <c r="J1406" i="17"/>
  <c r="J1407" i="17"/>
  <c r="J1408" i="17"/>
  <c r="J1409" i="17"/>
  <c r="J1410" i="17"/>
  <c r="J1411" i="17"/>
  <c r="J1412" i="17"/>
  <c r="J1413" i="17"/>
  <c r="J1414" i="17"/>
  <c r="J1415" i="17"/>
  <c r="J1416" i="17"/>
  <c r="J1417" i="17"/>
  <c r="J1418" i="17"/>
  <c r="J1419" i="17"/>
  <c r="J1420" i="17"/>
  <c r="J1421" i="17"/>
  <c r="J1422" i="17"/>
  <c r="J1423" i="17"/>
  <c r="J1424" i="17"/>
  <c r="J1425" i="17"/>
  <c r="J1426" i="17"/>
  <c r="J1427" i="17"/>
  <c r="J1428" i="17"/>
  <c r="J1429" i="17"/>
  <c r="J1430" i="17"/>
  <c r="J1431" i="17"/>
  <c r="J1432" i="17"/>
  <c r="J1433" i="17"/>
  <c r="J1434" i="17"/>
  <c r="J1435" i="17"/>
  <c r="J1436" i="17"/>
  <c r="J1437" i="17"/>
  <c r="J1438" i="17"/>
  <c r="J1439" i="17"/>
  <c r="J1440" i="17"/>
  <c r="J1441" i="17"/>
  <c r="J1442" i="17"/>
  <c r="J1443" i="17"/>
  <c r="J1444" i="17"/>
  <c r="J1445" i="17"/>
  <c r="J1446" i="17"/>
  <c r="J1447" i="17"/>
  <c r="J1448" i="17"/>
  <c r="J1449" i="17"/>
  <c r="J1450" i="17"/>
  <c r="J1451" i="17"/>
  <c r="J1452" i="17"/>
  <c r="J1453" i="17"/>
  <c r="J1454" i="17"/>
  <c r="J1455" i="17"/>
  <c r="J1456" i="17"/>
  <c r="J1457" i="17"/>
  <c r="J1458" i="17"/>
  <c r="J1459" i="17"/>
  <c r="J1460" i="17"/>
  <c r="J1461" i="17"/>
  <c r="J1462" i="17"/>
  <c r="J1463" i="17"/>
  <c r="J1464" i="17"/>
  <c r="J1465" i="17"/>
  <c r="J1466" i="17"/>
  <c r="J1467" i="17"/>
  <c r="J1468" i="17"/>
  <c r="J1469" i="17"/>
  <c r="J1470" i="17"/>
  <c r="J1471" i="17"/>
  <c r="J1472" i="17"/>
  <c r="J1473" i="17"/>
  <c r="J1474" i="17"/>
  <c r="J1475" i="17"/>
  <c r="J1476" i="17"/>
  <c r="J1477" i="17"/>
  <c r="J1478" i="17"/>
  <c r="J1479" i="17"/>
  <c r="J1480" i="17"/>
  <c r="J1481" i="17"/>
  <c r="J1482" i="17"/>
  <c r="J1483" i="17"/>
  <c r="J1484" i="17"/>
  <c r="J1485" i="17"/>
  <c r="J1486" i="17"/>
  <c r="J1487" i="17"/>
  <c r="J1488" i="17"/>
  <c r="J1489" i="17"/>
  <c r="J1490" i="17"/>
  <c r="J1491" i="17"/>
  <c r="J1492" i="17"/>
  <c r="J1493" i="17"/>
  <c r="J1494" i="17"/>
  <c r="J1495" i="17"/>
  <c r="J1496" i="17"/>
  <c r="J1497" i="17"/>
  <c r="J1498" i="17"/>
  <c r="J1499" i="17"/>
  <c r="J1500" i="17"/>
  <c r="J1501" i="17"/>
  <c r="J1502" i="17"/>
  <c r="J1503" i="17"/>
  <c r="J1504" i="17"/>
  <c r="J1505" i="17"/>
  <c r="J1506" i="17"/>
  <c r="J1507" i="17"/>
  <c r="J1508" i="17"/>
  <c r="J1509" i="17"/>
  <c r="J1510" i="17"/>
  <c r="J1511" i="17"/>
  <c r="J1512" i="17"/>
  <c r="J1513" i="17"/>
  <c r="J1514" i="17"/>
  <c r="J1515" i="17"/>
  <c r="J1516" i="17"/>
  <c r="J1517" i="17"/>
  <c r="J1518" i="17"/>
  <c r="J1519" i="17"/>
  <c r="J1520" i="17"/>
  <c r="J1521" i="17"/>
  <c r="J1522" i="17"/>
  <c r="J1523" i="17"/>
  <c r="J1524" i="17"/>
  <c r="J1525" i="17"/>
  <c r="J1526" i="17"/>
  <c r="J1527" i="17"/>
  <c r="J1528" i="17"/>
  <c r="J1529" i="17"/>
  <c r="J1530" i="17"/>
  <c r="J1531" i="17"/>
  <c r="J1532" i="17"/>
  <c r="J1533" i="17"/>
  <c r="J1534" i="17"/>
  <c r="J1535" i="17"/>
  <c r="J1536" i="17"/>
  <c r="J1537" i="17"/>
  <c r="J1538" i="17"/>
  <c r="J1539" i="17"/>
  <c r="J1540" i="17"/>
  <c r="J1541" i="17"/>
  <c r="J1542" i="17"/>
  <c r="J1543" i="17"/>
  <c r="J1544" i="17"/>
  <c r="J1545" i="17"/>
  <c r="J1546" i="17"/>
  <c r="J1547" i="17"/>
  <c r="J1548" i="17"/>
  <c r="J1549" i="17"/>
  <c r="J1550" i="17"/>
  <c r="J1551" i="17"/>
  <c r="J1552" i="17"/>
  <c r="J1553" i="17"/>
  <c r="J1554" i="17"/>
  <c r="J1555" i="17"/>
  <c r="J1556" i="17"/>
  <c r="J1557" i="17"/>
  <c r="J1558" i="17"/>
  <c r="J1559" i="17"/>
  <c r="J1560" i="17"/>
  <c r="J1561" i="17"/>
  <c r="J1562" i="17"/>
  <c r="J1563" i="17"/>
  <c r="J1564" i="17"/>
  <c r="J1565" i="17"/>
  <c r="J1566" i="17"/>
  <c r="J1567" i="17"/>
  <c r="J1568" i="17"/>
  <c r="J1569" i="17"/>
  <c r="J1570" i="17"/>
  <c r="J1571" i="17"/>
  <c r="J1572" i="17"/>
  <c r="J1573" i="17"/>
  <c r="J1574" i="17"/>
  <c r="J1575" i="17"/>
  <c r="J1576" i="17"/>
  <c r="J1577" i="17"/>
  <c r="J1578" i="17"/>
  <c r="J1579" i="17"/>
  <c r="J1580" i="17"/>
  <c r="J1581" i="17"/>
  <c r="J1582" i="17"/>
  <c r="J1583" i="17"/>
  <c r="J1584" i="17"/>
  <c r="J1585" i="17"/>
  <c r="J1586" i="17"/>
  <c r="J1587" i="17"/>
  <c r="J1588" i="17"/>
  <c r="J1589" i="17"/>
  <c r="J1590" i="17"/>
  <c r="J1591" i="17"/>
  <c r="J1592" i="17"/>
  <c r="J1593" i="17"/>
  <c r="J1594" i="17"/>
  <c r="J1595" i="17"/>
  <c r="J1596" i="17"/>
  <c r="J1597" i="17"/>
  <c r="J1598" i="17"/>
  <c r="J1599" i="17"/>
  <c r="J1600" i="17"/>
  <c r="J1601" i="17"/>
  <c r="J1602" i="17"/>
  <c r="J1603" i="17"/>
  <c r="J1604" i="17"/>
  <c r="J1605" i="17"/>
  <c r="J1606" i="17"/>
  <c r="J1607" i="17"/>
  <c r="J1608" i="17"/>
  <c r="J1609" i="17"/>
  <c r="J1610" i="17"/>
  <c r="J1611" i="17"/>
  <c r="J1612" i="17"/>
  <c r="J1613" i="17"/>
  <c r="J1614" i="17"/>
  <c r="J1615" i="17"/>
  <c r="J1616" i="17"/>
  <c r="J1617" i="17"/>
  <c r="J1618" i="17"/>
  <c r="J1619" i="17"/>
  <c r="J1620" i="17"/>
  <c r="J1621" i="17"/>
  <c r="J1622" i="17"/>
  <c r="J1623" i="17"/>
  <c r="J1624" i="17"/>
  <c r="J1625" i="17"/>
  <c r="J1626" i="17"/>
  <c r="J1627" i="17"/>
  <c r="J1628" i="17"/>
  <c r="J1629" i="17"/>
  <c r="J1630" i="17"/>
  <c r="J1631" i="17"/>
  <c r="J1632" i="17"/>
  <c r="J1633" i="17"/>
  <c r="J1634" i="17"/>
  <c r="J1635" i="17"/>
  <c r="J1636" i="17"/>
  <c r="J1637" i="17"/>
  <c r="J1638" i="17"/>
  <c r="J1639" i="17"/>
  <c r="J1640" i="17"/>
  <c r="J1641" i="17"/>
  <c r="J1642" i="17"/>
  <c r="J1643" i="17"/>
  <c r="J1644" i="17"/>
  <c r="J1645" i="17"/>
  <c r="J1646" i="17"/>
  <c r="J1647" i="17"/>
  <c r="J1648" i="17"/>
  <c r="J1649" i="17"/>
  <c r="J1650" i="17"/>
  <c r="J1651" i="17"/>
  <c r="J1652" i="17"/>
  <c r="J1653" i="17"/>
  <c r="J1654" i="17"/>
  <c r="J1655" i="17"/>
  <c r="J1656" i="17"/>
  <c r="J1657" i="17"/>
  <c r="J1658" i="17"/>
  <c r="J1659" i="17"/>
  <c r="J1660" i="17"/>
  <c r="J1661" i="17"/>
  <c r="J1662" i="17"/>
  <c r="J1663" i="17"/>
  <c r="J1664" i="17"/>
  <c r="J1665" i="17"/>
  <c r="J1666" i="17"/>
  <c r="J1667" i="17"/>
  <c r="J1668" i="17"/>
  <c r="J1669" i="17"/>
  <c r="J1670" i="17"/>
  <c r="J1671" i="17"/>
  <c r="J1672" i="17"/>
  <c r="J1673" i="17"/>
  <c r="J1674" i="17"/>
  <c r="J1675" i="17"/>
  <c r="J1676" i="17"/>
  <c r="J1677" i="17"/>
  <c r="J1678" i="17"/>
  <c r="J1679" i="17"/>
  <c r="J1680" i="17"/>
  <c r="J1681" i="17"/>
  <c r="J1682" i="17"/>
  <c r="J1683" i="17"/>
  <c r="J1684" i="17"/>
  <c r="J1685" i="17"/>
  <c r="J1686" i="17"/>
  <c r="J1687" i="17"/>
  <c r="J1688" i="17"/>
  <c r="J1689" i="17"/>
  <c r="J1690" i="17"/>
  <c r="J1691" i="17"/>
  <c r="J1692" i="17"/>
  <c r="J1693" i="17"/>
  <c r="J1694" i="17"/>
  <c r="J1695" i="17"/>
  <c r="J1696" i="17"/>
  <c r="J1697" i="17"/>
  <c r="J1698" i="17"/>
  <c r="J1699" i="17"/>
  <c r="J1700" i="17"/>
  <c r="J1701" i="17"/>
  <c r="J1702" i="17"/>
  <c r="J1703" i="17"/>
  <c r="J1704" i="17"/>
  <c r="J1705" i="17"/>
  <c r="J1706" i="17"/>
  <c r="J1707" i="17"/>
  <c r="J1708" i="17"/>
  <c r="J1709" i="17"/>
  <c r="J1710" i="17"/>
  <c r="J1711" i="17"/>
  <c r="J1712" i="17"/>
  <c r="J1713" i="17"/>
  <c r="J1714" i="17"/>
  <c r="J1715" i="17"/>
  <c r="J1716" i="17"/>
  <c r="J1717" i="17"/>
  <c r="J1718" i="17"/>
  <c r="J1719" i="17"/>
  <c r="J1720" i="17"/>
  <c r="J1721" i="17"/>
  <c r="J1722" i="17"/>
  <c r="J1723" i="17"/>
  <c r="J1724" i="17"/>
  <c r="J1725" i="17"/>
  <c r="J1726" i="17"/>
  <c r="J1727" i="17"/>
  <c r="J1728" i="17"/>
  <c r="J1729" i="17"/>
  <c r="J1730" i="17"/>
  <c r="J1731" i="17"/>
  <c r="J1732" i="17"/>
  <c r="J1733" i="17"/>
  <c r="J1734" i="17"/>
  <c r="J1735" i="17"/>
  <c r="J1736" i="17"/>
  <c r="J1737" i="17"/>
  <c r="J1738" i="17"/>
  <c r="J1739" i="17"/>
  <c r="J1740" i="17"/>
  <c r="J1741" i="17"/>
  <c r="J1742" i="17"/>
  <c r="J1743" i="17"/>
  <c r="J1744" i="17"/>
  <c r="J1745" i="17"/>
  <c r="J1746" i="17"/>
  <c r="J1747" i="17"/>
  <c r="J1748" i="17"/>
  <c r="J1749" i="17"/>
  <c r="J1750" i="17"/>
  <c r="J1751" i="17"/>
  <c r="J1752" i="17"/>
  <c r="J1753" i="17"/>
  <c r="J1754" i="17"/>
  <c r="J1755" i="17"/>
  <c r="J1756" i="17"/>
  <c r="J1757" i="17"/>
  <c r="J1758" i="17"/>
  <c r="J1759" i="17"/>
  <c r="J1760" i="17"/>
  <c r="J1761" i="17"/>
  <c r="J1762" i="17"/>
  <c r="J1763" i="17"/>
  <c r="J1764" i="17"/>
  <c r="J1765" i="17"/>
  <c r="J1766" i="17"/>
  <c r="J1767" i="17"/>
  <c r="J1768" i="17"/>
  <c r="J1769" i="17"/>
  <c r="J1770" i="17"/>
  <c r="J1771" i="17"/>
  <c r="J1772" i="17"/>
  <c r="J1773" i="17"/>
  <c r="J1774" i="17"/>
  <c r="J1775" i="17"/>
  <c r="J1776" i="17"/>
  <c r="J1777" i="17"/>
  <c r="J1778" i="17"/>
  <c r="J1779" i="17"/>
  <c r="J1780" i="17"/>
  <c r="J1781" i="17"/>
  <c r="J1782" i="17"/>
  <c r="J1783" i="17"/>
  <c r="J1784" i="17"/>
  <c r="J1785" i="17"/>
  <c r="J1786" i="17"/>
  <c r="J1787" i="17"/>
  <c r="J1788" i="17"/>
  <c r="J1789" i="17"/>
  <c r="J1790" i="17"/>
  <c r="J1791" i="17"/>
  <c r="J1792" i="17"/>
  <c r="J1793" i="17"/>
  <c r="J1794" i="17"/>
  <c r="J1795" i="17"/>
  <c r="J1796" i="17"/>
  <c r="J1797" i="17"/>
  <c r="J1798" i="17"/>
  <c r="J1799" i="17"/>
  <c r="J1800" i="17"/>
  <c r="J1801" i="17"/>
  <c r="J1802" i="17"/>
  <c r="J1803" i="17"/>
  <c r="J1804" i="17"/>
  <c r="J1805" i="17"/>
  <c r="J1806" i="17"/>
  <c r="J1807" i="17"/>
  <c r="J1808" i="17"/>
  <c r="J1809" i="17"/>
  <c r="J1810" i="17"/>
  <c r="J1811" i="17"/>
  <c r="J1812" i="17"/>
  <c r="J1813" i="17"/>
  <c r="J1814" i="17"/>
  <c r="J1815" i="17"/>
  <c r="J1816" i="17"/>
  <c r="J1817" i="17"/>
  <c r="J1818" i="17"/>
  <c r="J1819" i="17"/>
  <c r="J1820" i="17"/>
  <c r="J1821" i="17"/>
  <c r="J1822" i="17"/>
  <c r="J1823" i="17"/>
  <c r="J1824" i="17"/>
  <c r="J1825" i="17"/>
  <c r="J1826" i="17"/>
  <c r="J1827" i="17"/>
  <c r="J1828" i="17"/>
  <c r="J1829" i="17"/>
  <c r="J1830" i="17"/>
  <c r="J1831" i="17"/>
  <c r="J1832" i="17"/>
  <c r="J1833" i="17"/>
  <c r="J1834" i="17"/>
  <c r="J1835" i="17"/>
  <c r="J1836" i="17"/>
  <c r="J1837" i="17"/>
  <c r="J1838" i="17"/>
  <c r="J1839" i="17"/>
  <c r="J1840" i="17"/>
  <c r="J1841" i="17"/>
  <c r="J1842" i="17"/>
  <c r="J1843" i="17"/>
  <c r="J1844" i="17"/>
  <c r="J1845" i="17"/>
  <c r="J1846" i="17"/>
  <c r="J1847" i="17"/>
  <c r="J1848" i="17"/>
  <c r="J1849" i="17"/>
  <c r="J1850" i="17"/>
  <c r="J1851" i="17"/>
  <c r="J1852" i="17"/>
  <c r="J1853" i="17"/>
  <c r="J1854" i="17"/>
  <c r="J1855" i="17"/>
  <c r="J1856" i="17"/>
  <c r="J1857" i="17"/>
  <c r="J1858" i="17"/>
  <c r="J1859" i="17"/>
  <c r="J1860" i="17"/>
  <c r="J1861" i="17"/>
  <c r="J1862" i="17"/>
  <c r="J1863" i="17"/>
  <c r="J1864" i="17"/>
  <c r="J1865" i="17"/>
  <c r="J1866" i="17"/>
  <c r="J1867" i="17"/>
  <c r="J1868" i="17"/>
  <c r="J1869" i="17"/>
  <c r="J1870" i="17"/>
  <c r="J1871" i="17"/>
  <c r="J1872" i="17"/>
  <c r="J1873" i="17"/>
  <c r="J1874" i="17"/>
  <c r="J1875" i="17"/>
  <c r="J1876" i="17"/>
  <c r="J1877" i="17"/>
  <c r="J1878" i="17"/>
  <c r="J1879" i="17"/>
  <c r="J1880" i="17"/>
  <c r="J1881" i="17"/>
  <c r="J1882" i="17"/>
  <c r="J1883" i="17"/>
  <c r="J1884" i="17"/>
  <c r="J1885" i="17"/>
  <c r="J1886" i="17"/>
  <c r="J1887" i="17"/>
  <c r="J1888" i="17"/>
  <c r="J1889" i="17"/>
  <c r="J1890" i="17"/>
  <c r="J1891" i="17"/>
  <c r="J1892" i="17"/>
  <c r="J1893" i="17"/>
  <c r="J1894" i="17"/>
  <c r="J1895" i="17"/>
  <c r="J1896" i="17"/>
  <c r="J1897" i="17"/>
  <c r="J1898" i="17"/>
  <c r="J1899" i="17"/>
  <c r="J1900" i="17"/>
  <c r="J1901" i="17"/>
  <c r="J1902" i="17"/>
  <c r="J1903" i="17"/>
  <c r="J1904" i="17"/>
  <c r="J1905" i="17"/>
  <c r="J1906" i="17"/>
  <c r="J1907" i="17"/>
  <c r="J1908" i="17"/>
  <c r="J1909" i="17"/>
  <c r="J1910" i="17"/>
  <c r="J1911" i="17"/>
  <c r="J1912" i="17"/>
  <c r="J1913" i="17"/>
  <c r="J1914" i="17"/>
  <c r="J1915" i="17"/>
  <c r="J1916" i="17"/>
  <c r="J1917" i="17"/>
  <c r="J1918" i="17"/>
  <c r="J1919" i="17"/>
  <c r="J1920" i="17"/>
  <c r="J1921" i="17"/>
  <c r="J1922" i="17"/>
  <c r="J1923" i="17"/>
  <c r="J1924" i="17"/>
  <c r="J1925" i="17"/>
  <c r="J1926" i="17"/>
  <c r="J1927" i="17"/>
  <c r="J1928" i="17"/>
  <c r="J1929" i="17"/>
  <c r="J1930" i="17"/>
  <c r="J1931" i="17"/>
  <c r="J1932" i="17"/>
  <c r="J1933" i="17"/>
  <c r="J1934" i="17"/>
  <c r="J1935" i="17"/>
  <c r="J1936" i="17"/>
  <c r="J1937" i="17"/>
  <c r="J1938" i="17"/>
  <c r="J1939" i="17"/>
  <c r="J1940" i="17"/>
  <c r="J1941" i="17"/>
  <c r="J1942" i="17"/>
  <c r="J1943" i="17"/>
  <c r="J1944" i="17"/>
  <c r="J1945" i="17"/>
  <c r="J1946" i="17"/>
  <c r="J1947" i="17"/>
  <c r="J1948" i="17"/>
  <c r="J1949" i="17"/>
  <c r="J1950" i="17"/>
  <c r="J1951" i="17"/>
  <c r="J1952" i="17"/>
  <c r="J1953" i="17"/>
  <c r="J1954" i="17"/>
  <c r="J1955" i="17"/>
  <c r="J1956" i="17"/>
  <c r="J1957" i="17"/>
  <c r="J1958" i="17"/>
  <c r="J1959" i="17"/>
  <c r="J1960" i="17"/>
  <c r="J1961" i="17"/>
  <c r="J1962" i="17"/>
  <c r="J1963" i="17"/>
  <c r="J1964" i="17"/>
  <c r="J1965" i="17"/>
  <c r="J1966" i="17"/>
  <c r="J1967" i="17"/>
  <c r="J1968" i="17"/>
  <c r="J1969" i="17"/>
  <c r="J1970" i="17"/>
  <c r="J1971" i="17"/>
  <c r="J1972" i="17"/>
  <c r="J1973" i="17"/>
  <c r="J1974" i="17"/>
  <c r="J1975" i="17"/>
  <c r="J1976" i="17"/>
  <c r="J1977" i="17"/>
  <c r="J1978" i="17"/>
  <c r="J1979" i="17"/>
  <c r="J1980" i="17"/>
  <c r="J1981" i="17"/>
  <c r="J1982" i="17"/>
  <c r="J1983" i="17"/>
  <c r="J1984" i="17"/>
  <c r="J1985" i="17"/>
  <c r="J1986" i="17"/>
  <c r="J1987" i="17"/>
  <c r="J1988" i="17"/>
  <c r="J1989" i="17"/>
  <c r="J1990" i="17"/>
  <c r="J1991" i="17"/>
  <c r="J1992" i="17"/>
  <c r="J1993" i="17"/>
  <c r="J1994" i="17"/>
  <c r="J1995" i="17"/>
  <c r="J1996" i="17"/>
  <c r="J1997" i="17"/>
  <c r="J1998" i="17"/>
  <c r="J1999" i="17"/>
  <c r="J2000" i="17"/>
  <c r="J2001" i="17"/>
  <c r="J2002" i="17"/>
  <c r="J2003" i="17"/>
  <c r="J2004" i="17"/>
  <c r="J2005" i="17"/>
  <c r="J2006" i="17"/>
  <c r="J2007" i="17"/>
  <c r="J2008" i="17"/>
  <c r="J2009" i="17"/>
  <c r="J2010" i="17"/>
  <c r="J2011" i="17"/>
  <c r="J2012" i="17"/>
  <c r="J2013" i="17"/>
  <c r="J2014" i="17"/>
  <c r="J2015" i="17"/>
  <c r="J2016" i="17"/>
  <c r="J2017" i="17"/>
  <c r="J2018" i="17"/>
  <c r="J2019" i="17"/>
  <c r="J2020" i="17"/>
  <c r="J2021" i="17"/>
  <c r="J2022" i="17"/>
  <c r="J2023" i="17"/>
  <c r="J2024" i="17"/>
  <c r="J2025" i="17"/>
  <c r="J2026" i="17"/>
  <c r="J2027" i="17"/>
  <c r="J2028" i="17"/>
  <c r="J2029" i="17"/>
  <c r="J2030" i="17"/>
  <c r="J2031" i="17"/>
  <c r="J2032" i="17"/>
  <c r="J2033" i="17"/>
  <c r="J2034" i="17"/>
  <c r="J2035" i="17"/>
  <c r="J2036" i="17"/>
  <c r="J2037" i="17"/>
  <c r="J2038" i="17"/>
  <c r="J2039" i="17"/>
  <c r="J2040" i="17"/>
  <c r="J2041" i="17"/>
  <c r="J2042" i="17"/>
  <c r="J2043" i="17"/>
  <c r="J2044" i="17"/>
  <c r="J2045" i="17"/>
  <c r="J2046" i="17"/>
  <c r="J2047" i="17"/>
  <c r="J2048" i="17"/>
  <c r="J2049" i="17"/>
  <c r="J2050" i="17"/>
  <c r="J2051" i="17"/>
  <c r="J2052" i="17"/>
  <c r="J2053" i="17"/>
  <c r="J2054" i="17"/>
  <c r="J2055" i="17"/>
  <c r="J2056" i="17"/>
  <c r="J2057" i="17"/>
  <c r="J2058" i="17"/>
  <c r="J2059" i="17"/>
  <c r="J2060" i="17"/>
  <c r="J2061" i="17"/>
  <c r="J2062" i="17"/>
  <c r="J2063" i="17"/>
  <c r="J2064" i="17"/>
  <c r="J2065" i="17"/>
  <c r="J2066" i="17"/>
  <c r="J2067" i="17"/>
  <c r="J2068" i="17"/>
  <c r="J2069" i="17"/>
  <c r="J2070" i="17"/>
  <c r="J2071" i="17"/>
  <c r="J2072" i="17"/>
  <c r="J2073" i="17"/>
  <c r="J2074" i="17"/>
  <c r="J2075" i="17"/>
  <c r="J2076" i="17"/>
  <c r="J2077" i="17"/>
  <c r="J2078" i="17"/>
  <c r="J2079" i="17"/>
  <c r="J2080" i="17"/>
  <c r="J2081" i="17"/>
  <c r="J2082" i="17"/>
  <c r="J2083" i="17"/>
  <c r="J2084" i="17"/>
  <c r="J2085" i="17"/>
  <c r="J2086" i="17"/>
  <c r="J2087" i="17"/>
  <c r="J2088" i="17"/>
  <c r="J2089" i="17"/>
  <c r="J2090" i="17"/>
  <c r="J2091" i="17"/>
  <c r="J2092" i="17"/>
  <c r="J2093" i="17"/>
  <c r="J2094" i="17"/>
  <c r="J2095" i="17"/>
  <c r="J2096" i="17"/>
  <c r="J2097" i="17"/>
  <c r="J2098" i="17"/>
  <c r="J2099" i="17"/>
  <c r="J2100" i="17"/>
  <c r="J2101" i="17"/>
  <c r="J2102" i="17"/>
  <c r="J2103" i="17"/>
  <c r="J2104" i="17"/>
  <c r="J2105" i="17"/>
  <c r="J2106" i="17"/>
  <c r="J2107" i="17"/>
  <c r="J2108" i="17"/>
  <c r="J2109" i="17"/>
  <c r="J2110" i="17"/>
  <c r="J2111" i="17"/>
  <c r="J2112" i="17"/>
  <c r="J2113" i="17"/>
  <c r="J2114" i="17"/>
  <c r="J2115" i="17"/>
  <c r="J2116" i="17"/>
  <c r="J2117" i="17"/>
  <c r="J2118" i="17"/>
  <c r="J2119" i="17"/>
  <c r="J2120" i="17"/>
  <c r="J2121" i="17"/>
  <c r="J2122" i="17"/>
  <c r="J2123" i="17"/>
  <c r="J2124" i="17"/>
  <c r="J2125" i="17"/>
  <c r="J2126" i="17"/>
  <c r="J2127" i="17"/>
  <c r="J2128" i="17"/>
  <c r="J2129" i="17"/>
  <c r="J2130" i="17"/>
  <c r="J2131" i="17"/>
  <c r="J2132" i="17"/>
  <c r="J2133" i="17"/>
  <c r="J2134" i="17"/>
  <c r="J2135" i="17"/>
  <c r="J2136" i="17"/>
  <c r="J2137" i="17"/>
  <c r="J2138" i="17"/>
  <c r="J2139" i="17"/>
  <c r="J2140" i="17"/>
  <c r="J2141" i="17"/>
  <c r="J2142" i="17"/>
  <c r="J2143" i="17"/>
  <c r="J2144" i="17"/>
  <c r="J2145" i="17"/>
  <c r="J2146" i="17"/>
  <c r="J2147" i="17"/>
  <c r="J2148" i="17"/>
  <c r="J2149" i="17"/>
  <c r="J2150" i="17"/>
  <c r="J2151" i="17"/>
  <c r="J2152" i="17"/>
  <c r="J2153" i="17"/>
  <c r="J2154" i="17"/>
  <c r="J2155" i="17"/>
  <c r="J2156" i="17"/>
  <c r="J2157" i="17"/>
  <c r="J2158" i="17"/>
  <c r="J2159" i="17"/>
  <c r="J2160" i="17"/>
  <c r="J2161" i="17"/>
  <c r="J2162" i="17"/>
  <c r="J2163" i="17"/>
  <c r="J2164" i="17"/>
  <c r="J2165" i="17"/>
  <c r="J2166" i="17"/>
  <c r="J2167" i="17"/>
  <c r="J2168" i="17"/>
  <c r="J2169" i="17"/>
  <c r="J2170" i="17"/>
  <c r="J2171" i="17"/>
  <c r="J2172" i="17"/>
  <c r="J2173" i="17"/>
  <c r="J2174" i="17"/>
  <c r="J2175" i="17"/>
  <c r="J2176" i="17"/>
  <c r="J2177" i="17"/>
  <c r="J2178" i="17"/>
  <c r="J2179" i="17"/>
  <c r="J2180" i="17"/>
  <c r="J2181" i="17"/>
  <c r="J2182" i="17"/>
  <c r="J2183" i="17"/>
  <c r="J2184" i="17"/>
  <c r="J2185" i="17"/>
  <c r="J2186" i="17"/>
  <c r="J2187" i="17"/>
  <c r="J2188" i="17"/>
  <c r="J2189" i="17"/>
  <c r="J2190" i="17"/>
  <c r="J2191" i="17"/>
  <c r="J2192" i="17"/>
  <c r="J2193" i="17"/>
  <c r="J2194" i="17"/>
  <c r="J2195" i="17"/>
  <c r="J2196" i="17"/>
  <c r="J2197" i="17"/>
  <c r="J2198" i="17"/>
  <c r="J2199" i="17"/>
  <c r="J2200" i="17"/>
  <c r="J2201" i="17"/>
  <c r="J2202" i="17"/>
  <c r="J2203" i="17"/>
  <c r="J2204" i="17"/>
  <c r="J2205" i="17"/>
  <c r="J2206" i="17"/>
  <c r="J2207" i="17"/>
  <c r="J2208" i="17"/>
  <c r="J2209" i="17"/>
  <c r="J2210" i="17"/>
  <c r="J2211" i="17"/>
  <c r="J2212" i="17"/>
  <c r="J2213" i="17"/>
  <c r="J2214" i="17"/>
  <c r="J2215" i="17"/>
  <c r="J2216" i="17"/>
  <c r="J2217" i="17"/>
  <c r="J2218" i="17"/>
  <c r="J2219" i="17"/>
  <c r="J2220" i="17"/>
  <c r="J2221" i="17"/>
  <c r="J2222" i="17"/>
  <c r="J2223" i="17"/>
  <c r="J2224" i="17"/>
  <c r="J2225" i="17"/>
  <c r="J2226" i="17"/>
  <c r="J2227" i="17"/>
  <c r="J2228" i="17"/>
  <c r="J2229" i="17"/>
  <c r="J2230" i="17"/>
  <c r="J2231" i="17"/>
  <c r="J2232" i="17"/>
  <c r="J2233" i="17"/>
  <c r="J2234" i="17"/>
  <c r="J2235" i="17"/>
  <c r="J2236" i="17"/>
  <c r="J2237" i="17"/>
  <c r="J2238" i="17"/>
  <c r="J2239" i="17"/>
  <c r="J2240" i="17"/>
  <c r="J2241" i="17"/>
  <c r="J2242" i="17"/>
  <c r="J2243" i="17"/>
  <c r="J2244" i="17"/>
  <c r="J2245" i="17"/>
  <c r="J2246" i="17"/>
  <c r="J2247" i="17"/>
  <c r="J2248" i="17"/>
  <c r="J2249" i="17"/>
  <c r="J2250" i="17"/>
  <c r="J2251" i="17"/>
  <c r="J2252" i="17"/>
  <c r="J2253" i="17"/>
  <c r="J2254" i="17"/>
  <c r="J2255" i="17"/>
  <c r="J2256" i="17"/>
  <c r="J2257" i="17"/>
  <c r="J2258" i="17"/>
  <c r="J2259" i="17"/>
  <c r="J2260" i="17"/>
  <c r="J2261" i="17"/>
  <c r="J2262" i="17"/>
  <c r="J2263" i="17"/>
  <c r="J2264" i="17"/>
  <c r="J2265" i="17"/>
  <c r="J2266" i="17"/>
  <c r="J2267" i="17"/>
  <c r="J2268" i="17"/>
  <c r="J2269" i="17"/>
  <c r="J2270" i="17"/>
  <c r="J2271" i="17"/>
  <c r="J2272" i="17"/>
  <c r="J2273" i="17"/>
  <c r="J2274" i="17"/>
  <c r="J2275" i="17"/>
  <c r="J2276" i="17"/>
  <c r="J2277" i="17"/>
  <c r="J2278" i="17"/>
  <c r="J2279" i="17"/>
  <c r="J2280" i="17"/>
  <c r="J2281" i="17"/>
  <c r="J2282" i="17"/>
  <c r="J2283" i="17"/>
  <c r="J2284" i="17"/>
  <c r="J2285" i="17"/>
  <c r="J2286" i="17"/>
  <c r="J2287" i="17"/>
  <c r="J2288" i="17"/>
  <c r="J2289" i="17"/>
  <c r="J2290" i="17"/>
  <c r="J2291" i="17"/>
  <c r="J2292" i="17"/>
  <c r="J2293" i="17"/>
  <c r="J2294" i="17"/>
  <c r="J2295" i="17"/>
  <c r="J2296" i="17"/>
  <c r="J2297" i="17"/>
  <c r="J2298" i="17"/>
  <c r="J2299" i="17"/>
  <c r="J2300" i="17"/>
  <c r="J2301" i="17"/>
  <c r="J2302" i="17"/>
  <c r="J2303" i="17"/>
  <c r="J2304" i="17"/>
  <c r="J2305" i="17"/>
  <c r="J2306" i="17"/>
  <c r="J2307" i="17"/>
  <c r="J2308" i="17"/>
  <c r="J2309" i="17"/>
  <c r="J2310" i="17"/>
  <c r="J2311" i="17"/>
  <c r="J2312" i="17"/>
  <c r="J2313" i="17"/>
  <c r="J2314" i="17"/>
  <c r="J2315" i="17"/>
  <c r="J2316" i="17"/>
  <c r="J2317" i="17"/>
  <c r="J2318" i="17"/>
  <c r="J2319" i="17"/>
  <c r="J2320" i="17"/>
  <c r="J2321" i="17"/>
  <c r="J2322" i="17"/>
  <c r="J2323" i="17"/>
  <c r="J2324" i="17"/>
  <c r="J2325" i="17"/>
  <c r="J2326" i="17"/>
  <c r="J2327" i="17"/>
  <c r="J2328" i="17"/>
  <c r="J2329" i="17"/>
  <c r="J2330" i="17"/>
  <c r="J2331" i="17"/>
  <c r="J2332" i="17"/>
  <c r="J2333" i="17"/>
  <c r="J2334" i="17"/>
  <c r="J2335" i="17"/>
  <c r="J2336" i="17"/>
  <c r="J2337" i="17"/>
  <c r="J2338" i="17"/>
  <c r="J2339" i="17"/>
  <c r="J2340" i="17"/>
  <c r="J2341" i="17"/>
  <c r="J2342" i="17"/>
  <c r="J2343" i="17"/>
  <c r="J2344" i="17"/>
  <c r="J2345" i="17"/>
  <c r="J2346" i="17"/>
  <c r="J2347" i="17"/>
  <c r="J2348" i="17"/>
  <c r="J2349" i="17"/>
  <c r="J2350" i="17"/>
  <c r="J2351" i="17"/>
  <c r="J2352" i="17"/>
  <c r="J2353" i="17"/>
  <c r="J2354" i="17"/>
  <c r="J2355" i="17"/>
  <c r="J2356" i="17"/>
  <c r="J2357" i="17"/>
  <c r="J2358" i="17"/>
  <c r="J2359" i="17"/>
  <c r="J2360" i="17"/>
  <c r="J2361" i="17"/>
  <c r="J2362" i="17"/>
  <c r="J2363" i="17"/>
  <c r="J2364" i="17"/>
  <c r="J2365" i="17"/>
  <c r="J2366" i="17"/>
  <c r="J2367" i="17"/>
  <c r="J2368" i="17"/>
  <c r="J2369" i="17"/>
  <c r="J2370" i="17"/>
  <c r="J2371" i="17"/>
  <c r="J2372" i="17"/>
  <c r="J2373" i="17"/>
  <c r="J2374" i="17"/>
  <c r="J2375" i="17"/>
  <c r="J2376" i="17"/>
  <c r="J2377" i="17"/>
  <c r="J2378" i="17"/>
  <c r="J2379" i="17"/>
  <c r="J2380" i="17"/>
  <c r="J2381" i="17"/>
  <c r="J2382" i="17"/>
  <c r="J2383" i="17"/>
  <c r="J2384" i="17"/>
  <c r="J2385" i="17"/>
  <c r="J2386" i="17"/>
  <c r="J2387" i="17"/>
  <c r="J2388" i="17"/>
  <c r="J2389" i="17"/>
  <c r="J2390" i="17"/>
  <c r="J2391" i="17"/>
  <c r="J2392" i="17"/>
  <c r="J2393" i="17"/>
  <c r="J2394" i="17"/>
  <c r="J2395" i="17"/>
  <c r="J2396" i="17"/>
  <c r="J2397" i="17"/>
  <c r="J2398" i="17"/>
  <c r="J2399" i="17"/>
  <c r="J2400" i="17"/>
  <c r="J2401" i="17"/>
  <c r="J2402" i="17"/>
  <c r="J2403" i="17"/>
  <c r="J2404" i="17"/>
  <c r="J2405" i="17"/>
  <c r="J2406" i="17"/>
  <c r="J2407" i="17"/>
  <c r="J2408" i="17"/>
  <c r="J2409" i="17"/>
  <c r="J2410" i="17"/>
  <c r="J2411" i="17"/>
  <c r="J2412" i="17"/>
  <c r="J2413" i="17"/>
  <c r="J2414" i="17"/>
  <c r="J2415" i="17"/>
  <c r="J2416" i="17"/>
  <c r="J2417" i="17"/>
  <c r="J2418" i="17"/>
  <c r="J2419" i="17"/>
  <c r="J2420" i="17"/>
  <c r="J2421" i="17"/>
  <c r="J2422" i="17"/>
  <c r="J2423" i="17"/>
  <c r="J2424" i="17"/>
  <c r="J2425" i="17"/>
  <c r="J2426" i="17"/>
  <c r="J2427" i="17"/>
  <c r="J2428" i="17"/>
  <c r="J2429" i="17"/>
  <c r="J2430" i="17"/>
  <c r="J2431" i="17"/>
  <c r="J2432" i="17"/>
  <c r="J2433" i="17"/>
  <c r="J2434" i="17"/>
  <c r="J2435" i="17"/>
  <c r="J2436" i="17"/>
  <c r="J2437" i="17"/>
  <c r="J2438" i="17"/>
  <c r="J2439" i="17"/>
  <c r="J2440" i="17"/>
  <c r="J2441" i="17"/>
  <c r="J2442" i="17"/>
  <c r="J2443" i="17"/>
  <c r="J2444" i="17"/>
  <c r="J2445" i="17"/>
  <c r="J2446" i="17"/>
  <c r="J2447" i="17"/>
  <c r="J2448" i="17"/>
  <c r="J2449" i="17"/>
  <c r="J2450" i="17"/>
  <c r="J2451" i="17"/>
  <c r="J2452" i="17"/>
  <c r="J2453" i="17"/>
  <c r="J2454" i="17"/>
  <c r="J2455" i="17"/>
  <c r="J2456" i="17"/>
  <c r="J2457" i="17"/>
  <c r="J2458" i="17"/>
  <c r="J2459" i="17"/>
  <c r="J2460" i="17"/>
  <c r="J2461" i="17"/>
  <c r="J2462" i="17"/>
  <c r="J2463" i="17"/>
  <c r="J2464" i="17"/>
  <c r="J2465" i="17"/>
  <c r="J2466" i="17"/>
  <c r="J2467" i="17"/>
  <c r="J2468" i="17"/>
  <c r="J2469" i="17"/>
  <c r="J2470" i="17"/>
  <c r="J2471" i="17"/>
  <c r="J2472" i="17"/>
  <c r="J2473" i="17"/>
  <c r="J2474" i="17"/>
  <c r="J2475" i="17"/>
  <c r="J2476" i="17"/>
  <c r="J2477" i="17"/>
  <c r="J2478" i="17"/>
  <c r="J2479" i="17"/>
  <c r="J2480" i="17"/>
  <c r="J2481" i="17"/>
  <c r="J2482" i="17"/>
  <c r="J2483" i="17"/>
  <c r="J2484" i="17"/>
  <c r="J2485" i="17"/>
  <c r="J2486" i="17"/>
  <c r="J2487" i="17"/>
  <c r="J2488" i="17"/>
  <c r="J2489" i="17"/>
  <c r="J2490" i="17"/>
  <c r="J2491" i="17"/>
  <c r="J2492" i="17"/>
  <c r="J2493" i="17"/>
  <c r="J2494" i="17"/>
  <c r="J2495" i="17"/>
  <c r="J2496" i="17"/>
  <c r="J2497" i="17"/>
  <c r="J2498" i="17"/>
  <c r="J2499" i="17"/>
  <c r="J2500" i="17"/>
  <c r="J2501" i="17"/>
  <c r="J2502" i="17"/>
  <c r="J2503" i="17"/>
  <c r="J2504" i="17"/>
  <c r="J2505" i="17"/>
  <c r="J2506" i="17"/>
  <c r="J2507" i="17"/>
  <c r="J2508" i="17"/>
  <c r="J2509" i="17"/>
  <c r="J2510" i="17"/>
  <c r="J2511" i="17"/>
  <c r="J2512" i="17"/>
  <c r="J2513" i="17"/>
  <c r="J2514" i="17"/>
  <c r="J2515" i="17"/>
  <c r="J2516" i="17"/>
  <c r="J2517" i="17"/>
  <c r="J2518" i="17"/>
  <c r="J2519" i="17"/>
  <c r="J2520" i="17"/>
  <c r="J2521" i="17"/>
  <c r="J2522" i="17"/>
  <c r="J2523" i="17"/>
  <c r="J2524" i="17"/>
  <c r="J2525" i="17"/>
  <c r="J2526" i="17"/>
  <c r="J2527" i="17"/>
  <c r="J2528" i="17"/>
  <c r="J2529" i="17"/>
  <c r="J2530" i="17"/>
  <c r="J2531" i="17"/>
  <c r="J2532" i="17"/>
  <c r="J2533" i="17"/>
  <c r="J2534" i="17"/>
  <c r="J2535" i="17"/>
  <c r="J2536" i="17"/>
  <c r="J2537" i="17"/>
  <c r="J2538" i="17"/>
  <c r="J2539" i="17"/>
  <c r="J2540" i="17"/>
  <c r="J2541" i="17"/>
  <c r="J2542" i="17"/>
  <c r="J2543" i="17"/>
  <c r="J2544" i="17"/>
  <c r="J2545" i="17"/>
  <c r="J2546" i="17"/>
  <c r="J2547" i="17"/>
  <c r="J2548" i="17"/>
  <c r="J2549" i="17"/>
  <c r="J2550" i="17"/>
  <c r="J2551" i="17"/>
  <c r="J2552" i="17"/>
  <c r="J2553" i="17"/>
  <c r="J2554" i="17"/>
  <c r="J2555" i="17"/>
  <c r="J2556" i="17"/>
  <c r="J2557" i="17"/>
  <c r="J2558" i="17"/>
  <c r="J2559" i="17"/>
  <c r="J2560" i="17"/>
  <c r="J2561" i="17"/>
  <c r="J2562" i="17"/>
  <c r="J2563" i="17"/>
  <c r="J2564" i="17"/>
  <c r="J2565" i="17"/>
  <c r="J2566" i="17"/>
  <c r="J2567" i="17"/>
  <c r="J2568" i="17"/>
  <c r="J2569" i="17"/>
  <c r="J2570" i="17"/>
  <c r="J2571" i="17"/>
  <c r="J2572" i="17"/>
  <c r="J2573" i="17"/>
  <c r="J2574" i="17"/>
  <c r="J2575" i="17"/>
  <c r="J2576" i="17"/>
  <c r="J2577" i="17"/>
  <c r="J2578" i="17"/>
  <c r="J2579" i="17"/>
  <c r="J2580" i="17"/>
  <c r="J2581" i="17"/>
  <c r="J2582" i="17"/>
  <c r="J2583" i="17"/>
  <c r="J2584" i="17"/>
  <c r="J2585" i="17"/>
  <c r="J2586" i="17"/>
  <c r="J2587" i="17"/>
  <c r="J2588" i="17"/>
  <c r="J2589" i="17"/>
  <c r="J2590" i="17"/>
  <c r="J2591" i="17"/>
  <c r="J2592" i="17"/>
  <c r="J2593" i="17"/>
  <c r="J2594" i="17"/>
  <c r="J2595" i="17"/>
  <c r="J2596" i="17"/>
  <c r="J2597" i="17"/>
  <c r="J2598" i="17"/>
  <c r="J2599" i="17"/>
  <c r="J2600" i="17"/>
  <c r="J2601" i="17"/>
  <c r="J2602" i="17"/>
  <c r="J2603" i="17"/>
  <c r="J2604" i="17"/>
  <c r="J2605" i="17"/>
  <c r="J2606" i="17"/>
  <c r="J2607" i="17"/>
  <c r="J2608" i="17"/>
  <c r="J2609" i="17"/>
  <c r="J2610" i="17"/>
  <c r="J2611" i="17"/>
  <c r="J2612" i="17"/>
  <c r="J2613" i="17"/>
  <c r="J2614" i="17"/>
  <c r="J2615" i="17"/>
  <c r="J2616" i="17"/>
  <c r="J2617" i="17"/>
  <c r="J2618" i="17"/>
  <c r="J2619" i="17"/>
  <c r="J2620" i="17"/>
  <c r="J2621" i="17"/>
  <c r="J2622" i="17"/>
  <c r="J2623" i="17"/>
  <c r="J2624" i="17"/>
  <c r="J2625" i="17"/>
  <c r="J2626" i="17"/>
  <c r="J2627" i="17"/>
  <c r="J2628" i="17"/>
  <c r="J2629" i="17"/>
  <c r="J2630" i="17"/>
  <c r="J2631" i="17"/>
  <c r="J2632" i="17"/>
  <c r="J2633" i="17"/>
  <c r="J2634" i="17"/>
  <c r="J2635" i="17"/>
  <c r="J2636" i="17"/>
  <c r="J2637" i="17"/>
  <c r="J2638" i="17"/>
  <c r="J2639" i="17"/>
  <c r="J2640" i="17"/>
  <c r="J2641" i="17"/>
  <c r="J2642" i="17"/>
  <c r="J2643" i="17"/>
  <c r="J2644" i="17"/>
  <c r="J2645" i="17"/>
  <c r="J2646" i="17"/>
  <c r="J2647" i="17"/>
  <c r="J2648" i="17"/>
  <c r="J2649" i="17"/>
  <c r="J2650" i="17"/>
  <c r="J2651" i="17"/>
  <c r="J2652" i="17"/>
  <c r="J2653" i="17"/>
  <c r="J2654" i="17"/>
  <c r="J2655" i="17"/>
  <c r="J2656" i="17"/>
  <c r="J2657" i="17"/>
  <c r="J2658" i="17"/>
  <c r="J2659" i="17"/>
  <c r="J2660" i="17"/>
  <c r="J2661" i="17"/>
  <c r="J2662" i="17"/>
  <c r="J2663" i="17"/>
  <c r="J2664" i="17"/>
  <c r="J2665" i="17"/>
  <c r="J2666" i="17"/>
  <c r="J2667" i="17"/>
  <c r="J2668" i="17"/>
  <c r="J2669" i="17"/>
  <c r="J2670" i="17"/>
  <c r="J2671" i="17"/>
  <c r="J2672" i="17"/>
  <c r="J2673" i="17"/>
  <c r="J2674" i="17"/>
  <c r="J2675" i="17"/>
  <c r="J2676" i="17"/>
  <c r="J2677" i="17"/>
  <c r="J2678" i="17"/>
  <c r="J2679" i="17"/>
  <c r="J2680" i="17"/>
  <c r="J2681" i="17"/>
  <c r="J2682" i="17"/>
  <c r="J2683" i="17"/>
  <c r="J2684" i="17"/>
  <c r="J2685" i="17"/>
  <c r="J2686" i="17"/>
  <c r="J2687" i="17"/>
  <c r="J2688" i="17"/>
  <c r="J2689" i="17"/>
  <c r="J2690" i="17"/>
  <c r="J2691" i="17"/>
  <c r="J2692" i="17"/>
  <c r="J2693" i="17"/>
  <c r="J2694" i="17"/>
  <c r="J2695" i="17"/>
  <c r="J2696" i="17"/>
  <c r="J2697" i="17"/>
  <c r="J2698" i="17"/>
  <c r="J2699" i="17"/>
  <c r="J2700" i="17"/>
  <c r="J2701" i="17"/>
  <c r="J2702" i="17"/>
  <c r="J2703" i="17"/>
  <c r="J2704" i="17"/>
  <c r="J2705" i="17"/>
  <c r="J2706" i="17"/>
  <c r="J2707" i="17"/>
  <c r="J2708" i="17"/>
  <c r="J2709" i="17"/>
  <c r="J2710" i="17"/>
  <c r="J2711" i="17"/>
  <c r="J2712" i="17"/>
  <c r="J2713" i="17"/>
  <c r="J2714" i="17"/>
  <c r="J2715" i="17"/>
  <c r="J2716" i="17"/>
  <c r="J2717" i="17"/>
  <c r="J2718" i="17"/>
  <c r="J2719" i="17"/>
  <c r="J2720" i="17"/>
  <c r="J2721" i="17"/>
  <c r="J2722" i="17"/>
  <c r="J2723" i="17"/>
  <c r="J2724" i="17"/>
  <c r="J2725" i="17"/>
  <c r="J2726" i="17"/>
  <c r="J2727" i="17"/>
  <c r="J2728" i="17"/>
  <c r="J2729" i="17"/>
  <c r="J2730" i="17"/>
  <c r="J2731" i="17"/>
  <c r="J2732" i="17"/>
  <c r="J2733" i="17"/>
  <c r="J2734" i="17"/>
  <c r="J2735" i="17"/>
  <c r="J2736" i="17"/>
  <c r="J2737" i="17"/>
  <c r="J2738" i="17"/>
  <c r="J2739" i="17"/>
  <c r="J2740" i="17"/>
  <c r="J2741" i="17"/>
  <c r="J2742" i="17"/>
  <c r="J2743" i="17"/>
  <c r="J2744" i="17"/>
  <c r="J2745" i="17"/>
  <c r="J2746" i="17"/>
  <c r="J2747" i="17"/>
  <c r="J2748" i="17"/>
  <c r="J2749" i="17"/>
  <c r="J2750" i="17"/>
  <c r="J2751" i="17"/>
  <c r="J2752" i="17"/>
  <c r="J2753" i="17"/>
  <c r="J2754" i="17"/>
  <c r="J2755" i="17"/>
  <c r="J2756" i="17"/>
  <c r="J2757" i="17"/>
  <c r="J2758" i="17"/>
  <c r="J2759" i="17"/>
  <c r="J2760" i="17"/>
  <c r="J2761" i="17"/>
  <c r="J2762" i="17"/>
  <c r="J2763" i="17"/>
  <c r="J2764" i="17"/>
  <c r="J2765" i="17"/>
  <c r="J2766" i="17"/>
  <c r="J2767" i="17"/>
  <c r="J2768" i="17"/>
  <c r="J2769" i="17"/>
  <c r="J2770" i="17"/>
  <c r="J2771" i="17"/>
  <c r="J2772" i="17"/>
  <c r="J2773" i="17"/>
  <c r="J2774" i="17"/>
  <c r="J2775" i="17"/>
  <c r="J2776" i="17"/>
  <c r="J2777" i="17"/>
  <c r="J2778" i="17"/>
  <c r="J2779" i="17"/>
  <c r="J2780" i="17"/>
  <c r="J2781" i="17"/>
  <c r="J2782" i="17"/>
  <c r="J2783" i="17"/>
  <c r="J2784" i="17"/>
  <c r="J2785" i="17"/>
  <c r="J2786" i="17"/>
  <c r="J2787" i="17"/>
  <c r="J2788" i="17"/>
  <c r="J2789" i="17"/>
  <c r="J2790" i="17"/>
  <c r="J2791" i="17"/>
  <c r="J2792" i="17"/>
  <c r="J2793" i="17"/>
  <c r="J2794" i="17"/>
  <c r="J2795" i="17"/>
  <c r="J2796" i="17"/>
  <c r="J2797" i="17"/>
  <c r="J2798" i="17"/>
  <c r="J2799" i="17"/>
  <c r="J2800" i="17"/>
  <c r="J2801" i="17"/>
  <c r="J2802" i="17"/>
  <c r="J2803" i="17"/>
  <c r="J2804" i="17"/>
  <c r="J2805" i="17"/>
  <c r="J2806" i="17"/>
  <c r="J2807" i="17"/>
  <c r="J2808" i="17"/>
  <c r="J2809" i="17"/>
  <c r="J2810" i="17"/>
  <c r="J2811" i="17"/>
  <c r="J2812" i="17"/>
  <c r="J2813" i="17"/>
  <c r="J2814" i="17"/>
  <c r="J2815" i="17"/>
  <c r="J2816" i="17"/>
  <c r="J2817" i="17"/>
  <c r="J2818" i="17"/>
  <c r="J2819" i="17"/>
  <c r="J2820" i="17"/>
  <c r="J2821" i="17"/>
  <c r="J2822" i="17"/>
  <c r="J2823" i="17"/>
  <c r="J2824" i="17"/>
  <c r="J2825" i="17"/>
  <c r="J2826" i="17"/>
  <c r="J2827" i="17"/>
  <c r="J2828" i="17"/>
  <c r="J2829" i="17"/>
  <c r="J2830" i="17"/>
  <c r="J2831" i="17"/>
  <c r="J2832" i="17"/>
  <c r="J2833" i="17"/>
  <c r="J2834" i="17"/>
  <c r="J2835" i="17"/>
  <c r="J2836" i="17"/>
  <c r="J2837" i="17"/>
  <c r="J2838" i="17"/>
  <c r="J2839" i="17"/>
  <c r="J2840" i="17"/>
  <c r="J2841" i="17"/>
  <c r="J2842" i="17"/>
  <c r="J2843" i="17"/>
  <c r="J2844" i="17"/>
  <c r="J2845" i="17"/>
  <c r="J2846" i="17"/>
  <c r="J2847" i="17"/>
  <c r="J2848" i="17"/>
  <c r="J2849" i="17"/>
  <c r="J2850" i="17"/>
  <c r="J2851" i="17"/>
  <c r="J2852" i="17"/>
  <c r="J2853" i="17"/>
  <c r="J2854" i="17"/>
  <c r="J2855" i="17"/>
  <c r="J2856" i="17"/>
  <c r="J2857" i="17"/>
  <c r="J2858" i="17"/>
  <c r="J2859" i="17"/>
  <c r="J2860" i="17"/>
  <c r="J2861" i="17"/>
  <c r="J2862" i="17"/>
  <c r="J2863" i="17"/>
  <c r="J2864" i="17"/>
  <c r="J2865" i="17"/>
  <c r="J2866" i="17"/>
  <c r="J2867" i="17"/>
  <c r="J2868" i="17"/>
  <c r="J2869" i="17"/>
  <c r="J2870" i="17"/>
  <c r="J2871" i="17"/>
  <c r="J2872" i="17"/>
  <c r="J2873" i="17"/>
  <c r="J2874" i="17"/>
  <c r="J2875" i="17"/>
  <c r="J2876" i="17"/>
  <c r="J2877" i="17"/>
  <c r="J2878" i="17"/>
  <c r="J2879" i="17"/>
  <c r="J2880" i="17"/>
  <c r="J2881" i="17"/>
  <c r="J2882" i="17"/>
  <c r="J2883" i="17"/>
  <c r="J2884" i="17"/>
  <c r="J2885" i="17"/>
  <c r="J2886" i="17"/>
  <c r="J2887" i="17"/>
  <c r="J2888" i="17"/>
  <c r="J2889" i="17"/>
  <c r="J2890" i="17"/>
  <c r="J2891" i="17"/>
  <c r="J2892" i="17"/>
  <c r="J2893" i="17"/>
  <c r="J2894" i="17"/>
  <c r="J2895" i="17"/>
  <c r="J2896" i="17"/>
  <c r="J2897" i="17"/>
  <c r="J2898" i="17"/>
  <c r="J2899" i="17"/>
  <c r="J2900" i="17"/>
  <c r="J2901" i="17"/>
  <c r="J2902" i="17"/>
  <c r="J2903" i="17"/>
  <c r="J2904" i="17"/>
  <c r="J2905" i="17"/>
  <c r="J2906" i="17"/>
  <c r="J2907" i="17"/>
  <c r="J2908" i="17"/>
  <c r="J2909" i="17"/>
  <c r="J2910" i="17"/>
  <c r="J2911" i="17"/>
  <c r="J2912" i="17"/>
  <c r="J2913" i="17"/>
  <c r="J2914" i="17"/>
  <c r="J2915" i="17"/>
  <c r="J2916" i="17"/>
  <c r="J2917" i="17"/>
  <c r="J2918" i="17"/>
  <c r="J2919" i="17"/>
  <c r="J2920" i="17"/>
  <c r="J2921" i="17"/>
  <c r="J2922" i="17"/>
  <c r="J2923" i="17"/>
  <c r="J2924" i="17"/>
  <c r="J2925" i="17"/>
  <c r="J2926" i="17"/>
  <c r="J2927" i="17"/>
  <c r="J2928" i="17"/>
  <c r="J2929" i="17"/>
  <c r="J2930" i="17"/>
  <c r="J2931" i="17"/>
  <c r="J2932" i="17"/>
  <c r="J2933" i="17"/>
  <c r="J2934" i="17"/>
  <c r="J2935" i="17"/>
  <c r="J2936" i="17"/>
  <c r="J2937" i="17"/>
  <c r="J2938" i="17"/>
  <c r="J2939" i="17"/>
  <c r="J2940" i="17"/>
  <c r="J2941" i="17"/>
  <c r="J2942" i="17"/>
  <c r="J2943" i="17"/>
  <c r="J2944" i="17"/>
  <c r="J2945" i="17"/>
  <c r="J2946" i="17"/>
  <c r="J2947" i="17"/>
  <c r="J2948" i="17"/>
  <c r="J2949" i="17"/>
  <c r="J2950" i="17"/>
  <c r="J2951" i="17"/>
  <c r="J2952" i="17"/>
  <c r="J2953" i="17"/>
  <c r="J2954" i="17"/>
  <c r="J2955" i="17"/>
  <c r="J2956" i="17"/>
  <c r="J2957" i="17"/>
  <c r="J2958" i="17"/>
  <c r="J2959" i="17"/>
  <c r="J2960" i="17"/>
  <c r="J2961" i="17"/>
  <c r="J2962" i="17"/>
  <c r="J2963" i="17"/>
  <c r="J2964" i="17"/>
  <c r="J2965" i="17"/>
  <c r="J2966" i="17"/>
  <c r="J2967" i="17"/>
  <c r="J2968" i="17"/>
  <c r="J2969" i="17"/>
  <c r="J2970" i="17"/>
  <c r="J2971" i="17"/>
  <c r="J2972" i="17"/>
  <c r="J2973" i="17"/>
  <c r="J2974" i="17"/>
  <c r="J2975" i="17"/>
  <c r="J2976" i="17"/>
  <c r="J2977" i="17"/>
  <c r="J2978" i="17"/>
  <c r="J2979" i="17"/>
  <c r="J2980" i="17"/>
  <c r="J2981" i="17"/>
  <c r="J2982" i="17"/>
  <c r="J2983" i="17"/>
  <c r="J2984" i="17"/>
  <c r="J2985" i="17"/>
  <c r="J2986" i="17"/>
  <c r="J2987" i="17"/>
  <c r="J2988" i="17"/>
  <c r="J2989" i="17"/>
  <c r="J2990" i="17"/>
  <c r="J2991" i="17"/>
  <c r="J2992" i="17"/>
  <c r="J2993" i="17"/>
  <c r="J2994" i="17"/>
  <c r="J2995" i="17"/>
  <c r="J2996" i="17"/>
  <c r="J2997" i="17"/>
  <c r="J2998" i="17"/>
  <c r="J2999" i="17"/>
  <c r="J3000" i="17"/>
  <c r="J3001" i="17"/>
  <c r="J3002" i="17"/>
  <c r="J3003" i="17"/>
  <c r="J3004" i="17"/>
  <c r="J3005" i="17"/>
  <c r="J3006" i="17"/>
  <c r="J3007" i="17"/>
  <c r="J3008" i="17"/>
  <c r="J3009" i="17"/>
  <c r="J3010" i="17"/>
  <c r="J3011" i="17"/>
  <c r="J3012" i="17"/>
  <c r="J3013" i="17"/>
  <c r="J3014" i="17"/>
  <c r="J3015" i="17"/>
  <c r="J3016" i="17"/>
  <c r="J3017" i="17"/>
  <c r="J3018" i="17"/>
  <c r="J3019" i="17"/>
  <c r="J3020" i="17"/>
  <c r="J3021" i="17"/>
  <c r="J3022" i="17"/>
  <c r="J3023" i="17"/>
  <c r="J3024" i="17"/>
  <c r="J3025" i="17"/>
  <c r="J3026" i="17"/>
  <c r="J3027" i="17"/>
  <c r="J3028" i="17"/>
  <c r="J3029" i="17"/>
  <c r="J3030" i="17"/>
  <c r="J3031" i="17"/>
  <c r="J3032" i="17"/>
  <c r="J3033" i="17"/>
  <c r="J3034" i="17"/>
  <c r="J3035" i="17"/>
  <c r="J3036" i="17"/>
  <c r="J3037" i="17"/>
  <c r="J3038" i="17"/>
  <c r="J3039" i="17"/>
  <c r="J3040" i="17"/>
  <c r="J3041" i="17"/>
  <c r="J3042" i="17"/>
  <c r="J3043" i="17"/>
  <c r="J3044" i="17"/>
  <c r="J3045" i="17"/>
  <c r="J3046" i="17"/>
  <c r="J3047" i="17"/>
  <c r="J3048" i="17"/>
  <c r="J3049" i="17"/>
  <c r="J3050" i="17"/>
  <c r="J3051" i="17"/>
  <c r="J3052" i="17"/>
  <c r="J3053" i="17"/>
  <c r="J3054" i="17"/>
  <c r="J3055" i="17"/>
  <c r="J3056" i="17"/>
  <c r="J3057" i="17"/>
  <c r="J3058" i="17"/>
  <c r="J3059" i="17"/>
  <c r="J3060" i="17"/>
  <c r="J3061" i="17"/>
  <c r="J3062" i="17"/>
  <c r="J3063" i="17"/>
  <c r="J3064" i="17"/>
  <c r="J3065" i="17"/>
  <c r="J3066" i="17"/>
  <c r="J3067" i="17"/>
  <c r="J3068" i="17"/>
  <c r="J3069" i="17"/>
  <c r="J3070" i="17"/>
  <c r="J3071" i="17"/>
  <c r="J3072" i="17"/>
  <c r="J3073" i="17"/>
  <c r="J3074" i="17"/>
  <c r="J3075" i="17"/>
  <c r="J3076" i="17"/>
  <c r="J3077" i="17"/>
  <c r="J3078" i="17"/>
  <c r="J3079" i="17"/>
  <c r="J3080" i="17"/>
  <c r="J3081" i="17"/>
  <c r="J3082" i="17"/>
  <c r="J3083" i="17"/>
  <c r="J3084" i="17"/>
  <c r="J3085" i="17"/>
  <c r="J3086" i="17"/>
  <c r="J3087" i="17"/>
  <c r="J3088" i="17"/>
  <c r="J3089" i="17"/>
  <c r="J3090" i="17"/>
  <c r="J3091" i="17"/>
  <c r="J3092" i="17"/>
  <c r="J3093" i="17"/>
  <c r="J3094" i="17"/>
  <c r="J3095" i="17"/>
  <c r="J3096" i="17"/>
  <c r="J3097" i="17"/>
  <c r="J3098" i="17"/>
  <c r="J3099" i="17"/>
  <c r="J3100" i="17"/>
  <c r="J3101" i="17"/>
  <c r="J3102" i="17"/>
  <c r="J3103" i="17"/>
  <c r="J3104" i="17"/>
  <c r="J3105" i="17"/>
  <c r="J3106" i="17"/>
  <c r="J3107" i="17"/>
  <c r="J3108" i="17"/>
  <c r="J3109" i="17"/>
  <c r="J3110" i="17"/>
  <c r="J3111" i="17"/>
  <c r="J3112" i="17"/>
  <c r="J3113" i="17"/>
  <c r="J3114" i="17"/>
  <c r="J3115" i="17"/>
  <c r="J3116" i="17"/>
  <c r="J3117" i="17"/>
  <c r="J3118" i="17"/>
  <c r="J3119" i="17"/>
  <c r="J3120" i="17"/>
  <c r="J3121" i="17"/>
  <c r="J3122" i="17"/>
  <c r="J3123" i="17"/>
  <c r="J3124" i="17"/>
  <c r="J3125" i="17"/>
  <c r="J3126" i="17"/>
  <c r="J3127" i="17"/>
  <c r="J3128" i="17"/>
  <c r="J3129" i="17"/>
  <c r="J3130" i="17"/>
  <c r="J3131" i="17"/>
  <c r="J3132" i="17"/>
  <c r="J3133" i="17"/>
  <c r="J3134" i="17"/>
  <c r="J3135" i="17"/>
  <c r="J3136" i="17"/>
  <c r="J3137" i="17"/>
  <c r="J3138" i="17"/>
  <c r="J3139" i="17"/>
  <c r="J3140" i="17"/>
  <c r="J3141" i="17"/>
  <c r="J3142" i="17"/>
  <c r="J3143" i="17"/>
  <c r="J3144" i="17"/>
  <c r="J3145" i="17"/>
  <c r="J3146" i="17"/>
  <c r="J3147" i="17"/>
  <c r="J3148" i="17"/>
  <c r="J3149" i="17"/>
  <c r="J3150" i="17"/>
  <c r="J3151" i="17"/>
  <c r="J3152" i="17"/>
  <c r="J3153" i="17"/>
  <c r="J3154" i="17"/>
  <c r="J3155" i="17"/>
  <c r="J3156" i="17"/>
  <c r="J3157" i="17"/>
  <c r="J3158" i="17"/>
  <c r="J3159" i="17"/>
  <c r="J3160" i="17"/>
  <c r="J3161" i="17"/>
  <c r="J3162" i="17"/>
  <c r="J3163" i="17"/>
  <c r="J3164" i="17"/>
  <c r="J3165" i="17"/>
  <c r="J3166" i="17"/>
  <c r="J3167" i="17"/>
  <c r="J3168" i="17"/>
  <c r="J3169" i="17"/>
  <c r="J3170" i="17"/>
  <c r="J3171" i="17"/>
  <c r="J3172" i="17"/>
  <c r="J3173" i="17"/>
  <c r="J3174" i="17"/>
  <c r="J3175" i="17"/>
  <c r="J3176" i="17"/>
  <c r="J3177" i="17"/>
  <c r="J3178" i="17"/>
  <c r="J3179" i="17"/>
  <c r="J3180" i="17"/>
  <c r="J3181" i="17"/>
  <c r="J3182" i="17"/>
  <c r="J3183" i="17"/>
  <c r="J3184" i="17"/>
  <c r="J3185" i="17"/>
  <c r="J3186" i="17"/>
  <c r="J3187" i="17"/>
  <c r="J3188" i="17"/>
  <c r="J3189" i="17"/>
  <c r="J3190" i="17"/>
  <c r="J3191" i="17"/>
  <c r="J3192" i="17"/>
  <c r="J3193" i="17"/>
  <c r="J3194" i="17"/>
  <c r="J3195" i="17"/>
  <c r="J3196" i="17"/>
  <c r="J3197" i="17"/>
  <c r="J3198" i="17"/>
  <c r="J3199" i="17"/>
  <c r="J3200" i="17"/>
  <c r="J3201" i="17"/>
  <c r="J3202" i="17"/>
  <c r="J3203" i="17"/>
  <c r="J3204" i="17"/>
  <c r="J3205" i="17"/>
  <c r="J3206" i="17"/>
  <c r="J3207" i="17"/>
  <c r="J3208" i="17"/>
  <c r="J3209" i="17"/>
  <c r="J3210" i="17"/>
  <c r="J3211" i="17"/>
  <c r="J3212" i="17"/>
  <c r="J3213" i="17"/>
  <c r="J3214" i="17"/>
  <c r="J3215" i="17"/>
  <c r="J3216" i="17"/>
  <c r="J3217" i="17"/>
  <c r="J3218" i="17"/>
  <c r="J3219" i="17"/>
  <c r="J3220" i="17"/>
  <c r="J3221" i="17"/>
  <c r="J3222" i="17"/>
  <c r="J3223" i="17"/>
  <c r="J3224" i="17"/>
  <c r="J3225" i="17"/>
  <c r="J3226" i="17"/>
  <c r="J3227" i="17"/>
  <c r="J3228" i="17"/>
  <c r="J3229" i="17"/>
  <c r="J3230" i="17"/>
  <c r="J3231" i="17"/>
  <c r="J3232" i="17"/>
  <c r="J3233" i="17"/>
  <c r="J3234" i="17"/>
  <c r="J3235" i="17"/>
  <c r="J3236" i="17"/>
  <c r="J3237" i="17"/>
  <c r="J3238" i="17"/>
  <c r="J3239" i="17"/>
  <c r="J3240" i="17"/>
  <c r="J3241" i="17"/>
  <c r="J3242" i="17"/>
  <c r="J3243" i="17"/>
  <c r="J3244" i="17"/>
  <c r="J3245" i="17"/>
  <c r="J3246" i="17"/>
  <c r="J3247" i="17"/>
  <c r="J3248" i="17"/>
  <c r="J3249" i="17"/>
  <c r="J3250" i="17"/>
  <c r="J3251" i="17"/>
  <c r="J3252" i="17"/>
  <c r="J3253" i="17"/>
  <c r="J3254" i="17"/>
  <c r="J3255" i="17"/>
  <c r="J3256" i="17"/>
  <c r="J3257" i="17"/>
  <c r="J3258" i="17"/>
  <c r="J3259" i="17"/>
  <c r="J3260" i="17"/>
  <c r="J3261" i="17"/>
  <c r="J3262" i="17"/>
  <c r="J3263" i="17"/>
  <c r="J3264" i="17"/>
  <c r="J3265" i="17"/>
  <c r="J3266" i="17"/>
  <c r="J3267" i="17"/>
  <c r="J3268" i="17"/>
  <c r="J3269" i="17"/>
  <c r="J3270" i="17"/>
  <c r="J3271" i="17"/>
  <c r="J3272" i="17"/>
  <c r="J3273" i="17"/>
  <c r="J3274" i="17"/>
  <c r="J3275" i="17"/>
  <c r="J3276" i="17"/>
  <c r="J3277" i="17"/>
  <c r="J3278" i="17"/>
  <c r="J3279" i="17"/>
  <c r="J3280" i="17"/>
  <c r="J3281" i="17"/>
  <c r="J3282" i="17"/>
  <c r="J3283" i="17"/>
  <c r="J3284" i="17"/>
  <c r="J3285" i="17"/>
  <c r="J3286" i="17"/>
  <c r="J3287" i="17"/>
  <c r="J3288" i="17"/>
  <c r="J3289" i="17"/>
  <c r="J3290" i="17"/>
  <c r="J3291" i="17"/>
  <c r="J3292" i="17"/>
  <c r="J3293" i="17"/>
  <c r="J3294" i="17"/>
  <c r="J3295" i="17"/>
  <c r="J3296" i="17"/>
  <c r="J3297" i="17"/>
  <c r="J3298" i="17"/>
  <c r="J3299" i="17"/>
  <c r="J3300" i="17"/>
  <c r="J3301" i="17"/>
  <c r="J3302" i="17"/>
  <c r="J3303" i="17"/>
  <c r="J3304" i="17"/>
  <c r="J3305" i="17"/>
  <c r="J3306" i="17"/>
  <c r="J3307" i="17"/>
  <c r="J3308" i="17"/>
  <c r="J3309" i="17"/>
  <c r="J3310" i="17"/>
  <c r="J3311" i="17"/>
  <c r="J3312" i="17"/>
  <c r="J3313" i="17"/>
  <c r="J3314" i="17"/>
  <c r="J3315" i="17"/>
  <c r="J3316" i="17"/>
  <c r="J3317" i="17"/>
  <c r="J3318" i="17"/>
  <c r="J3319" i="17"/>
  <c r="J3320" i="17"/>
  <c r="J3321" i="17"/>
  <c r="J3322" i="17"/>
  <c r="J3323" i="17"/>
  <c r="J3324" i="17"/>
  <c r="J3325" i="17"/>
  <c r="J3326" i="17"/>
  <c r="J3327" i="17"/>
  <c r="J3328" i="17"/>
  <c r="J3329" i="17"/>
  <c r="J3330" i="17"/>
  <c r="J3331" i="17"/>
  <c r="J3332" i="17"/>
  <c r="J3333" i="17"/>
  <c r="J3334" i="17"/>
  <c r="J3335" i="17"/>
  <c r="J3336" i="17"/>
  <c r="J3337" i="17"/>
  <c r="J3338" i="17"/>
  <c r="J3339" i="17"/>
  <c r="J3340" i="17"/>
  <c r="J3341" i="17"/>
  <c r="J3342" i="17"/>
  <c r="J3343" i="17"/>
  <c r="J3344" i="17"/>
  <c r="J3345" i="17"/>
  <c r="J3346" i="17"/>
  <c r="J3347" i="17"/>
  <c r="J3348" i="17"/>
  <c r="J3349" i="17"/>
  <c r="J3350" i="17"/>
  <c r="J3351" i="17"/>
  <c r="J3352" i="17"/>
  <c r="J3353" i="17"/>
  <c r="J3354" i="17"/>
  <c r="J3355" i="17"/>
  <c r="J3356" i="17"/>
  <c r="J3357" i="17"/>
  <c r="J3358" i="17"/>
  <c r="J3359" i="17"/>
  <c r="J3360" i="17"/>
  <c r="J3361" i="17"/>
  <c r="J3362" i="17"/>
  <c r="J3363" i="17"/>
  <c r="J3364" i="17"/>
  <c r="J3365" i="17"/>
  <c r="J3366" i="17"/>
  <c r="J3367" i="17"/>
  <c r="J3368" i="17"/>
  <c r="J3369" i="17"/>
  <c r="J3370" i="17"/>
  <c r="J3371" i="17"/>
  <c r="J3372" i="17"/>
  <c r="J3373" i="17"/>
  <c r="J3374" i="17"/>
  <c r="J3375" i="17"/>
  <c r="J3376" i="17"/>
  <c r="J3377" i="17"/>
  <c r="J3378" i="17"/>
  <c r="J3379" i="17"/>
  <c r="J3380" i="17"/>
  <c r="J3381" i="17"/>
  <c r="J3382" i="17"/>
  <c r="J3383" i="17"/>
  <c r="J3384" i="17"/>
  <c r="J3385" i="17"/>
  <c r="J3386" i="17"/>
  <c r="J3387" i="17"/>
  <c r="J3388" i="17"/>
  <c r="J3389" i="17"/>
  <c r="J3390" i="17"/>
  <c r="J3391" i="17"/>
  <c r="J3392" i="17"/>
  <c r="J3393" i="17"/>
  <c r="J3394" i="17"/>
  <c r="J3395" i="17"/>
  <c r="J3396" i="17"/>
  <c r="J3397" i="17"/>
  <c r="J3398" i="17"/>
  <c r="J3399" i="17"/>
  <c r="J3400" i="17"/>
  <c r="J3401" i="17"/>
  <c r="J3402" i="17"/>
  <c r="J3403" i="17"/>
  <c r="J3404" i="17"/>
  <c r="J3405" i="17"/>
  <c r="J3406" i="17"/>
  <c r="J3407" i="17"/>
  <c r="J3408" i="17"/>
  <c r="J3409" i="17"/>
  <c r="J3410" i="17"/>
  <c r="J3411" i="17"/>
  <c r="J3412" i="17"/>
  <c r="J3413" i="17"/>
  <c r="J3414" i="17"/>
  <c r="J3415" i="17"/>
  <c r="J3416" i="17"/>
  <c r="J3417" i="17"/>
  <c r="J3418" i="17"/>
  <c r="J3419" i="17"/>
  <c r="J3420" i="17"/>
  <c r="J3421" i="17"/>
  <c r="J3422" i="17"/>
  <c r="J3423" i="17"/>
  <c r="J3424" i="17"/>
  <c r="J3425" i="17"/>
  <c r="J3426" i="17"/>
  <c r="J3427" i="17"/>
  <c r="J3428" i="17"/>
  <c r="J3429" i="17"/>
  <c r="J3430" i="17"/>
  <c r="J3431" i="17"/>
  <c r="J3432" i="17"/>
  <c r="J3433" i="17"/>
  <c r="J3434" i="17"/>
  <c r="J3435" i="17"/>
  <c r="J3436" i="17"/>
  <c r="J3437" i="17"/>
  <c r="J3438" i="17"/>
  <c r="J3439" i="17"/>
  <c r="J3440" i="17"/>
  <c r="J3441" i="17"/>
  <c r="J3442" i="17"/>
  <c r="J3443" i="17"/>
  <c r="J3444" i="17"/>
  <c r="J3445" i="17"/>
  <c r="J3446" i="17"/>
  <c r="J3447" i="17"/>
  <c r="J3448" i="17"/>
  <c r="J3449" i="17"/>
  <c r="J3450" i="17"/>
  <c r="J3451" i="17"/>
  <c r="J3452" i="17"/>
  <c r="J3453" i="17"/>
  <c r="J3454" i="17"/>
  <c r="J3455" i="17"/>
  <c r="J3456" i="17"/>
  <c r="J3457" i="17"/>
  <c r="J3458" i="17"/>
  <c r="J3459" i="17"/>
  <c r="J3460" i="17"/>
  <c r="J3461" i="17"/>
  <c r="J3462" i="17"/>
  <c r="J3463" i="17"/>
  <c r="J3464" i="17"/>
  <c r="J3465" i="17"/>
  <c r="J3466" i="17"/>
  <c r="J3467" i="17"/>
  <c r="J3468" i="17"/>
  <c r="J3469" i="17"/>
  <c r="J3470" i="17"/>
  <c r="J3471" i="17"/>
  <c r="J3472" i="17"/>
  <c r="J3473" i="17"/>
  <c r="J3474" i="17"/>
  <c r="J3475" i="17"/>
  <c r="J3476" i="17"/>
  <c r="J3477" i="17"/>
  <c r="J3478" i="17"/>
  <c r="J3479" i="17"/>
  <c r="J3480" i="17"/>
  <c r="J3481" i="17"/>
  <c r="J3482" i="17"/>
  <c r="J3483" i="17"/>
  <c r="J3484" i="17"/>
  <c r="J3485" i="17"/>
  <c r="J3486" i="17"/>
  <c r="J3487" i="17"/>
  <c r="J3488" i="17"/>
  <c r="J3489" i="17"/>
  <c r="J3490" i="17"/>
  <c r="J3491" i="17"/>
  <c r="J3492" i="17"/>
  <c r="J3493" i="17"/>
  <c r="J3494" i="17"/>
  <c r="J3495" i="17"/>
  <c r="J3496" i="17"/>
  <c r="J3497" i="17"/>
  <c r="J3498" i="17"/>
  <c r="J3499" i="17"/>
  <c r="J3500" i="17"/>
  <c r="J3501" i="17"/>
  <c r="J3502" i="17"/>
  <c r="J3503" i="17"/>
  <c r="J3504" i="17"/>
  <c r="J3505" i="17"/>
  <c r="J3506" i="17"/>
  <c r="J3507" i="17"/>
  <c r="J3508" i="17"/>
  <c r="J3509" i="17"/>
  <c r="J3510" i="17"/>
  <c r="J3511" i="17"/>
  <c r="J3512" i="17"/>
  <c r="J3513" i="17"/>
  <c r="J3514" i="17"/>
  <c r="J3515" i="17"/>
  <c r="J3516" i="17"/>
  <c r="J3517" i="17"/>
  <c r="J3518" i="17"/>
  <c r="J3519" i="17"/>
  <c r="J3520" i="17"/>
  <c r="J3521" i="17"/>
  <c r="K2" i="17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57" i="17"/>
  <c r="K58" i="17"/>
  <c r="K59" i="17"/>
  <c r="K60" i="17"/>
  <c r="K61" i="17"/>
  <c r="K62" i="17"/>
  <c r="K63" i="17"/>
  <c r="K64" i="17"/>
  <c r="K65" i="17"/>
  <c r="K66" i="17"/>
  <c r="K67" i="17"/>
  <c r="K68" i="17"/>
  <c r="K69" i="17"/>
  <c r="K70" i="17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88" i="17"/>
  <c r="K89" i="17"/>
  <c r="K90" i="17"/>
  <c r="K91" i="17"/>
  <c r="K92" i="17"/>
  <c r="K93" i="17"/>
  <c r="K94" i="17"/>
  <c r="K95" i="17"/>
  <c r="K96" i="17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K109" i="17"/>
  <c r="K110" i="17"/>
  <c r="K111" i="17"/>
  <c r="K112" i="17"/>
  <c r="K113" i="17"/>
  <c r="K114" i="17"/>
  <c r="K115" i="17"/>
  <c r="K116" i="17"/>
  <c r="K117" i="17"/>
  <c r="K118" i="17"/>
  <c r="K119" i="17"/>
  <c r="K120" i="17"/>
  <c r="K121" i="17"/>
  <c r="K122" i="17"/>
  <c r="K123" i="17"/>
  <c r="K124" i="17"/>
  <c r="K125" i="17"/>
  <c r="K126" i="17"/>
  <c r="K127" i="17"/>
  <c r="K128" i="17"/>
  <c r="K129" i="17"/>
  <c r="K130" i="17"/>
  <c r="K131" i="17"/>
  <c r="K132" i="17"/>
  <c r="K133" i="17"/>
  <c r="K134" i="17"/>
  <c r="K135" i="17"/>
  <c r="K136" i="17"/>
  <c r="K137" i="17"/>
  <c r="K138" i="17"/>
  <c r="K139" i="17"/>
  <c r="K140" i="17"/>
  <c r="K141" i="17"/>
  <c r="K142" i="17"/>
  <c r="K143" i="17"/>
  <c r="K144" i="17"/>
  <c r="K145" i="17"/>
  <c r="K146" i="17"/>
  <c r="K147" i="17"/>
  <c r="K148" i="17"/>
  <c r="K149" i="17"/>
  <c r="K150" i="17"/>
  <c r="K151" i="17"/>
  <c r="K152" i="17"/>
  <c r="K153" i="17"/>
  <c r="K154" i="17"/>
  <c r="K155" i="17"/>
  <c r="K156" i="17"/>
  <c r="K157" i="17"/>
  <c r="K158" i="17"/>
  <c r="K159" i="17"/>
  <c r="K160" i="17"/>
  <c r="K161" i="17"/>
  <c r="K162" i="17"/>
  <c r="K163" i="17"/>
  <c r="K164" i="17"/>
  <c r="K165" i="17"/>
  <c r="K166" i="17"/>
  <c r="K167" i="17"/>
  <c r="K168" i="17"/>
  <c r="K169" i="17"/>
  <c r="K170" i="17"/>
  <c r="K171" i="17"/>
  <c r="K172" i="17"/>
  <c r="K173" i="17"/>
  <c r="K174" i="17"/>
  <c r="K175" i="17"/>
  <c r="K176" i="17"/>
  <c r="K177" i="17"/>
  <c r="K178" i="17"/>
  <c r="K179" i="17"/>
  <c r="K180" i="17"/>
  <c r="K181" i="17"/>
  <c r="K182" i="17"/>
  <c r="K183" i="17"/>
  <c r="K184" i="17"/>
  <c r="K185" i="17"/>
  <c r="K186" i="17"/>
  <c r="K187" i="17"/>
  <c r="K188" i="17"/>
  <c r="K189" i="17"/>
  <c r="K190" i="17"/>
  <c r="K191" i="17"/>
  <c r="K192" i="17"/>
  <c r="K193" i="17"/>
  <c r="K194" i="17"/>
  <c r="K195" i="17"/>
  <c r="K196" i="17"/>
  <c r="K197" i="17"/>
  <c r="K198" i="17"/>
  <c r="K199" i="17"/>
  <c r="K200" i="17"/>
  <c r="K201" i="17"/>
  <c r="K202" i="17"/>
  <c r="K203" i="17"/>
  <c r="K204" i="17"/>
  <c r="K205" i="17"/>
  <c r="K206" i="17"/>
  <c r="K207" i="17"/>
  <c r="K208" i="17"/>
  <c r="K209" i="17"/>
  <c r="K210" i="17"/>
  <c r="K211" i="17"/>
  <c r="K212" i="17"/>
  <c r="K213" i="17"/>
  <c r="K214" i="17"/>
  <c r="K215" i="17"/>
  <c r="K216" i="17"/>
  <c r="K217" i="17"/>
  <c r="K218" i="17"/>
  <c r="K219" i="17"/>
  <c r="K220" i="17"/>
  <c r="K221" i="17"/>
  <c r="K222" i="17"/>
  <c r="K223" i="17"/>
  <c r="K224" i="17"/>
  <c r="K225" i="17"/>
  <c r="K226" i="17"/>
  <c r="K227" i="17"/>
  <c r="K228" i="17"/>
  <c r="K229" i="17"/>
  <c r="K230" i="17"/>
  <c r="K231" i="17"/>
  <c r="K232" i="17"/>
  <c r="K233" i="17"/>
  <c r="K234" i="17"/>
  <c r="K235" i="17"/>
  <c r="K236" i="17"/>
  <c r="K237" i="17"/>
  <c r="K238" i="17"/>
  <c r="K239" i="17"/>
  <c r="K240" i="17"/>
  <c r="K241" i="17"/>
  <c r="K242" i="17"/>
  <c r="K243" i="17"/>
  <c r="K244" i="17"/>
  <c r="K245" i="17"/>
  <c r="K246" i="17"/>
  <c r="K247" i="17"/>
  <c r="K248" i="17"/>
  <c r="K249" i="17"/>
  <c r="K250" i="17"/>
  <c r="K251" i="17"/>
  <c r="K252" i="17"/>
  <c r="K253" i="17"/>
  <c r="K254" i="17"/>
  <c r="K255" i="17"/>
  <c r="K256" i="17"/>
  <c r="K257" i="17"/>
  <c r="K258" i="17"/>
  <c r="K259" i="17"/>
  <c r="K260" i="17"/>
  <c r="K261" i="17"/>
  <c r="K262" i="17"/>
  <c r="K263" i="17"/>
  <c r="K264" i="17"/>
  <c r="K265" i="17"/>
  <c r="K266" i="17"/>
  <c r="K267" i="17"/>
  <c r="K268" i="17"/>
  <c r="K269" i="17"/>
  <c r="K270" i="17"/>
  <c r="K271" i="17"/>
  <c r="K272" i="17"/>
  <c r="K273" i="17"/>
  <c r="K274" i="17"/>
  <c r="K275" i="17"/>
  <c r="K276" i="17"/>
  <c r="K277" i="17"/>
  <c r="K278" i="17"/>
  <c r="K279" i="17"/>
  <c r="K280" i="17"/>
  <c r="K281" i="17"/>
  <c r="K282" i="17"/>
  <c r="K283" i="17"/>
  <c r="K284" i="17"/>
  <c r="K285" i="17"/>
  <c r="K286" i="17"/>
  <c r="K287" i="17"/>
  <c r="K288" i="17"/>
  <c r="K289" i="17"/>
  <c r="K290" i="17"/>
  <c r="K291" i="17"/>
  <c r="K292" i="17"/>
  <c r="K293" i="17"/>
  <c r="K294" i="17"/>
  <c r="K295" i="17"/>
  <c r="K296" i="17"/>
  <c r="K297" i="17"/>
  <c r="K298" i="17"/>
  <c r="K299" i="17"/>
  <c r="K300" i="17"/>
  <c r="K301" i="17"/>
  <c r="K302" i="17"/>
  <c r="K303" i="17"/>
  <c r="K304" i="17"/>
  <c r="K305" i="17"/>
  <c r="K306" i="17"/>
  <c r="K307" i="17"/>
  <c r="K308" i="17"/>
  <c r="K309" i="17"/>
  <c r="K310" i="17"/>
  <c r="K311" i="17"/>
  <c r="K312" i="17"/>
  <c r="K313" i="17"/>
  <c r="K314" i="17"/>
  <c r="K315" i="17"/>
  <c r="K316" i="17"/>
  <c r="K317" i="17"/>
  <c r="K318" i="17"/>
  <c r="K319" i="17"/>
  <c r="K320" i="17"/>
  <c r="K321" i="17"/>
  <c r="K322" i="17"/>
  <c r="K323" i="17"/>
  <c r="K324" i="17"/>
  <c r="K325" i="17"/>
  <c r="K326" i="17"/>
  <c r="K327" i="17"/>
  <c r="K328" i="17"/>
  <c r="K329" i="17"/>
  <c r="K330" i="17"/>
  <c r="K331" i="17"/>
  <c r="K332" i="17"/>
  <c r="K333" i="17"/>
  <c r="K334" i="17"/>
  <c r="K335" i="17"/>
  <c r="K336" i="17"/>
  <c r="K337" i="17"/>
  <c r="K338" i="17"/>
  <c r="K339" i="17"/>
  <c r="K340" i="17"/>
  <c r="K341" i="17"/>
  <c r="K342" i="17"/>
  <c r="K343" i="17"/>
  <c r="K344" i="17"/>
  <c r="K345" i="17"/>
  <c r="K346" i="17"/>
  <c r="K347" i="17"/>
  <c r="K348" i="17"/>
  <c r="K349" i="17"/>
  <c r="K350" i="17"/>
  <c r="K351" i="17"/>
  <c r="K352" i="17"/>
  <c r="K353" i="17"/>
  <c r="K354" i="17"/>
  <c r="K355" i="17"/>
  <c r="K356" i="17"/>
  <c r="K357" i="17"/>
  <c r="K358" i="17"/>
  <c r="K359" i="17"/>
  <c r="K360" i="17"/>
  <c r="K361" i="17"/>
  <c r="K362" i="17"/>
  <c r="K363" i="17"/>
  <c r="K364" i="17"/>
  <c r="K365" i="17"/>
  <c r="K366" i="17"/>
  <c r="K367" i="17"/>
  <c r="K368" i="17"/>
  <c r="K369" i="17"/>
  <c r="K370" i="17"/>
  <c r="K371" i="17"/>
  <c r="K372" i="17"/>
  <c r="K373" i="17"/>
  <c r="K374" i="17"/>
  <c r="K375" i="17"/>
  <c r="K376" i="17"/>
  <c r="K377" i="17"/>
  <c r="K378" i="17"/>
  <c r="K379" i="17"/>
  <c r="K380" i="17"/>
  <c r="K381" i="17"/>
  <c r="K382" i="17"/>
  <c r="K383" i="17"/>
  <c r="K384" i="17"/>
  <c r="K385" i="17"/>
  <c r="K386" i="17"/>
  <c r="K387" i="17"/>
  <c r="K388" i="17"/>
  <c r="K389" i="17"/>
  <c r="K390" i="17"/>
  <c r="K391" i="17"/>
  <c r="K392" i="17"/>
  <c r="K393" i="17"/>
  <c r="K394" i="17"/>
  <c r="K395" i="17"/>
  <c r="K396" i="17"/>
  <c r="K397" i="17"/>
  <c r="K398" i="17"/>
  <c r="K399" i="17"/>
  <c r="K400" i="17"/>
  <c r="K401" i="17"/>
  <c r="K402" i="17"/>
  <c r="K403" i="17"/>
  <c r="K404" i="17"/>
  <c r="K405" i="17"/>
  <c r="K406" i="17"/>
  <c r="K407" i="17"/>
  <c r="K408" i="17"/>
  <c r="K409" i="17"/>
  <c r="K410" i="17"/>
  <c r="K411" i="17"/>
  <c r="K412" i="17"/>
  <c r="K413" i="17"/>
  <c r="K414" i="17"/>
  <c r="K415" i="17"/>
  <c r="K416" i="17"/>
  <c r="K417" i="17"/>
  <c r="K418" i="17"/>
  <c r="K419" i="17"/>
  <c r="K420" i="17"/>
  <c r="K421" i="17"/>
  <c r="K422" i="17"/>
  <c r="K423" i="17"/>
  <c r="K424" i="17"/>
  <c r="K425" i="17"/>
  <c r="K426" i="17"/>
  <c r="K427" i="17"/>
  <c r="K428" i="17"/>
  <c r="K429" i="17"/>
  <c r="K430" i="17"/>
  <c r="K431" i="17"/>
  <c r="K432" i="17"/>
  <c r="K433" i="17"/>
  <c r="K434" i="17"/>
  <c r="K435" i="17"/>
  <c r="K436" i="17"/>
  <c r="K437" i="17"/>
  <c r="K438" i="17"/>
  <c r="K439" i="17"/>
  <c r="K440" i="17"/>
  <c r="K441" i="17"/>
  <c r="K442" i="17"/>
  <c r="K443" i="17"/>
  <c r="K444" i="17"/>
  <c r="K445" i="17"/>
  <c r="K446" i="17"/>
  <c r="K447" i="17"/>
  <c r="K448" i="17"/>
  <c r="K449" i="17"/>
  <c r="K450" i="17"/>
  <c r="K451" i="17"/>
  <c r="K452" i="17"/>
  <c r="K453" i="17"/>
  <c r="K454" i="17"/>
  <c r="K455" i="17"/>
  <c r="K456" i="17"/>
  <c r="K457" i="17"/>
  <c r="K458" i="17"/>
  <c r="K459" i="17"/>
  <c r="K460" i="17"/>
  <c r="K461" i="17"/>
  <c r="K462" i="17"/>
  <c r="K463" i="17"/>
  <c r="K464" i="17"/>
  <c r="K465" i="17"/>
  <c r="K466" i="17"/>
  <c r="K467" i="17"/>
  <c r="K468" i="17"/>
  <c r="K469" i="17"/>
  <c r="K470" i="17"/>
  <c r="K471" i="17"/>
  <c r="K472" i="17"/>
  <c r="K473" i="17"/>
  <c r="K474" i="17"/>
  <c r="K475" i="17"/>
  <c r="K476" i="17"/>
  <c r="K477" i="17"/>
  <c r="K478" i="17"/>
  <c r="K479" i="17"/>
  <c r="K480" i="17"/>
  <c r="K481" i="17"/>
  <c r="K482" i="17"/>
  <c r="K483" i="17"/>
  <c r="K484" i="17"/>
  <c r="K485" i="17"/>
  <c r="K486" i="17"/>
  <c r="K487" i="17"/>
  <c r="K488" i="17"/>
  <c r="K489" i="17"/>
  <c r="K490" i="17"/>
  <c r="K491" i="17"/>
  <c r="K492" i="17"/>
  <c r="K493" i="17"/>
  <c r="K494" i="17"/>
  <c r="K495" i="17"/>
  <c r="K496" i="17"/>
  <c r="K497" i="17"/>
  <c r="K498" i="17"/>
  <c r="K499" i="17"/>
  <c r="K500" i="17"/>
  <c r="K501" i="17"/>
  <c r="K502" i="17"/>
  <c r="K503" i="17"/>
  <c r="K504" i="17"/>
  <c r="K505" i="17"/>
  <c r="K506" i="17"/>
  <c r="K507" i="17"/>
  <c r="K508" i="17"/>
  <c r="K509" i="17"/>
  <c r="K510" i="17"/>
  <c r="K511" i="17"/>
  <c r="K512" i="17"/>
  <c r="K513" i="17"/>
  <c r="K514" i="17"/>
  <c r="K515" i="17"/>
  <c r="K516" i="17"/>
  <c r="K517" i="17"/>
  <c r="K518" i="17"/>
  <c r="K519" i="17"/>
  <c r="K520" i="17"/>
  <c r="K521" i="17"/>
  <c r="K522" i="17"/>
  <c r="K523" i="17"/>
  <c r="K524" i="17"/>
  <c r="K525" i="17"/>
  <c r="K526" i="17"/>
  <c r="K527" i="17"/>
  <c r="K528" i="17"/>
  <c r="K529" i="17"/>
  <c r="K530" i="17"/>
  <c r="K531" i="17"/>
  <c r="K532" i="17"/>
  <c r="K533" i="17"/>
  <c r="K534" i="17"/>
  <c r="K535" i="17"/>
  <c r="K536" i="17"/>
  <c r="K537" i="17"/>
  <c r="K538" i="17"/>
  <c r="K539" i="17"/>
  <c r="K540" i="17"/>
  <c r="K541" i="17"/>
  <c r="K542" i="17"/>
  <c r="K543" i="17"/>
  <c r="K544" i="17"/>
  <c r="K545" i="17"/>
  <c r="K546" i="17"/>
  <c r="K547" i="17"/>
  <c r="K548" i="17"/>
  <c r="K549" i="17"/>
  <c r="K550" i="17"/>
  <c r="K551" i="17"/>
  <c r="K552" i="17"/>
  <c r="K553" i="17"/>
  <c r="K554" i="17"/>
  <c r="K555" i="17"/>
  <c r="K556" i="17"/>
  <c r="K557" i="17"/>
  <c r="K558" i="17"/>
  <c r="K559" i="17"/>
  <c r="K560" i="17"/>
  <c r="K561" i="17"/>
  <c r="K562" i="17"/>
  <c r="K563" i="17"/>
  <c r="K564" i="17"/>
  <c r="K565" i="17"/>
  <c r="K566" i="17"/>
  <c r="K567" i="17"/>
  <c r="K568" i="17"/>
  <c r="K569" i="17"/>
  <c r="K570" i="17"/>
  <c r="K571" i="17"/>
  <c r="K572" i="17"/>
  <c r="K573" i="17"/>
  <c r="K574" i="17"/>
  <c r="K575" i="17"/>
  <c r="K576" i="17"/>
  <c r="K577" i="17"/>
  <c r="K578" i="17"/>
  <c r="K579" i="17"/>
  <c r="K580" i="17"/>
  <c r="K581" i="17"/>
  <c r="K582" i="17"/>
  <c r="K583" i="17"/>
  <c r="K584" i="17"/>
  <c r="K585" i="17"/>
  <c r="K586" i="17"/>
  <c r="K587" i="17"/>
  <c r="K588" i="17"/>
  <c r="K589" i="17"/>
  <c r="K590" i="17"/>
  <c r="K591" i="17"/>
  <c r="K592" i="17"/>
  <c r="K593" i="17"/>
  <c r="K594" i="17"/>
  <c r="K595" i="17"/>
  <c r="K596" i="17"/>
  <c r="K597" i="17"/>
  <c r="K598" i="17"/>
  <c r="K599" i="17"/>
  <c r="K600" i="17"/>
  <c r="K601" i="17"/>
  <c r="K602" i="17"/>
  <c r="K603" i="17"/>
  <c r="K604" i="17"/>
  <c r="K605" i="17"/>
  <c r="K606" i="17"/>
  <c r="K607" i="17"/>
  <c r="K608" i="17"/>
  <c r="K609" i="17"/>
  <c r="K610" i="17"/>
  <c r="K611" i="17"/>
  <c r="K612" i="17"/>
  <c r="K613" i="17"/>
  <c r="K614" i="17"/>
  <c r="K615" i="17"/>
  <c r="K616" i="17"/>
  <c r="K617" i="17"/>
  <c r="K618" i="17"/>
  <c r="K619" i="17"/>
  <c r="K620" i="17"/>
  <c r="K621" i="17"/>
  <c r="K622" i="17"/>
  <c r="K623" i="17"/>
  <c r="K624" i="17"/>
  <c r="K625" i="17"/>
  <c r="K626" i="17"/>
  <c r="K627" i="17"/>
  <c r="K628" i="17"/>
  <c r="K629" i="17"/>
  <c r="K630" i="17"/>
  <c r="K631" i="17"/>
  <c r="K632" i="17"/>
  <c r="K633" i="17"/>
  <c r="K634" i="17"/>
  <c r="K635" i="17"/>
  <c r="K636" i="17"/>
  <c r="K637" i="17"/>
  <c r="K638" i="17"/>
  <c r="K639" i="17"/>
  <c r="K640" i="17"/>
  <c r="K641" i="17"/>
  <c r="K642" i="17"/>
  <c r="K643" i="17"/>
  <c r="K644" i="17"/>
  <c r="K645" i="17"/>
  <c r="K646" i="17"/>
  <c r="K647" i="17"/>
  <c r="K648" i="17"/>
  <c r="K649" i="17"/>
  <c r="K650" i="17"/>
  <c r="K651" i="17"/>
  <c r="K652" i="17"/>
  <c r="K653" i="17"/>
  <c r="K654" i="17"/>
  <c r="K655" i="17"/>
  <c r="K656" i="17"/>
  <c r="K657" i="17"/>
  <c r="K658" i="17"/>
  <c r="K659" i="17"/>
  <c r="K660" i="17"/>
  <c r="K661" i="17"/>
  <c r="K662" i="17"/>
  <c r="K663" i="17"/>
  <c r="K664" i="17"/>
  <c r="K665" i="17"/>
  <c r="K666" i="17"/>
  <c r="K667" i="17"/>
  <c r="K668" i="17"/>
  <c r="K669" i="17"/>
  <c r="K670" i="17"/>
  <c r="K671" i="17"/>
  <c r="K672" i="17"/>
  <c r="K673" i="17"/>
  <c r="K674" i="17"/>
  <c r="K675" i="17"/>
  <c r="K676" i="17"/>
  <c r="K677" i="17"/>
  <c r="K678" i="17"/>
  <c r="K679" i="17"/>
  <c r="K680" i="17"/>
  <c r="K681" i="17"/>
  <c r="K682" i="17"/>
  <c r="K683" i="17"/>
  <c r="K684" i="17"/>
  <c r="K685" i="17"/>
  <c r="K686" i="17"/>
  <c r="K687" i="17"/>
  <c r="K688" i="17"/>
  <c r="K689" i="17"/>
  <c r="K690" i="17"/>
  <c r="K691" i="17"/>
  <c r="K692" i="17"/>
  <c r="K693" i="17"/>
  <c r="K694" i="17"/>
  <c r="K695" i="17"/>
  <c r="K696" i="17"/>
  <c r="K697" i="17"/>
  <c r="K698" i="17"/>
  <c r="K699" i="17"/>
  <c r="K700" i="17"/>
  <c r="K701" i="17"/>
  <c r="K702" i="17"/>
  <c r="K703" i="17"/>
  <c r="K704" i="17"/>
  <c r="K705" i="17"/>
  <c r="K706" i="17"/>
  <c r="K707" i="17"/>
  <c r="K708" i="17"/>
  <c r="K709" i="17"/>
  <c r="K710" i="17"/>
  <c r="K711" i="17"/>
  <c r="K712" i="17"/>
  <c r="K713" i="17"/>
  <c r="K714" i="17"/>
  <c r="K715" i="17"/>
  <c r="K716" i="17"/>
  <c r="K717" i="17"/>
  <c r="K718" i="17"/>
  <c r="K719" i="17"/>
  <c r="K720" i="17"/>
  <c r="K721" i="17"/>
  <c r="K722" i="17"/>
  <c r="K723" i="17"/>
  <c r="K724" i="17"/>
  <c r="K725" i="17"/>
  <c r="K726" i="17"/>
  <c r="K727" i="17"/>
  <c r="K728" i="17"/>
  <c r="K729" i="17"/>
  <c r="K730" i="17"/>
  <c r="K731" i="17"/>
  <c r="K732" i="17"/>
  <c r="K733" i="17"/>
  <c r="K734" i="17"/>
  <c r="K735" i="17"/>
  <c r="K736" i="17"/>
  <c r="K737" i="17"/>
  <c r="K738" i="17"/>
  <c r="K739" i="17"/>
  <c r="K740" i="17"/>
  <c r="K741" i="17"/>
  <c r="K742" i="17"/>
  <c r="K743" i="17"/>
  <c r="K744" i="17"/>
  <c r="K745" i="17"/>
  <c r="K746" i="17"/>
  <c r="K747" i="17"/>
  <c r="K748" i="17"/>
  <c r="K749" i="17"/>
  <c r="K750" i="17"/>
  <c r="K751" i="17"/>
  <c r="K752" i="17"/>
  <c r="K753" i="17"/>
  <c r="K754" i="17"/>
  <c r="K755" i="17"/>
  <c r="K756" i="17"/>
  <c r="K757" i="17"/>
  <c r="K758" i="17"/>
  <c r="K759" i="17"/>
  <c r="K760" i="17"/>
  <c r="K761" i="17"/>
  <c r="K762" i="17"/>
  <c r="K763" i="17"/>
  <c r="K764" i="17"/>
  <c r="K765" i="17"/>
  <c r="K766" i="17"/>
  <c r="K767" i="17"/>
  <c r="K768" i="17"/>
  <c r="K769" i="17"/>
  <c r="K770" i="17"/>
  <c r="K771" i="17"/>
  <c r="K772" i="17"/>
  <c r="K773" i="17"/>
  <c r="K774" i="17"/>
  <c r="K775" i="17"/>
  <c r="K776" i="17"/>
  <c r="K777" i="17"/>
  <c r="K778" i="17"/>
  <c r="K779" i="17"/>
  <c r="K780" i="17"/>
  <c r="K781" i="17"/>
  <c r="K782" i="17"/>
  <c r="K783" i="17"/>
  <c r="K784" i="17"/>
  <c r="K785" i="17"/>
  <c r="K786" i="17"/>
  <c r="K787" i="17"/>
  <c r="K788" i="17"/>
  <c r="K789" i="17"/>
  <c r="K790" i="17"/>
  <c r="K791" i="17"/>
  <c r="K792" i="17"/>
  <c r="K793" i="17"/>
  <c r="K794" i="17"/>
  <c r="K795" i="17"/>
  <c r="K796" i="17"/>
  <c r="K797" i="17"/>
  <c r="K798" i="17"/>
  <c r="K799" i="17"/>
  <c r="K800" i="17"/>
  <c r="K801" i="17"/>
  <c r="K802" i="17"/>
  <c r="K803" i="17"/>
  <c r="K804" i="17"/>
  <c r="K805" i="17"/>
  <c r="K806" i="17"/>
  <c r="K807" i="17"/>
  <c r="K808" i="17"/>
  <c r="K809" i="17"/>
  <c r="K810" i="17"/>
  <c r="K811" i="17"/>
  <c r="K812" i="17"/>
  <c r="K813" i="17"/>
  <c r="K814" i="17"/>
  <c r="K815" i="17"/>
  <c r="K816" i="17"/>
  <c r="K817" i="17"/>
  <c r="K818" i="17"/>
  <c r="K819" i="17"/>
  <c r="K820" i="17"/>
  <c r="K821" i="17"/>
  <c r="K822" i="17"/>
  <c r="K823" i="17"/>
  <c r="K824" i="17"/>
  <c r="K825" i="17"/>
  <c r="K826" i="17"/>
  <c r="K827" i="17"/>
  <c r="K828" i="17"/>
  <c r="K829" i="17"/>
  <c r="K830" i="17"/>
  <c r="K831" i="17"/>
  <c r="K832" i="17"/>
  <c r="K833" i="17"/>
  <c r="K834" i="17"/>
  <c r="K835" i="17"/>
  <c r="K836" i="17"/>
  <c r="K837" i="17"/>
  <c r="K838" i="17"/>
  <c r="K839" i="17"/>
  <c r="K840" i="17"/>
  <c r="K841" i="17"/>
  <c r="K842" i="17"/>
  <c r="K843" i="17"/>
  <c r="K844" i="17"/>
  <c r="K845" i="17"/>
  <c r="K846" i="17"/>
  <c r="K847" i="17"/>
  <c r="K848" i="17"/>
  <c r="K849" i="17"/>
  <c r="K850" i="17"/>
  <c r="K851" i="17"/>
  <c r="K852" i="17"/>
  <c r="K853" i="17"/>
  <c r="K854" i="17"/>
  <c r="K855" i="17"/>
  <c r="K856" i="17"/>
  <c r="K857" i="17"/>
  <c r="K858" i="17"/>
  <c r="K859" i="17"/>
  <c r="K860" i="17"/>
  <c r="K861" i="17"/>
  <c r="K862" i="17"/>
  <c r="K863" i="17"/>
  <c r="K864" i="17"/>
  <c r="K865" i="17"/>
  <c r="K866" i="17"/>
  <c r="K867" i="17"/>
  <c r="K868" i="17"/>
  <c r="K869" i="17"/>
  <c r="K870" i="17"/>
  <c r="K871" i="17"/>
  <c r="K872" i="17"/>
  <c r="K873" i="17"/>
  <c r="K874" i="17"/>
  <c r="K875" i="17"/>
  <c r="K876" i="17"/>
  <c r="K877" i="17"/>
  <c r="K878" i="17"/>
  <c r="K879" i="17"/>
  <c r="K880" i="17"/>
  <c r="K881" i="17"/>
  <c r="K882" i="17"/>
  <c r="K883" i="17"/>
  <c r="K884" i="17"/>
  <c r="K885" i="17"/>
  <c r="K886" i="17"/>
  <c r="K887" i="17"/>
  <c r="K888" i="17"/>
  <c r="K889" i="17"/>
  <c r="K890" i="17"/>
  <c r="K891" i="17"/>
  <c r="K892" i="17"/>
  <c r="K893" i="17"/>
  <c r="K894" i="17"/>
  <c r="K895" i="17"/>
  <c r="K896" i="17"/>
  <c r="K897" i="17"/>
  <c r="K898" i="17"/>
  <c r="K899" i="17"/>
  <c r="K900" i="17"/>
  <c r="K901" i="17"/>
  <c r="K902" i="17"/>
  <c r="K903" i="17"/>
  <c r="K904" i="17"/>
  <c r="K905" i="17"/>
  <c r="K906" i="17"/>
  <c r="K907" i="17"/>
  <c r="K908" i="17"/>
  <c r="K909" i="17"/>
  <c r="K910" i="17"/>
  <c r="K911" i="17"/>
  <c r="K912" i="17"/>
  <c r="K913" i="17"/>
  <c r="K914" i="17"/>
  <c r="K915" i="17"/>
  <c r="K916" i="17"/>
  <c r="K917" i="17"/>
  <c r="K918" i="17"/>
  <c r="K919" i="17"/>
  <c r="K920" i="17"/>
  <c r="K921" i="17"/>
  <c r="K922" i="17"/>
  <c r="K923" i="17"/>
  <c r="K924" i="17"/>
  <c r="K925" i="17"/>
  <c r="K926" i="17"/>
  <c r="K927" i="17"/>
  <c r="K928" i="17"/>
  <c r="K929" i="17"/>
  <c r="K930" i="17"/>
  <c r="K931" i="17"/>
  <c r="K932" i="17"/>
  <c r="K933" i="17"/>
  <c r="K934" i="17"/>
  <c r="K935" i="17"/>
  <c r="K936" i="17"/>
  <c r="K937" i="17"/>
  <c r="K938" i="17"/>
  <c r="K939" i="17"/>
  <c r="K940" i="17"/>
  <c r="K941" i="17"/>
  <c r="K942" i="17"/>
  <c r="K943" i="17"/>
  <c r="K944" i="17"/>
  <c r="K945" i="17"/>
  <c r="K946" i="17"/>
  <c r="K947" i="17"/>
  <c r="K948" i="17"/>
  <c r="K949" i="17"/>
  <c r="K950" i="17"/>
  <c r="K951" i="17"/>
  <c r="K952" i="17"/>
  <c r="K953" i="17"/>
  <c r="K954" i="17"/>
  <c r="K955" i="17"/>
  <c r="K956" i="17"/>
  <c r="K957" i="17"/>
  <c r="K958" i="17"/>
  <c r="K959" i="17"/>
  <c r="K960" i="17"/>
  <c r="K961" i="17"/>
  <c r="K962" i="17"/>
  <c r="K963" i="17"/>
  <c r="K964" i="17"/>
  <c r="K965" i="17"/>
  <c r="K966" i="17"/>
  <c r="K967" i="17"/>
  <c r="K968" i="17"/>
  <c r="K969" i="17"/>
  <c r="K970" i="17"/>
  <c r="K971" i="17"/>
  <c r="K972" i="17"/>
  <c r="K973" i="17"/>
  <c r="K974" i="17"/>
  <c r="K975" i="17"/>
  <c r="K976" i="17"/>
  <c r="K977" i="17"/>
  <c r="K978" i="17"/>
  <c r="K979" i="17"/>
  <c r="K980" i="17"/>
  <c r="K981" i="17"/>
  <c r="K982" i="17"/>
  <c r="K983" i="17"/>
  <c r="K984" i="17"/>
  <c r="K985" i="17"/>
  <c r="K986" i="17"/>
  <c r="K987" i="17"/>
  <c r="K988" i="17"/>
  <c r="K989" i="17"/>
  <c r="K990" i="17"/>
  <c r="K991" i="17"/>
  <c r="K992" i="17"/>
  <c r="K993" i="17"/>
  <c r="K994" i="17"/>
  <c r="K995" i="17"/>
  <c r="K996" i="17"/>
  <c r="K997" i="17"/>
  <c r="K998" i="17"/>
  <c r="K999" i="17"/>
  <c r="K1000" i="17"/>
  <c r="K1001" i="17"/>
  <c r="K1002" i="17"/>
  <c r="K1003" i="17"/>
  <c r="K1004" i="17"/>
  <c r="K1005" i="17"/>
  <c r="K1006" i="17"/>
  <c r="K1007" i="17"/>
  <c r="K1008" i="17"/>
  <c r="K1009" i="17"/>
  <c r="K1010" i="17"/>
  <c r="K1011" i="17"/>
  <c r="K1012" i="17"/>
  <c r="K1013" i="17"/>
  <c r="K1014" i="17"/>
  <c r="K1015" i="17"/>
  <c r="K1016" i="17"/>
  <c r="K1017" i="17"/>
  <c r="K1018" i="17"/>
  <c r="K1019" i="17"/>
  <c r="K1020" i="17"/>
  <c r="K1021" i="17"/>
  <c r="K1022" i="17"/>
  <c r="K1023" i="17"/>
  <c r="K1024" i="17"/>
  <c r="K1025" i="17"/>
  <c r="K1026" i="17"/>
  <c r="K1027" i="17"/>
  <c r="K1028" i="17"/>
  <c r="K1029" i="17"/>
  <c r="K1030" i="17"/>
  <c r="K1031" i="17"/>
  <c r="K1032" i="17"/>
  <c r="K1033" i="17"/>
  <c r="K1034" i="17"/>
  <c r="K1035" i="17"/>
  <c r="K1036" i="17"/>
  <c r="K1037" i="17"/>
  <c r="K1038" i="17"/>
  <c r="K1039" i="17"/>
  <c r="K1040" i="17"/>
  <c r="K1041" i="17"/>
  <c r="K1042" i="17"/>
  <c r="K1043" i="17"/>
  <c r="K1044" i="17"/>
  <c r="K1045" i="17"/>
  <c r="K1046" i="17"/>
  <c r="K1047" i="17"/>
  <c r="K1048" i="17"/>
  <c r="K1049" i="17"/>
  <c r="K1050" i="17"/>
  <c r="K1051" i="17"/>
  <c r="K1052" i="17"/>
  <c r="K1053" i="17"/>
  <c r="K1054" i="17"/>
  <c r="K1055" i="17"/>
  <c r="K1056" i="17"/>
  <c r="K1057" i="17"/>
  <c r="K1058" i="17"/>
  <c r="K1059" i="17"/>
  <c r="K1060" i="17"/>
  <c r="K1061" i="17"/>
  <c r="K1062" i="17"/>
  <c r="K1063" i="17"/>
  <c r="K1064" i="17"/>
  <c r="K1065" i="17"/>
  <c r="K1066" i="17"/>
  <c r="K1067" i="17"/>
  <c r="K1068" i="17"/>
  <c r="K1069" i="17"/>
  <c r="K1070" i="17"/>
  <c r="K1071" i="17"/>
  <c r="K1072" i="17"/>
  <c r="K1073" i="17"/>
  <c r="K1074" i="17"/>
  <c r="K1075" i="17"/>
  <c r="K1076" i="17"/>
  <c r="K1077" i="17"/>
  <c r="K1078" i="17"/>
  <c r="K1079" i="17"/>
  <c r="K1080" i="17"/>
  <c r="K1081" i="17"/>
  <c r="K1082" i="17"/>
  <c r="K1083" i="17"/>
  <c r="K1084" i="17"/>
  <c r="K1085" i="17"/>
  <c r="K1086" i="17"/>
  <c r="K1087" i="17"/>
  <c r="K1088" i="17"/>
  <c r="K1089" i="17"/>
  <c r="K1090" i="17"/>
  <c r="K1091" i="17"/>
  <c r="K1092" i="17"/>
  <c r="K1093" i="17"/>
  <c r="K1094" i="17"/>
  <c r="K1095" i="17"/>
  <c r="K1096" i="17"/>
  <c r="K1097" i="17"/>
  <c r="K1098" i="17"/>
  <c r="K1099" i="17"/>
  <c r="K1100" i="17"/>
  <c r="K1101" i="17"/>
  <c r="K1102" i="17"/>
  <c r="K1103" i="17"/>
  <c r="K1104" i="17"/>
  <c r="K1105" i="17"/>
  <c r="K1106" i="17"/>
  <c r="K1107" i="17"/>
  <c r="K1108" i="17"/>
  <c r="K1109" i="17"/>
  <c r="K1110" i="17"/>
  <c r="K1111" i="17"/>
  <c r="K1112" i="17"/>
  <c r="K1113" i="17"/>
  <c r="K1114" i="17"/>
  <c r="K1115" i="17"/>
  <c r="K1116" i="17"/>
  <c r="K1117" i="17"/>
  <c r="K1118" i="17"/>
  <c r="K1119" i="17"/>
  <c r="K1120" i="17"/>
  <c r="K1121" i="17"/>
  <c r="K1122" i="17"/>
  <c r="K1123" i="17"/>
  <c r="K1124" i="17"/>
  <c r="K1125" i="17"/>
  <c r="K1126" i="17"/>
  <c r="K1127" i="17"/>
  <c r="K1128" i="17"/>
  <c r="K1129" i="17"/>
  <c r="K1130" i="17"/>
  <c r="K1131" i="17"/>
  <c r="K1132" i="17"/>
  <c r="K1133" i="17"/>
  <c r="K1134" i="17"/>
  <c r="K1135" i="17"/>
  <c r="K1136" i="17"/>
  <c r="K1137" i="17"/>
  <c r="K1138" i="17"/>
  <c r="K1139" i="17"/>
  <c r="K1140" i="17"/>
  <c r="K1141" i="17"/>
  <c r="K1142" i="17"/>
  <c r="K1143" i="17"/>
  <c r="K1144" i="17"/>
  <c r="K1145" i="17"/>
  <c r="K1146" i="17"/>
  <c r="K1147" i="17"/>
  <c r="K1148" i="17"/>
  <c r="K1149" i="17"/>
  <c r="K1150" i="17"/>
  <c r="K1151" i="17"/>
  <c r="K1152" i="17"/>
  <c r="K1153" i="17"/>
  <c r="K1154" i="17"/>
  <c r="K1155" i="17"/>
  <c r="K1156" i="17"/>
  <c r="K1157" i="17"/>
  <c r="K1158" i="17"/>
  <c r="K1159" i="17"/>
  <c r="K1160" i="17"/>
  <c r="K1161" i="17"/>
  <c r="K1162" i="17"/>
  <c r="K1163" i="17"/>
  <c r="K1164" i="17"/>
  <c r="K1165" i="17"/>
  <c r="K1166" i="17"/>
  <c r="K1167" i="17"/>
  <c r="K1168" i="17"/>
  <c r="K1169" i="17"/>
  <c r="K1170" i="17"/>
  <c r="K1171" i="17"/>
  <c r="K1172" i="17"/>
  <c r="K1173" i="17"/>
  <c r="K1174" i="17"/>
  <c r="K1175" i="17"/>
  <c r="K1176" i="17"/>
  <c r="K1177" i="17"/>
  <c r="K1178" i="17"/>
  <c r="K1179" i="17"/>
  <c r="K1180" i="17"/>
  <c r="K1181" i="17"/>
  <c r="K1182" i="17"/>
  <c r="K1183" i="17"/>
  <c r="K1184" i="17"/>
  <c r="K1185" i="17"/>
  <c r="K1186" i="17"/>
  <c r="K1187" i="17"/>
  <c r="K1188" i="17"/>
  <c r="K1189" i="17"/>
  <c r="K1190" i="17"/>
  <c r="K1191" i="17"/>
  <c r="K1192" i="17"/>
  <c r="K1193" i="17"/>
  <c r="K1194" i="17"/>
  <c r="K1195" i="17"/>
  <c r="K1196" i="17"/>
  <c r="K1197" i="17"/>
  <c r="K1198" i="17"/>
  <c r="K1199" i="17"/>
  <c r="K1200" i="17"/>
  <c r="K1201" i="17"/>
  <c r="K1202" i="17"/>
  <c r="K1203" i="17"/>
  <c r="K1204" i="17"/>
  <c r="K1205" i="17"/>
  <c r="K1206" i="17"/>
  <c r="K1207" i="17"/>
  <c r="K1208" i="17"/>
  <c r="K1209" i="17"/>
  <c r="K1210" i="17"/>
  <c r="K1211" i="17"/>
  <c r="K1212" i="17"/>
  <c r="K1213" i="17"/>
  <c r="K1214" i="17"/>
  <c r="K1215" i="17"/>
  <c r="K1216" i="17"/>
  <c r="K1217" i="17"/>
  <c r="K1218" i="17"/>
  <c r="K1219" i="17"/>
  <c r="K1220" i="17"/>
  <c r="K1221" i="17"/>
  <c r="K1222" i="17"/>
  <c r="K1223" i="17"/>
  <c r="K1224" i="17"/>
  <c r="K1225" i="17"/>
  <c r="K1226" i="17"/>
  <c r="K1227" i="17"/>
  <c r="K1228" i="17"/>
  <c r="K1229" i="17"/>
  <c r="K1230" i="17"/>
  <c r="K1231" i="17"/>
  <c r="K1232" i="17"/>
  <c r="K1233" i="17"/>
  <c r="K1234" i="17"/>
  <c r="K1235" i="17"/>
  <c r="K1236" i="17"/>
  <c r="K1237" i="17"/>
  <c r="K1238" i="17"/>
  <c r="K1239" i="17"/>
  <c r="K1240" i="17"/>
  <c r="K1241" i="17"/>
  <c r="K1242" i="17"/>
  <c r="K1243" i="17"/>
  <c r="K1244" i="17"/>
  <c r="K1245" i="17"/>
  <c r="K1246" i="17"/>
  <c r="K1247" i="17"/>
  <c r="K1248" i="17"/>
  <c r="K1249" i="17"/>
  <c r="K1250" i="17"/>
  <c r="K1251" i="17"/>
  <c r="K1252" i="17"/>
  <c r="K1253" i="17"/>
  <c r="K1254" i="17"/>
  <c r="K1255" i="17"/>
  <c r="K1256" i="17"/>
  <c r="K1257" i="17"/>
  <c r="K1258" i="17"/>
  <c r="K1259" i="17"/>
  <c r="K1260" i="17"/>
  <c r="K1261" i="17"/>
  <c r="K1262" i="17"/>
  <c r="K1263" i="17"/>
  <c r="K1264" i="17"/>
  <c r="K1265" i="17"/>
  <c r="K1266" i="17"/>
  <c r="K1267" i="17"/>
  <c r="K1268" i="17"/>
  <c r="K1269" i="17"/>
  <c r="K1270" i="17"/>
  <c r="K1271" i="17"/>
  <c r="K1272" i="17"/>
  <c r="K1273" i="17"/>
  <c r="K1274" i="17"/>
  <c r="K1275" i="17"/>
  <c r="K1276" i="17"/>
  <c r="K1277" i="17"/>
  <c r="K1278" i="17"/>
  <c r="K1279" i="17"/>
  <c r="K1280" i="17"/>
  <c r="K1281" i="17"/>
  <c r="K1282" i="17"/>
  <c r="K1283" i="17"/>
  <c r="K1284" i="17"/>
  <c r="K1285" i="17"/>
  <c r="K1286" i="17"/>
  <c r="K1287" i="17"/>
  <c r="K1288" i="17"/>
  <c r="K1289" i="17"/>
  <c r="K1290" i="17"/>
  <c r="K1291" i="17"/>
  <c r="K1292" i="17"/>
  <c r="K1293" i="17"/>
  <c r="K1294" i="17"/>
  <c r="K1295" i="17"/>
  <c r="K1296" i="17"/>
  <c r="K1297" i="17"/>
  <c r="K1298" i="17"/>
  <c r="K1299" i="17"/>
  <c r="K1300" i="17"/>
  <c r="K1301" i="17"/>
  <c r="K1302" i="17"/>
  <c r="K1303" i="17"/>
  <c r="K1304" i="17"/>
  <c r="K1305" i="17"/>
  <c r="K1306" i="17"/>
  <c r="K1307" i="17"/>
  <c r="K1308" i="17"/>
  <c r="K1309" i="17"/>
  <c r="K1310" i="17"/>
  <c r="K1311" i="17"/>
  <c r="K1312" i="17"/>
  <c r="K1313" i="17"/>
  <c r="K1314" i="17"/>
  <c r="K1315" i="17"/>
  <c r="K1316" i="17"/>
  <c r="K1317" i="17"/>
  <c r="K1318" i="17"/>
  <c r="K1319" i="17"/>
  <c r="K1320" i="17"/>
  <c r="K1321" i="17"/>
  <c r="K1322" i="17"/>
  <c r="K1323" i="17"/>
  <c r="K1324" i="17"/>
  <c r="K1325" i="17"/>
  <c r="K1326" i="17"/>
  <c r="K1327" i="17"/>
  <c r="K1328" i="17"/>
  <c r="K1329" i="17"/>
  <c r="K1330" i="17"/>
  <c r="K1331" i="17"/>
  <c r="K1332" i="17"/>
  <c r="K1333" i="17"/>
  <c r="K1334" i="17"/>
  <c r="K1335" i="17"/>
  <c r="K1336" i="17"/>
  <c r="K1337" i="17"/>
  <c r="K1338" i="17"/>
  <c r="K1339" i="17"/>
  <c r="K1340" i="17"/>
  <c r="K1341" i="17"/>
  <c r="K1342" i="17"/>
  <c r="K1343" i="17"/>
  <c r="K1344" i="17"/>
  <c r="K1345" i="17"/>
  <c r="K1346" i="17"/>
  <c r="K1347" i="17"/>
  <c r="K1348" i="17"/>
  <c r="K1349" i="17"/>
  <c r="K1350" i="17"/>
  <c r="K1351" i="17"/>
  <c r="K1352" i="17"/>
  <c r="K1353" i="17"/>
  <c r="K1354" i="17"/>
  <c r="K1355" i="17"/>
  <c r="K1356" i="17"/>
  <c r="K1357" i="17"/>
  <c r="K1358" i="17"/>
  <c r="K1359" i="17"/>
  <c r="K1360" i="17"/>
  <c r="K1361" i="17"/>
  <c r="K1362" i="17"/>
  <c r="K1363" i="17"/>
  <c r="K1364" i="17"/>
  <c r="K1365" i="17"/>
  <c r="K1366" i="17"/>
  <c r="K1367" i="17"/>
  <c r="K1368" i="17"/>
  <c r="K1369" i="17"/>
  <c r="K1370" i="17"/>
  <c r="K1371" i="17"/>
  <c r="K1372" i="17"/>
  <c r="K1373" i="17"/>
  <c r="K1374" i="17"/>
  <c r="K1375" i="17"/>
  <c r="K1376" i="17"/>
  <c r="K1377" i="17"/>
  <c r="K1378" i="17"/>
  <c r="K1379" i="17"/>
  <c r="K1380" i="17"/>
  <c r="K1381" i="17"/>
  <c r="K1382" i="17"/>
  <c r="K1383" i="17"/>
  <c r="K1384" i="17"/>
  <c r="K1385" i="17"/>
  <c r="K1386" i="17"/>
  <c r="K1387" i="17"/>
  <c r="K1388" i="17"/>
  <c r="K1389" i="17"/>
  <c r="K1390" i="17"/>
  <c r="K1391" i="17"/>
  <c r="K1392" i="17"/>
  <c r="K1393" i="17"/>
  <c r="K1394" i="17"/>
  <c r="K1395" i="17"/>
  <c r="K1396" i="17"/>
  <c r="K1397" i="17"/>
  <c r="K1398" i="17"/>
  <c r="K1399" i="17"/>
  <c r="K1400" i="17"/>
  <c r="K1401" i="17"/>
  <c r="K1402" i="17"/>
  <c r="K1403" i="17"/>
  <c r="K1404" i="17"/>
  <c r="K1405" i="17"/>
  <c r="K1406" i="17"/>
  <c r="K1407" i="17"/>
  <c r="K1408" i="17"/>
  <c r="K1409" i="17"/>
  <c r="K1410" i="17"/>
  <c r="K1411" i="17"/>
  <c r="K1412" i="17"/>
  <c r="K1413" i="17"/>
  <c r="K1414" i="17"/>
  <c r="K1415" i="17"/>
  <c r="K1416" i="17"/>
  <c r="K1417" i="17"/>
  <c r="K1418" i="17"/>
  <c r="K1419" i="17"/>
  <c r="K1420" i="17"/>
  <c r="K1421" i="17"/>
  <c r="K1422" i="17"/>
  <c r="K1423" i="17"/>
  <c r="K1424" i="17"/>
  <c r="K1425" i="17"/>
  <c r="K1426" i="17"/>
  <c r="K1427" i="17"/>
  <c r="K1428" i="17"/>
  <c r="K1429" i="17"/>
  <c r="K1430" i="17"/>
  <c r="K1431" i="17"/>
  <c r="K1432" i="17"/>
  <c r="K1433" i="17"/>
  <c r="K1434" i="17"/>
  <c r="K1435" i="17"/>
  <c r="K1436" i="17"/>
  <c r="K1437" i="17"/>
  <c r="K1438" i="17"/>
  <c r="K1439" i="17"/>
  <c r="K1440" i="17"/>
  <c r="K1441" i="17"/>
  <c r="K1442" i="17"/>
  <c r="K1443" i="17"/>
  <c r="K1444" i="17"/>
  <c r="K1445" i="17"/>
  <c r="K1446" i="17"/>
  <c r="K1447" i="17"/>
  <c r="K1448" i="17"/>
  <c r="K1449" i="17"/>
  <c r="K1450" i="17"/>
  <c r="K1451" i="17"/>
  <c r="K1452" i="17"/>
  <c r="K1453" i="17"/>
  <c r="K1454" i="17"/>
  <c r="K1455" i="17"/>
  <c r="K1456" i="17"/>
  <c r="K1457" i="17"/>
  <c r="K1458" i="17"/>
  <c r="K1459" i="17"/>
  <c r="K1460" i="17"/>
  <c r="K1461" i="17"/>
  <c r="K1462" i="17"/>
  <c r="K1463" i="17"/>
  <c r="K1464" i="17"/>
  <c r="K1465" i="17"/>
  <c r="K1466" i="17"/>
  <c r="K1467" i="17"/>
  <c r="K1468" i="17"/>
  <c r="K1469" i="17"/>
  <c r="K1470" i="17"/>
  <c r="K1471" i="17"/>
  <c r="K1472" i="17"/>
  <c r="K1473" i="17"/>
  <c r="K1474" i="17"/>
  <c r="K1475" i="17"/>
  <c r="K1476" i="17"/>
  <c r="K1477" i="17"/>
  <c r="K1478" i="17"/>
  <c r="K1479" i="17"/>
  <c r="K1480" i="17"/>
  <c r="K1481" i="17"/>
  <c r="K1482" i="17"/>
  <c r="K1483" i="17"/>
  <c r="K1484" i="17"/>
  <c r="K1485" i="17"/>
  <c r="K1486" i="17"/>
  <c r="K1487" i="17"/>
  <c r="K1488" i="17"/>
  <c r="K1489" i="17"/>
  <c r="K1490" i="17"/>
  <c r="K1491" i="17"/>
  <c r="K1492" i="17"/>
  <c r="K1493" i="17"/>
  <c r="K1494" i="17"/>
  <c r="K1495" i="17"/>
  <c r="K1496" i="17"/>
  <c r="K1497" i="17"/>
  <c r="K1498" i="17"/>
  <c r="K1499" i="17"/>
  <c r="K1500" i="17"/>
  <c r="K1501" i="17"/>
  <c r="K1502" i="17"/>
  <c r="K1503" i="17"/>
  <c r="K1504" i="17"/>
  <c r="K1505" i="17"/>
  <c r="K1506" i="17"/>
  <c r="K1507" i="17"/>
  <c r="K1508" i="17"/>
  <c r="K1509" i="17"/>
  <c r="K1510" i="17"/>
  <c r="K1511" i="17"/>
  <c r="K1512" i="17"/>
  <c r="K1513" i="17"/>
  <c r="K1514" i="17"/>
  <c r="K1515" i="17"/>
  <c r="K1516" i="17"/>
  <c r="K1517" i="17"/>
  <c r="K1518" i="17"/>
  <c r="K1519" i="17"/>
  <c r="K1520" i="17"/>
  <c r="K1521" i="17"/>
  <c r="K1522" i="17"/>
  <c r="K1523" i="17"/>
  <c r="K1524" i="17"/>
  <c r="K1525" i="17"/>
  <c r="K1526" i="17"/>
  <c r="K1527" i="17"/>
  <c r="K1528" i="17"/>
  <c r="K1529" i="17"/>
  <c r="K1530" i="17"/>
  <c r="K1531" i="17"/>
  <c r="K1532" i="17"/>
  <c r="K1533" i="17"/>
  <c r="K1534" i="17"/>
  <c r="K1535" i="17"/>
  <c r="K1536" i="17"/>
  <c r="K1537" i="17"/>
  <c r="K1538" i="17"/>
  <c r="K1539" i="17"/>
  <c r="K1540" i="17"/>
  <c r="K1541" i="17"/>
  <c r="K1542" i="17"/>
  <c r="K1543" i="17"/>
  <c r="K1544" i="17"/>
  <c r="K1545" i="17"/>
  <c r="K1546" i="17"/>
  <c r="K1547" i="17"/>
  <c r="K1548" i="17"/>
  <c r="K1549" i="17"/>
  <c r="K1550" i="17"/>
  <c r="K1551" i="17"/>
  <c r="K1552" i="17"/>
  <c r="K1553" i="17"/>
  <c r="K1554" i="17"/>
  <c r="K1555" i="17"/>
  <c r="K1556" i="17"/>
  <c r="K1557" i="17"/>
  <c r="K1558" i="17"/>
  <c r="K1559" i="17"/>
  <c r="K1560" i="17"/>
  <c r="K1561" i="17"/>
  <c r="K1562" i="17"/>
  <c r="K1563" i="17"/>
  <c r="K1564" i="17"/>
  <c r="K1565" i="17"/>
  <c r="K1566" i="17"/>
  <c r="K1567" i="17"/>
  <c r="K1568" i="17"/>
  <c r="K1569" i="17"/>
  <c r="K1570" i="17"/>
  <c r="K1571" i="17"/>
  <c r="K1572" i="17"/>
  <c r="K1573" i="17"/>
  <c r="K1574" i="17"/>
  <c r="K1575" i="17"/>
  <c r="K1576" i="17"/>
  <c r="K1577" i="17"/>
  <c r="K1578" i="17"/>
  <c r="K1579" i="17"/>
  <c r="K1580" i="17"/>
  <c r="K1581" i="17"/>
  <c r="K1582" i="17"/>
  <c r="K1583" i="17"/>
  <c r="K1584" i="17"/>
  <c r="K1585" i="17"/>
  <c r="K1586" i="17"/>
  <c r="K1587" i="17"/>
  <c r="K1588" i="17"/>
  <c r="K1589" i="17"/>
  <c r="K1590" i="17"/>
  <c r="K1591" i="17"/>
  <c r="K1592" i="17"/>
  <c r="K1593" i="17"/>
  <c r="K1594" i="17"/>
  <c r="K1595" i="17"/>
  <c r="K1596" i="17"/>
  <c r="K1597" i="17"/>
  <c r="K1598" i="17"/>
  <c r="K1599" i="17"/>
  <c r="K1600" i="17"/>
  <c r="K1601" i="17"/>
  <c r="K1602" i="17"/>
  <c r="K1603" i="17"/>
  <c r="K1604" i="17"/>
  <c r="K1605" i="17"/>
  <c r="K1606" i="17"/>
  <c r="K1607" i="17"/>
  <c r="K1608" i="17"/>
  <c r="K1609" i="17"/>
  <c r="K1610" i="17"/>
  <c r="K1611" i="17"/>
  <c r="K1612" i="17"/>
  <c r="K1613" i="17"/>
  <c r="K1614" i="17"/>
  <c r="K1615" i="17"/>
  <c r="K1616" i="17"/>
  <c r="K1617" i="17"/>
  <c r="K1618" i="17"/>
  <c r="K1619" i="17"/>
  <c r="K1620" i="17"/>
  <c r="K1621" i="17"/>
  <c r="K1622" i="17"/>
  <c r="K1623" i="17"/>
  <c r="K1624" i="17"/>
  <c r="K1625" i="17"/>
  <c r="K1626" i="17"/>
  <c r="K1627" i="17"/>
  <c r="K1628" i="17"/>
  <c r="K1629" i="17"/>
  <c r="K1630" i="17"/>
  <c r="K1631" i="17"/>
  <c r="K1632" i="17"/>
  <c r="K1633" i="17"/>
  <c r="K1634" i="17"/>
  <c r="K1635" i="17"/>
  <c r="K1636" i="17"/>
  <c r="K1637" i="17"/>
  <c r="K1638" i="17"/>
  <c r="K1639" i="17"/>
  <c r="K1640" i="17"/>
  <c r="K1641" i="17"/>
  <c r="K1642" i="17"/>
  <c r="K1643" i="17"/>
  <c r="K1644" i="17"/>
  <c r="K1645" i="17"/>
  <c r="K1646" i="17"/>
  <c r="K1647" i="17"/>
  <c r="K1648" i="17"/>
  <c r="K1649" i="17"/>
  <c r="K1650" i="17"/>
  <c r="K1651" i="17"/>
  <c r="K1652" i="17"/>
  <c r="K1653" i="17"/>
  <c r="K1654" i="17"/>
  <c r="K1655" i="17"/>
  <c r="K1656" i="17"/>
  <c r="K1657" i="17"/>
  <c r="K1658" i="17"/>
  <c r="K1659" i="17"/>
  <c r="K1660" i="17"/>
  <c r="K1661" i="17"/>
  <c r="K1662" i="17"/>
  <c r="K1663" i="17"/>
  <c r="K1664" i="17"/>
  <c r="K1665" i="17"/>
  <c r="K1666" i="17"/>
  <c r="K1667" i="17"/>
  <c r="K1668" i="17"/>
  <c r="K1669" i="17"/>
  <c r="K1670" i="17"/>
  <c r="K1671" i="17"/>
  <c r="K1672" i="17"/>
  <c r="K1673" i="17"/>
  <c r="K1674" i="17"/>
  <c r="K1675" i="17"/>
  <c r="K1676" i="17"/>
  <c r="K1677" i="17"/>
  <c r="K1678" i="17"/>
  <c r="K1679" i="17"/>
  <c r="K1680" i="17"/>
  <c r="K1681" i="17"/>
  <c r="K1682" i="17"/>
  <c r="K1683" i="17"/>
  <c r="K1684" i="17"/>
  <c r="K1685" i="17"/>
  <c r="K1686" i="17"/>
  <c r="K1687" i="17"/>
  <c r="K1688" i="17"/>
  <c r="K1689" i="17"/>
  <c r="K1690" i="17"/>
  <c r="K1691" i="17"/>
  <c r="K1692" i="17"/>
  <c r="K1693" i="17"/>
  <c r="K1694" i="17"/>
  <c r="K1695" i="17"/>
  <c r="K1696" i="17"/>
  <c r="K1697" i="17"/>
  <c r="K1698" i="17"/>
  <c r="K1699" i="17"/>
  <c r="K1700" i="17"/>
  <c r="K1701" i="17"/>
  <c r="K1702" i="17"/>
  <c r="K1703" i="17"/>
  <c r="K1704" i="17"/>
  <c r="K1705" i="17"/>
  <c r="K1706" i="17"/>
  <c r="K1707" i="17"/>
  <c r="K1708" i="17"/>
  <c r="K1709" i="17"/>
  <c r="K1710" i="17"/>
  <c r="K1711" i="17"/>
  <c r="K1712" i="17"/>
  <c r="K1713" i="17"/>
  <c r="K1714" i="17"/>
  <c r="K1715" i="17"/>
  <c r="K1716" i="17"/>
  <c r="K1717" i="17"/>
  <c r="K1718" i="17"/>
  <c r="K1719" i="17"/>
  <c r="K1720" i="17"/>
  <c r="K1721" i="17"/>
  <c r="K1722" i="17"/>
  <c r="K1723" i="17"/>
  <c r="K1724" i="17"/>
  <c r="K1725" i="17"/>
  <c r="K1726" i="17"/>
  <c r="K1727" i="17"/>
  <c r="K1728" i="17"/>
  <c r="K1729" i="17"/>
  <c r="K1730" i="17"/>
  <c r="K1731" i="17"/>
  <c r="K1732" i="17"/>
  <c r="K1733" i="17"/>
  <c r="K1734" i="17"/>
  <c r="K1735" i="17"/>
  <c r="K1736" i="17"/>
  <c r="K1737" i="17"/>
  <c r="K1738" i="17"/>
  <c r="K1739" i="17"/>
  <c r="K1740" i="17"/>
  <c r="K1741" i="17"/>
  <c r="K1742" i="17"/>
  <c r="K1743" i="17"/>
  <c r="K1744" i="17"/>
  <c r="K1745" i="17"/>
  <c r="K1746" i="17"/>
  <c r="K1747" i="17"/>
  <c r="K1748" i="17"/>
  <c r="K1749" i="17"/>
  <c r="K1750" i="17"/>
  <c r="K1751" i="17"/>
  <c r="K1752" i="17"/>
  <c r="K1753" i="17"/>
  <c r="K1754" i="17"/>
  <c r="K1755" i="17"/>
  <c r="K1756" i="17"/>
  <c r="K1757" i="17"/>
  <c r="K1758" i="17"/>
  <c r="K1759" i="17"/>
  <c r="K1760" i="17"/>
  <c r="K1761" i="17"/>
  <c r="K1762" i="17"/>
  <c r="K1763" i="17"/>
  <c r="K1764" i="17"/>
  <c r="K1765" i="17"/>
  <c r="K1766" i="17"/>
  <c r="K1767" i="17"/>
  <c r="K1768" i="17"/>
  <c r="K1769" i="17"/>
  <c r="K1770" i="17"/>
  <c r="K1771" i="17"/>
  <c r="K1772" i="17"/>
  <c r="K1773" i="17"/>
  <c r="K1774" i="17"/>
  <c r="K1775" i="17"/>
  <c r="K1776" i="17"/>
  <c r="K1777" i="17"/>
  <c r="K1778" i="17"/>
  <c r="K1779" i="17"/>
  <c r="K1780" i="17"/>
  <c r="K1781" i="17"/>
  <c r="K1782" i="17"/>
  <c r="K1783" i="17"/>
  <c r="K1784" i="17"/>
  <c r="K1785" i="17"/>
  <c r="K1786" i="17"/>
  <c r="K1787" i="17"/>
  <c r="K1788" i="17"/>
  <c r="K1789" i="17"/>
  <c r="K1790" i="17"/>
  <c r="K1791" i="17"/>
  <c r="K1792" i="17"/>
  <c r="K1793" i="17"/>
  <c r="K1794" i="17"/>
  <c r="K1795" i="17"/>
  <c r="K1796" i="17"/>
  <c r="K1797" i="17"/>
  <c r="K1798" i="17"/>
  <c r="K1799" i="17"/>
  <c r="K1800" i="17"/>
  <c r="K1801" i="17"/>
  <c r="K1802" i="17"/>
  <c r="K1803" i="17"/>
  <c r="K1804" i="17"/>
  <c r="K1805" i="17"/>
  <c r="K1806" i="17"/>
  <c r="K1807" i="17"/>
  <c r="K1808" i="17"/>
  <c r="K1809" i="17"/>
  <c r="K1810" i="17"/>
  <c r="K1811" i="17"/>
  <c r="K1812" i="17"/>
  <c r="K1813" i="17"/>
  <c r="K1814" i="17"/>
  <c r="K1815" i="17"/>
  <c r="K1816" i="17"/>
  <c r="K1817" i="17"/>
  <c r="K1818" i="17"/>
  <c r="K1819" i="17"/>
  <c r="K1820" i="17"/>
  <c r="K1821" i="17"/>
  <c r="K1822" i="17"/>
  <c r="K1823" i="17"/>
  <c r="K1824" i="17"/>
  <c r="K1825" i="17"/>
  <c r="K1826" i="17"/>
  <c r="K1827" i="17"/>
  <c r="K1828" i="17"/>
  <c r="K1829" i="17"/>
  <c r="K1830" i="17"/>
  <c r="K1831" i="17"/>
  <c r="K1832" i="17"/>
  <c r="K1833" i="17"/>
  <c r="K1834" i="17"/>
  <c r="K1835" i="17"/>
  <c r="K1836" i="17"/>
  <c r="K1837" i="17"/>
  <c r="K1838" i="17"/>
  <c r="K1839" i="17"/>
  <c r="K1840" i="17"/>
  <c r="K1841" i="17"/>
  <c r="K1842" i="17"/>
  <c r="K1843" i="17"/>
  <c r="K1844" i="17"/>
  <c r="K1845" i="17"/>
  <c r="K1846" i="17"/>
  <c r="K1847" i="17"/>
  <c r="K1848" i="17"/>
  <c r="K1849" i="17"/>
  <c r="K1850" i="17"/>
  <c r="K1851" i="17"/>
  <c r="K1852" i="17"/>
  <c r="K1853" i="17"/>
  <c r="K1854" i="17"/>
  <c r="K1855" i="17"/>
  <c r="K1856" i="17"/>
  <c r="K1857" i="17"/>
  <c r="K1858" i="17"/>
  <c r="K1859" i="17"/>
  <c r="K1860" i="17"/>
  <c r="K1861" i="17"/>
  <c r="K1862" i="17"/>
  <c r="K1863" i="17"/>
  <c r="K1864" i="17"/>
  <c r="K1865" i="17"/>
  <c r="K1866" i="17"/>
  <c r="K1867" i="17"/>
  <c r="K1868" i="17"/>
  <c r="K1869" i="17"/>
  <c r="K1870" i="17"/>
  <c r="K1871" i="17"/>
  <c r="K1872" i="17"/>
  <c r="K1873" i="17"/>
  <c r="K1874" i="17"/>
  <c r="K1875" i="17"/>
  <c r="K1876" i="17"/>
  <c r="K1877" i="17"/>
  <c r="K1878" i="17"/>
  <c r="K1879" i="17"/>
  <c r="K1880" i="17"/>
  <c r="K1881" i="17"/>
  <c r="K1882" i="17"/>
  <c r="K1883" i="17"/>
  <c r="K1884" i="17"/>
  <c r="K1885" i="17"/>
  <c r="K1886" i="17"/>
  <c r="K1887" i="17"/>
  <c r="K1888" i="17"/>
  <c r="K1889" i="17"/>
  <c r="K1890" i="17"/>
  <c r="K1891" i="17"/>
  <c r="K1892" i="17"/>
  <c r="K1893" i="17"/>
  <c r="K1894" i="17"/>
  <c r="K1895" i="17"/>
  <c r="K1896" i="17"/>
  <c r="K1897" i="17"/>
  <c r="K1898" i="17"/>
  <c r="K1899" i="17"/>
  <c r="K1900" i="17"/>
  <c r="K1901" i="17"/>
  <c r="K1902" i="17"/>
  <c r="K1903" i="17"/>
  <c r="K1904" i="17"/>
  <c r="K1905" i="17"/>
  <c r="K1906" i="17"/>
  <c r="K1907" i="17"/>
  <c r="K1908" i="17"/>
  <c r="K1909" i="17"/>
  <c r="K1910" i="17"/>
  <c r="K1911" i="17"/>
  <c r="K1912" i="17"/>
  <c r="K1913" i="17"/>
  <c r="K1914" i="17"/>
  <c r="K1915" i="17"/>
  <c r="K1916" i="17"/>
  <c r="K1917" i="17"/>
  <c r="K1918" i="17"/>
  <c r="K1919" i="17"/>
  <c r="K1920" i="17"/>
  <c r="K1921" i="17"/>
  <c r="K1922" i="17"/>
  <c r="K1923" i="17"/>
  <c r="K1924" i="17"/>
  <c r="K1925" i="17"/>
  <c r="K1926" i="17"/>
  <c r="K1927" i="17"/>
  <c r="K1928" i="17"/>
  <c r="K1929" i="17"/>
  <c r="K1930" i="17"/>
  <c r="K1931" i="17"/>
  <c r="K1932" i="17"/>
  <c r="K1933" i="17"/>
  <c r="K1934" i="17"/>
  <c r="K1935" i="17"/>
  <c r="K1936" i="17"/>
  <c r="K1937" i="17"/>
  <c r="K1938" i="17"/>
  <c r="K1939" i="17"/>
  <c r="K1940" i="17"/>
  <c r="K1941" i="17"/>
  <c r="K1942" i="17"/>
  <c r="K1943" i="17"/>
  <c r="K1944" i="17"/>
  <c r="K1945" i="17"/>
  <c r="K1946" i="17"/>
  <c r="K1947" i="17"/>
  <c r="K1948" i="17"/>
  <c r="K1949" i="17"/>
  <c r="K1950" i="17"/>
  <c r="K1951" i="17"/>
  <c r="K1952" i="17"/>
  <c r="K1953" i="17"/>
  <c r="K1954" i="17"/>
  <c r="K1955" i="17"/>
  <c r="K1956" i="17"/>
  <c r="K1957" i="17"/>
  <c r="K1958" i="17"/>
  <c r="K1959" i="17"/>
  <c r="K1960" i="17"/>
  <c r="K1961" i="17"/>
  <c r="K1962" i="17"/>
  <c r="K1963" i="17"/>
  <c r="K1964" i="17"/>
  <c r="K1965" i="17"/>
  <c r="K1966" i="17"/>
  <c r="K1967" i="17"/>
  <c r="K1968" i="17"/>
  <c r="K1969" i="17"/>
  <c r="K1970" i="17"/>
  <c r="K1971" i="17"/>
  <c r="K1972" i="17"/>
  <c r="K1973" i="17"/>
  <c r="K1974" i="17"/>
  <c r="K1975" i="17"/>
  <c r="K1976" i="17"/>
  <c r="K1977" i="17"/>
  <c r="K1978" i="17"/>
  <c r="K1979" i="17"/>
  <c r="K1980" i="17"/>
  <c r="K1981" i="17"/>
  <c r="K1982" i="17"/>
  <c r="K1983" i="17"/>
  <c r="K1984" i="17"/>
  <c r="K1985" i="17"/>
  <c r="K1986" i="17"/>
  <c r="K1987" i="17"/>
  <c r="K1988" i="17"/>
  <c r="K1989" i="17"/>
  <c r="K1990" i="17"/>
  <c r="K1991" i="17"/>
  <c r="K1992" i="17"/>
  <c r="K1993" i="17"/>
  <c r="K1994" i="17"/>
  <c r="K1995" i="17"/>
  <c r="K1996" i="17"/>
  <c r="K1997" i="17"/>
  <c r="K1998" i="17"/>
  <c r="K1999" i="17"/>
  <c r="K2000" i="17"/>
  <c r="K2001" i="17"/>
  <c r="K2002" i="17"/>
  <c r="K2003" i="17"/>
  <c r="K2004" i="17"/>
  <c r="K2005" i="17"/>
  <c r="K2006" i="17"/>
  <c r="K2007" i="17"/>
  <c r="K2008" i="17"/>
  <c r="K2009" i="17"/>
  <c r="K2010" i="17"/>
  <c r="K2011" i="17"/>
  <c r="K2012" i="17"/>
  <c r="K2013" i="17"/>
  <c r="K2014" i="17"/>
  <c r="K2015" i="17"/>
  <c r="K2016" i="17"/>
  <c r="K2017" i="17"/>
  <c r="K2018" i="17"/>
  <c r="K2019" i="17"/>
  <c r="K2020" i="17"/>
  <c r="K2021" i="17"/>
  <c r="K2022" i="17"/>
  <c r="K2023" i="17"/>
  <c r="K2024" i="17"/>
  <c r="K2025" i="17"/>
  <c r="K2026" i="17"/>
  <c r="K2027" i="17"/>
  <c r="K2028" i="17"/>
  <c r="K2029" i="17"/>
  <c r="K2030" i="17"/>
  <c r="K2031" i="17"/>
  <c r="K2032" i="17"/>
  <c r="K2033" i="17"/>
  <c r="K2034" i="17"/>
  <c r="K2035" i="17"/>
  <c r="K2036" i="17"/>
  <c r="K2037" i="17"/>
  <c r="K2038" i="17"/>
  <c r="K2039" i="17"/>
  <c r="K2040" i="17"/>
  <c r="K2041" i="17"/>
  <c r="K2042" i="17"/>
  <c r="K2043" i="17"/>
  <c r="K2044" i="17"/>
  <c r="K2045" i="17"/>
  <c r="K2046" i="17"/>
  <c r="K2047" i="17"/>
  <c r="K2048" i="17"/>
  <c r="K2049" i="17"/>
  <c r="K2050" i="17"/>
  <c r="K2051" i="17"/>
  <c r="K2052" i="17"/>
  <c r="K2053" i="17"/>
  <c r="K2054" i="17"/>
  <c r="K2055" i="17"/>
  <c r="K2056" i="17"/>
  <c r="K2057" i="17"/>
  <c r="K2058" i="17"/>
  <c r="K2059" i="17"/>
  <c r="K2060" i="17"/>
  <c r="K2061" i="17"/>
  <c r="K2062" i="17"/>
  <c r="K2063" i="17"/>
  <c r="K2064" i="17"/>
  <c r="K2065" i="17"/>
  <c r="K2066" i="17"/>
  <c r="K2067" i="17"/>
  <c r="K2068" i="17"/>
  <c r="K2069" i="17"/>
  <c r="K2070" i="17"/>
  <c r="K2071" i="17"/>
  <c r="K2072" i="17"/>
  <c r="K2073" i="17"/>
  <c r="K2074" i="17"/>
  <c r="K2075" i="17"/>
  <c r="K2076" i="17"/>
  <c r="K2077" i="17"/>
  <c r="K2078" i="17"/>
  <c r="K2079" i="17"/>
  <c r="K2080" i="17"/>
  <c r="K2081" i="17"/>
  <c r="K2082" i="17"/>
  <c r="K2083" i="17"/>
  <c r="K2084" i="17"/>
  <c r="K2085" i="17"/>
  <c r="K2086" i="17"/>
  <c r="K2087" i="17"/>
  <c r="K2088" i="17"/>
  <c r="K2089" i="17"/>
  <c r="K2090" i="17"/>
  <c r="K2091" i="17"/>
  <c r="K2092" i="17"/>
  <c r="K2093" i="17"/>
  <c r="K2094" i="17"/>
  <c r="K2095" i="17"/>
  <c r="K2096" i="17"/>
  <c r="K2097" i="17"/>
  <c r="K2098" i="17"/>
  <c r="K2099" i="17"/>
  <c r="K2100" i="17"/>
  <c r="K2101" i="17"/>
  <c r="K2102" i="17"/>
  <c r="K2103" i="17"/>
  <c r="K2104" i="17"/>
  <c r="K2105" i="17"/>
  <c r="K2106" i="17"/>
  <c r="K2107" i="17"/>
  <c r="K2108" i="17"/>
  <c r="K2109" i="17"/>
  <c r="K2110" i="17"/>
  <c r="K2111" i="17"/>
  <c r="K2112" i="17"/>
  <c r="K2113" i="17"/>
  <c r="K2114" i="17"/>
  <c r="K2115" i="17"/>
  <c r="K2116" i="17"/>
  <c r="K2117" i="17"/>
  <c r="K2118" i="17"/>
  <c r="K2119" i="17"/>
  <c r="K2120" i="17"/>
  <c r="K2121" i="17"/>
  <c r="K2122" i="17"/>
  <c r="K2123" i="17"/>
  <c r="K2124" i="17"/>
  <c r="K2125" i="17"/>
  <c r="K2126" i="17"/>
  <c r="K2127" i="17"/>
  <c r="K2128" i="17"/>
  <c r="K2129" i="17"/>
  <c r="K2130" i="17"/>
  <c r="K2131" i="17"/>
  <c r="K2132" i="17"/>
  <c r="K2133" i="17"/>
  <c r="K2134" i="17"/>
  <c r="K2135" i="17"/>
  <c r="K2136" i="17"/>
  <c r="K2137" i="17"/>
  <c r="K2138" i="17"/>
  <c r="K2139" i="17"/>
  <c r="K2140" i="17"/>
  <c r="K2141" i="17"/>
  <c r="K2142" i="17"/>
  <c r="K2143" i="17"/>
  <c r="K2144" i="17"/>
  <c r="K2145" i="17"/>
  <c r="K2146" i="17"/>
  <c r="K2147" i="17"/>
  <c r="K2148" i="17"/>
  <c r="K2149" i="17"/>
  <c r="K2150" i="17"/>
  <c r="K2151" i="17"/>
  <c r="K2152" i="17"/>
  <c r="K2153" i="17"/>
  <c r="K2154" i="17"/>
  <c r="K2155" i="17"/>
  <c r="K2156" i="17"/>
  <c r="K2157" i="17"/>
  <c r="K2158" i="17"/>
  <c r="K2159" i="17"/>
  <c r="K2160" i="17"/>
  <c r="K2161" i="17"/>
  <c r="K2162" i="17"/>
  <c r="K2163" i="17"/>
  <c r="K2164" i="17"/>
  <c r="K2165" i="17"/>
  <c r="K2166" i="17"/>
  <c r="K2167" i="17"/>
  <c r="K2168" i="17"/>
  <c r="K2169" i="17"/>
  <c r="K2170" i="17"/>
  <c r="K2171" i="17"/>
  <c r="K2172" i="17"/>
  <c r="K2173" i="17"/>
  <c r="K2174" i="17"/>
  <c r="K2175" i="17"/>
  <c r="K2176" i="17"/>
  <c r="K2177" i="17"/>
  <c r="K2178" i="17"/>
  <c r="K2179" i="17"/>
  <c r="K2180" i="17"/>
  <c r="K2181" i="17"/>
  <c r="K2182" i="17"/>
  <c r="K2183" i="17"/>
  <c r="K2184" i="17"/>
  <c r="K2185" i="17"/>
  <c r="K2186" i="17"/>
  <c r="K2187" i="17"/>
  <c r="K2188" i="17"/>
  <c r="K2189" i="17"/>
  <c r="K2190" i="17"/>
  <c r="K2191" i="17"/>
  <c r="K2192" i="17"/>
  <c r="K2193" i="17"/>
  <c r="K2194" i="17"/>
  <c r="K2195" i="17"/>
  <c r="K2196" i="17"/>
  <c r="K2197" i="17"/>
  <c r="K2198" i="17"/>
  <c r="K2199" i="17"/>
  <c r="K2200" i="17"/>
  <c r="K2201" i="17"/>
  <c r="K2202" i="17"/>
  <c r="K2203" i="17"/>
  <c r="K2204" i="17"/>
  <c r="K2205" i="17"/>
  <c r="K2206" i="17"/>
  <c r="K2207" i="17"/>
  <c r="K2208" i="17"/>
  <c r="K2209" i="17"/>
  <c r="K2210" i="17"/>
  <c r="K2211" i="17"/>
  <c r="K2212" i="17"/>
  <c r="K2213" i="17"/>
  <c r="K2214" i="17"/>
  <c r="K2215" i="17"/>
  <c r="K2216" i="17"/>
  <c r="K2217" i="17"/>
  <c r="K2218" i="17"/>
  <c r="K2219" i="17"/>
  <c r="K2220" i="17"/>
  <c r="K2221" i="17"/>
  <c r="K2222" i="17"/>
  <c r="K2223" i="17"/>
  <c r="K2224" i="17"/>
  <c r="K2225" i="17"/>
  <c r="K2226" i="17"/>
  <c r="K2227" i="17"/>
  <c r="K2228" i="17"/>
  <c r="K2229" i="17"/>
  <c r="K2230" i="17"/>
  <c r="K2231" i="17"/>
  <c r="K2232" i="17"/>
  <c r="K2233" i="17"/>
  <c r="K2234" i="17"/>
  <c r="K2235" i="17"/>
  <c r="K2236" i="17"/>
  <c r="K2237" i="17"/>
  <c r="K2238" i="17"/>
  <c r="K2239" i="17"/>
  <c r="K2240" i="17"/>
  <c r="K2241" i="17"/>
  <c r="K2242" i="17"/>
  <c r="K2243" i="17"/>
  <c r="K2244" i="17"/>
  <c r="K2245" i="17"/>
  <c r="K2246" i="17"/>
  <c r="K2247" i="17"/>
  <c r="K2248" i="17"/>
  <c r="K2249" i="17"/>
  <c r="K2250" i="17"/>
  <c r="K2251" i="17"/>
  <c r="K2252" i="17"/>
  <c r="K2253" i="17"/>
  <c r="K2254" i="17"/>
  <c r="K2255" i="17"/>
  <c r="K2256" i="17"/>
  <c r="K2257" i="17"/>
  <c r="K2258" i="17"/>
  <c r="K2259" i="17"/>
  <c r="K2260" i="17"/>
  <c r="K2261" i="17"/>
  <c r="K2262" i="17"/>
  <c r="K2263" i="17"/>
  <c r="K2264" i="17"/>
  <c r="K2265" i="17"/>
  <c r="K2266" i="17"/>
  <c r="K2267" i="17"/>
  <c r="K2268" i="17"/>
  <c r="K2269" i="17"/>
  <c r="K2270" i="17"/>
  <c r="K2271" i="17"/>
  <c r="K2272" i="17"/>
  <c r="K2273" i="17"/>
  <c r="K2274" i="17"/>
  <c r="K2275" i="17"/>
  <c r="K2276" i="17"/>
  <c r="K2277" i="17"/>
  <c r="K2278" i="17"/>
  <c r="K2279" i="17"/>
  <c r="K2280" i="17"/>
  <c r="K2281" i="17"/>
  <c r="K2282" i="17"/>
  <c r="K2283" i="17"/>
  <c r="K2284" i="17"/>
  <c r="K2285" i="17"/>
  <c r="K2286" i="17"/>
  <c r="K2287" i="17"/>
  <c r="K2288" i="17"/>
  <c r="K2289" i="17"/>
  <c r="K2290" i="17"/>
  <c r="K2291" i="17"/>
  <c r="K2292" i="17"/>
  <c r="K2293" i="17"/>
  <c r="K2294" i="17"/>
  <c r="K2295" i="17"/>
  <c r="K2296" i="17"/>
  <c r="K2297" i="17"/>
  <c r="K2298" i="17"/>
  <c r="K2299" i="17"/>
  <c r="K2300" i="17"/>
  <c r="K2301" i="17"/>
  <c r="K2302" i="17"/>
  <c r="K2303" i="17"/>
  <c r="K2304" i="17"/>
  <c r="K2305" i="17"/>
  <c r="K2306" i="17"/>
  <c r="K2307" i="17"/>
  <c r="K2308" i="17"/>
  <c r="K2309" i="17"/>
  <c r="K2310" i="17"/>
  <c r="K2311" i="17"/>
  <c r="K2312" i="17"/>
  <c r="K2313" i="17"/>
  <c r="K2314" i="17"/>
  <c r="K2315" i="17"/>
  <c r="K2316" i="17"/>
  <c r="K2317" i="17"/>
  <c r="K2318" i="17"/>
  <c r="K2319" i="17"/>
  <c r="K2320" i="17"/>
  <c r="K2321" i="17"/>
  <c r="K2322" i="17"/>
  <c r="K2323" i="17"/>
  <c r="K2324" i="17"/>
  <c r="K2325" i="17"/>
  <c r="K2326" i="17"/>
  <c r="K2327" i="17"/>
  <c r="K2328" i="17"/>
  <c r="K2329" i="17"/>
  <c r="K2330" i="17"/>
  <c r="K2331" i="17"/>
  <c r="K2332" i="17"/>
  <c r="K2333" i="17"/>
  <c r="K2334" i="17"/>
  <c r="K2335" i="17"/>
  <c r="K2336" i="17"/>
  <c r="K2337" i="17"/>
  <c r="K2338" i="17"/>
  <c r="K2339" i="17"/>
  <c r="K2340" i="17"/>
  <c r="K2341" i="17"/>
  <c r="K2342" i="17"/>
  <c r="K2343" i="17"/>
  <c r="K2344" i="17"/>
  <c r="K2345" i="17"/>
  <c r="K2346" i="17"/>
  <c r="K2347" i="17"/>
  <c r="K2348" i="17"/>
  <c r="K2349" i="17"/>
  <c r="K2350" i="17"/>
  <c r="K2351" i="17"/>
  <c r="K2352" i="17"/>
  <c r="K2353" i="17"/>
  <c r="K2354" i="17"/>
  <c r="K2355" i="17"/>
  <c r="K2356" i="17"/>
  <c r="K2357" i="17"/>
  <c r="K2358" i="17"/>
  <c r="K2359" i="17"/>
  <c r="K2360" i="17"/>
  <c r="K2361" i="17"/>
  <c r="K2362" i="17"/>
  <c r="K2363" i="17"/>
  <c r="K2364" i="17"/>
  <c r="K2365" i="17"/>
  <c r="K2366" i="17"/>
  <c r="K2367" i="17"/>
  <c r="K2368" i="17"/>
  <c r="K2369" i="17"/>
  <c r="K2370" i="17"/>
  <c r="K2371" i="17"/>
  <c r="K2372" i="17"/>
  <c r="K2373" i="17"/>
  <c r="K2374" i="17"/>
  <c r="K2375" i="17"/>
  <c r="K2376" i="17"/>
  <c r="K2377" i="17"/>
  <c r="K2378" i="17"/>
  <c r="K2379" i="17"/>
  <c r="K2380" i="17"/>
  <c r="K2381" i="17"/>
  <c r="K2382" i="17"/>
  <c r="K2383" i="17"/>
  <c r="K2384" i="17"/>
  <c r="K2385" i="17"/>
  <c r="K2386" i="17"/>
  <c r="K2387" i="17"/>
  <c r="K2388" i="17"/>
  <c r="K2389" i="17"/>
  <c r="K2390" i="17"/>
  <c r="K2391" i="17"/>
  <c r="K2392" i="17"/>
  <c r="K2393" i="17"/>
  <c r="K2394" i="17"/>
  <c r="K2395" i="17"/>
  <c r="K2396" i="17"/>
  <c r="K2397" i="17"/>
  <c r="K2398" i="17"/>
  <c r="K2399" i="17"/>
  <c r="K2400" i="17"/>
  <c r="K2401" i="17"/>
  <c r="K2402" i="17"/>
  <c r="K2403" i="17"/>
  <c r="K2404" i="17"/>
  <c r="K2405" i="17"/>
  <c r="K2406" i="17"/>
  <c r="K2407" i="17"/>
  <c r="K2408" i="17"/>
  <c r="K2409" i="17"/>
  <c r="K2410" i="17"/>
  <c r="K2411" i="17"/>
  <c r="K2412" i="17"/>
  <c r="K2413" i="17"/>
  <c r="K2414" i="17"/>
  <c r="K2415" i="17"/>
  <c r="K2416" i="17"/>
  <c r="K2417" i="17"/>
  <c r="K2418" i="17"/>
  <c r="K2419" i="17"/>
  <c r="K2420" i="17"/>
  <c r="K2421" i="17"/>
  <c r="K2422" i="17"/>
  <c r="K2423" i="17"/>
  <c r="K2424" i="17"/>
  <c r="K2425" i="17"/>
  <c r="K2426" i="17"/>
  <c r="K2427" i="17"/>
  <c r="K2428" i="17"/>
  <c r="K2429" i="17"/>
  <c r="K2430" i="17"/>
  <c r="K2431" i="17"/>
  <c r="K2432" i="17"/>
  <c r="K2433" i="17"/>
  <c r="K2434" i="17"/>
  <c r="K2435" i="17"/>
  <c r="K2436" i="17"/>
  <c r="K2437" i="17"/>
  <c r="K2438" i="17"/>
  <c r="K2439" i="17"/>
  <c r="K2440" i="17"/>
  <c r="K2441" i="17"/>
  <c r="K2442" i="17"/>
  <c r="K2443" i="17"/>
  <c r="K2444" i="17"/>
  <c r="K2445" i="17"/>
  <c r="K2446" i="17"/>
  <c r="K2447" i="17"/>
  <c r="K2448" i="17"/>
  <c r="K2449" i="17"/>
  <c r="K2450" i="17"/>
  <c r="K2451" i="17"/>
  <c r="K2452" i="17"/>
  <c r="K2453" i="17"/>
  <c r="K2454" i="17"/>
  <c r="K2455" i="17"/>
  <c r="K2456" i="17"/>
  <c r="K2457" i="17"/>
  <c r="K2458" i="17"/>
  <c r="K2459" i="17"/>
  <c r="K2460" i="17"/>
  <c r="K2461" i="17"/>
  <c r="K2462" i="17"/>
  <c r="K2463" i="17"/>
  <c r="K2464" i="17"/>
  <c r="K2465" i="17"/>
  <c r="K2466" i="17"/>
  <c r="K2467" i="17"/>
  <c r="K2468" i="17"/>
  <c r="K2469" i="17"/>
  <c r="K2470" i="17"/>
  <c r="K2471" i="17"/>
  <c r="K2472" i="17"/>
  <c r="K2473" i="17"/>
  <c r="K2474" i="17"/>
  <c r="K2475" i="17"/>
  <c r="K2476" i="17"/>
  <c r="K2477" i="17"/>
  <c r="K2478" i="17"/>
  <c r="K2479" i="17"/>
  <c r="K2480" i="17"/>
  <c r="K2481" i="17"/>
  <c r="K2482" i="17"/>
  <c r="K2483" i="17"/>
  <c r="K2484" i="17"/>
  <c r="K2485" i="17"/>
  <c r="K2486" i="17"/>
  <c r="K2487" i="17"/>
  <c r="K2488" i="17"/>
  <c r="K2489" i="17"/>
  <c r="K2490" i="17"/>
  <c r="K2491" i="17"/>
  <c r="K2492" i="17"/>
  <c r="K2493" i="17"/>
  <c r="K2494" i="17"/>
  <c r="K2495" i="17"/>
  <c r="K2496" i="17"/>
  <c r="K2497" i="17"/>
  <c r="K2498" i="17"/>
  <c r="K2499" i="17"/>
  <c r="K2500" i="17"/>
  <c r="K2501" i="17"/>
  <c r="K2502" i="17"/>
  <c r="K2503" i="17"/>
  <c r="K2504" i="17"/>
  <c r="K2505" i="17"/>
  <c r="K2506" i="17"/>
  <c r="K2507" i="17"/>
  <c r="K2508" i="17"/>
  <c r="K2509" i="17"/>
  <c r="K2510" i="17"/>
  <c r="K2511" i="17"/>
  <c r="K2512" i="17"/>
  <c r="K2513" i="17"/>
  <c r="K2514" i="17"/>
  <c r="K2515" i="17"/>
  <c r="K2516" i="17"/>
  <c r="K2517" i="17"/>
  <c r="K2518" i="17"/>
  <c r="K2519" i="17"/>
  <c r="K2520" i="17"/>
  <c r="K2521" i="17"/>
  <c r="K2522" i="17"/>
  <c r="K2523" i="17"/>
  <c r="K2524" i="17"/>
  <c r="K2525" i="17"/>
  <c r="K2526" i="17"/>
  <c r="K2527" i="17"/>
  <c r="K2528" i="17"/>
  <c r="K2529" i="17"/>
  <c r="K2530" i="17"/>
  <c r="K2531" i="17"/>
  <c r="K2532" i="17"/>
  <c r="K2533" i="17"/>
  <c r="K2534" i="17"/>
  <c r="K2535" i="17"/>
  <c r="K2536" i="17"/>
  <c r="K2537" i="17"/>
  <c r="K2538" i="17"/>
  <c r="K2539" i="17"/>
  <c r="K2540" i="17"/>
  <c r="K2541" i="17"/>
  <c r="K2542" i="17"/>
  <c r="K2543" i="17"/>
  <c r="K2544" i="17"/>
  <c r="K2545" i="17"/>
  <c r="K2546" i="17"/>
  <c r="K2547" i="17"/>
  <c r="K2548" i="17"/>
  <c r="K2549" i="17"/>
  <c r="K2550" i="17"/>
  <c r="K2551" i="17"/>
  <c r="K2552" i="17"/>
  <c r="K2553" i="17"/>
  <c r="K2554" i="17"/>
  <c r="K2555" i="17"/>
  <c r="K2556" i="17"/>
  <c r="K2557" i="17"/>
  <c r="K2558" i="17"/>
  <c r="K2559" i="17"/>
  <c r="K2560" i="17"/>
  <c r="K2561" i="17"/>
  <c r="K2562" i="17"/>
  <c r="K2563" i="17"/>
  <c r="K2564" i="17"/>
  <c r="K2565" i="17"/>
  <c r="K2566" i="17"/>
  <c r="K2567" i="17"/>
  <c r="K2568" i="17"/>
  <c r="K2569" i="17"/>
  <c r="K2570" i="17"/>
  <c r="K2571" i="17"/>
  <c r="K2572" i="17"/>
  <c r="K2573" i="17"/>
  <c r="K2574" i="17"/>
  <c r="K2575" i="17"/>
  <c r="K2576" i="17"/>
  <c r="K2577" i="17"/>
  <c r="K2578" i="17"/>
  <c r="K2579" i="17"/>
  <c r="K2580" i="17"/>
  <c r="K2581" i="17"/>
  <c r="K2582" i="17"/>
  <c r="K2583" i="17"/>
  <c r="K2584" i="17"/>
  <c r="K2585" i="17"/>
  <c r="K2586" i="17"/>
  <c r="K2587" i="17"/>
  <c r="K2588" i="17"/>
  <c r="K2589" i="17"/>
  <c r="K2590" i="17"/>
  <c r="K2591" i="17"/>
  <c r="K2592" i="17"/>
  <c r="K2593" i="17"/>
  <c r="K2594" i="17"/>
  <c r="K2595" i="17"/>
  <c r="K2596" i="17"/>
  <c r="K2597" i="17"/>
  <c r="K2598" i="17"/>
  <c r="K2599" i="17"/>
  <c r="K2600" i="17"/>
  <c r="K2601" i="17"/>
  <c r="K2602" i="17"/>
  <c r="K2603" i="17"/>
  <c r="K2604" i="17"/>
  <c r="K2605" i="17"/>
  <c r="K2606" i="17"/>
  <c r="K2607" i="17"/>
  <c r="K2608" i="17"/>
  <c r="K2609" i="17"/>
  <c r="K2610" i="17"/>
  <c r="K2611" i="17"/>
  <c r="K2612" i="17"/>
  <c r="K2613" i="17"/>
  <c r="K2614" i="17"/>
  <c r="K2615" i="17"/>
  <c r="K2616" i="17"/>
  <c r="K2617" i="17"/>
  <c r="K2618" i="17"/>
  <c r="K2619" i="17"/>
  <c r="K2620" i="17"/>
  <c r="K2621" i="17"/>
  <c r="K2622" i="17"/>
  <c r="K2623" i="17"/>
  <c r="K2624" i="17"/>
  <c r="K2625" i="17"/>
  <c r="K2626" i="17"/>
  <c r="K2627" i="17"/>
  <c r="K2628" i="17"/>
  <c r="K2629" i="17"/>
  <c r="K2630" i="17"/>
  <c r="K2631" i="17"/>
  <c r="K2632" i="17"/>
  <c r="K2633" i="17"/>
  <c r="K2634" i="17"/>
  <c r="K2635" i="17"/>
  <c r="K2636" i="17"/>
  <c r="K2637" i="17"/>
  <c r="K2638" i="17"/>
  <c r="K2639" i="17"/>
  <c r="K2640" i="17"/>
  <c r="K2641" i="17"/>
  <c r="K2642" i="17"/>
  <c r="K2643" i="17"/>
  <c r="K2644" i="17"/>
  <c r="K2645" i="17"/>
  <c r="K2646" i="17"/>
  <c r="K2647" i="17"/>
  <c r="K2648" i="17"/>
  <c r="K2649" i="17"/>
  <c r="K2650" i="17"/>
  <c r="K2651" i="17"/>
  <c r="K2652" i="17"/>
  <c r="K2653" i="17"/>
  <c r="K2654" i="17"/>
  <c r="K2655" i="17"/>
  <c r="K2656" i="17"/>
  <c r="K2657" i="17"/>
  <c r="K2658" i="17"/>
  <c r="K2659" i="17"/>
  <c r="K2660" i="17"/>
  <c r="K2661" i="17"/>
  <c r="K2662" i="17"/>
  <c r="K2663" i="17"/>
  <c r="K2664" i="17"/>
  <c r="K2665" i="17"/>
  <c r="K2666" i="17"/>
  <c r="K2667" i="17"/>
  <c r="K2668" i="17"/>
  <c r="K2669" i="17"/>
  <c r="K2670" i="17"/>
  <c r="K2671" i="17"/>
  <c r="K2672" i="17"/>
  <c r="K2673" i="17"/>
  <c r="K2674" i="17"/>
  <c r="K2675" i="17"/>
  <c r="K2676" i="17"/>
  <c r="K2677" i="17"/>
  <c r="K2678" i="17"/>
  <c r="K2679" i="17"/>
  <c r="K2680" i="17"/>
  <c r="K2681" i="17"/>
  <c r="K2682" i="17"/>
  <c r="K2683" i="17"/>
  <c r="K2684" i="17"/>
  <c r="K2685" i="17"/>
  <c r="K2686" i="17"/>
  <c r="K2687" i="17"/>
  <c r="K2688" i="17"/>
  <c r="K2689" i="17"/>
  <c r="K2690" i="17"/>
  <c r="K2691" i="17"/>
  <c r="K2692" i="17"/>
  <c r="K2693" i="17"/>
  <c r="K2694" i="17"/>
  <c r="K2695" i="17"/>
  <c r="K2696" i="17"/>
  <c r="K2697" i="17"/>
  <c r="K2698" i="17"/>
  <c r="K2699" i="17"/>
  <c r="K2700" i="17"/>
  <c r="K2701" i="17"/>
  <c r="K2702" i="17"/>
  <c r="K2703" i="17"/>
  <c r="K2704" i="17"/>
  <c r="K2705" i="17"/>
  <c r="K2706" i="17"/>
  <c r="K2707" i="17"/>
  <c r="K2708" i="17"/>
  <c r="K2709" i="17"/>
  <c r="K2710" i="17"/>
  <c r="K2711" i="17"/>
  <c r="K2712" i="17"/>
  <c r="K2713" i="17"/>
  <c r="K2714" i="17"/>
  <c r="K2715" i="17"/>
  <c r="K2716" i="17"/>
  <c r="K2717" i="17"/>
  <c r="K2718" i="17"/>
  <c r="K2719" i="17"/>
  <c r="K2720" i="17"/>
  <c r="K2721" i="17"/>
  <c r="K2722" i="17"/>
  <c r="K2723" i="17"/>
  <c r="K2724" i="17"/>
  <c r="K2725" i="17"/>
  <c r="K2726" i="17"/>
  <c r="K2727" i="17"/>
  <c r="K2728" i="17"/>
  <c r="K2729" i="17"/>
  <c r="K2730" i="17"/>
  <c r="K2731" i="17"/>
  <c r="K2732" i="17"/>
  <c r="K2733" i="17"/>
  <c r="K2734" i="17"/>
  <c r="K2735" i="17"/>
  <c r="K2736" i="17"/>
  <c r="K2737" i="17"/>
  <c r="K2738" i="17"/>
  <c r="K2739" i="17"/>
  <c r="K2740" i="17"/>
  <c r="K2741" i="17"/>
  <c r="K2742" i="17"/>
  <c r="K2743" i="17"/>
  <c r="K2744" i="17"/>
  <c r="K2745" i="17"/>
  <c r="K2746" i="17"/>
  <c r="K2747" i="17"/>
  <c r="K2748" i="17"/>
  <c r="K2749" i="17"/>
  <c r="K2750" i="17"/>
  <c r="K2751" i="17"/>
  <c r="K2752" i="17"/>
  <c r="K2753" i="17"/>
  <c r="K2754" i="17"/>
  <c r="K2755" i="17"/>
  <c r="K2756" i="17"/>
  <c r="K2757" i="17"/>
  <c r="K2758" i="17"/>
  <c r="K2759" i="17"/>
  <c r="K2760" i="17"/>
  <c r="K2761" i="17"/>
  <c r="K2762" i="17"/>
  <c r="K2763" i="17"/>
  <c r="K2764" i="17"/>
  <c r="K2765" i="17"/>
  <c r="K2766" i="17"/>
  <c r="K2767" i="17"/>
  <c r="K2768" i="17"/>
  <c r="K2769" i="17"/>
  <c r="K2770" i="17"/>
  <c r="K2771" i="17"/>
  <c r="K2772" i="17"/>
  <c r="K2773" i="17"/>
  <c r="K2774" i="17"/>
  <c r="K2775" i="17"/>
  <c r="K2776" i="17"/>
  <c r="K2777" i="17"/>
  <c r="K2778" i="17"/>
  <c r="K2779" i="17"/>
  <c r="K2780" i="17"/>
  <c r="K2781" i="17"/>
  <c r="K2782" i="17"/>
  <c r="K2783" i="17"/>
  <c r="K2784" i="17"/>
  <c r="K2785" i="17"/>
  <c r="K2786" i="17"/>
  <c r="K2787" i="17"/>
  <c r="K2788" i="17"/>
  <c r="K2789" i="17"/>
  <c r="K2790" i="17"/>
  <c r="K2791" i="17"/>
  <c r="K2792" i="17"/>
  <c r="K2793" i="17"/>
  <c r="K2794" i="17"/>
  <c r="K2795" i="17"/>
  <c r="K2796" i="17"/>
  <c r="K2797" i="17"/>
  <c r="K2798" i="17"/>
  <c r="K2799" i="17"/>
  <c r="K2800" i="17"/>
  <c r="K2801" i="17"/>
  <c r="K2802" i="17"/>
  <c r="K2803" i="17"/>
  <c r="K2804" i="17"/>
  <c r="K2805" i="17"/>
  <c r="K2806" i="17"/>
  <c r="K2807" i="17"/>
  <c r="K2808" i="17"/>
  <c r="K2809" i="17"/>
  <c r="K2810" i="17"/>
  <c r="K2811" i="17"/>
  <c r="K2812" i="17"/>
  <c r="K2813" i="17"/>
  <c r="K2814" i="17"/>
  <c r="K2815" i="17"/>
  <c r="K2816" i="17"/>
  <c r="K2817" i="17"/>
  <c r="K2818" i="17"/>
  <c r="K2819" i="17"/>
  <c r="K2820" i="17"/>
  <c r="K2821" i="17"/>
  <c r="K2822" i="17"/>
  <c r="K2823" i="17"/>
  <c r="K2824" i="17"/>
  <c r="K2825" i="17"/>
  <c r="K2826" i="17"/>
  <c r="K2827" i="17"/>
  <c r="K2828" i="17"/>
  <c r="K2829" i="17"/>
  <c r="K2830" i="17"/>
  <c r="K2831" i="17"/>
  <c r="K2832" i="17"/>
  <c r="K2833" i="17"/>
  <c r="K2834" i="17"/>
  <c r="K2835" i="17"/>
  <c r="K2836" i="17"/>
  <c r="K2837" i="17"/>
  <c r="K2838" i="17"/>
  <c r="K2839" i="17"/>
  <c r="K2840" i="17"/>
  <c r="K2841" i="17"/>
  <c r="K2842" i="17"/>
  <c r="K2843" i="17"/>
  <c r="K2844" i="17"/>
  <c r="K2845" i="17"/>
  <c r="K2846" i="17"/>
  <c r="K2847" i="17"/>
  <c r="K2848" i="17"/>
  <c r="K2849" i="17"/>
  <c r="K2850" i="17"/>
  <c r="K2851" i="17"/>
  <c r="K2852" i="17"/>
  <c r="K2853" i="17"/>
  <c r="K2854" i="17"/>
  <c r="K2855" i="17"/>
  <c r="K2856" i="17"/>
  <c r="K2857" i="17"/>
  <c r="K2858" i="17"/>
  <c r="K2859" i="17"/>
  <c r="K2860" i="17"/>
  <c r="K2861" i="17"/>
  <c r="K2862" i="17"/>
  <c r="K2863" i="17"/>
  <c r="K2864" i="17"/>
  <c r="K2865" i="17"/>
  <c r="K2866" i="17"/>
  <c r="K2867" i="17"/>
  <c r="K2868" i="17"/>
  <c r="K2869" i="17"/>
  <c r="K2870" i="17"/>
  <c r="K2871" i="17"/>
  <c r="K2872" i="17"/>
  <c r="K2873" i="17"/>
  <c r="K2874" i="17"/>
  <c r="K2875" i="17"/>
  <c r="K2876" i="17"/>
  <c r="K2877" i="17"/>
  <c r="K2878" i="17"/>
  <c r="K2879" i="17"/>
  <c r="K2880" i="17"/>
  <c r="K2881" i="17"/>
  <c r="K2882" i="17"/>
  <c r="K2883" i="17"/>
  <c r="K2884" i="17"/>
  <c r="K2885" i="17"/>
  <c r="K2886" i="17"/>
  <c r="K2887" i="17"/>
  <c r="K2888" i="17"/>
  <c r="K2889" i="17"/>
  <c r="K2890" i="17"/>
  <c r="K2891" i="17"/>
  <c r="K2892" i="17"/>
  <c r="K2893" i="17"/>
  <c r="K2894" i="17"/>
  <c r="K2895" i="17"/>
  <c r="K2896" i="17"/>
  <c r="K2897" i="17"/>
  <c r="K2898" i="17"/>
  <c r="K2899" i="17"/>
  <c r="K2900" i="17"/>
  <c r="K2901" i="17"/>
  <c r="K2902" i="17"/>
  <c r="K2903" i="17"/>
  <c r="K2904" i="17"/>
  <c r="K2905" i="17"/>
  <c r="K2906" i="17"/>
  <c r="K2907" i="17"/>
  <c r="K2908" i="17"/>
  <c r="K2909" i="17"/>
  <c r="K2910" i="17"/>
  <c r="K2911" i="17"/>
  <c r="K2912" i="17"/>
  <c r="K2913" i="17"/>
  <c r="K2914" i="17"/>
  <c r="K2915" i="17"/>
  <c r="K2916" i="17"/>
  <c r="K2917" i="17"/>
  <c r="K2918" i="17"/>
  <c r="K2919" i="17"/>
  <c r="K2920" i="17"/>
  <c r="K2921" i="17"/>
  <c r="K2922" i="17"/>
  <c r="K2923" i="17"/>
  <c r="K2924" i="17"/>
  <c r="K2925" i="17"/>
  <c r="K2926" i="17"/>
  <c r="K2927" i="17"/>
  <c r="K2928" i="17"/>
  <c r="K2929" i="17"/>
  <c r="K2930" i="17"/>
  <c r="K2931" i="17"/>
  <c r="K2932" i="17"/>
  <c r="K2933" i="17"/>
  <c r="K2934" i="17"/>
  <c r="K2935" i="17"/>
  <c r="K2936" i="17"/>
  <c r="K2937" i="17"/>
  <c r="K2938" i="17"/>
  <c r="K2939" i="17"/>
  <c r="K2940" i="17"/>
  <c r="K2941" i="17"/>
  <c r="K2942" i="17"/>
  <c r="K2943" i="17"/>
  <c r="K2944" i="17"/>
  <c r="K2945" i="17"/>
  <c r="K2946" i="17"/>
  <c r="K2947" i="17"/>
  <c r="K2948" i="17"/>
  <c r="K2949" i="17"/>
  <c r="K2950" i="17"/>
  <c r="K2951" i="17"/>
  <c r="K2952" i="17"/>
  <c r="K2953" i="17"/>
  <c r="K2954" i="17"/>
  <c r="K2955" i="17"/>
  <c r="K2956" i="17"/>
  <c r="K2957" i="17"/>
  <c r="K2958" i="17"/>
  <c r="K2959" i="17"/>
  <c r="K2960" i="17"/>
  <c r="K2961" i="17"/>
  <c r="K2962" i="17"/>
  <c r="K2963" i="17"/>
  <c r="K2964" i="17"/>
  <c r="K2965" i="17"/>
  <c r="K2966" i="17"/>
  <c r="K2967" i="17"/>
  <c r="K2968" i="17"/>
  <c r="K2969" i="17"/>
  <c r="K2970" i="17"/>
  <c r="K2971" i="17"/>
  <c r="K2972" i="17"/>
  <c r="K2973" i="17"/>
  <c r="K2974" i="17"/>
  <c r="K2975" i="17"/>
  <c r="K2976" i="17"/>
  <c r="K2977" i="17"/>
  <c r="K2978" i="17"/>
  <c r="K2979" i="17"/>
  <c r="K2980" i="17"/>
  <c r="K2981" i="17"/>
  <c r="K2982" i="17"/>
  <c r="K2983" i="17"/>
  <c r="K2984" i="17"/>
  <c r="K2985" i="17"/>
  <c r="K2986" i="17"/>
  <c r="K2987" i="17"/>
  <c r="K2988" i="17"/>
  <c r="K2989" i="17"/>
  <c r="K2990" i="17"/>
  <c r="K2991" i="17"/>
  <c r="K2992" i="17"/>
  <c r="K2993" i="17"/>
  <c r="K2994" i="17"/>
  <c r="K2995" i="17"/>
  <c r="K2996" i="17"/>
  <c r="K2997" i="17"/>
  <c r="K2998" i="17"/>
  <c r="K2999" i="17"/>
  <c r="K3000" i="17"/>
  <c r="K3001" i="17"/>
  <c r="K3002" i="17"/>
  <c r="K3003" i="17"/>
  <c r="K3004" i="17"/>
  <c r="K3005" i="17"/>
  <c r="K3006" i="17"/>
  <c r="K3007" i="17"/>
  <c r="K3008" i="17"/>
  <c r="K3009" i="17"/>
  <c r="K3010" i="17"/>
  <c r="K3011" i="17"/>
  <c r="K3012" i="17"/>
  <c r="K3013" i="17"/>
  <c r="K3014" i="17"/>
  <c r="K3015" i="17"/>
  <c r="K3016" i="17"/>
  <c r="K3017" i="17"/>
  <c r="K3018" i="17"/>
  <c r="K3019" i="17"/>
  <c r="K3020" i="17"/>
  <c r="K3021" i="17"/>
  <c r="K3022" i="17"/>
  <c r="K3023" i="17"/>
  <c r="K3024" i="17"/>
  <c r="K3025" i="17"/>
  <c r="K3026" i="17"/>
  <c r="K3027" i="17"/>
  <c r="K3028" i="17"/>
  <c r="K3029" i="17"/>
  <c r="K3030" i="17"/>
  <c r="K3031" i="17"/>
  <c r="K3032" i="17"/>
  <c r="K3033" i="17"/>
  <c r="K3034" i="17"/>
  <c r="K3035" i="17"/>
  <c r="K3036" i="17"/>
  <c r="K3037" i="17"/>
  <c r="K3038" i="17"/>
  <c r="K3039" i="17"/>
  <c r="K3040" i="17"/>
  <c r="K3041" i="17"/>
  <c r="K3042" i="17"/>
  <c r="K3043" i="17"/>
  <c r="K3044" i="17"/>
  <c r="K3045" i="17"/>
  <c r="K3046" i="17"/>
  <c r="K3047" i="17"/>
  <c r="K3048" i="17"/>
  <c r="K3049" i="17"/>
  <c r="K3050" i="17"/>
  <c r="K3051" i="17"/>
  <c r="K3052" i="17"/>
  <c r="K3053" i="17"/>
  <c r="K3054" i="17"/>
  <c r="K3055" i="17"/>
  <c r="K3056" i="17"/>
  <c r="K3057" i="17"/>
  <c r="K3058" i="17"/>
  <c r="K3059" i="17"/>
  <c r="K3060" i="17"/>
  <c r="K3061" i="17"/>
  <c r="K3062" i="17"/>
  <c r="K3063" i="17"/>
  <c r="K3064" i="17"/>
  <c r="K3065" i="17"/>
  <c r="K3066" i="17"/>
  <c r="K3067" i="17"/>
  <c r="K3068" i="17"/>
  <c r="K3069" i="17"/>
  <c r="K3070" i="17"/>
  <c r="K3071" i="17"/>
  <c r="K3072" i="17"/>
  <c r="K3073" i="17"/>
  <c r="K3074" i="17"/>
  <c r="K3075" i="17"/>
  <c r="K3076" i="17"/>
  <c r="K3077" i="17"/>
  <c r="K3078" i="17"/>
  <c r="K3079" i="17"/>
  <c r="K3080" i="17"/>
  <c r="K3081" i="17"/>
  <c r="K3082" i="17"/>
  <c r="K3083" i="17"/>
  <c r="K3084" i="17"/>
  <c r="K3085" i="17"/>
  <c r="K3086" i="17"/>
  <c r="K3087" i="17"/>
  <c r="K3088" i="17"/>
  <c r="K3089" i="17"/>
  <c r="K3090" i="17"/>
  <c r="K3091" i="17"/>
  <c r="K3092" i="17"/>
  <c r="K3093" i="17"/>
  <c r="K3094" i="17"/>
  <c r="K3095" i="17"/>
  <c r="K3096" i="17"/>
  <c r="K3097" i="17"/>
  <c r="K3098" i="17"/>
  <c r="K3099" i="17"/>
  <c r="K3100" i="17"/>
  <c r="K3101" i="17"/>
  <c r="K3102" i="17"/>
  <c r="K3103" i="17"/>
  <c r="K3104" i="17"/>
  <c r="K3105" i="17"/>
  <c r="K3106" i="17"/>
  <c r="K3107" i="17"/>
  <c r="K3108" i="17"/>
  <c r="K3109" i="17"/>
  <c r="K3110" i="17"/>
  <c r="K3111" i="17"/>
  <c r="K3112" i="17"/>
  <c r="K3113" i="17"/>
  <c r="K3114" i="17"/>
  <c r="K3115" i="17"/>
  <c r="K3116" i="17"/>
  <c r="K3117" i="17"/>
  <c r="K3118" i="17"/>
  <c r="K3119" i="17"/>
  <c r="K3120" i="17"/>
  <c r="K3121" i="17"/>
  <c r="K3122" i="17"/>
  <c r="K3123" i="17"/>
  <c r="K3124" i="17"/>
  <c r="K3125" i="17"/>
  <c r="K3126" i="17"/>
  <c r="K3127" i="17"/>
  <c r="K3128" i="17"/>
  <c r="K3129" i="17"/>
  <c r="K3130" i="17"/>
  <c r="K3131" i="17"/>
  <c r="K3132" i="17"/>
  <c r="K3133" i="17"/>
  <c r="K3134" i="17"/>
  <c r="K3135" i="17"/>
  <c r="K3136" i="17"/>
  <c r="K3137" i="17"/>
  <c r="K3138" i="17"/>
  <c r="K3139" i="17"/>
  <c r="K3140" i="17"/>
  <c r="K3141" i="17"/>
  <c r="K3142" i="17"/>
  <c r="K3143" i="17"/>
  <c r="K3144" i="17"/>
  <c r="K3145" i="17"/>
  <c r="K3146" i="17"/>
  <c r="K3147" i="17"/>
  <c r="K3148" i="17"/>
  <c r="K3149" i="17"/>
  <c r="K3150" i="17"/>
  <c r="K3151" i="17"/>
  <c r="K3152" i="17"/>
  <c r="K3153" i="17"/>
  <c r="K3154" i="17"/>
  <c r="K3155" i="17"/>
  <c r="K3156" i="17"/>
  <c r="K3157" i="17"/>
  <c r="K3158" i="17"/>
  <c r="K3159" i="17"/>
  <c r="K3160" i="17"/>
  <c r="K3161" i="17"/>
  <c r="K3162" i="17"/>
  <c r="K3163" i="17"/>
  <c r="K3164" i="17"/>
  <c r="K3165" i="17"/>
  <c r="K3166" i="17"/>
  <c r="K3167" i="17"/>
  <c r="K3168" i="17"/>
  <c r="K3169" i="17"/>
  <c r="K3170" i="17"/>
  <c r="K3171" i="17"/>
  <c r="K3172" i="17"/>
  <c r="K3173" i="17"/>
  <c r="K3174" i="17"/>
  <c r="K3175" i="17"/>
  <c r="K3176" i="17"/>
  <c r="K3177" i="17"/>
  <c r="K3178" i="17"/>
  <c r="K3179" i="17"/>
  <c r="K3180" i="17"/>
  <c r="K3181" i="17"/>
  <c r="K3182" i="17"/>
  <c r="K3183" i="17"/>
  <c r="K3184" i="17"/>
  <c r="K3185" i="17"/>
  <c r="K3186" i="17"/>
  <c r="K3187" i="17"/>
  <c r="K3188" i="17"/>
  <c r="K3189" i="17"/>
  <c r="K3190" i="17"/>
  <c r="K3191" i="17"/>
  <c r="K3192" i="17"/>
  <c r="K3193" i="17"/>
  <c r="K3194" i="17"/>
  <c r="K3195" i="17"/>
  <c r="K3196" i="17"/>
  <c r="K3197" i="17"/>
  <c r="K3198" i="17"/>
  <c r="K3199" i="17"/>
  <c r="K3200" i="17"/>
  <c r="K3201" i="17"/>
  <c r="K3202" i="17"/>
  <c r="K3203" i="17"/>
  <c r="K3204" i="17"/>
  <c r="K3205" i="17"/>
  <c r="K3206" i="17"/>
  <c r="K3207" i="17"/>
  <c r="K3208" i="17"/>
  <c r="K3209" i="17"/>
  <c r="K3210" i="17"/>
  <c r="K3211" i="17"/>
  <c r="K3212" i="17"/>
  <c r="K3213" i="17"/>
  <c r="K3214" i="17"/>
  <c r="K3215" i="17"/>
  <c r="K3216" i="17"/>
  <c r="K3217" i="17"/>
  <c r="K3218" i="17"/>
  <c r="K3219" i="17"/>
  <c r="K3220" i="17"/>
  <c r="K3221" i="17"/>
  <c r="K3222" i="17"/>
  <c r="K3223" i="17"/>
  <c r="K3224" i="17"/>
  <c r="K3225" i="17"/>
  <c r="K3226" i="17"/>
  <c r="K3227" i="17"/>
  <c r="K3228" i="17"/>
  <c r="K3229" i="17"/>
  <c r="K3230" i="17"/>
  <c r="K3231" i="17"/>
  <c r="K3232" i="17"/>
  <c r="K3233" i="17"/>
  <c r="K3234" i="17"/>
  <c r="K3235" i="17"/>
  <c r="K3236" i="17"/>
  <c r="K3237" i="17"/>
  <c r="K3238" i="17"/>
  <c r="K3239" i="17"/>
  <c r="K3240" i="17"/>
  <c r="K3241" i="17"/>
  <c r="K3242" i="17"/>
  <c r="K3243" i="17"/>
  <c r="K3244" i="17"/>
  <c r="K3245" i="17"/>
  <c r="K3246" i="17"/>
  <c r="K3247" i="17"/>
  <c r="K3248" i="17"/>
  <c r="K3249" i="17"/>
  <c r="K3250" i="17"/>
  <c r="K3251" i="17"/>
  <c r="K3252" i="17"/>
  <c r="K3253" i="17"/>
  <c r="K3254" i="17"/>
  <c r="K3255" i="17"/>
  <c r="K3256" i="17"/>
  <c r="K3257" i="17"/>
  <c r="K3258" i="17"/>
  <c r="K3259" i="17"/>
  <c r="K3260" i="17"/>
  <c r="K3261" i="17"/>
  <c r="K3262" i="17"/>
  <c r="K3263" i="17"/>
  <c r="K3264" i="17"/>
  <c r="K3265" i="17"/>
  <c r="K3266" i="17"/>
  <c r="K3267" i="17"/>
  <c r="K3268" i="17"/>
  <c r="K3269" i="17"/>
  <c r="K3270" i="17"/>
  <c r="K3271" i="17"/>
  <c r="K3272" i="17"/>
  <c r="K3273" i="17"/>
  <c r="K3274" i="17"/>
  <c r="K3275" i="17"/>
  <c r="K3276" i="17"/>
  <c r="K3277" i="17"/>
  <c r="K3278" i="17"/>
  <c r="K3279" i="17"/>
  <c r="K3280" i="17"/>
  <c r="K3281" i="17"/>
  <c r="K3282" i="17"/>
  <c r="K3283" i="17"/>
  <c r="K3284" i="17"/>
  <c r="K3285" i="17"/>
  <c r="K3286" i="17"/>
  <c r="K3287" i="17"/>
  <c r="K3288" i="17"/>
  <c r="K3289" i="17"/>
  <c r="K3290" i="17"/>
  <c r="K3291" i="17"/>
  <c r="K3292" i="17"/>
  <c r="K3293" i="17"/>
  <c r="K3294" i="17"/>
  <c r="K3295" i="17"/>
  <c r="K3296" i="17"/>
  <c r="K3297" i="17"/>
  <c r="K3298" i="17"/>
  <c r="K3299" i="17"/>
  <c r="K3300" i="17"/>
  <c r="K3301" i="17"/>
  <c r="K3302" i="17"/>
  <c r="K3303" i="17"/>
  <c r="K3304" i="17"/>
  <c r="K3305" i="17"/>
  <c r="K3306" i="17"/>
  <c r="K3307" i="17"/>
  <c r="K3308" i="17"/>
  <c r="K3309" i="17"/>
  <c r="K3310" i="17"/>
  <c r="K3311" i="17"/>
  <c r="K3312" i="17"/>
  <c r="K3313" i="17"/>
  <c r="K3314" i="17"/>
  <c r="K3315" i="17"/>
  <c r="K3316" i="17"/>
  <c r="K3317" i="17"/>
  <c r="K3318" i="17"/>
  <c r="K3319" i="17"/>
  <c r="K3320" i="17"/>
  <c r="K3321" i="17"/>
  <c r="K3322" i="17"/>
  <c r="K3323" i="17"/>
  <c r="K3324" i="17"/>
  <c r="K3325" i="17"/>
  <c r="K3326" i="17"/>
  <c r="K3327" i="17"/>
  <c r="K3328" i="17"/>
  <c r="K3329" i="17"/>
  <c r="K3330" i="17"/>
  <c r="K3331" i="17"/>
  <c r="K3332" i="17"/>
  <c r="K3333" i="17"/>
  <c r="K3334" i="17"/>
  <c r="K3335" i="17"/>
  <c r="K3336" i="17"/>
  <c r="K3337" i="17"/>
  <c r="K3338" i="17"/>
  <c r="K3339" i="17"/>
  <c r="K3340" i="17"/>
  <c r="K3341" i="17"/>
  <c r="K3342" i="17"/>
  <c r="K3343" i="17"/>
  <c r="K3344" i="17"/>
  <c r="K3345" i="17"/>
  <c r="K3346" i="17"/>
  <c r="K3347" i="17"/>
  <c r="K3348" i="17"/>
  <c r="K3349" i="17"/>
  <c r="K3350" i="17"/>
  <c r="K3351" i="17"/>
  <c r="K3352" i="17"/>
  <c r="K3353" i="17"/>
  <c r="K3354" i="17"/>
  <c r="K3355" i="17"/>
  <c r="K3356" i="17"/>
  <c r="K3357" i="17"/>
  <c r="K3358" i="17"/>
  <c r="K3359" i="17"/>
  <c r="K3360" i="17"/>
  <c r="K3361" i="17"/>
  <c r="K3362" i="17"/>
  <c r="K3363" i="17"/>
  <c r="K3364" i="17"/>
  <c r="K3365" i="17"/>
  <c r="K3366" i="17"/>
  <c r="K3367" i="17"/>
  <c r="K3368" i="17"/>
  <c r="K3369" i="17"/>
  <c r="K3370" i="17"/>
  <c r="K3371" i="17"/>
  <c r="K3372" i="17"/>
  <c r="K3373" i="17"/>
  <c r="K3374" i="17"/>
  <c r="K3375" i="17"/>
  <c r="K3376" i="17"/>
  <c r="K3377" i="17"/>
  <c r="K3378" i="17"/>
  <c r="K3379" i="17"/>
  <c r="K3380" i="17"/>
  <c r="K3381" i="17"/>
  <c r="K3382" i="17"/>
  <c r="K3383" i="17"/>
  <c r="K3384" i="17"/>
  <c r="K3385" i="17"/>
  <c r="K3386" i="17"/>
  <c r="K3387" i="17"/>
  <c r="K3388" i="17"/>
  <c r="K3389" i="17"/>
  <c r="K3390" i="17"/>
  <c r="K3391" i="17"/>
  <c r="K3392" i="17"/>
  <c r="K3393" i="17"/>
  <c r="K3394" i="17"/>
  <c r="K3395" i="17"/>
  <c r="K3396" i="17"/>
  <c r="K3397" i="17"/>
  <c r="K3398" i="17"/>
  <c r="K3399" i="17"/>
  <c r="K3400" i="17"/>
  <c r="K3401" i="17"/>
  <c r="K3402" i="17"/>
  <c r="K3403" i="17"/>
  <c r="K3404" i="17"/>
  <c r="K3405" i="17"/>
  <c r="K3406" i="17"/>
  <c r="K3407" i="17"/>
  <c r="K3408" i="17"/>
  <c r="K3409" i="17"/>
  <c r="K3410" i="17"/>
  <c r="K3411" i="17"/>
  <c r="K3412" i="17"/>
  <c r="K3413" i="17"/>
  <c r="K3414" i="17"/>
  <c r="K3415" i="17"/>
  <c r="K3416" i="17"/>
  <c r="K3417" i="17"/>
  <c r="K3418" i="17"/>
  <c r="K3419" i="17"/>
  <c r="K3420" i="17"/>
  <c r="K3421" i="17"/>
  <c r="K3422" i="17"/>
  <c r="K3423" i="17"/>
  <c r="K3424" i="17"/>
  <c r="K3425" i="17"/>
  <c r="K3426" i="17"/>
  <c r="K3427" i="17"/>
  <c r="K3428" i="17"/>
  <c r="K3429" i="17"/>
  <c r="K3430" i="17"/>
  <c r="K3431" i="17"/>
  <c r="K3432" i="17"/>
  <c r="K3433" i="17"/>
  <c r="K3434" i="17"/>
  <c r="K3435" i="17"/>
  <c r="K3436" i="17"/>
  <c r="K3437" i="17"/>
  <c r="K3438" i="17"/>
  <c r="K3439" i="17"/>
  <c r="K3440" i="17"/>
  <c r="K3441" i="17"/>
  <c r="K3442" i="17"/>
  <c r="K3443" i="17"/>
  <c r="K3444" i="17"/>
  <c r="K3445" i="17"/>
  <c r="K3446" i="17"/>
  <c r="K3447" i="17"/>
  <c r="K3448" i="17"/>
  <c r="K3449" i="17"/>
  <c r="K3450" i="17"/>
  <c r="K3451" i="17"/>
  <c r="K3452" i="17"/>
  <c r="K3453" i="17"/>
  <c r="K3454" i="17"/>
  <c r="K3455" i="17"/>
  <c r="K3456" i="17"/>
  <c r="K3457" i="17"/>
  <c r="K3458" i="17"/>
  <c r="K3459" i="17"/>
  <c r="K3460" i="17"/>
  <c r="K3461" i="17"/>
  <c r="K3462" i="17"/>
  <c r="K3463" i="17"/>
  <c r="K3464" i="17"/>
  <c r="K3465" i="17"/>
  <c r="K3466" i="17"/>
  <c r="K3467" i="17"/>
  <c r="K3468" i="17"/>
  <c r="K3469" i="17"/>
  <c r="K3470" i="17"/>
  <c r="K3471" i="17"/>
  <c r="K3472" i="17"/>
  <c r="K3473" i="17"/>
  <c r="K3474" i="17"/>
  <c r="K3475" i="17"/>
  <c r="K3476" i="17"/>
  <c r="K3477" i="17"/>
  <c r="K3478" i="17"/>
  <c r="K3479" i="17"/>
  <c r="K3480" i="17"/>
  <c r="K3481" i="17"/>
  <c r="K3482" i="17"/>
  <c r="K3483" i="17"/>
  <c r="K3484" i="17"/>
  <c r="K3485" i="17"/>
  <c r="K3486" i="17"/>
  <c r="K3487" i="17"/>
  <c r="K3488" i="17"/>
  <c r="K3489" i="17"/>
  <c r="K3490" i="17"/>
  <c r="K3491" i="17"/>
  <c r="K3492" i="17"/>
  <c r="K3493" i="17"/>
  <c r="K3494" i="17"/>
  <c r="K3495" i="17"/>
  <c r="K3496" i="17"/>
  <c r="K3497" i="17"/>
  <c r="K3498" i="17"/>
  <c r="K3499" i="17"/>
  <c r="K3500" i="17"/>
  <c r="K3501" i="17"/>
  <c r="K3502" i="17"/>
  <c r="K3503" i="17"/>
  <c r="K3504" i="17"/>
  <c r="K3505" i="17"/>
  <c r="K3506" i="17"/>
  <c r="K3507" i="17"/>
  <c r="K3508" i="17"/>
  <c r="K3509" i="17"/>
  <c r="K3510" i="17"/>
  <c r="K3511" i="17"/>
  <c r="K3512" i="17"/>
  <c r="K3513" i="17"/>
  <c r="K3514" i="17"/>
  <c r="K3515" i="17"/>
  <c r="K3516" i="17"/>
  <c r="K3517" i="17"/>
  <c r="K3518" i="17"/>
  <c r="K3519" i="17"/>
  <c r="K3520" i="17"/>
  <c r="K3521" i="17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L602" i="17"/>
  <c r="L603" i="17"/>
  <c r="L604" i="17"/>
  <c r="L605" i="17"/>
  <c r="L606" i="17"/>
  <c r="L607" i="17"/>
  <c r="L608" i="17"/>
  <c r="L609" i="17"/>
  <c r="L610" i="17"/>
  <c r="L611" i="17"/>
  <c r="L612" i="17"/>
  <c r="L613" i="17"/>
  <c r="L614" i="17"/>
  <c r="L615" i="17"/>
  <c r="L616" i="17"/>
  <c r="L617" i="17"/>
  <c r="L618" i="17"/>
  <c r="L619" i="17"/>
  <c r="L620" i="17"/>
  <c r="L621" i="17"/>
  <c r="L622" i="17"/>
  <c r="L623" i="17"/>
  <c r="L624" i="17"/>
  <c r="L625" i="17"/>
  <c r="L626" i="17"/>
  <c r="L627" i="17"/>
  <c r="L628" i="17"/>
  <c r="L629" i="17"/>
  <c r="L630" i="17"/>
  <c r="L631" i="17"/>
  <c r="L632" i="17"/>
  <c r="L633" i="17"/>
  <c r="L634" i="17"/>
  <c r="L635" i="17"/>
  <c r="L636" i="17"/>
  <c r="L637" i="17"/>
  <c r="L638" i="17"/>
  <c r="L639" i="17"/>
  <c r="L640" i="17"/>
  <c r="L641" i="17"/>
  <c r="L642" i="17"/>
  <c r="L643" i="17"/>
  <c r="L644" i="17"/>
  <c r="L645" i="17"/>
  <c r="L646" i="17"/>
  <c r="L647" i="17"/>
  <c r="L648" i="17"/>
  <c r="L649" i="17"/>
  <c r="L650" i="17"/>
  <c r="L651" i="17"/>
  <c r="L652" i="17"/>
  <c r="L653" i="17"/>
  <c r="L654" i="17"/>
  <c r="L655" i="17"/>
  <c r="L656" i="17"/>
  <c r="L657" i="17"/>
  <c r="L658" i="17"/>
  <c r="L659" i="17"/>
  <c r="L660" i="17"/>
  <c r="L661" i="17"/>
  <c r="L662" i="17"/>
  <c r="L663" i="17"/>
  <c r="L664" i="17"/>
  <c r="L665" i="17"/>
  <c r="L666" i="17"/>
  <c r="L667" i="17"/>
  <c r="L668" i="17"/>
  <c r="L669" i="17"/>
  <c r="L670" i="17"/>
  <c r="L671" i="17"/>
  <c r="L672" i="17"/>
  <c r="L673" i="17"/>
  <c r="L674" i="17"/>
  <c r="L675" i="17"/>
  <c r="L676" i="17"/>
  <c r="L677" i="17"/>
  <c r="L678" i="17"/>
  <c r="L679" i="17"/>
  <c r="L680" i="17"/>
  <c r="L681" i="17"/>
  <c r="L682" i="17"/>
  <c r="L683" i="17"/>
  <c r="L684" i="17"/>
  <c r="L685" i="17"/>
  <c r="L686" i="17"/>
  <c r="L687" i="17"/>
  <c r="L688" i="17"/>
  <c r="L689" i="17"/>
  <c r="L690" i="17"/>
  <c r="L691" i="17"/>
  <c r="L692" i="17"/>
  <c r="L693" i="17"/>
  <c r="L694" i="17"/>
  <c r="L695" i="17"/>
  <c r="L696" i="17"/>
  <c r="L697" i="17"/>
  <c r="L698" i="17"/>
  <c r="L699" i="17"/>
  <c r="L700" i="17"/>
  <c r="L701" i="17"/>
  <c r="L702" i="17"/>
  <c r="L703" i="17"/>
  <c r="L704" i="17"/>
  <c r="L705" i="17"/>
  <c r="L706" i="17"/>
  <c r="L707" i="17"/>
  <c r="L708" i="17"/>
  <c r="L709" i="17"/>
  <c r="L710" i="17"/>
  <c r="L711" i="17"/>
  <c r="L712" i="17"/>
  <c r="L713" i="17"/>
  <c r="L714" i="17"/>
  <c r="L715" i="17"/>
  <c r="L716" i="17"/>
  <c r="L717" i="17"/>
  <c r="L718" i="17"/>
  <c r="L719" i="17"/>
  <c r="L720" i="17"/>
  <c r="L721" i="17"/>
  <c r="L722" i="17"/>
  <c r="L723" i="17"/>
  <c r="L724" i="17"/>
  <c r="L725" i="17"/>
  <c r="L726" i="17"/>
  <c r="L727" i="17"/>
  <c r="L728" i="17"/>
  <c r="L729" i="17"/>
  <c r="L730" i="17"/>
  <c r="L731" i="17"/>
  <c r="L732" i="17"/>
  <c r="L733" i="17"/>
  <c r="L734" i="17"/>
  <c r="L735" i="17"/>
  <c r="L736" i="17"/>
  <c r="L737" i="17"/>
  <c r="L738" i="17"/>
  <c r="L739" i="17"/>
  <c r="L740" i="17"/>
  <c r="L741" i="17"/>
  <c r="L742" i="17"/>
  <c r="L743" i="17"/>
  <c r="L744" i="17"/>
  <c r="L745" i="17"/>
  <c r="L746" i="17"/>
  <c r="L747" i="17"/>
  <c r="L748" i="17"/>
  <c r="L749" i="17"/>
  <c r="L750" i="17"/>
  <c r="L751" i="17"/>
  <c r="L752" i="17"/>
  <c r="L753" i="17"/>
  <c r="L754" i="17"/>
  <c r="L755" i="17"/>
  <c r="L756" i="17"/>
  <c r="L757" i="17"/>
  <c r="L758" i="17"/>
  <c r="L759" i="17"/>
  <c r="L760" i="17"/>
  <c r="L761" i="17"/>
  <c r="L762" i="17"/>
  <c r="L763" i="17"/>
  <c r="L764" i="17"/>
  <c r="L765" i="17"/>
  <c r="L766" i="17"/>
  <c r="L767" i="17"/>
  <c r="L768" i="17"/>
  <c r="L769" i="17"/>
  <c r="L770" i="17"/>
  <c r="L771" i="17"/>
  <c r="L772" i="17"/>
  <c r="L773" i="17"/>
  <c r="L774" i="17"/>
  <c r="L775" i="17"/>
  <c r="L776" i="17"/>
  <c r="L777" i="17"/>
  <c r="L778" i="17"/>
  <c r="L779" i="17"/>
  <c r="L780" i="17"/>
  <c r="L781" i="17"/>
  <c r="L782" i="17"/>
  <c r="L783" i="17"/>
  <c r="L784" i="17"/>
  <c r="L785" i="17"/>
  <c r="L786" i="17"/>
  <c r="L787" i="17"/>
  <c r="L788" i="17"/>
  <c r="L789" i="17"/>
  <c r="L790" i="17"/>
  <c r="L791" i="17"/>
  <c r="L792" i="17"/>
  <c r="L793" i="17"/>
  <c r="L794" i="17"/>
  <c r="L795" i="17"/>
  <c r="L796" i="17"/>
  <c r="L797" i="17"/>
  <c r="L798" i="17"/>
  <c r="L799" i="17"/>
  <c r="L800" i="17"/>
  <c r="L801" i="17"/>
  <c r="L802" i="17"/>
  <c r="L803" i="17"/>
  <c r="L804" i="17"/>
  <c r="L805" i="17"/>
  <c r="L806" i="17"/>
  <c r="L807" i="17"/>
  <c r="L808" i="17"/>
  <c r="L809" i="17"/>
  <c r="L810" i="17"/>
  <c r="L811" i="17"/>
  <c r="L812" i="17"/>
  <c r="L813" i="17"/>
  <c r="L814" i="17"/>
  <c r="L815" i="17"/>
  <c r="L816" i="17"/>
  <c r="L817" i="17"/>
  <c r="L818" i="17"/>
  <c r="L819" i="17"/>
  <c r="L820" i="17"/>
  <c r="L821" i="17"/>
  <c r="L822" i="17"/>
  <c r="L823" i="17"/>
  <c r="L824" i="17"/>
  <c r="L825" i="17"/>
  <c r="L826" i="17"/>
  <c r="L827" i="17"/>
  <c r="L828" i="17"/>
  <c r="L829" i="17"/>
  <c r="L830" i="17"/>
  <c r="L831" i="17"/>
  <c r="L832" i="17"/>
  <c r="L833" i="17"/>
  <c r="L834" i="17"/>
  <c r="L835" i="17"/>
  <c r="L836" i="17"/>
  <c r="L837" i="17"/>
  <c r="L838" i="17"/>
  <c r="L839" i="17"/>
  <c r="L840" i="17"/>
  <c r="L841" i="17"/>
  <c r="L842" i="17"/>
  <c r="L843" i="17"/>
  <c r="L844" i="17"/>
  <c r="L845" i="17"/>
  <c r="L846" i="17"/>
  <c r="L847" i="17"/>
  <c r="L848" i="17"/>
  <c r="L849" i="17"/>
  <c r="L850" i="17"/>
  <c r="L851" i="17"/>
  <c r="L852" i="17"/>
  <c r="L853" i="17"/>
  <c r="L854" i="17"/>
  <c r="L855" i="17"/>
  <c r="L856" i="17"/>
  <c r="L857" i="17"/>
  <c r="L858" i="17"/>
  <c r="L859" i="17"/>
  <c r="L860" i="17"/>
  <c r="L861" i="17"/>
  <c r="L862" i="17"/>
  <c r="L863" i="17"/>
  <c r="L864" i="17"/>
  <c r="L865" i="17"/>
  <c r="L866" i="17"/>
  <c r="L867" i="17"/>
  <c r="L868" i="17"/>
  <c r="L869" i="17"/>
  <c r="L870" i="17"/>
  <c r="L871" i="17"/>
  <c r="L872" i="17"/>
  <c r="L873" i="17"/>
  <c r="L874" i="17"/>
  <c r="L875" i="17"/>
  <c r="L876" i="17"/>
  <c r="L877" i="17"/>
  <c r="L878" i="17"/>
  <c r="L879" i="17"/>
  <c r="L880" i="17"/>
  <c r="L881" i="17"/>
  <c r="L882" i="17"/>
  <c r="L883" i="17"/>
  <c r="L884" i="17"/>
  <c r="L885" i="17"/>
  <c r="L886" i="17"/>
  <c r="L887" i="17"/>
  <c r="L888" i="17"/>
  <c r="L889" i="17"/>
  <c r="L890" i="17"/>
  <c r="L891" i="17"/>
  <c r="L892" i="17"/>
  <c r="L893" i="17"/>
  <c r="L894" i="17"/>
  <c r="L895" i="17"/>
  <c r="L896" i="17"/>
  <c r="L897" i="17"/>
  <c r="L898" i="17"/>
  <c r="L899" i="17"/>
  <c r="L900" i="17"/>
  <c r="L901" i="17"/>
  <c r="L902" i="17"/>
  <c r="L903" i="17"/>
  <c r="L904" i="17"/>
  <c r="L905" i="17"/>
  <c r="L906" i="17"/>
  <c r="L907" i="17"/>
  <c r="L908" i="17"/>
  <c r="L909" i="17"/>
  <c r="L910" i="17"/>
  <c r="L911" i="17"/>
  <c r="L912" i="17"/>
  <c r="L913" i="17"/>
  <c r="L914" i="17"/>
  <c r="L915" i="17"/>
  <c r="L916" i="17"/>
  <c r="L917" i="17"/>
  <c r="L918" i="17"/>
  <c r="L919" i="17"/>
  <c r="L920" i="17"/>
  <c r="L921" i="17"/>
  <c r="L922" i="17"/>
  <c r="L923" i="17"/>
  <c r="L924" i="17"/>
  <c r="L925" i="17"/>
  <c r="L926" i="17"/>
  <c r="L927" i="17"/>
  <c r="L928" i="17"/>
  <c r="L929" i="17"/>
  <c r="L930" i="17"/>
  <c r="L931" i="17"/>
  <c r="L932" i="17"/>
  <c r="L933" i="17"/>
  <c r="L934" i="17"/>
  <c r="L935" i="17"/>
  <c r="L936" i="17"/>
  <c r="L937" i="17"/>
  <c r="L938" i="17"/>
  <c r="L939" i="17"/>
  <c r="L940" i="17"/>
  <c r="L941" i="17"/>
  <c r="L942" i="17"/>
  <c r="L943" i="17"/>
  <c r="L944" i="17"/>
  <c r="L945" i="17"/>
  <c r="L946" i="17"/>
  <c r="L947" i="17"/>
  <c r="L948" i="17"/>
  <c r="L949" i="17"/>
  <c r="L950" i="17"/>
  <c r="L951" i="17"/>
  <c r="L952" i="17"/>
  <c r="L953" i="17"/>
  <c r="L954" i="17"/>
  <c r="L955" i="17"/>
  <c r="L956" i="17"/>
  <c r="L957" i="17"/>
  <c r="L958" i="17"/>
  <c r="L959" i="17"/>
  <c r="L960" i="17"/>
  <c r="L961" i="17"/>
  <c r="L962" i="17"/>
  <c r="L963" i="17"/>
  <c r="L964" i="17"/>
  <c r="L965" i="17"/>
  <c r="L966" i="17"/>
  <c r="L967" i="17"/>
  <c r="L968" i="17"/>
  <c r="L969" i="17"/>
  <c r="L970" i="17"/>
  <c r="L971" i="17"/>
  <c r="L972" i="17"/>
  <c r="L973" i="17"/>
  <c r="L974" i="17"/>
  <c r="L975" i="17"/>
  <c r="L976" i="17"/>
  <c r="L977" i="17"/>
  <c r="L978" i="17"/>
  <c r="L979" i="17"/>
  <c r="L980" i="17"/>
  <c r="L981" i="17"/>
  <c r="L982" i="17"/>
  <c r="L983" i="17"/>
  <c r="L984" i="17"/>
  <c r="L985" i="17"/>
  <c r="L986" i="17"/>
  <c r="L987" i="17"/>
  <c r="L988" i="17"/>
  <c r="L989" i="17"/>
  <c r="L990" i="17"/>
  <c r="L991" i="17"/>
  <c r="L992" i="17"/>
  <c r="L993" i="17"/>
  <c r="L994" i="17"/>
  <c r="L995" i="17"/>
  <c r="L996" i="17"/>
  <c r="L997" i="17"/>
  <c r="L998" i="17"/>
  <c r="L999" i="17"/>
  <c r="L1000" i="17"/>
  <c r="L1001" i="17"/>
  <c r="L1002" i="17"/>
  <c r="L1003" i="17"/>
  <c r="L1004" i="17"/>
  <c r="L1005" i="17"/>
  <c r="L1006" i="17"/>
  <c r="L1007" i="17"/>
  <c r="L1008" i="17"/>
  <c r="L1009" i="17"/>
  <c r="L1010" i="17"/>
  <c r="L1011" i="17"/>
  <c r="L1012" i="17"/>
  <c r="L1013" i="17"/>
  <c r="L1014" i="17"/>
  <c r="L1015" i="17"/>
  <c r="L1016" i="17"/>
  <c r="L1017" i="17"/>
  <c r="L1018" i="17"/>
  <c r="L1019" i="17"/>
  <c r="L1020" i="17"/>
  <c r="L1021" i="17"/>
  <c r="L1022" i="17"/>
  <c r="L1023" i="17"/>
  <c r="L1024" i="17"/>
  <c r="L1025" i="17"/>
  <c r="L1026" i="17"/>
  <c r="L1027" i="17"/>
  <c r="L1028" i="17"/>
  <c r="L1029" i="17"/>
  <c r="L1030" i="17"/>
  <c r="L1031" i="17"/>
  <c r="L1032" i="17"/>
  <c r="L1033" i="17"/>
  <c r="L1034" i="17"/>
  <c r="L1035" i="17"/>
  <c r="L1036" i="17"/>
  <c r="L1037" i="17"/>
  <c r="L1038" i="17"/>
  <c r="L1039" i="17"/>
  <c r="L1040" i="17"/>
  <c r="L1041" i="17"/>
  <c r="L1042" i="17"/>
  <c r="L1043" i="17"/>
  <c r="L1044" i="17"/>
  <c r="L1045" i="17"/>
  <c r="L1046" i="17"/>
  <c r="L1047" i="17"/>
  <c r="L1048" i="17"/>
  <c r="L1049" i="17"/>
  <c r="L1050" i="17"/>
  <c r="L1051" i="17"/>
  <c r="L1052" i="17"/>
  <c r="L1053" i="17"/>
  <c r="L1054" i="17"/>
  <c r="L1055" i="17"/>
  <c r="L1056" i="17"/>
  <c r="L1057" i="17"/>
  <c r="L1058" i="17"/>
  <c r="L1059" i="17"/>
  <c r="L1060" i="17"/>
  <c r="L1061" i="17"/>
  <c r="L1062" i="17"/>
  <c r="L1063" i="17"/>
  <c r="L1064" i="17"/>
  <c r="L1065" i="17"/>
  <c r="L1066" i="17"/>
  <c r="L1067" i="17"/>
  <c r="L1068" i="17"/>
  <c r="L1069" i="17"/>
  <c r="L1070" i="17"/>
  <c r="L1071" i="17"/>
  <c r="L1072" i="17"/>
  <c r="L1073" i="17"/>
  <c r="L1074" i="17"/>
  <c r="L1075" i="17"/>
  <c r="L1076" i="17"/>
  <c r="L1077" i="17"/>
  <c r="L1078" i="17"/>
  <c r="L1079" i="17"/>
  <c r="L1080" i="17"/>
  <c r="L1081" i="17"/>
  <c r="L1082" i="17"/>
  <c r="L1083" i="17"/>
  <c r="L1084" i="17"/>
  <c r="L1085" i="17"/>
  <c r="L1086" i="17"/>
  <c r="L1087" i="17"/>
  <c r="L1088" i="17"/>
  <c r="L1089" i="17"/>
  <c r="L1090" i="17"/>
  <c r="L1091" i="17"/>
  <c r="L1092" i="17"/>
  <c r="L1093" i="17"/>
  <c r="L1094" i="17"/>
  <c r="L1095" i="17"/>
  <c r="L1096" i="17"/>
  <c r="L1097" i="17"/>
  <c r="L1098" i="17"/>
  <c r="L1099" i="17"/>
  <c r="L1100" i="17"/>
  <c r="L1101" i="17"/>
  <c r="L1102" i="17"/>
  <c r="L1103" i="17"/>
  <c r="L1104" i="17"/>
  <c r="L1105" i="17"/>
  <c r="L1106" i="17"/>
  <c r="L1107" i="17"/>
  <c r="L1108" i="17"/>
  <c r="L1109" i="17"/>
  <c r="L1110" i="17"/>
  <c r="L1111" i="17"/>
  <c r="L1112" i="17"/>
  <c r="L1113" i="17"/>
  <c r="L1114" i="17"/>
  <c r="L1115" i="17"/>
  <c r="L1116" i="17"/>
  <c r="L1117" i="17"/>
  <c r="L1118" i="17"/>
  <c r="L1119" i="17"/>
  <c r="L1120" i="17"/>
  <c r="L1121" i="17"/>
  <c r="L1122" i="17"/>
  <c r="L1123" i="17"/>
  <c r="L1124" i="17"/>
  <c r="L1125" i="17"/>
  <c r="L1126" i="17"/>
  <c r="L1127" i="17"/>
  <c r="L1128" i="17"/>
  <c r="L1129" i="17"/>
  <c r="L1130" i="17"/>
  <c r="L1131" i="17"/>
  <c r="L1132" i="17"/>
  <c r="L1133" i="17"/>
  <c r="L1134" i="17"/>
  <c r="L1135" i="17"/>
  <c r="L1136" i="17"/>
  <c r="L1137" i="17"/>
  <c r="L1138" i="17"/>
  <c r="L1139" i="17"/>
  <c r="L1140" i="17"/>
  <c r="L1141" i="17"/>
  <c r="L1142" i="17"/>
  <c r="L1143" i="17"/>
  <c r="L1144" i="17"/>
  <c r="L1145" i="17"/>
  <c r="L1146" i="17"/>
  <c r="L1147" i="17"/>
  <c r="L1148" i="17"/>
  <c r="L1149" i="17"/>
  <c r="L1150" i="17"/>
  <c r="L1151" i="17"/>
  <c r="L1152" i="17"/>
  <c r="L1153" i="17"/>
  <c r="L1154" i="17"/>
  <c r="L1155" i="17"/>
  <c r="L1156" i="17"/>
  <c r="L1157" i="17"/>
  <c r="L1158" i="17"/>
  <c r="L1159" i="17"/>
  <c r="L1160" i="17"/>
  <c r="L1161" i="17"/>
  <c r="L1162" i="17"/>
  <c r="L1163" i="17"/>
  <c r="L1164" i="17"/>
  <c r="L1165" i="17"/>
  <c r="L1166" i="17"/>
  <c r="L1167" i="17"/>
  <c r="L1168" i="17"/>
  <c r="L1169" i="17"/>
  <c r="L1170" i="17"/>
  <c r="L1171" i="17"/>
  <c r="L1172" i="17"/>
  <c r="L1173" i="17"/>
  <c r="L1174" i="17"/>
  <c r="L1175" i="17"/>
  <c r="L1176" i="17"/>
  <c r="L1177" i="17"/>
  <c r="L1178" i="17"/>
  <c r="L1179" i="17"/>
  <c r="L1180" i="17"/>
  <c r="L1181" i="17"/>
  <c r="L1182" i="17"/>
  <c r="L1183" i="17"/>
  <c r="L1184" i="17"/>
  <c r="L1185" i="17"/>
  <c r="L1186" i="17"/>
  <c r="L1187" i="17"/>
  <c r="L1188" i="17"/>
  <c r="L1189" i="17"/>
  <c r="L1190" i="17"/>
  <c r="L1191" i="17"/>
  <c r="L1192" i="17"/>
  <c r="L1193" i="17"/>
  <c r="L1194" i="17"/>
  <c r="L1195" i="17"/>
  <c r="L1196" i="17"/>
  <c r="L1197" i="17"/>
  <c r="L1198" i="17"/>
  <c r="L1199" i="17"/>
  <c r="L1200" i="17"/>
  <c r="L1201" i="17"/>
  <c r="L1202" i="17"/>
  <c r="L1203" i="17"/>
  <c r="L1204" i="17"/>
  <c r="L1205" i="17"/>
  <c r="L1206" i="17"/>
  <c r="L1207" i="17"/>
  <c r="L1208" i="17"/>
  <c r="L1209" i="17"/>
  <c r="L1210" i="17"/>
  <c r="L1211" i="17"/>
  <c r="L1212" i="17"/>
  <c r="L1213" i="17"/>
  <c r="L1214" i="17"/>
  <c r="L1215" i="17"/>
  <c r="L1216" i="17"/>
  <c r="L1217" i="17"/>
  <c r="L1218" i="17"/>
  <c r="L1219" i="17"/>
  <c r="L1220" i="17"/>
  <c r="L1221" i="17"/>
  <c r="L1222" i="17"/>
  <c r="L1223" i="17"/>
  <c r="L1224" i="17"/>
  <c r="L1225" i="17"/>
  <c r="L1226" i="17"/>
  <c r="L1227" i="17"/>
  <c r="L1228" i="17"/>
  <c r="L1229" i="17"/>
  <c r="L1230" i="17"/>
  <c r="L1231" i="17"/>
  <c r="L1232" i="17"/>
  <c r="L1233" i="17"/>
  <c r="L1234" i="17"/>
  <c r="L1235" i="17"/>
  <c r="L1236" i="17"/>
  <c r="L1237" i="17"/>
  <c r="L1238" i="17"/>
  <c r="L1239" i="17"/>
  <c r="L1240" i="17"/>
  <c r="L1241" i="17"/>
  <c r="L1242" i="17"/>
  <c r="L1243" i="17"/>
  <c r="L1244" i="17"/>
  <c r="L1245" i="17"/>
  <c r="L1246" i="17"/>
  <c r="L1247" i="17"/>
  <c r="L1248" i="17"/>
  <c r="L1249" i="17"/>
  <c r="L1250" i="17"/>
  <c r="L1251" i="17"/>
  <c r="L1252" i="17"/>
  <c r="L1253" i="17"/>
  <c r="L1254" i="17"/>
  <c r="L1255" i="17"/>
  <c r="L1256" i="17"/>
  <c r="L1257" i="17"/>
  <c r="L1258" i="17"/>
  <c r="L1259" i="17"/>
  <c r="L1260" i="17"/>
  <c r="L1261" i="17"/>
  <c r="L1262" i="17"/>
  <c r="L1263" i="17"/>
  <c r="L1264" i="17"/>
  <c r="L1265" i="17"/>
  <c r="L1266" i="17"/>
  <c r="L1267" i="17"/>
  <c r="L1268" i="17"/>
  <c r="L1269" i="17"/>
  <c r="L1270" i="17"/>
  <c r="L1271" i="17"/>
  <c r="L1272" i="17"/>
  <c r="L1273" i="17"/>
  <c r="L1274" i="17"/>
  <c r="L1275" i="17"/>
  <c r="L1276" i="17"/>
  <c r="L1277" i="17"/>
  <c r="L1278" i="17"/>
  <c r="L1279" i="17"/>
  <c r="L1280" i="17"/>
  <c r="L1281" i="17"/>
  <c r="L1282" i="17"/>
  <c r="L1283" i="17"/>
  <c r="L1284" i="17"/>
  <c r="L1285" i="17"/>
  <c r="L1286" i="17"/>
  <c r="L1287" i="17"/>
  <c r="L1288" i="17"/>
  <c r="L1289" i="17"/>
  <c r="L1290" i="17"/>
  <c r="L1291" i="17"/>
  <c r="L1292" i="17"/>
  <c r="L1293" i="17"/>
  <c r="L1294" i="17"/>
  <c r="L1295" i="17"/>
  <c r="L1296" i="17"/>
  <c r="L1297" i="17"/>
  <c r="L1298" i="17"/>
  <c r="L1299" i="17"/>
  <c r="L1300" i="17"/>
  <c r="L1301" i="17"/>
  <c r="L1302" i="17"/>
  <c r="L1303" i="17"/>
  <c r="L1304" i="17"/>
  <c r="L1305" i="17"/>
  <c r="L1306" i="17"/>
  <c r="L1307" i="17"/>
  <c r="L1308" i="17"/>
  <c r="L1309" i="17"/>
  <c r="L1310" i="17"/>
  <c r="L1311" i="17"/>
  <c r="L1312" i="17"/>
  <c r="L1313" i="17"/>
  <c r="L1314" i="17"/>
  <c r="L1315" i="17"/>
  <c r="L1316" i="17"/>
  <c r="L1317" i="17"/>
  <c r="L1318" i="17"/>
  <c r="L1319" i="17"/>
  <c r="L1320" i="17"/>
  <c r="L1321" i="17"/>
  <c r="L1322" i="17"/>
  <c r="L1323" i="17"/>
  <c r="L1324" i="17"/>
  <c r="L1325" i="17"/>
  <c r="L1326" i="17"/>
  <c r="L1327" i="17"/>
  <c r="L1328" i="17"/>
  <c r="L1329" i="17"/>
  <c r="L1330" i="17"/>
  <c r="L1331" i="17"/>
  <c r="L1332" i="17"/>
  <c r="L1333" i="17"/>
  <c r="L1334" i="17"/>
  <c r="L1335" i="17"/>
  <c r="L1336" i="17"/>
  <c r="L1337" i="17"/>
  <c r="L1338" i="17"/>
  <c r="L1339" i="17"/>
  <c r="L1340" i="17"/>
  <c r="L1341" i="17"/>
  <c r="L1342" i="17"/>
  <c r="L1343" i="17"/>
  <c r="L1344" i="17"/>
  <c r="L1345" i="17"/>
  <c r="L1346" i="17"/>
  <c r="L1347" i="17"/>
  <c r="L1348" i="17"/>
  <c r="L1349" i="17"/>
  <c r="L1350" i="17"/>
  <c r="L1351" i="17"/>
  <c r="L1352" i="17"/>
  <c r="L1353" i="17"/>
  <c r="L1354" i="17"/>
  <c r="L1355" i="17"/>
  <c r="L1356" i="17"/>
  <c r="L1357" i="17"/>
  <c r="L1358" i="17"/>
  <c r="L1359" i="17"/>
  <c r="L1360" i="17"/>
  <c r="L1361" i="17"/>
  <c r="L1362" i="17"/>
  <c r="L1363" i="17"/>
  <c r="L1364" i="17"/>
  <c r="L1365" i="17"/>
  <c r="L1366" i="17"/>
  <c r="L1367" i="17"/>
  <c r="L1368" i="17"/>
  <c r="L1369" i="17"/>
  <c r="L1370" i="17"/>
  <c r="L1371" i="17"/>
  <c r="L1372" i="17"/>
  <c r="L1373" i="17"/>
  <c r="L1374" i="17"/>
  <c r="L1375" i="17"/>
  <c r="L1376" i="17"/>
  <c r="L1377" i="17"/>
  <c r="L1378" i="17"/>
  <c r="L1379" i="17"/>
  <c r="L1380" i="17"/>
  <c r="L1381" i="17"/>
  <c r="L1382" i="17"/>
  <c r="L1383" i="17"/>
  <c r="L1384" i="17"/>
  <c r="L1385" i="17"/>
  <c r="L1386" i="17"/>
  <c r="L1387" i="17"/>
  <c r="L1388" i="17"/>
  <c r="L1389" i="17"/>
  <c r="L1390" i="17"/>
  <c r="L1391" i="17"/>
  <c r="L1392" i="17"/>
  <c r="L1393" i="17"/>
  <c r="L1394" i="17"/>
  <c r="L1395" i="17"/>
  <c r="L1396" i="17"/>
  <c r="L1397" i="17"/>
  <c r="L1398" i="17"/>
  <c r="L1399" i="17"/>
  <c r="L1400" i="17"/>
  <c r="L1401" i="17"/>
  <c r="L1402" i="17"/>
  <c r="L1403" i="17"/>
  <c r="L1404" i="17"/>
  <c r="L1405" i="17"/>
  <c r="L1406" i="17"/>
  <c r="L1407" i="17"/>
  <c r="L1408" i="17"/>
  <c r="L1409" i="17"/>
  <c r="L1410" i="17"/>
  <c r="L1411" i="17"/>
  <c r="L1412" i="17"/>
  <c r="L1413" i="17"/>
  <c r="L1414" i="17"/>
  <c r="L1415" i="17"/>
  <c r="L1416" i="17"/>
  <c r="L1417" i="17"/>
  <c r="L1418" i="17"/>
  <c r="L1419" i="17"/>
  <c r="L1420" i="17"/>
  <c r="L1421" i="17"/>
  <c r="L1422" i="17"/>
  <c r="L1423" i="17"/>
  <c r="L1424" i="17"/>
  <c r="L1425" i="17"/>
  <c r="L1426" i="17"/>
  <c r="L1427" i="17"/>
  <c r="L1428" i="17"/>
  <c r="L1429" i="17"/>
  <c r="L1430" i="17"/>
  <c r="L1431" i="17"/>
  <c r="L1432" i="17"/>
  <c r="L1433" i="17"/>
  <c r="L1434" i="17"/>
  <c r="L1435" i="17"/>
  <c r="L1436" i="17"/>
  <c r="L1437" i="17"/>
  <c r="L1438" i="17"/>
  <c r="L1439" i="17"/>
  <c r="L1440" i="17"/>
  <c r="L1441" i="17"/>
  <c r="L1442" i="17"/>
  <c r="L1443" i="17"/>
  <c r="L1444" i="17"/>
  <c r="L1445" i="17"/>
  <c r="L1446" i="17"/>
  <c r="L1447" i="17"/>
  <c r="L1448" i="17"/>
  <c r="L1449" i="17"/>
  <c r="L1450" i="17"/>
  <c r="L1451" i="17"/>
  <c r="L1452" i="17"/>
  <c r="L1453" i="17"/>
  <c r="L1454" i="17"/>
  <c r="L1455" i="17"/>
  <c r="L1456" i="17"/>
  <c r="L1457" i="17"/>
  <c r="L1458" i="17"/>
  <c r="L1459" i="17"/>
  <c r="L1460" i="17"/>
  <c r="L1461" i="17"/>
  <c r="L1462" i="17"/>
  <c r="L1463" i="17"/>
  <c r="L1464" i="17"/>
  <c r="L1465" i="17"/>
  <c r="L1466" i="17"/>
  <c r="L1467" i="17"/>
  <c r="L1468" i="17"/>
  <c r="L1469" i="17"/>
  <c r="L1470" i="17"/>
  <c r="L1471" i="17"/>
  <c r="L1472" i="17"/>
  <c r="L1473" i="17"/>
  <c r="L1474" i="17"/>
  <c r="L1475" i="17"/>
  <c r="L1476" i="17"/>
  <c r="L1477" i="17"/>
  <c r="L1478" i="17"/>
  <c r="L1479" i="17"/>
  <c r="L1480" i="17"/>
  <c r="L1481" i="17"/>
  <c r="L1482" i="17"/>
  <c r="L1483" i="17"/>
  <c r="L1484" i="17"/>
  <c r="L1485" i="17"/>
  <c r="L1486" i="17"/>
  <c r="L1487" i="17"/>
  <c r="L1488" i="17"/>
  <c r="L1489" i="17"/>
  <c r="L1490" i="17"/>
  <c r="L1491" i="17"/>
  <c r="L1492" i="17"/>
  <c r="L1493" i="17"/>
  <c r="L1494" i="17"/>
  <c r="L1495" i="17"/>
  <c r="L1496" i="17"/>
  <c r="L1497" i="17"/>
  <c r="L1498" i="17"/>
  <c r="L1499" i="17"/>
  <c r="L1500" i="17"/>
  <c r="L1501" i="17"/>
  <c r="L1502" i="17"/>
  <c r="L1503" i="17"/>
  <c r="L1504" i="17"/>
  <c r="L1505" i="17"/>
  <c r="L1506" i="17"/>
  <c r="L1507" i="17"/>
  <c r="L1508" i="17"/>
  <c r="L1509" i="17"/>
  <c r="L1510" i="17"/>
  <c r="L1511" i="17"/>
  <c r="L1512" i="17"/>
  <c r="L1513" i="17"/>
  <c r="L1514" i="17"/>
  <c r="L1515" i="17"/>
  <c r="L1516" i="17"/>
  <c r="L1517" i="17"/>
  <c r="L1518" i="17"/>
  <c r="L1519" i="17"/>
  <c r="L1520" i="17"/>
  <c r="L1521" i="17"/>
  <c r="L1522" i="17"/>
  <c r="L1523" i="17"/>
  <c r="L1524" i="17"/>
  <c r="L1525" i="17"/>
  <c r="L1526" i="17"/>
  <c r="L1527" i="17"/>
  <c r="L1528" i="17"/>
  <c r="L1529" i="17"/>
  <c r="L1530" i="17"/>
  <c r="L1531" i="17"/>
  <c r="L1532" i="17"/>
  <c r="L1533" i="17"/>
  <c r="L1534" i="17"/>
  <c r="L1535" i="17"/>
  <c r="L1536" i="17"/>
  <c r="L1537" i="17"/>
  <c r="L1538" i="17"/>
  <c r="L1539" i="17"/>
  <c r="L1540" i="17"/>
  <c r="L1541" i="17"/>
  <c r="L1542" i="17"/>
  <c r="L1543" i="17"/>
  <c r="L1544" i="17"/>
  <c r="L1545" i="17"/>
  <c r="L1546" i="17"/>
  <c r="L1547" i="17"/>
  <c r="L1548" i="17"/>
  <c r="L1549" i="17"/>
  <c r="L1550" i="17"/>
  <c r="L1551" i="17"/>
  <c r="L1552" i="17"/>
  <c r="L1553" i="17"/>
  <c r="L1554" i="17"/>
  <c r="L1555" i="17"/>
  <c r="L1556" i="17"/>
  <c r="L1557" i="17"/>
  <c r="L1558" i="17"/>
  <c r="L1559" i="17"/>
  <c r="L1560" i="17"/>
  <c r="L1561" i="17"/>
  <c r="L1562" i="17"/>
  <c r="L1563" i="17"/>
  <c r="L1564" i="17"/>
  <c r="L1565" i="17"/>
  <c r="L1566" i="17"/>
  <c r="L1567" i="17"/>
  <c r="L1568" i="17"/>
  <c r="L1569" i="17"/>
  <c r="L1570" i="17"/>
  <c r="L1571" i="17"/>
  <c r="L1572" i="17"/>
  <c r="L1573" i="17"/>
  <c r="L1574" i="17"/>
  <c r="L1575" i="17"/>
  <c r="L1576" i="17"/>
  <c r="L1577" i="17"/>
  <c r="L1578" i="17"/>
  <c r="L1579" i="17"/>
  <c r="L1580" i="17"/>
  <c r="L1581" i="17"/>
  <c r="L1582" i="17"/>
  <c r="L1583" i="17"/>
  <c r="L1584" i="17"/>
  <c r="L1585" i="17"/>
  <c r="L1586" i="17"/>
  <c r="L1587" i="17"/>
  <c r="L1588" i="17"/>
  <c r="L1589" i="17"/>
  <c r="L1590" i="17"/>
  <c r="L1591" i="17"/>
  <c r="L1592" i="17"/>
  <c r="L1593" i="17"/>
  <c r="L1594" i="17"/>
  <c r="L1595" i="17"/>
  <c r="L1596" i="17"/>
  <c r="L1597" i="17"/>
  <c r="L1598" i="17"/>
  <c r="L1599" i="17"/>
  <c r="L1600" i="17"/>
  <c r="L1601" i="17"/>
  <c r="L1602" i="17"/>
  <c r="L1603" i="17"/>
  <c r="L1604" i="17"/>
  <c r="L1605" i="17"/>
  <c r="L1606" i="17"/>
  <c r="L1607" i="17"/>
  <c r="L1608" i="17"/>
  <c r="L1609" i="17"/>
  <c r="L1610" i="17"/>
  <c r="L1611" i="17"/>
  <c r="L1612" i="17"/>
  <c r="L1613" i="17"/>
  <c r="L1614" i="17"/>
  <c r="L1615" i="17"/>
  <c r="L1616" i="17"/>
  <c r="L1617" i="17"/>
  <c r="L1618" i="17"/>
  <c r="L1619" i="17"/>
  <c r="L1620" i="17"/>
  <c r="L1621" i="17"/>
  <c r="L1622" i="17"/>
  <c r="L1623" i="17"/>
  <c r="L1624" i="17"/>
  <c r="L1625" i="17"/>
  <c r="L1626" i="17"/>
  <c r="L1627" i="17"/>
  <c r="L1628" i="17"/>
  <c r="L1629" i="17"/>
  <c r="L1630" i="17"/>
  <c r="L1631" i="17"/>
  <c r="L1632" i="17"/>
  <c r="L1633" i="17"/>
  <c r="L1634" i="17"/>
  <c r="L1635" i="17"/>
  <c r="L1636" i="17"/>
  <c r="L1637" i="17"/>
  <c r="L1638" i="17"/>
  <c r="L1639" i="17"/>
  <c r="L1640" i="17"/>
  <c r="L1641" i="17"/>
  <c r="L1642" i="17"/>
  <c r="L1643" i="17"/>
  <c r="L1644" i="17"/>
  <c r="L1645" i="17"/>
  <c r="L1646" i="17"/>
  <c r="L1647" i="17"/>
  <c r="L1648" i="17"/>
  <c r="L1649" i="17"/>
  <c r="L1650" i="17"/>
  <c r="L1651" i="17"/>
  <c r="L1652" i="17"/>
  <c r="L1653" i="17"/>
  <c r="L1654" i="17"/>
  <c r="L1655" i="17"/>
  <c r="L1656" i="17"/>
  <c r="L1657" i="17"/>
  <c r="L1658" i="17"/>
  <c r="L1659" i="17"/>
  <c r="L1660" i="17"/>
  <c r="L1661" i="17"/>
  <c r="L1662" i="17"/>
  <c r="L1663" i="17"/>
  <c r="L1664" i="17"/>
  <c r="L1665" i="17"/>
  <c r="L1666" i="17"/>
  <c r="L1667" i="17"/>
  <c r="L1668" i="17"/>
  <c r="L1669" i="17"/>
  <c r="L1670" i="17"/>
  <c r="L1671" i="17"/>
  <c r="L1672" i="17"/>
  <c r="L1673" i="17"/>
  <c r="L1674" i="17"/>
  <c r="L1675" i="17"/>
  <c r="L1676" i="17"/>
  <c r="L1677" i="17"/>
  <c r="L1678" i="17"/>
  <c r="L1679" i="17"/>
  <c r="L1680" i="17"/>
  <c r="L1681" i="17"/>
  <c r="L1682" i="17"/>
  <c r="L1683" i="17"/>
  <c r="L1684" i="17"/>
  <c r="L1685" i="17"/>
  <c r="L1686" i="17"/>
  <c r="L1687" i="17"/>
  <c r="L1688" i="17"/>
  <c r="L1689" i="17"/>
  <c r="L1690" i="17"/>
  <c r="L1691" i="17"/>
  <c r="L1692" i="17"/>
  <c r="L1693" i="17"/>
  <c r="L1694" i="17"/>
  <c r="L1695" i="17"/>
  <c r="L1696" i="17"/>
  <c r="L1697" i="17"/>
  <c r="L1698" i="17"/>
  <c r="L1699" i="17"/>
  <c r="L1700" i="17"/>
  <c r="L1701" i="17"/>
  <c r="L1702" i="17"/>
  <c r="L1703" i="17"/>
  <c r="L1704" i="17"/>
  <c r="L1705" i="17"/>
  <c r="L1706" i="17"/>
  <c r="L1707" i="17"/>
  <c r="L1708" i="17"/>
  <c r="L1709" i="17"/>
  <c r="L1710" i="17"/>
  <c r="L1711" i="17"/>
  <c r="L1712" i="17"/>
  <c r="L1713" i="17"/>
  <c r="L1714" i="17"/>
  <c r="L1715" i="17"/>
  <c r="L1716" i="17"/>
  <c r="L1717" i="17"/>
  <c r="L1718" i="17"/>
  <c r="L1719" i="17"/>
  <c r="L1720" i="17"/>
  <c r="L1721" i="17"/>
  <c r="L1722" i="17"/>
  <c r="L1723" i="17"/>
  <c r="L1724" i="17"/>
  <c r="L1725" i="17"/>
  <c r="L1726" i="17"/>
  <c r="L1727" i="17"/>
  <c r="L1728" i="17"/>
  <c r="L1729" i="17"/>
  <c r="L1730" i="17"/>
  <c r="L1731" i="17"/>
  <c r="L1732" i="17"/>
  <c r="L1733" i="17"/>
  <c r="L1734" i="17"/>
  <c r="L1735" i="17"/>
  <c r="L1736" i="17"/>
  <c r="L1737" i="17"/>
  <c r="L1738" i="17"/>
  <c r="L1739" i="17"/>
  <c r="L1740" i="17"/>
  <c r="L1741" i="17"/>
  <c r="L1742" i="17"/>
  <c r="L1743" i="17"/>
  <c r="L1744" i="17"/>
  <c r="L1745" i="17"/>
  <c r="L1746" i="17"/>
  <c r="L1747" i="17"/>
  <c r="L1748" i="17"/>
  <c r="L1749" i="17"/>
  <c r="L1750" i="17"/>
  <c r="L1751" i="17"/>
  <c r="L1752" i="17"/>
  <c r="L1753" i="17"/>
  <c r="L1754" i="17"/>
  <c r="L1755" i="17"/>
  <c r="L1756" i="17"/>
  <c r="L1757" i="17"/>
  <c r="L1758" i="17"/>
  <c r="L1759" i="17"/>
  <c r="L1760" i="17"/>
  <c r="L1761" i="17"/>
  <c r="L1762" i="17"/>
  <c r="L1763" i="17"/>
  <c r="L1764" i="17"/>
  <c r="L1765" i="17"/>
  <c r="L1766" i="17"/>
  <c r="L1767" i="17"/>
  <c r="L1768" i="17"/>
  <c r="L1769" i="17"/>
  <c r="L1770" i="17"/>
  <c r="L1771" i="17"/>
  <c r="L1772" i="17"/>
  <c r="L1773" i="17"/>
  <c r="L1774" i="17"/>
  <c r="L1775" i="17"/>
  <c r="L1776" i="17"/>
  <c r="L1777" i="17"/>
  <c r="L1778" i="17"/>
  <c r="L1779" i="17"/>
  <c r="L1780" i="17"/>
  <c r="L1781" i="17"/>
  <c r="L1782" i="17"/>
  <c r="L1783" i="17"/>
  <c r="L1784" i="17"/>
  <c r="L1785" i="17"/>
  <c r="L1786" i="17"/>
  <c r="L1787" i="17"/>
  <c r="L1788" i="17"/>
  <c r="L1789" i="17"/>
  <c r="L1790" i="17"/>
  <c r="L1791" i="17"/>
  <c r="L1792" i="17"/>
  <c r="L1793" i="17"/>
  <c r="L1794" i="17"/>
  <c r="L1795" i="17"/>
  <c r="L1796" i="17"/>
  <c r="L1797" i="17"/>
  <c r="L1798" i="17"/>
  <c r="L1799" i="17"/>
  <c r="L1800" i="17"/>
  <c r="L1801" i="17"/>
  <c r="L1802" i="17"/>
  <c r="L1803" i="17"/>
  <c r="L1804" i="17"/>
  <c r="L1805" i="17"/>
  <c r="L1806" i="17"/>
  <c r="L1807" i="17"/>
  <c r="L1808" i="17"/>
  <c r="L1809" i="17"/>
  <c r="L1810" i="17"/>
  <c r="L1811" i="17"/>
  <c r="L1812" i="17"/>
  <c r="L1813" i="17"/>
  <c r="L1814" i="17"/>
  <c r="L1815" i="17"/>
  <c r="L1816" i="17"/>
  <c r="L1817" i="17"/>
  <c r="L1818" i="17"/>
  <c r="L1819" i="17"/>
  <c r="L1820" i="17"/>
  <c r="L1821" i="17"/>
  <c r="L1822" i="17"/>
  <c r="L1823" i="17"/>
  <c r="L1824" i="17"/>
  <c r="L1825" i="17"/>
  <c r="L1826" i="17"/>
  <c r="L1827" i="17"/>
  <c r="L1828" i="17"/>
  <c r="L1829" i="17"/>
  <c r="L1830" i="17"/>
  <c r="L1831" i="17"/>
  <c r="L1832" i="17"/>
  <c r="L1833" i="17"/>
  <c r="L1834" i="17"/>
  <c r="L1835" i="17"/>
  <c r="L1836" i="17"/>
  <c r="L1837" i="17"/>
  <c r="L1838" i="17"/>
  <c r="L1839" i="17"/>
  <c r="L1840" i="17"/>
  <c r="L1841" i="17"/>
  <c r="L1842" i="17"/>
  <c r="L1843" i="17"/>
  <c r="L1844" i="17"/>
  <c r="L1845" i="17"/>
  <c r="L1846" i="17"/>
  <c r="L1847" i="17"/>
  <c r="L1848" i="17"/>
  <c r="L1849" i="17"/>
  <c r="L1850" i="17"/>
  <c r="L1851" i="17"/>
  <c r="L1852" i="17"/>
  <c r="L1853" i="17"/>
  <c r="L1854" i="17"/>
  <c r="L1855" i="17"/>
  <c r="L1856" i="17"/>
  <c r="L1857" i="17"/>
  <c r="L1858" i="17"/>
  <c r="L1859" i="17"/>
  <c r="L1860" i="17"/>
  <c r="L1861" i="17"/>
  <c r="L1862" i="17"/>
  <c r="L1863" i="17"/>
  <c r="L1864" i="17"/>
  <c r="L1865" i="17"/>
  <c r="L1866" i="17"/>
  <c r="L1867" i="17"/>
  <c r="L1868" i="17"/>
  <c r="L1869" i="17"/>
  <c r="L1870" i="17"/>
  <c r="L1871" i="17"/>
  <c r="L1872" i="17"/>
  <c r="L1873" i="17"/>
  <c r="L1874" i="17"/>
  <c r="L1875" i="17"/>
  <c r="L1876" i="17"/>
  <c r="L1877" i="17"/>
  <c r="L1878" i="17"/>
  <c r="L1879" i="17"/>
  <c r="L1880" i="17"/>
  <c r="L1881" i="17"/>
  <c r="L1882" i="17"/>
  <c r="L1883" i="17"/>
  <c r="L1884" i="17"/>
  <c r="L1885" i="17"/>
  <c r="L1886" i="17"/>
  <c r="L1887" i="17"/>
  <c r="L1888" i="17"/>
  <c r="L1889" i="17"/>
  <c r="L1890" i="17"/>
  <c r="L1891" i="17"/>
  <c r="L1892" i="17"/>
  <c r="L1893" i="17"/>
  <c r="L1894" i="17"/>
  <c r="L1895" i="17"/>
  <c r="L1896" i="17"/>
  <c r="L1897" i="17"/>
  <c r="L1898" i="17"/>
  <c r="L1899" i="17"/>
  <c r="L1900" i="17"/>
  <c r="L1901" i="17"/>
  <c r="L1902" i="17"/>
  <c r="L1903" i="17"/>
  <c r="L1904" i="17"/>
  <c r="L1905" i="17"/>
  <c r="L1906" i="17"/>
  <c r="L1907" i="17"/>
  <c r="L1908" i="17"/>
  <c r="L1909" i="17"/>
  <c r="L1910" i="17"/>
  <c r="L1911" i="17"/>
  <c r="L1912" i="17"/>
  <c r="L1913" i="17"/>
  <c r="L1914" i="17"/>
  <c r="L1915" i="17"/>
  <c r="L1916" i="17"/>
  <c r="L1917" i="17"/>
  <c r="L1918" i="17"/>
  <c r="L1919" i="17"/>
  <c r="L1920" i="17"/>
  <c r="L1921" i="17"/>
  <c r="L1922" i="17"/>
  <c r="L1923" i="17"/>
  <c r="L1924" i="17"/>
  <c r="L1925" i="17"/>
  <c r="L1926" i="17"/>
  <c r="L1927" i="17"/>
  <c r="L1928" i="17"/>
  <c r="L1929" i="17"/>
  <c r="L1930" i="17"/>
  <c r="L1931" i="17"/>
  <c r="L1932" i="17"/>
  <c r="L1933" i="17"/>
  <c r="L1934" i="17"/>
  <c r="L1935" i="17"/>
  <c r="L1936" i="17"/>
  <c r="L1937" i="17"/>
  <c r="L1938" i="17"/>
  <c r="L1939" i="17"/>
  <c r="L1940" i="17"/>
  <c r="L1941" i="17"/>
  <c r="L1942" i="17"/>
  <c r="L1943" i="17"/>
  <c r="L1944" i="17"/>
  <c r="L1945" i="17"/>
  <c r="L1946" i="17"/>
  <c r="L1947" i="17"/>
  <c r="L1948" i="17"/>
  <c r="L1949" i="17"/>
  <c r="L1950" i="17"/>
  <c r="L1951" i="17"/>
  <c r="L1952" i="17"/>
  <c r="L1953" i="17"/>
  <c r="L1954" i="17"/>
  <c r="L1955" i="17"/>
  <c r="L1956" i="17"/>
  <c r="L1957" i="17"/>
  <c r="L1958" i="17"/>
  <c r="L1959" i="17"/>
  <c r="L1960" i="17"/>
  <c r="L1961" i="17"/>
  <c r="L1962" i="17"/>
  <c r="L1963" i="17"/>
  <c r="L1964" i="17"/>
  <c r="L1965" i="17"/>
  <c r="L1966" i="17"/>
  <c r="L1967" i="17"/>
  <c r="L1968" i="17"/>
  <c r="L1969" i="17"/>
  <c r="L1970" i="17"/>
  <c r="L1971" i="17"/>
  <c r="L1972" i="17"/>
  <c r="L1973" i="17"/>
  <c r="L1974" i="17"/>
  <c r="L1975" i="17"/>
  <c r="L1976" i="17"/>
  <c r="L1977" i="17"/>
  <c r="L1978" i="17"/>
  <c r="L1979" i="17"/>
  <c r="L1980" i="17"/>
  <c r="L1981" i="17"/>
  <c r="L1982" i="17"/>
  <c r="L1983" i="17"/>
  <c r="L1984" i="17"/>
  <c r="L1985" i="17"/>
  <c r="L1986" i="17"/>
  <c r="L1987" i="17"/>
  <c r="L1988" i="17"/>
  <c r="L1989" i="17"/>
  <c r="L1990" i="17"/>
  <c r="L1991" i="17"/>
  <c r="L1992" i="17"/>
  <c r="L1993" i="17"/>
  <c r="L1994" i="17"/>
  <c r="L1995" i="17"/>
  <c r="L1996" i="17"/>
  <c r="L1997" i="17"/>
  <c r="L1998" i="17"/>
  <c r="L1999" i="17"/>
  <c r="L2000" i="17"/>
  <c r="L2001" i="17"/>
  <c r="L2002" i="17"/>
  <c r="L2003" i="17"/>
  <c r="L2004" i="17"/>
  <c r="L2005" i="17"/>
  <c r="L2006" i="17"/>
  <c r="L2007" i="17"/>
  <c r="L2008" i="17"/>
  <c r="L2009" i="17"/>
  <c r="L2010" i="17"/>
  <c r="L2011" i="17"/>
  <c r="L2012" i="17"/>
  <c r="L2013" i="17"/>
  <c r="L2014" i="17"/>
  <c r="L2015" i="17"/>
  <c r="L2016" i="17"/>
  <c r="L2017" i="17"/>
  <c r="L2018" i="17"/>
  <c r="L2019" i="17"/>
  <c r="L2020" i="17"/>
  <c r="L2021" i="17"/>
  <c r="L2022" i="17"/>
  <c r="L2023" i="17"/>
  <c r="L2024" i="17"/>
  <c r="L2025" i="17"/>
  <c r="L2026" i="17"/>
  <c r="L2027" i="17"/>
  <c r="L2028" i="17"/>
  <c r="L2029" i="17"/>
  <c r="L2030" i="17"/>
  <c r="L2031" i="17"/>
  <c r="L2032" i="17"/>
  <c r="L2033" i="17"/>
  <c r="L2034" i="17"/>
  <c r="L2035" i="17"/>
  <c r="L2036" i="17"/>
  <c r="L2037" i="17"/>
  <c r="L2038" i="17"/>
  <c r="L2039" i="17"/>
  <c r="L2040" i="17"/>
  <c r="L2041" i="17"/>
  <c r="L2042" i="17"/>
  <c r="L2043" i="17"/>
  <c r="L2044" i="17"/>
  <c r="L2045" i="17"/>
  <c r="L2046" i="17"/>
  <c r="L2047" i="17"/>
  <c r="L2048" i="17"/>
  <c r="L2049" i="17"/>
  <c r="L2050" i="17"/>
  <c r="L2051" i="17"/>
  <c r="L2052" i="17"/>
  <c r="L2053" i="17"/>
  <c r="L2054" i="17"/>
  <c r="L2055" i="17"/>
  <c r="L2056" i="17"/>
  <c r="L2057" i="17"/>
  <c r="L2058" i="17"/>
  <c r="L2059" i="17"/>
  <c r="L2060" i="17"/>
  <c r="L2061" i="17"/>
  <c r="L2062" i="17"/>
  <c r="L2063" i="17"/>
  <c r="L2064" i="17"/>
  <c r="L2065" i="17"/>
  <c r="L2066" i="17"/>
  <c r="L2067" i="17"/>
  <c r="L2068" i="17"/>
  <c r="L2069" i="17"/>
  <c r="L2070" i="17"/>
  <c r="L2071" i="17"/>
  <c r="L2072" i="17"/>
  <c r="L2073" i="17"/>
  <c r="L2074" i="17"/>
  <c r="L2075" i="17"/>
  <c r="L2076" i="17"/>
  <c r="L2077" i="17"/>
  <c r="L2078" i="17"/>
  <c r="L2079" i="17"/>
  <c r="L2080" i="17"/>
  <c r="L2081" i="17"/>
  <c r="L2082" i="17"/>
  <c r="L2083" i="17"/>
  <c r="L2084" i="17"/>
  <c r="L2085" i="17"/>
  <c r="L2086" i="17"/>
  <c r="L2087" i="17"/>
  <c r="L2088" i="17"/>
  <c r="L2089" i="17"/>
  <c r="L2090" i="17"/>
  <c r="L2091" i="17"/>
  <c r="L2092" i="17"/>
  <c r="L2093" i="17"/>
  <c r="L2094" i="17"/>
  <c r="L2095" i="17"/>
  <c r="L2096" i="17"/>
  <c r="L2097" i="17"/>
  <c r="L2098" i="17"/>
  <c r="L2099" i="17"/>
  <c r="L2100" i="17"/>
  <c r="L2101" i="17"/>
  <c r="L2102" i="17"/>
  <c r="L2103" i="17"/>
  <c r="L2104" i="17"/>
  <c r="L2105" i="17"/>
  <c r="L2106" i="17"/>
  <c r="L2107" i="17"/>
  <c r="L2108" i="17"/>
  <c r="L2109" i="17"/>
  <c r="L2110" i="17"/>
  <c r="L2111" i="17"/>
  <c r="L2112" i="17"/>
  <c r="L2113" i="17"/>
  <c r="L2114" i="17"/>
  <c r="L2115" i="17"/>
  <c r="L2116" i="17"/>
  <c r="L2117" i="17"/>
  <c r="L2118" i="17"/>
  <c r="L2119" i="17"/>
  <c r="L2120" i="17"/>
  <c r="L2121" i="17"/>
  <c r="L2122" i="17"/>
  <c r="L2123" i="17"/>
  <c r="L2124" i="17"/>
  <c r="L2125" i="17"/>
  <c r="L2126" i="17"/>
  <c r="L2127" i="17"/>
  <c r="L2128" i="17"/>
  <c r="L2129" i="17"/>
  <c r="L2130" i="17"/>
  <c r="L2131" i="17"/>
  <c r="L2132" i="17"/>
  <c r="L2133" i="17"/>
  <c r="L2134" i="17"/>
  <c r="L2135" i="17"/>
  <c r="L2136" i="17"/>
  <c r="L2137" i="17"/>
  <c r="L2138" i="17"/>
  <c r="L2139" i="17"/>
  <c r="L2140" i="17"/>
  <c r="L2141" i="17"/>
  <c r="L2142" i="17"/>
  <c r="L2143" i="17"/>
  <c r="L2144" i="17"/>
  <c r="L2145" i="17"/>
  <c r="L2146" i="17"/>
  <c r="L2147" i="17"/>
  <c r="L2148" i="17"/>
  <c r="L2149" i="17"/>
  <c r="L2150" i="17"/>
  <c r="L2151" i="17"/>
  <c r="L2152" i="17"/>
  <c r="L2153" i="17"/>
  <c r="L2154" i="17"/>
  <c r="L2155" i="17"/>
  <c r="L2156" i="17"/>
  <c r="L2157" i="17"/>
  <c r="L2158" i="17"/>
  <c r="L2159" i="17"/>
  <c r="L2160" i="17"/>
  <c r="L2161" i="17"/>
  <c r="L2162" i="17"/>
  <c r="L2163" i="17"/>
  <c r="L2164" i="17"/>
  <c r="L2165" i="17"/>
  <c r="L2166" i="17"/>
  <c r="L2167" i="17"/>
  <c r="L2168" i="17"/>
  <c r="L2169" i="17"/>
  <c r="L2170" i="17"/>
  <c r="L2171" i="17"/>
  <c r="L2172" i="17"/>
  <c r="L2173" i="17"/>
  <c r="L2174" i="17"/>
  <c r="L2175" i="17"/>
  <c r="L2176" i="17"/>
  <c r="L2177" i="17"/>
  <c r="L2178" i="17"/>
  <c r="L2179" i="17"/>
  <c r="L2180" i="17"/>
  <c r="L2181" i="17"/>
  <c r="L2182" i="17"/>
  <c r="L2183" i="17"/>
  <c r="L2184" i="17"/>
  <c r="L2185" i="17"/>
  <c r="L2186" i="17"/>
  <c r="L2187" i="17"/>
  <c r="L2188" i="17"/>
  <c r="L2189" i="17"/>
  <c r="L2190" i="17"/>
  <c r="L2191" i="17"/>
  <c r="L2192" i="17"/>
  <c r="L2193" i="17"/>
  <c r="L2194" i="17"/>
  <c r="L2195" i="17"/>
  <c r="L2196" i="17"/>
  <c r="L2197" i="17"/>
  <c r="L2198" i="17"/>
  <c r="L2199" i="17"/>
  <c r="L2200" i="17"/>
  <c r="L2201" i="17"/>
  <c r="L2202" i="17"/>
  <c r="L2203" i="17"/>
  <c r="L2204" i="17"/>
  <c r="L2205" i="17"/>
  <c r="L2206" i="17"/>
  <c r="L2207" i="17"/>
  <c r="L2208" i="17"/>
  <c r="L2209" i="17"/>
  <c r="L2210" i="17"/>
  <c r="L2211" i="17"/>
  <c r="L2212" i="17"/>
  <c r="L2213" i="17"/>
  <c r="L2214" i="17"/>
  <c r="L2215" i="17"/>
  <c r="L2216" i="17"/>
  <c r="L2217" i="17"/>
  <c r="L2218" i="17"/>
  <c r="L2219" i="17"/>
  <c r="L2220" i="17"/>
  <c r="L2221" i="17"/>
  <c r="L2222" i="17"/>
  <c r="L2223" i="17"/>
  <c r="L2224" i="17"/>
  <c r="L2225" i="17"/>
  <c r="L2226" i="17"/>
  <c r="L2227" i="17"/>
  <c r="L2228" i="17"/>
  <c r="L2229" i="17"/>
  <c r="L2230" i="17"/>
  <c r="L2231" i="17"/>
  <c r="L2232" i="17"/>
  <c r="L2233" i="17"/>
  <c r="L2234" i="17"/>
  <c r="L2235" i="17"/>
  <c r="L2236" i="17"/>
  <c r="L2237" i="17"/>
  <c r="L2238" i="17"/>
  <c r="L2239" i="17"/>
  <c r="L2240" i="17"/>
  <c r="L2241" i="17"/>
  <c r="L2242" i="17"/>
  <c r="L2243" i="17"/>
  <c r="L2244" i="17"/>
  <c r="L2245" i="17"/>
  <c r="L2246" i="17"/>
  <c r="L2247" i="17"/>
  <c r="L2248" i="17"/>
  <c r="L2249" i="17"/>
  <c r="L2250" i="17"/>
  <c r="L2251" i="17"/>
  <c r="L2252" i="17"/>
  <c r="L2253" i="17"/>
  <c r="L2254" i="17"/>
  <c r="L2255" i="17"/>
  <c r="L2256" i="17"/>
  <c r="L2257" i="17"/>
  <c r="L2258" i="17"/>
  <c r="L2259" i="17"/>
  <c r="L2260" i="17"/>
  <c r="L2261" i="17"/>
  <c r="L2262" i="17"/>
  <c r="L2263" i="17"/>
  <c r="L2264" i="17"/>
  <c r="L2265" i="17"/>
  <c r="L2266" i="17"/>
  <c r="L2267" i="17"/>
  <c r="L2268" i="17"/>
  <c r="L2269" i="17"/>
  <c r="L2270" i="17"/>
  <c r="L2271" i="17"/>
  <c r="L2272" i="17"/>
  <c r="L2273" i="17"/>
  <c r="L2274" i="17"/>
  <c r="L2275" i="17"/>
  <c r="L2276" i="17"/>
  <c r="L2277" i="17"/>
  <c r="L2278" i="17"/>
  <c r="L2279" i="17"/>
  <c r="L2280" i="17"/>
  <c r="L2281" i="17"/>
  <c r="L2282" i="17"/>
  <c r="L2283" i="17"/>
  <c r="L2284" i="17"/>
  <c r="L2285" i="17"/>
  <c r="L2286" i="17"/>
  <c r="L2287" i="17"/>
  <c r="L2288" i="17"/>
  <c r="L2289" i="17"/>
  <c r="L2290" i="17"/>
  <c r="L2291" i="17"/>
  <c r="L2292" i="17"/>
  <c r="L2293" i="17"/>
  <c r="L2294" i="17"/>
  <c r="L2295" i="17"/>
  <c r="L2296" i="17"/>
  <c r="L2297" i="17"/>
  <c r="L2298" i="17"/>
  <c r="L2299" i="17"/>
  <c r="L2300" i="17"/>
  <c r="L2301" i="17"/>
  <c r="L2302" i="17"/>
  <c r="L2303" i="17"/>
  <c r="L2304" i="17"/>
  <c r="L2305" i="17"/>
  <c r="L2306" i="17"/>
  <c r="L2307" i="17"/>
  <c r="L2308" i="17"/>
  <c r="L2309" i="17"/>
  <c r="L2310" i="17"/>
  <c r="L2311" i="17"/>
  <c r="L2312" i="17"/>
  <c r="L2313" i="17"/>
  <c r="L2314" i="17"/>
  <c r="L2315" i="17"/>
  <c r="L2316" i="17"/>
  <c r="L2317" i="17"/>
  <c r="L2318" i="17"/>
  <c r="L2319" i="17"/>
  <c r="L2320" i="17"/>
  <c r="L2321" i="17"/>
  <c r="L2322" i="17"/>
  <c r="L2323" i="17"/>
  <c r="L2324" i="17"/>
  <c r="L2325" i="17"/>
  <c r="L2326" i="17"/>
  <c r="L2327" i="17"/>
  <c r="L2328" i="17"/>
  <c r="L2329" i="17"/>
  <c r="L2330" i="17"/>
  <c r="L2331" i="17"/>
  <c r="L2332" i="17"/>
  <c r="L2333" i="17"/>
  <c r="L2334" i="17"/>
  <c r="L2335" i="17"/>
  <c r="L2336" i="17"/>
  <c r="L2337" i="17"/>
  <c r="L2338" i="17"/>
  <c r="L2339" i="17"/>
  <c r="L2340" i="17"/>
  <c r="L2341" i="17"/>
  <c r="L2342" i="17"/>
  <c r="L2343" i="17"/>
  <c r="L2344" i="17"/>
  <c r="L2345" i="17"/>
  <c r="L2346" i="17"/>
  <c r="L2347" i="17"/>
  <c r="L2348" i="17"/>
  <c r="L2349" i="17"/>
  <c r="L2350" i="17"/>
  <c r="L2351" i="17"/>
  <c r="L2352" i="17"/>
  <c r="L2353" i="17"/>
  <c r="L2354" i="17"/>
  <c r="L2355" i="17"/>
  <c r="L2356" i="17"/>
  <c r="L2357" i="17"/>
  <c r="L2358" i="17"/>
  <c r="L2359" i="17"/>
  <c r="L2360" i="17"/>
  <c r="L2361" i="17"/>
  <c r="L2362" i="17"/>
  <c r="L2363" i="17"/>
  <c r="L2364" i="17"/>
  <c r="L2365" i="17"/>
  <c r="L2366" i="17"/>
  <c r="L2367" i="17"/>
  <c r="L2368" i="17"/>
  <c r="L2369" i="17"/>
  <c r="L2370" i="17"/>
  <c r="L2371" i="17"/>
  <c r="L2372" i="17"/>
  <c r="L2373" i="17"/>
  <c r="L2374" i="17"/>
  <c r="L2375" i="17"/>
  <c r="L2376" i="17"/>
  <c r="L2377" i="17"/>
  <c r="L2378" i="17"/>
  <c r="L2379" i="17"/>
  <c r="L2380" i="17"/>
  <c r="L2381" i="17"/>
  <c r="L2382" i="17"/>
  <c r="L2383" i="17"/>
  <c r="L2384" i="17"/>
  <c r="L2385" i="17"/>
  <c r="L2386" i="17"/>
  <c r="L2387" i="17"/>
  <c r="L2388" i="17"/>
  <c r="L2389" i="17"/>
  <c r="L2390" i="17"/>
  <c r="L2391" i="17"/>
  <c r="L2392" i="17"/>
  <c r="L2393" i="17"/>
  <c r="L2394" i="17"/>
  <c r="L2395" i="17"/>
  <c r="L2396" i="17"/>
  <c r="L2397" i="17"/>
  <c r="L2398" i="17"/>
  <c r="L2399" i="17"/>
  <c r="L2400" i="17"/>
  <c r="L2401" i="17"/>
  <c r="L2402" i="17"/>
  <c r="L2403" i="17"/>
  <c r="L2404" i="17"/>
  <c r="L2405" i="17"/>
  <c r="L2406" i="17"/>
  <c r="L2407" i="17"/>
  <c r="L2408" i="17"/>
  <c r="L2409" i="17"/>
  <c r="L2410" i="17"/>
  <c r="L2411" i="17"/>
  <c r="L2412" i="17"/>
  <c r="L2413" i="17"/>
  <c r="L2414" i="17"/>
  <c r="L2415" i="17"/>
  <c r="L2416" i="17"/>
  <c r="L2417" i="17"/>
  <c r="L2418" i="17"/>
  <c r="L2419" i="17"/>
  <c r="L2420" i="17"/>
  <c r="L2421" i="17"/>
  <c r="L2422" i="17"/>
  <c r="L2423" i="17"/>
  <c r="L2424" i="17"/>
  <c r="L2425" i="17"/>
  <c r="L2426" i="17"/>
  <c r="L2427" i="17"/>
  <c r="L2428" i="17"/>
  <c r="L2429" i="17"/>
  <c r="L2430" i="17"/>
  <c r="L2431" i="17"/>
  <c r="L2432" i="17"/>
  <c r="L2433" i="17"/>
  <c r="L2434" i="17"/>
  <c r="L2435" i="17"/>
  <c r="L2436" i="17"/>
  <c r="L2437" i="17"/>
  <c r="L2438" i="17"/>
  <c r="L2439" i="17"/>
  <c r="L2440" i="17"/>
  <c r="L2441" i="17"/>
  <c r="L2442" i="17"/>
  <c r="L2443" i="17"/>
  <c r="L2444" i="17"/>
  <c r="L2445" i="17"/>
  <c r="L2446" i="17"/>
  <c r="L2447" i="17"/>
  <c r="L2448" i="17"/>
  <c r="L2449" i="17"/>
  <c r="L2450" i="17"/>
  <c r="L2451" i="17"/>
  <c r="L2452" i="17"/>
  <c r="L2453" i="17"/>
  <c r="L2454" i="17"/>
  <c r="L2455" i="17"/>
  <c r="L2456" i="17"/>
  <c r="L2457" i="17"/>
  <c r="L2458" i="17"/>
  <c r="L2459" i="17"/>
  <c r="L2460" i="17"/>
  <c r="L2461" i="17"/>
  <c r="L2462" i="17"/>
  <c r="L2463" i="17"/>
  <c r="L2464" i="17"/>
  <c r="L2465" i="17"/>
  <c r="L2466" i="17"/>
  <c r="L2467" i="17"/>
  <c r="L2468" i="17"/>
  <c r="L2469" i="17"/>
  <c r="L2470" i="17"/>
  <c r="L2471" i="17"/>
  <c r="L2472" i="17"/>
  <c r="L2473" i="17"/>
  <c r="L2474" i="17"/>
  <c r="L2475" i="17"/>
  <c r="L2476" i="17"/>
  <c r="L2477" i="17"/>
  <c r="L2478" i="17"/>
  <c r="L2479" i="17"/>
  <c r="L2480" i="17"/>
  <c r="L2481" i="17"/>
  <c r="L2482" i="17"/>
  <c r="L2483" i="17"/>
  <c r="L2484" i="17"/>
  <c r="L2485" i="17"/>
  <c r="L2486" i="17"/>
  <c r="L2487" i="17"/>
  <c r="L2488" i="17"/>
  <c r="L2489" i="17"/>
  <c r="L2490" i="17"/>
  <c r="L2491" i="17"/>
  <c r="L2492" i="17"/>
  <c r="L2493" i="17"/>
  <c r="L2494" i="17"/>
  <c r="L2495" i="17"/>
  <c r="L2496" i="17"/>
  <c r="L2497" i="17"/>
  <c r="L2498" i="17"/>
  <c r="L2499" i="17"/>
  <c r="L2500" i="17"/>
  <c r="L2501" i="17"/>
  <c r="L2502" i="17"/>
  <c r="L2503" i="17"/>
  <c r="L2504" i="17"/>
  <c r="L2505" i="17"/>
  <c r="L2506" i="17"/>
  <c r="L2507" i="17"/>
  <c r="L2508" i="17"/>
  <c r="L2509" i="17"/>
  <c r="L2510" i="17"/>
  <c r="L2511" i="17"/>
  <c r="L2512" i="17"/>
  <c r="L2513" i="17"/>
  <c r="L2514" i="17"/>
  <c r="L2515" i="17"/>
  <c r="L2516" i="17"/>
  <c r="L2517" i="17"/>
  <c r="L2518" i="17"/>
  <c r="L2519" i="17"/>
  <c r="L2520" i="17"/>
  <c r="L2521" i="17"/>
  <c r="L2522" i="17"/>
  <c r="L2523" i="17"/>
  <c r="L2524" i="17"/>
  <c r="L2525" i="17"/>
  <c r="L2526" i="17"/>
  <c r="L2527" i="17"/>
  <c r="L2528" i="17"/>
  <c r="L2529" i="17"/>
  <c r="L2530" i="17"/>
  <c r="L2531" i="17"/>
  <c r="L2532" i="17"/>
  <c r="L2533" i="17"/>
  <c r="L2534" i="17"/>
  <c r="L2535" i="17"/>
  <c r="L2536" i="17"/>
  <c r="L2537" i="17"/>
  <c r="L2538" i="17"/>
  <c r="L2539" i="17"/>
  <c r="L2540" i="17"/>
  <c r="L2541" i="17"/>
  <c r="L2542" i="17"/>
  <c r="L2543" i="17"/>
  <c r="L2544" i="17"/>
  <c r="L2545" i="17"/>
  <c r="L2546" i="17"/>
  <c r="L2547" i="17"/>
  <c r="L2548" i="17"/>
  <c r="L2549" i="17"/>
  <c r="L2550" i="17"/>
  <c r="L2551" i="17"/>
  <c r="L2552" i="17"/>
  <c r="L2553" i="17"/>
  <c r="L2554" i="17"/>
  <c r="L2555" i="17"/>
  <c r="L2556" i="17"/>
  <c r="L2557" i="17"/>
  <c r="L2558" i="17"/>
  <c r="L2559" i="17"/>
  <c r="L2560" i="17"/>
  <c r="L2561" i="17"/>
  <c r="L2562" i="17"/>
  <c r="L2563" i="17"/>
  <c r="L2564" i="17"/>
  <c r="L2565" i="17"/>
  <c r="L2566" i="17"/>
  <c r="L2567" i="17"/>
  <c r="L2568" i="17"/>
  <c r="L2569" i="17"/>
  <c r="L2570" i="17"/>
  <c r="L2571" i="17"/>
  <c r="L2572" i="17"/>
  <c r="L2573" i="17"/>
  <c r="L2574" i="17"/>
  <c r="L2575" i="17"/>
  <c r="L2576" i="17"/>
  <c r="L2577" i="17"/>
  <c r="L2578" i="17"/>
  <c r="L2579" i="17"/>
  <c r="L2580" i="17"/>
  <c r="L2581" i="17"/>
  <c r="L2582" i="17"/>
  <c r="L2583" i="17"/>
  <c r="L2584" i="17"/>
  <c r="L2585" i="17"/>
  <c r="L2586" i="17"/>
  <c r="L2587" i="17"/>
  <c r="L2588" i="17"/>
  <c r="L2589" i="17"/>
  <c r="L2590" i="17"/>
  <c r="L2591" i="17"/>
  <c r="L2592" i="17"/>
  <c r="L2593" i="17"/>
  <c r="L2594" i="17"/>
  <c r="L2595" i="17"/>
  <c r="L2596" i="17"/>
  <c r="L2597" i="17"/>
  <c r="L2598" i="17"/>
  <c r="L2599" i="17"/>
  <c r="L2600" i="17"/>
  <c r="L2601" i="17"/>
  <c r="L2602" i="17"/>
  <c r="L2603" i="17"/>
  <c r="L2604" i="17"/>
  <c r="L2605" i="17"/>
  <c r="L2606" i="17"/>
  <c r="L2607" i="17"/>
  <c r="L2608" i="17"/>
  <c r="L2609" i="17"/>
  <c r="L2610" i="17"/>
  <c r="L2611" i="17"/>
  <c r="L2612" i="17"/>
  <c r="L2613" i="17"/>
  <c r="L2614" i="17"/>
  <c r="L2615" i="17"/>
  <c r="L2616" i="17"/>
  <c r="L2617" i="17"/>
  <c r="L2618" i="17"/>
  <c r="L2619" i="17"/>
  <c r="L2620" i="17"/>
  <c r="L2621" i="17"/>
  <c r="L2622" i="17"/>
  <c r="L2623" i="17"/>
  <c r="L2624" i="17"/>
  <c r="L2625" i="17"/>
  <c r="L2626" i="17"/>
  <c r="L2627" i="17"/>
  <c r="L2628" i="17"/>
  <c r="L2629" i="17"/>
  <c r="L2630" i="17"/>
  <c r="L2631" i="17"/>
  <c r="L2632" i="17"/>
  <c r="L2633" i="17"/>
  <c r="L2634" i="17"/>
  <c r="L2635" i="17"/>
  <c r="L2636" i="17"/>
  <c r="L2637" i="17"/>
  <c r="L2638" i="17"/>
  <c r="L2639" i="17"/>
  <c r="L2640" i="17"/>
  <c r="L2641" i="17"/>
  <c r="L2642" i="17"/>
  <c r="L2643" i="17"/>
  <c r="L2644" i="17"/>
  <c r="L2645" i="17"/>
  <c r="L2646" i="17"/>
  <c r="L2647" i="17"/>
  <c r="L2648" i="17"/>
  <c r="L2649" i="17"/>
  <c r="L2650" i="17"/>
  <c r="L2651" i="17"/>
  <c r="L2652" i="17"/>
  <c r="L2653" i="17"/>
  <c r="L2654" i="17"/>
  <c r="L2655" i="17"/>
  <c r="L2656" i="17"/>
  <c r="L2657" i="17"/>
  <c r="L2658" i="17"/>
  <c r="L2659" i="17"/>
  <c r="L2660" i="17"/>
  <c r="L2661" i="17"/>
  <c r="L2662" i="17"/>
  <c r="L2663" i="17"/>
  <c r="L2664" i="17"/>
  <c r="L2665" i="17"/>
  <c r="L2666" i="17"/>
  <c r="L2667" i="17"/>
  <c r="L2668" i="17"/>
  <c r="L2669" i="17"/>
  <c r="L2670" i="17"/>
  <c r="L2671" i="17"/>
  <c r="L2672" i="17"/>
  <c r="L2673" i="17"/>
  <c r="L2674" i="17"/>
  <c r="L2675" i="17"/>
  <c r="L2676" i="17"/>
  <c r="L2677" i="17"/>
  <c r="L2678" i="17"/>
  <c r="L2679" i="17"/>
  <c r="L2680" i="17"/>
  <c r="L2681" i="17"/>
  <c r="L2682" i="17"/>
  <c r="L2683" i="17"/>
  <c r="L2684" i="17"/>
  <c r="L2685" i="17"/>
  <c r="L2686" i="17"/>
  <c r="L2687" i="17"/>
  <c r="L2688" i="17"/>
  <c r="L2689" i="17"/>
  <c r="L2690" i="17"/>
  <c r="L2691" i="17"/>
  <c r="L2692" i="17"/>
  <c r="L2693" i="17"/>
  <c r="L2694" i="17"/>
  <c r="L2695" i="17"/>
  <c r="L2696" i="17"/>
  <c r="L2697" i="17"/>
  <c r="L2698" i="17"/>
  <c r="L2699" i="17"/>
  <c r="L2700" i="17"/>
  <c r="L2701" i="17"/>
  <c r="L2702" i="17"/>
  <c r="L2703" i="17"/>
  <c r="L2704" i="17"/>
  <c r="L2705" i="17"/>
  <c r="L2706" i="17"/>
  <c r="L2707" i="17"/>
  <c r="L2708" i="17"/>
  <c r="L2709" i="17"/>
  <c r="L2710" i="17"/>
  <c r="L2711" i="17"/>
  <c r="L2712" i="17"/>
  <c r="L2713" i="17"/>
  <c r="L2714" i="17"/>
  <c r="L2715" i="17"/>
  <c r="L2716" i="17"/>
  <c r="L2717" i="17"/>
  <c r="L2718" i="17"/>
  <c r="L2719" i="17"/>
  <c r="L2720" i="17"/>
  <c r="L2721" i="17"/>
  <c r="L2722" i="17"/>
  <c r="L2723" i="17"/>
  <c r="L2724" i="17"/>
  <c r="L2725" i="17"/>
  <c r="L2726" i="17"/>
  <c r="L2727" i="17"/>
  <c r="L2728" i="17"/>
  <c r="L2729" i="17"/>
  <c r="L2730" i="17"/>
  <c r="L2731" i="17"/>
  <c r="L2732" i="17"/>
  <c r="L2733" i="17"/>
  <c r="L2734" i="17"/>
  <c r="L2735" i="17"/>
  <c r="L2736" i="17"/>
  <c r="L2737" i="17"/>
  <c r="L2738" i="17"/>
  <c r="L2739" i="17"/>
  <c r="L2740" i="17"/>
  <c r="L2741" i="17"/>
  <c r="L2742" i="17"/>
  <c r="L2743" i="17"/>
  <c r="L2744" i="17"/>
  <c r="L2745" i="17"/>
  <c r="L2746" i="17"/>
  <c r="L2747" i="17"/>
  <c r="L2748" i="17"/>
  <c r="L2749" i="17"/>
  <c r="L2750" i="17"/>
  <c r="L2751" i="17"/>
  <c r="L2752" i="17"/>
  <c r="L2753" i="17"/>
  <c r="L2754" i="17"/>
  <c r="L2755" i="17"/>
  <c r="L2756" i="17"/>
  <c r="L2757" i="17"/>
  <c r="L2758" i="17"/>
  <c r="L2759" i="17"/>
  <c r="L2760" i="17"/>
  <c r="L2761" i="17"/>
  <c r="L2762" i="17"/>
  <c r="L2763" i="17"/>
  <c r="L2764" i="17"/>
  <c r="L2765" i="17"/>
  <c r="L2766" i="17"/>
  <c r="L2767" i="17"/>
  <c r="L2768" i="17"/>
  <c r="L2769" i="17"/>
  <c r="L2770" i="17"/>
  <c r="L2771" i="17"/>
  <c r="L2772" i="17"/>
  <c r="L2773" i="17"/>
  <c r="L2774" i="17"/>
  <c r="L2775" i="17"/>
  <c r="L2776" i="17"/>
  <c r="L2777" i="17"/>
  <c r="L2778" i="17"/>
  <c r="L2779" i="17"/>
  <c r="L2780" i="17"/>
  <c r="L2781" i="17"/>
  <c r="L2782" i="17"/>
  <c r="L2783" i="17"/>
  <c r="L2784" i="17"/>
  <c r="L2785" i="17"/>
  <c r="L2786" i="17"/>
  <c r="L2787" i="17"/>
  <c r="L2788" i="17"/>
  <c r="L2789" i="17"/>
  <c r="L2790" i="17"/>
  <c r="L2791" i="17"/>
  <c r="L2792" i="17"/>
  <c r="L2793" i="17"/>
  <c r="L2794" i="17"/>
  <c r="L2795" i="17"/>
  <c r="L2796" i="17"/>
  <c r="L2797" i="17"/>
  <c r="L2798" i="17"/>
  <c r="L2799" i="17"/>
  <c r="L2800" i="17"/>
  <c r="L2801" i="17"/>
  <c r="L2802" i="17"/>
  <c r="L2803" i="17"/>
  <c r="L2804" i="17"/>
  <c r="L2805" i="17"/>
  <c r="L2806" i="17"/>
  <c r="L2807" i="17"/>
  <c r="L2808" i="17"/>
  <c r="L2809" i="17"/>
  <c r="L2810" i="17"/>
  <c r="L2811" i="17"/>
  <c r="L2812" i="17"/>
  <c r="L2813" i="17"/>
  <c r="L2814" i="17"/>
  <c r="L2815" i="17"/>
  <c r="L2816" i="17"/>
  <c r="L2817" i="17"/>
  <c r="L2818" i="17"/>
  <c r="L2819" i="17"/>
  <c r="L2820" i="17"/>
  <c r="L2821" i="17"/>
  <c r="L2822" i="17"/>
  <c r="L2823" i="17"/>
  <c r="L2824" i="17"/>
  <c r="L2825" i="17"/>
  <c r="L2826" i="17"/>
  <c r="L2827" i="17"/>
  <c r="L2828" i="17"/>
  <c r="L2829" i="17"/>
  <c r="L2830" i="17"/>
  <c r="L2831" i="17"/>
  <c r="L2832" i="17"/>
  <c r="L2833" i="17"/>
  <c r="L2834" i="17"/>
  <c r="L2835" i="17"/>
  <c r="L2836" i="17"/>
  <c r="L2837" i="17"/>
  <c r="L2838" i="17"/>
  <c r="L2839" i="17"/>
  <c r="L2840" i="17"/>
  <c r="L2841" i="17"/>
  <c r="L2842" i="17"/>
  <c r="L2843" i="17"/>
  <c r="L2844" i="17"/>
  <c r="L2845" i="17"/>
  <c r="L2846" i="17"/>
  <c r="L2847" i="17"/>
  <c r="L2848" i="17"/>
  <c r="L2849" i="17"/>
  <c r="L2850" i="17"/>
  <c r="L2851" i="17"/>
  <c r="L2852" i="17"/>
  <c r="L2853" i="17"/>
  <c r="L2854" i="17"/>
  <c r="L2855" i="17"/>
  <c r="L2856" i="17"/>
  <c r="L2857" i="17"/>
  <c r="L2858" i="17"/>
  <c r="L2859" i="17"/>
  <c r="L2860" i="17"/>
  <c r="L2861" i="17"/>
  <c r="L2862" i="17"/>
  <c r="L2863" i="17"/>
  <c r="L2864" i="17"/>
  <c r="L2865" i="17"/>
  <c r="L2866" i="17"/>
  <c r="L2867" i="17"/>
  <c r="L2868" i="17"/>
  <c r="L2869" i="17"/>
  <c r="L2870" i="17"/>
  <c r="L2871" i="17"/>
  <c r="L2872" i="17"/>
  <c r="L2873" i="17"/>
  <c r="L2874" i="17"/>
  <c r="L2875" i="17"/>
  <c r="L2876" i="17"/>
  <c r="L2877" i="17"/>
  <c r="L2878" i="17"/>
  <c r="L2879" i="17"/>
  <c r="L2880" i="17"/>
  <c r="L2881" i="17"/>
  <c r="L2882" i="17"/>
  <c r="L2883" i="17"/>
  <c r="L2884" i="17"/>
  <c r="L2885" i="17"/>
  <c r="L2886" i="17"/>
  <c r="L2887" i="17"/>
  <c r="L2888" i="17"/>
  <c r="L2889" i="17"/>
  <c r="L2890" i="17"/>
  <c r="L2891" i="17"/>
  <c r="L2892" i="17"/>
  <c r="L2893" i="17"/>
  <c r="L2894" i="17"/>
  <c r="L2895" i="17"/>
  <c r="L2896" i="17"/>
  <c r="L2897" i="17"/>
  <c r="L2898" i="17"/>
  <c r="L2899" i="17"/>
  <c r="L2900" i="17"/>
  <c r="L2901" i="17"/>
  <c r="L2902" i="17"/>
  <c r="L2903" i="17"/>
  <c r="L2904" i="17"/>
  <c r="L2905" i="17"/>
  <c r="L2906" i="17"/>
  <c r="L2907" i="17"/>
  <c r="L2908" i="17"/>
  <c r="L2909" i="17"/>
  <c r="L2910" i="17"/>
  <c r="L2911" i="17"/>
  <c r="L2912" i="17"/>
  <c r="L2913" i="17"/>
  <c r="L2914" i="17"/>
  <c r="L2915" i="17"/>
  <c r="L2916" i="17"/>
  <c r="L2917" i="17"/>
  <c r="L2918" i="17"/>
  <c r="L2919" i="17"/>
  <c r="L2920" i="17"/>
  <c r="L2921" i="17"/>
  <c r="L2922" i="17"/>
  <c r="L2923" i="17"/>
  <c r="L2924" i="17"/>
  <c r="L2925" i="17"/>
  <c r="L2926" i="17"/>
  <c r="L2927" i="17"/>
  <c r="L2928" i="17"/>
  <c r="L2929" i="17"/>
  <c r="L2930" i="17"/>
  <c r="L2931" i="17"/>
  <c r="L2932" i="17"/>
  <c r="L2933" i="17"/>
  <c r="L2934" i="17"/>
  <c r="L2935" i="17"/>
  <c r="L2936" i="17"/>
  <c r="L2937" i="17"/>
  <c r="L2938" i="17"/>
  <c r="L2939" i="17"/>
  <c r="L2940" i="17"/>
  <c r="L2941" i="17"/>
  <c r="L2942" i="17"/>
  <c r="L2943" i="17"/>
  <c r="L2944" i="17"/>
  <c r="L2945" i="17"/>
  <c r="L2946" i="17"/>
  <c r="L2947" i="17"/>
  <c r="L2948" i="17"/>
  <c r="L2949" i="17"/>
  <c r="L2950" i="17"/>
  <c r="L2951" i="17"/>
  <c r="L2952" i="17"/>
  <c r="L2953" i="17"/>
  <c r="L2954" i="17"/>
  <c r="L2955" i="17"/>
  <c r="L2956" i="17"/>
  <c r="L2957" i="17"/>
  <c r="L2958" i="17"/>
  <c r="L2959" i="17"/>
  <c r="L2960" i="17"/>
  <c r="L2961" i="17"/>
  <c r="L2962" i="17"/>
  <c r="L2963" i="17"/>
  <c r="L2964" i="17"/>
  <c r="L2965" i="17"/>
  <c r="L2966" i="17"/>
  <c r="L2967" i="17"/>
  <c r="L2968" i="17"/>
  <c r="L2969" i="17"/>
  <c r="L2970" i="17"/>
  <c r="L2971" i="17"/>
  <c r="L2972" i="17"/>
  <c r="L2973" i="17"/>
  <c r="L2974" i="17"/>
  <c r="L2975" i="17"/>
  <c r="L2976" i="17"/>
  <c r="L2977" i="17"/>
  <c r="L2978" i="17"/>
  <c r="L2979" i="17"/>
  <c r="L2980" i="17"/>
  <c r="L2981" i="17"/>
  <c r="L2982" i="17"/>
  <c r="L2983" i="17"/>
  <c r="L2984" i="17"/>
  <c r="L2985" i="17"/>
  <c r="L2986" i="17"/>
  <c r="L2987" i="17"/>
  <c r="L2988" i="17"/>
  <c r="L2989" i="17"/>
  <c r="L2990" i="17"/>
  <c r="L2991" i="17"/>
  <c r="L2992" i="17"/>
  <c r="L2993" i="17"/>
  <c r="L2994" i="17"/>
  <c r="L2995" i="17"/>
  <c r="L2996" i="17"/>
  <c r="L2997" i="17"/>
  <c r="L2998" i="17"/>
  <c r="L2999" i="17"/>
  <c r="L3000" i="17"/>
  <c r="L3001" i="17"/>
  <c r="L3002" i="17"/>
  <c r="L3003" i="17"/>
  <c r="L3004" i="17"/>
  <c r="L3005" i="17"/>
  <c r="L3006" i="17"/>
  <c r="L3007" i="17"/>
  <c r="L3008" i="17"/>
  <c r="L3009" i="17"/>
  <c r="L3010" i="17"/>
  <c r="L3011" i="17"/>
  <c r="L3012" i="17"/>
  <c r="L3013" i="17"/>
  <c r="L3014" i="17"/>
  <c r="L3015" i="17"/>
  <c r="L3016" i="17"/>
  <c r="L3017" i="17"/>
  <c r="L3018" i="17"/>
  <c r="L3019" i="17"/>
  <c r="L3020" i="17"/>
  <c r="L3021" i="17"/>
  <c r="L3022" i="17"/>
  <c r="L3023" i="17"/>
  <c r="L3024" i="17"/>
  <c r="L3025" i="17"/>
  <c r="L3026" i="17"/>
  <c r="L3027" i="17"/>
  <c r="L3028" i="17"/>
  <c r="L3029" i="17"/>
  <c r="L3030" i="17"/>
  <c r="L3031" i="17"/>
  <c r="L3032" i="17"/>
  <c r="L3033" i="17"/>
  <c r="L3034" i="17"/>
  <c r="L3035" i="17"/>
  <c r="L3036" i="17"/>
  <c r="L3037" i="17"/>
  <c r="L3038" i="17"/>
  <c r="L3039" i="17"/>
  <c r="L3040" i="17"/>
  <c r="L3041" i="17"/>
  <c r="L3042" i="17"/>
  <c r="L3043" i="17"/>
  <c r="L3044" i="17"/>
  <c r="L3045" i="17"/>
  <c r="L3046" i="17"/>
  <c r="L3047" i="17"/>
  <c r="L3048" i="17"/>
  <c r="L3049" i="17"/>
  <c r="L3050" i="17"/>
  <c r="L3051" i="17"/>
  <c r="L3052" i="17"/>
  <c r="L3053" i="17"/>
  <c r="L3054" i="17"/>
  <c r="L3055" i="17"/>
  <c r="L3056" i="17"/>
  <c r="L3057" i="17"/>
  <c r="L3058" i="17"/>
  <c r="L3059" i="17"/>
  <c r="L3060" i="17"/>
  <c r="L3061" i="17"/>
  <c r="L3062" i="17"/>
  <c r="L3063" i="17"/>
  <c r="L3064" i="17"/>
  <c r="L3065" i="17"/>
  <c r="L3066" i="17"/>
  <c r="L3067" i="17"/>
  <c r="L3068" i="17"/>
  <c r="L3069" i="17"/>
  <c r="L3070" i="17"/>
  <c r="L3071" i="17"/>
  <c r="L3072" i="17"/>
  <c r="L3073" i="17"/>
  <c r="L3074" i="17"/>
  <c r="L3075" i="17"/>
  <c r="L3076" i="17"/>
  <c r="L3077" i="17"/>
  <c r="L3078" i="17"/>
  <c r="L3079" i="17"/>
  <c r="L3080" i="17"/>
  <c r="L3081" i="17"/>
  <c r="L3082" i="17"/>
  <c r="L3083" i="17"/>
  <c r="L3084" i="17"/>
  <c r="L3085" i="17"/>
  <c r="L3086" i="17"/>
  <c r="L3087" i="17"/>
  <c r="L3088" i="17"/>
  <c r="L3089" i="17"/>
  <c r="L3090" i="17"/>
  <c r="L3091" i="17"/>
  <c r="L3092" i="17"/>
  <c r="L3093" i="17"/>
  <c r="L3094" i="17"/>
  <c r="L3095" i="17"/>
  <c r="L3096" i="17"/>
  <c r="L3097" i="17"/>
  <c r="L3098" i="17"/>
  <c r="L3099" i="17"/>
  <c r="L3100" i="17"/>
  <c r="L3101" i="17"/>
  <c r="L3102" i="17"/>
  <c r="L3103" i="17"/>
  <c r="L3104" i="17"/>
  <c r="L3105" i="17"/>
  <c r="L3106" i="17"/>
  <c r="L3107" i="17"/>
  <c r="L3108" i="17"/>
  <c r="L3109" i="17"/>
  <c r="L3110" i="17"/>
  <c r="L3111" i="17"/>
  <c r="L3112" i="17"/>
  <c r="L3113" i="17"/>
  <c r="L3114" i="17"/>
  <c r="L3115" i="17"/>
  <c r="L3116" i="17"/>
  <c r="L3117" i="17"/>
  <c r="L3118" i="17"/>
  <c r="L3119" i="17"/>
  <c r="L3120" i="17"/>
  <c r="L3121" i="17"/>
  <c r="L3122" i="17"/>
  <c r="L3123" i="17"/>
  <c r="L3124" i="17"/>
  <c r="L3125" i="17"/>
  <c r="L3126" i="17"/>
  <c r="L3127" i="17"/>
  <c r="L3128" i="17"/>
  <c r="L3129" i="17"/>
  <c r="L3130" i="17"/>
  <c r="L3131" i="17"/>
  <c r="L3132" i="17"/>
  <c r="L3133" i="17"/>
  <c r="L3134" i="17"/>
  <c r="L3135" i="17"/>
  <c r="L3136" i="17"/>
  <c r="L3137" i="17"/>
  <c r="L3138" i="17"/>
  <c r="L3139" i="17"/>
  <c r="L3140" i="17"/>
  <c r="L3141" i="17"/>
  <c r="L3142" i="17"/>
  <c r="L3143" i="17"/>
  <c r="L3144" i="17"/>
  <c r="L3145" i="17"/>
  <c r="L3146" i="17"/>
  <c r="L3147" i="17"/>
  <c r="L3148" i="17"/>
  <c r="L3149" i="17"/>
  <c r="L3150" i="17"/>
  <c r="L3151" i="17"/>
  <c r="L3152" i="17"/>
  <c r="L3153" i="17"/>
  <c r="L3154" i="17"/>
  <c r="L3155" i="17"/>
  <c r="L3156" i="17"/>
  <c r="L3157" i="17"/>
  <c r="L3158" i="17"/>
  <c r="L3159" i="17"/>
  <c r="L3160" i="17"/>
  <c r="L3161" i="17"/>
  <c r="L3162" i="17"/>
  <c r="L3163" i="17"/>
  <c r="L3164" i="17"/>
  <c r="L3165" i="17"/>
  <c r="L3166" i="17"/>
  <c r="L3167" i="17"/>
  <c r="L3168" i="17"/>
  <c r="L3169" i="17"/>
  <c r="L3170" i="17"/>
  <c r="L3171" i="17"/>
  <c r="L3172" i="17"/>
  <c r="L3173" i="17"/>
  <c r="L3174" i="17"/>
  <c r="L3175" i="17"/>
  <c r="L3176" i="17"/>
  <c r="L3177" i="17"/>
  <c r="L3178" i="17"/>
  <c r="L3179" i="17"/>
  <c r="L3180" i="17"/>
  <c r="L3181" i="17"/>
  <c r="L3182" i="17"/>
  <c r="L3183" i="17"/>
  <c r="L3184" i="17"/>
  <c r="L3185" i="17"/>
  <c r="L3186" i="17"/>
  <c r="L3187" i="17"/>
  <c r="L3188" i="17"/>
  <c r="L3189" i="17"/>
  <c r="L3190" i="17"/>
  <c r="L3191" i="17"/>
  <c r="L3192" i="17"/>
  <c r="L3193" i="17"/>
  <c r="L3194" i="17"/>
  <c r="L3195" i="17"/>
  <c r="L3196" i="17"/>
  <c r="L3197" i="17"/>
  <c r="L3198" i="17"/>
  <c r="L3199" i="17"/>
  <c r="L3200" i="17"/>
  <c r="L3201" i="17"/>
  <c r="L3202" i="17"/>
  <c r="L3203" i="17"/>
  <c r="L3204" i="17"/>
  <c r="L3205" i="17"/>
  <c r="L3206" i="17"/>
  <c r="L3207" i="17"/>
  <c r="L3208" i="17"/>
  <c r="L3209" i="17"/>
  <c r="L3210" i="17"/>
  <c r="L3211" i="17"/>
  <c r="L3212" i="17"/>
  <c r="L3213" i="17"/>
  <c r="L3214" i="17"/>
  <c r="L3215" i="17"/>
  <c r="L3216" i="17"/>
  <c r="L3217" i="17"/>
  <c r="L3218" i="17"/>
  <c r="L3219" i="17"/>
  <c r="L3220" i="17"/>
  <c r="L3221" i="17"/>
  <c r="L3222" i="17"/>
  <c r="L3223" i="17"/>
  <c r="L3224" i="17"/>
  <c r="L3225" i="17"/>
  <c r="L3226" i="17"/>
  <c r="L3227" i="17"/>
  <c r="L3228" i="17"/>
  <c r="L3229" i="17"/>
  <c r="L3230" i="17"/>
  <c r="L3231" i="17"/>
  <c r="L3232" i="17"/>
  <c r="L3233" i="17"/>
  <c r="L3234" i="17"/>
  <c r="L3235" i="17"/>
  <c r="L3236" i="17"/>
  <c r="L3237" i="17"/>
  <c r="L3238" i="17"/>
  <c r="L3239" i="17"/>
  <c r="L3240" i="17"/>
  <c r="L3241" i="17"/>
  <c r="L3242" i="17"/>
  <c r="L3243" i="17"/>
  <c r="L3244" i="17"/>
  <c r="L3245" i="17"/>
  <c r="L3246" i="17"/>
  <c r="L3247" i="17"/>
  <c r="L3248" i="17"/>
  <c r="L3249" i="17"/>
  <c r="L3250" i="17"/>
  <c r="L3251" i="17"/>
  <c r="L3252" i="17"/>
  <c r="L3253" i="17"/>
  <c r="L3254" i="17"/>
  <c r="L3255" i="17"/>
  <c r="L3256" i="17"/>
  <c r="L3257" i="17"/>
  <c r="L3258" i="17"/>
  <c r="L3259" i="17"/>
  <c r="L3260" i="17"/>
  <c r="L3261" i="17"/>
  <c r="L3262" i="17"/>
  <c r="L3263" i="17"/>
  <c r="L3264" i="17"/>
  <c r="L3265" i="17"/>
  <c r="L3266" i="17"/>
  <c r="L3267" i="17"/>
  <c r="L3268" i="17"/>
  <c r="L3269" i="17"/>
  <c r="L3270" i="17"/>
  <c r="L3271" i="17"/>
  <c r="L3272" i="17"/>
  <c r="L3273" i="17"/>
  <c r="L3274" i="17"/>
  <c r="L3275" i="17"/>
  <c r="L3276" i="17"/>
  <c r="L3277" i="17"/>
  <c r="L3278" i="17"/>
  <c r="L3279" i="17"/>
  <c r="L3280" i="17"/>
  <c r="L3281" i="17"/>
  <c r="L3282" i="17"/>
  <c r="L3283" i="17"/>
  <c r="L3284" i="17"/>
  <c r="L3285" i="17"/>
  <c r="L3286" i="17"/>
  <c r="L3287" i="17"/>
  <c r="L3288" i="17"/>
  <c r="L3289" i="17"/>
  <c r="L3290" i="17"/>
  <c r="L3291" i="17"/>
  <c r="L3292" i="17"/>
  <c r="L3293" i="17"/>
  <c r="L3294" i="17"/>
  <c r="L3295" i="17"/>
  <c r="L3296" i="17"/>
  <c r="L3297" i="17"/>
  <c r="L3298" i="17"/>
  <c r="L3299" i="17"/>
  <c r="L3300" i="17"/>
  <c r="L3301" i="17"/>
  <c r="L3302" i="17"/>
  <c r="L3303" i="17"/>
  <c r="L3304" i="17"/>
  <c r="L3305" i="17"/>
  <c r="L3306" i="17"/>
  <c r="L3307" i="17"/>
  <c r="L3308" i="17"/>
  <c r="L3309" i="17"/>
  <c r="L3310" i="17"/>
  <c r="L3311" i="17"/>
  <c r="L3312" i="17"/>
  <c r="L3313" i="17"/>
  <c r="L3314" i="17"/>
  <c r="L3315" i="17"/>
  <c r="L3316" i="17"/>
  <c r="L3317" i="17"/>
  <c r="L3318" i="17"/>
  <c r="L3319" i="17"/>
  <c r="L3320" i="17"/>
  <c r="L3321" i="17"/>
  <c r="L3322" i="17"/>
  <c r="L3323" i="17"/>
  <c r="L3324" i="17"/>
  <c r="L3325" i="17"/>
  <c r="L3326" i="17"/>
  <c r="L3327" i="17"/>
  <c r="L3328" i="17"/>
  <c r="L3329" i="17"/>
  <c r="L3330" i="17"/>
  <c r="L3331" i="17"/>
  <c r="L3332" i="17"/>
  <c r="L3333" i="17"/>
  <c r="L3334" i="17"/>
  <c r="L3335" i="17"/>
  <c r="L3336" i="17"/>
  <c r="L3337" i="17"/>
  <c r="L3338" i="17"/>
  <c r="L3339" i="17"/>
  <c r="L3340" i="17"/>
  <c r="L3341" i="17"/>
  <c r="L3342" i="17"/>
  <c r="L3343" i="17"/>
  <c r="L3344" i="17"/>
  <c r="L3345" i="17"/>
  <c r="L3346" i="17"/>
  <c r="L3347" i="17"/>
  <c r="L3348" i="17"/>
  <c r="L3349" i="17"/>
  <c r="L3350" i="17"/>
  <c r="L3351" i="17"/>
  <c r="L3352" i="17"/>
  <c r="L3353" i="17"/>
  <c r="L3354" i="17"/>
  <c r="L3355" i="17"/>
  <c r="L3356" i="17"/>
  <c r="L3357" i="17"/>
  <c r="L3358" i="17"/>
  <c r="L3359" i="17"/>
  <c r="L3360" i="17"/>
  <c r="L3361" i="17"/>
  <c r="L3362" i="17"/>
  <c r="L3363" i="17"/>
  <c r="L3364" i="17"/>
  <c r="L3365" i="17"/>
  <c r="L3366" i="17"/>
  <c r="L3367" i="17"/>
  <c r="L3368" i="17"/>
  <c r="L3369" i="17"/>
  <c r="L3370" i="17"/>
  <c r="L3371" i="17"/>
  <c r="L3372" i="17"/>
  <c r="L3373" i="17"/>
  <c r="L3374" i="17"/>
  <c r="L3375" i="17"/>
  <c r="L3376" i="17"/>
  <c r="L3377" i="17"/>
  <c r="L3378" i="17"/>
  <c r="L3379" i="17"/>
  <c r="L3380" i="17"/>
  <c r="L3381" i="17"/>
  <c r="L3382" i="17"/>
  <c r="L3383" i="17"/>
  <c r="L3384" i="17"/>
  <c r="L3385" i="17"/>
  <c r="L3386" i="17"/>
  <c r="L3387" i="17"/>
  <c r="L3388" i="17"/>
  <c r="L3389" i="17"/>
  <c r="L3390" i="17"/>
  <c r="L3391" i="17"/>
  <c r="L3392" i="17"/>
  <c r="L3393" i="17"/>
  <c r="L3394" i="17"/>
  <c r="L3395" i="17"/>
  <c r="L3396" i="17"/>
  <c r="L3397" i="17"/>
  <c r="L3398" i="17"/>
  <c r="L3399" i="17"/>
  <c r="L3400" i="17"/>
  <c r="L3401" i="17"/>
  <c r="L3402" i="17"/>
  <c r="L3403" i="17"/>
  <c r="L3404" i="17"/>
  <c r="L3405" i="17"/>
  <c r="L3406" i="17"/>
  <c r="L3407" i="17"/>
  <c r="L3408" i="17"/>
  <c r="L3409" i="17"/>
  <c r="L3410" i="17"/>
  <c r="L3411" i="17"/>
  <c r="L3412" i="17"/>
  <c r="L3413" i="17"/>
  <c r="L3414" i="17"/>
  <c r="L3415" i="17"/>
  <c r="L3416" i="17"/>
  <c r="L3417" i="17"/>
  <c r="L3418" i="17"/>
  <c r="L3419" i="17"/>
  <c r="L3420" i="17"/>
  <c r="L3421" i="17"/>
  <c r="L3422" i="17"/>
  <c r="L3423" i="17"/>
  <c r="L3424" i="17"/>
  <c r="L3425" i="17"/>
  <c r="L3426" i="17"/>
  <c r="L3427" i="17"/>
  <c r="L3428" i="17"/>
  <c r="L3429" i="17"/>
  <c r="L3430" i="17"/>
  <c r="L3431" i="17"/>
  <c r="L3432" i="17"/>
  <c r="L3433" i="17"/>
  <c r="L3434" i="17"/>
  <c r="L3435" i="17"/>
  <c r="L3436" i="17"/>
  <c r="L3437" i="17"/>
  <c r="L3438" i="17"/>
  <c r="L3439" i="17"/>
  <c r="L3440" i="17"/>
  <c r="L3441" i="17"/>
  <c r="L3442" i="17"/>
  <c r="L3443" i="17"/>
  <c r="L3444" i="17"/>
  <c r="L3445" i="17"/>
  <c r="L3446" i="17"/>
  <c r="L3447" i="17"/>
  <c r="L3448" i="17"/>
  <c r="L3449" i="17"/>
  <c r="L3450" i="17"/>
  <c r="L3451" i="17"/>
  <c r="L3452" i="17"/>
  <c r="L3453" i="17"/>
  <c r="L3454" i="17"/>
  <c r="L3455" i="17"/>
  <c r="L3456" i="17"/>
  <c r="L3457" i="17"/>
  <c r="L3458" i="17"/>
  <c r="L3459" i="17"/>
  <c r="L3460" i="17"/>
  <c r="L3461" i="17"/>
  <c r="L3462" i="17"/>
  <c r="L3463" i="17"/>
  <c r="L3464" i="17"/>
  <c r="L3465" i="17"/>
  <c r="L3466" i="17"/>
  <c r="L3467" i="17"/>
  <c r="L3468" i="17"/>
  <c r="L3469" i="17"/>
  <c r="L3470" i="17"/>
  <c r="L3471" i="17"/>
  <c r="L3472" i="17"/>
  <c r="L3473" i="17"/>
  <c r="L3474" i="17"/>
  <c r="L3475" i="17"/>
  <c r="L3476" i="17"/>
  <c r="L3477" i="17"/>
  <c r="L3478" i="17"/>
  <c r="L3479" i="17"/>
  <c r="L3480" i="17"/>
  <c r="L3481" i="17"/>
  <c r="L3482" i="17"/>
  <c r="L3483" i="17"/>
  <c r="L3484" i="17"/>
  <c r="L3485" i="17"/>
  <c r="L3486" i="17"/>
  <c r="L3487" i="17"/>
  <c r="L3488" i="17"/>
  <c r="L3489" i="17"/>
  <c r="L3490" i="17"/>
  <c r="L3491" i="17"/>
  <c r="L3492" i="17"/>
  <c r="L3493" i="17"/>
  <c r="L3494" i="17"/>
  <c r="L3495" i="17"/>
  <c r="L3496" i="17"/>
  <c r="L3497" i="17"/>
  <c r="L3498" i="17"/>
  <c r="L3499" i="17"/>
  <c r="L3500" i="17"/>
  <c r="L3501" i="17"/>
  <c r="L3502" i="17"/>
  <c r="L3503" i="17"/>
  <c r="L3504" i="17"/>
  <c r="L3505" i="17"/>
  <c r="L3506" i="17"/>
  <c r="L3507" i="17"/>
  <c r="L3508" i="17"/>
  <c r="L3509" i="17"/>
  <c r="L3510" i="17"/>
  <c r="L3511" i="17"/>
  <c r="L3512" i="17"/>
  <c r="L3513" i="17"/>
  <c r="L3514" i="17"/>
  <c r="L3515" i="17"/>
  <c r="L3516" i="17"/>
  <c r="L3517" i="17"/>
  <c r="L3518" i="17"/>
  <c r="L3519" i="17"/>
  <c r="L3520" i="17"/>
  <c r="L3521" i="17"/>
  <c r="D4" i="16" l="1"/>
  <c r="D5" i="16" l="1"/>
  <c r="C4" i="16" l="1"/>
  <c r="C5" i="16"/>
  <c r="M41" i="16" l="1"/>
  <c r="M20" i="16"/>
  <c r="N20" i="16"/>
  <c r="O20" i="16"/>
  <c r="Q20" i="16"/>
  <c r="B19" i="6" l="1"/>
  <c r="C19" i="6"/>
  <c r="D19" i="6"/>
  <c r="E19" i="6"/>
  <c r="F19" i="6"/>
  <c r="G19" i="6"/>
  <c r="H19" i="6"/>
  <c r="B40" i="6"/>
  <c r="C40" i="6"/>
  <c r="D40" i="6"/>
  <c r="E40" i="6"/>
  <c r="F40" i="6"/>
  <c r="G40" i="6"/>
  <c r="H40" i="6"/>
  <c r="B72" i="6"/>
  <c r="B71" i="6"/>
  <c r="B70" i="6"/>
  <c r="B62" i="6"/>
  <c r="B63" i="6"/>
  <c r="B64" i="6"/>
  <c r="B65" i="6"/>
  <c r="B66" i="6"/>
  <c r="B67" i="6"/>
  <c r="B68" i="6"/>
  <c r="B61" i="6"/>
  <c r="B56" i="6"/>
  <c r="B55" i="6"/>
  <c r="B54" i="6"/>
  <c r="B52" i="6"/>
  <c r="B46" i="6"/>
  <c r="B47" i="6"/>
  <c r="B48" i="6"/>
  <c r="B49" i="6"/>
  <c r="B50" i="6"/>
  <c r="B51" i="6"/>
  <c r="B45" i="6"/>
  <c r="B24" i="6"/>
  <c r="C24" i="6"/>
  <c r="D24" i="6"/>
  <c r="E24" i="6"/>
  <c r="F24" i="6"/>
  <c r="G24" i="6"/>
  <c r="H24" i="6"/>
  <c r="B25" i="6"/>
  <c r="C25" i="6"/>
  <c r="D25" i="6"/>
  <c r="E25" i="6"/>
  <c r="F25" i="6"/>
  <c r="G25" i="6"/>
  <c r="H25" i="6"/>
  <c r="B26" i="6"/>
  <c r="C26" i="6"/>
  <c r="D26" i="6"/>
  <c r="E26" i="6"/>
  <c r="F26" i="6"/>
  <c r="G26" i="6"/>
  <c r="H26" i="6"/>
  <c r="B27" i="6"/>
  <c r="C27" i="6"/>
  <c r="D27" i="6"/>
  <c r="E27" i="6"/>
  <c r="F27" i="6"/>
  <c r="G27" i="6"/>
  <c r="H27" i="6"/>
  <c r="B28" i="6"/>
  <c r="C28" i="6"/>
  <c r="D28" i="6"/>
  <c r="E28" i="6"/>
  <c r="F28" i="6"/>
  <c r="G28" i="6"/>
  <c r="H28" i="6"/>
  <c r="B29" i="6"/>
  <c r="C29" i="6"/>
  <c r="D29" i="6"/>
  <c r="E29" i="6"/>
  <c r="F29" i="6"/>
  <c r="G29" i="6"/>
  <c r="H29" i="6"/>
  <c r="B30" i="6"/>
  <c r="C30" i="6"/>
  <c r="D30" i="6"/>
  <c r="E30" i="6"/>
  <c r="F30" i="6"/>
  <c r="G30" i="6"/>
  <c r="H30" i="6"/>
  <c r="B31" i="6"/>
  <c r="C31" i="6"/>
  <c r="D31" i="6"/>
  <c r="E31" i="6"/>
  <c r="F31" i="6"/>
  <c r="G31" i="6"/>
  <c r="H31" i="6"/>
  <c r="B32" i="6"/>
  <c r="C32" i="6"/>
  <c r="D32" i="6"/>
  <c r="E32" i="6"/>
  <c r="F32" i="6"/>
  <c r="G32" i="6"/>
  <c r="H32" i="6"/>
  <c r="B33" i="6"/>
  <c r="C33" i="6"/>
  <c r="D33" i="6"/>
  <c r="E33" i="6"/>
  <c r="F33" i="6"/>
  <c r="G33" i="6"/>
  <c r="H33" i="6"/>
  <c r="B34" i="6"/>
  <c r="C34" i="6"/>
  <c r="D34" i="6"/>
  <c r="E34" i="6"/>
  <c r="F34" i="6"/>
  <c r="G34" i="6"/>
  <c r="H34" i="6"/>
  <c r="B35" i="6"/>
  <c r="C35" i="6"/>
  <c r="D35" i="6"/>
  <c r="E35" i="6"/>
  <c r="F35" i="6"/>
  <c r="G35" i="6"/>
  <c r="H35" i="6"/>
  <c r="B36" i="6"/>
  <c r="C36" i="6"/>
  <c r="D36" i="6"/>
  <c r="E36" i="6"/>
  <c r="F36" i="6"/>
  <c r="G36" i="6"/>
  <c r="H36" i="6"/>
  <c r="B37" i="6"/>
  <c r="C37" i="6"/>
  <c r="D37" i="6"/>
  <c r="E37" i="6"/>
  <c r="F37" i="6"/>
  <c r="G37" i="6"/>
  <c r="H37" i="6"/>
  <c r="B38" i="6"/>
  <c r="C38" i="6"/>
  <c r="D38" i="6"/>
  <c r="E38" i="6"/>
  <c r="F38" i="6"/>
  <c r="G38" i="6"/>
  <c r="H38" i="6"/>
  <c r="B39" i="6"/>
  <c r="C39" i="6"/>
  <c r="D39" i="6"/>
  <c r="E39" i="6"/>
  <c r="F39" i="6"/>
  <c r="G39" i="6"/>
  <c r="H39" i="6"/>
  <c r="C23" i="6"/>
  <c r="D23" i="6"/>
  <c r="E23" i="6"/>
  <c r="F23" i="6"/>
  <c r="G23" i="6"/>
  <c r="H23" i="6"/>
  <c r="B23" i="6"/>
  <c r="B3" i="6"/>
  <c r="C3" i="6"/>
  <c r="D3" i="6"/>
  <c r="E3" i="6"/>
  <c r="F3" i="6"/>
  <c r="G3" i="6"/>
  <c r="H3" i="6"/>
  <c r="B4" i="6"/>
  <c r="C4" i="6"/>
  <c r="D4" i="6"/>
  <c r="E4" i="6"/>
  <c r="F4" i="6"/>
  <c r="G4" i="6"/>
  <c r="H4" i="6"/>
  <c r="B5" i="6"/>
  <c r="C5" i="6"/>
  <c r="D5" i="6"/>
  <c r="E5" i="6"/>
  <c r="F5" i="6"/>
  <c r="G5" i="6"/>
  <c r="H5" i="6"/>
  <c r="B6" i="6"/>
  <c r="C6" i="6"/>
  <c r="D6" i="6"/>
  <c r="E6" i="6"/>
  <c r="F6" i="6"/>
  <c r="G6" i="6"/>
  <c r="H6" i="6"/>
  <c r="B7" i="6"/>
  <c r="C7" i="6"/>
  <c r="D7" i="6"/>
  <c r="E7" i="6"/>
  <c r="F7" i="6"/>
  <c r="G7" i="6"/>
  <c r="H7" i="6"/>
  <c r="B8" i="6"/>
  <c r="C8" i="6"/>
  <c r="D8" i="6"/>
  <c r="E8" i="6"/>
  <c r="F8" i="6"/>
  <c r="G8" i="6"/>
  <c r="H8" i="6"/>
  <c r="B9" i="6"/>
  <c r="C9" i="6"/>
  <c r="D9" i="6"/>
  <c r="E9" i="6"/>
  <c r="F9" i="6"/>
  <c r="G9" i="6"/>
  <c r="H9" i="6"/>
  <c r="B10" i="6"/>
  <c r="C10" i="6"/>
  <c r="D10" i="6"/>
  <c r="E10" i="6"/>
  <c r="F10" i="6"/>
  <c r="G10" i="6"/>
  <c r="H10" i="6"/>
  <c r="B11" i="6"/>
  <c r="C11" i="6"/>
  <c r="D11" i="6"/>
  <c r="E11" i="6"/>
  <c r="F11" i="6"/>
  <c r="G11" i="6"/>
  <c r="H11" i="6"/>
  <c r="B12" i="6"/>
  <c r="C12" i="6"/>
  <c r="D12" i="6"/>
  <c r="E12" i="6"/>
  <c r="F12" i="6"/>
  <c r="G12" i="6"/>
  <c r="H12" i="6"/>
  <c r="B13" i="6"/>
  <c r="C13" i="6"/>
  <c r="D13" i="6"/>
  <c r="E13" i="6"/>
  <c r="F13" i="6"/>
  <c r="G13" i="6"/>
  <c r="H13" i="6"/>
  <c r="B14" i="6"/>
  <c r="C14" i="6"/>
  <c r="D14" i="6"/>
  <c r="E14" i="6"/>
  <c r="F14" i="6"/>
  <c r="G14" i="6"/>
  <c r="H14" i="6"/>
  <c r="B15" i="6"/>
  <c r="C15" i="6"/>
  <c r="D15" i="6"/>
  <c r="E15" i="6"/>
  <c r="F15" i="6"/>
  <c r="G15" i="6"/>
  <c r="H15" i="6"/>
  <c r="B16" i="6"/>
  <c r="C16" i="6"/>
  <c r="D16" i="6"/>
  <c r="E16" i="6"/>
  <c r="F16" i="6"/>
  <c r="G16" i="6"/>
  <c r="H16" i="6"/>
  <c r="B17" i="6"/>
  <c r="C17" i="6"/>
  <c r="D17" i="6"/>
  <c r="E17" i="6"/>
  <c r="F17" i="6"/>
  <c r="G17" i="6"/>
  <c r="H17" i="6"/>
  <c r="B18" i="6"/>
  <c r="C18" i="6"/>
  <c r="D18" i="6"/>
  <c r="E18" i="6"/>
  <c r="F18" i="6"/>
  <c r="G18" i="6"/>
  <c r="H18" i="6"/>
  <c r="C2" i="6"/>
  <c r="D2" i="6"/>
  <c r="E2" i="6"/>
  <c r="F2" i="6"/>
  <c r="G2" i="6"/>
  <c r="H2" i="6"/>
  <c r="B2" i="6"/>
  <c r="I28" i="6" l="1"/>
  <c r="I32" i="6"/>
  <c r="I25" i="6"/>
  <c r="I26" i="6"/>
  <c r="I30" i="6"/>
  <c r="I31" i="6"/>
  <c r="I36" i="6"/>
  <c r="I14" i="6"/>
  <c r="I10" i="6"/>
  <c r="I11" i="6"/>
  <c r="I7" i="6"/>
  <c r="I16" i="6"/>
  <c r="I4" i="6"/>
  <c r="I9" i="6"/>
  <c r="I5" i="6"/>
  <c r="I40" i="6"/>
  <c r="I37" i="6"/>
  <c r="I35" i="6"/>
  <c r="B57" i="6"/>
  <c r="I19" i="6"/>
  <c r="B53" i="6"/>
  <c r="I20" i="6" l="1"/>
  <c r="J3" i="6" s="1"/>
  <c r="B58" i="6"/>
  <c r="C7" i="16"/>
  <c r="A21" i="14" s="1"/>
  <c r="E21" i="14" l="1"/>
  <c r="H11" i="16" s="1"/>
  <c r="H10" i="16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A1232" i="10"/>
  <c r="A1233" i="10"/>
  <c r="A1234" i="10"/>
  <c r="A1235" i="10"/>
  <c r="A1236" i="10"/>
  <c r="A1237" i="10"/>
  <c r="A1238" i="10"/>
  <c r="A1239" i="10"/>
  <c r="A1240" i="10"/>
  <c r="A1241" i="10"/>
  <c r="A1242" i="10"/>
  <c r="A1243" i="10"/>
  <c r="A1244" i="10"/>
  <c r="A1245" i="10"/>
  <c r="A1246" i="10"/>
  <c r="A1247" i="10"/>
  <c r="A1248" i="10"/>
  <c r="A1249" i="10"/>
  <c r="A1250" i="10"/>
  <c r="A1251" i="10"/>
  <c r="A1252" i="10"/>
  <c r="A1253" i="10"/>
  <c r="A1254" i="10"/>
  <c r="A1255" i="10"/>
  <c r="A1256" i="10"/>
  <c r="A1257" i="10"/>
  <c r="A1258" i="10"/>
  <c r="A1259" i="10"/>
  <c r="A1260" i="10"/>
  <c r="A1261" i="10"/>
  <c r="A1262" i="10"/>
  <c r="A1263" i="10"/>
  <c r="A1264" i="10"/>
  <c r="A1265" i="10"/>
  <c r="A1266" i="10"/>
  <c r="A1267" i="10"/>
  <c r="A1268" i="10"/>
  <c r="A1269" i="10"/>
  <c r="A1270" i="10"/>
  <c r="A1271" i="10"/>
  <c r="A1272" i="10"/>
  <c r="A1273" i="10"/>
  <c r="A1274" i="10"/>
  <c r="A1275" i="10"/>
  <c r="A1276" i="10"/>
  <c r="A1277" i="10"/>
  <c r="A1278" i="10"/>
  <c r="A1279" i="10"/>
  <c r="A1280" i="10"/>
  <c r="A1281" i="10"/>
  <c r="A1282" i="10"/>
  <c r="A1283" i="10"/>
  <c r="A1284" i="10"/>
  <c r="A1285" i="10"/>
  <c r="A1286" i="10"/>
  <c r="A1287" i="10"/>
  <c r="A1288" i="10"/>
  <c r="A1289" i="10"/>
  <c r="A1290" i="10"/>
  <c r="A1291" i="10"/>
  <c r="A1292" i="10"/>
  <c r="A1293" i="10"/>
  <c r="A1294" i="10"/>
  <c r="A1295" i="10"/>
  <c r="A1296" i="10"/>
  <c r="A1297" i="10"/>
  <c r="A1298" i="10"/>
  <c r="A1299" i="10"/>
  <c r="A1300" i="10"/>
  <c r="A1301" i="10"/>
  <c r="A1302" i="10"/>
  <c r="A1303" i="10"/>
  <c r="A1304" i="10"/>
  <c r="A1305" i="10"/>
  <c r="A1306" i="10"/>
  <c r="A1307" i="10"/>
  <c r="A1308" i="10"/>
  <c r="A1309" i="10"/>
  <c r="A1310" i="10"/>
  <c r="A1311" i="10"/>
  <c r="A1312" i="10"/>
  <c r="A1313" i="10"/>
  <c r="A1314" i="10"/>
  <c r="A1315" i="10"/>
  <c r="A1316" i="10"/>
  <c r="A1317" i="10"/>
  <c r="A1318" i="10"/>
  <c r="A1319" i="10"/>
  <c r="A1320" i="10"/>
  <c r="A1321" i="10"/>
  <c r="A1322" i="10"/>
  <c r="A1323" i="10"/>
  <c r="A1324" i="10"/>
  <c r="A1325" i="10"/>
  <c r="A1326" i="10"/>
  <c r="A1327" i="10"/>
  <c r="A1328" i="10"/>
  <c r="A1329" i="10"/>
  <c r="A1330" i="10"/>
  <c r="A1331" i="10"/>
  <c r="A1332" i="10"/>
  <c r="A1333" i="10"/>
  <c r="A1334" i="10"/>
  <c r="A1335" i="10"/>
  <c r="A1336" i="10"/>
  <c r="A1337" i="10"/>
  <c r="A1338" i="10"/>
  <c r="A1339" i="10"/>
  <c r="A1340" i="10"/>
  <c r="A1341" i="10"/>
  <c r="A1342" i="10"/>
  <c r="A1343" i="10"/>
  <c r="A1344" i="10"/>
  <c r="A1345" i="10"/>
  <c r="A1346" i="10"/>
  <c r="A1347" i="10"/>
  <c r="A1348" i="10"/>
  <c r="A1349" i="10"/>
  <c r="A1350" i="10"/>
  <c r="A1351" i="10"/>
  <c r="A1352" i="10"/>
  <c r="A1353" i="10"/>
  <c r="A1354" i="10"/>
  <c r="A1355" i="10"/>
  <c r="A1356" i="10"/>
  <c r="A1357" i="10"/>
  <c r="A1358" i="10"/>
  <c r="A1359" i="10"/>
  <c r="A1360" i="10"/>
  <c r="A1361" i="10"/>
  <c r="A1362" i="10"/>
  <c r="A1363" i="10"/>
  <c r="A1364" i="10"/>
  <c r="A1365" i="10"/>
  <c r="A1366" i="10"/>
  <c r="A1367" i="10"/>
  <c r="A1368" i="10"/>
  <c r="A1369" i="10"/>
  <c r="A1370" i="10"/>
  <c r="A1371" i="10"/>
  <c r="A1372" i="10"/>
  <c r="A1373" i="10"/>
  <c r="A1374" i="10"/>
  <c r="A1375" i="10"/>
  <c r="A1376" i="10"/>
  <c r="A1377" i="10"/>
  <c r="A1378" i="10"/>
  <c r="A1379" i="10"/>
  <c r="A1380" i="10"/>
  <c r="A1381" i="10"/>
  <c r="A1382" i="10"/>
  <c r="A1383" i="10"/>
  <c r="A1384" i="10"/>
  <c r="A1385" i="10"/>
  <c r="A1386" i="10"/>
  <c r="A1387" i="10"/>
  <c r="A1388" i="10"/>
  <c r="A1389" i="10"/>
  <c r="A1390" i="10"/>
  <c r="A1391" i="10"/>
  <c r="A1392" i="10"/>
  <c r="A1393" i="10"/>
  <c r="A1394" i="10"/>
  <c r="A1395" i="10"/>
  <c r="A1396" i="10"/>
  <c r="A1397" i="10"/>
  <c r="A1398" i="10"/>
  <c r="A1399" i="10"/>
  <c r="A1400" i="10"/>
  <c r="A1401" i="10"/>
  <c r="A1402" i="10"/>
  <c r="A1403" i="10"/>
  <c r="A1404" i="10"/>
  <c r="A1405" i="10"/>
  <c r="A1406" i="10"/>
  <c r="A1407" i="10"/>
  <c r="A1408" i="10"/>
  <c r="A1409" i="10"/>
  <c r="A1410" i="10"/>
  <c r="A1411" i="10"/>
  <c r="A1412" i="10"/>
  <c r="A1413" i="10"/>
  <c r="A1414" i="10"/>
  <c r="A1415" i="10"/>
  <c r="A1416" i="10"/>
  <c r="A1417" i="10"/>
  <c r="A1418" i="10"/>
  <c r="A1419" i="10"/>
  <c r="A1420" i="10"/>
  <c r="A1421" i="10"/>
  <c r="A1422" i="10"/>
  <c r="A1423" i="10"/>
  <c r="A1424" i="10"/>
  <c r="A1425" i="10"/>
  <c r="A1426" i="10"/>
  <c r="A1427" i="10"/>
  <c r="A1428" i="10"/>
  <c r="A1429" i="10"/>
  <c r="A1430" i="10"/>
  <c r="A1431" i="10"/>
  <c r="A1432" i="10"/>
  <c r="A1433" i="10"/>
  <c r="A1434" i="10"/>
  <c r="A1435" i="10"/>
  <c r="A1436" i="10"/>
  <c r="A1437" i="10"/>
  <c r="A1438" i="10"/>
  <c r="A1439" i="10"/>
  <c r="A1440" i="10"/>
  <c r="A1441" i="10"/>
  <c r="A1442" i="10"/>
  <c r="A1443" i="10"/>
  <c r="A1444" i="10"/>
  <c r="A1445" i="10"/>
  <c r="A1446" i="10"/>
  <c r="A1447" i="10"/>
  <c r="A1448" i="10"/>
  <c r="A1449" i="10"/>
  <c r="A1450" i="10"/>
  <c r="A1451" i="10"/>
  <c r="A1452" i="10"/>
  <c r="A1453" i="10"/>
  <c r="A1454" i="10"/>
  <c r="A1455" i="10"/>
  <c r="A1456" i="10"/>
  <c r="A1457" i="10"/>
  <c r="A1458" i="10"/>
  <c r="A1459" i="10"/>
  <c r="A1460" i="10"/>
  <c r="A1461" i="10"/>
  <c r="A1462" i="10"/>
  <c r="A1463" i="10"/>
  <c r="A1464" i="10"/>
  <c r="A1465" i="10"/>
  <c r="A1466" i="10"/>
  <c r="A1467" i="10"/>
  <c r="A1468" i="10"/>
  <c r="A1469" i="10"/>
  <c r="A1470" i="10"/>
  <c r="A1471" i="10"/>
  <c r="A1472" i="10"/>
  <c r="A1473" i="10"/>
  <c r="A1474" i="10"/>
  <c r="A1475" i="10"/>
  <c r="A1476" i="10"/>
  <c r="A1477" i="10"/>
  <c r="A1478" i="10"/>
  <c r="A1479" i="10"/>
  <c r="A1480" i="10"/>
  <c r="A1481" i="10"/>
  <c r="A1482" i="10"/>
  <c r="A1483" i="10"/>
  <c r="A1484" i="10"/>
  <c r="A1485" i="10"/>
  <c r="A1486" i="10"/>
  <c r="A1487" i="10"/>
  <c r="A1488" i="10"/>
  <c r="A1489" i="10"/>
  <c r="A1490" i="10"/>
  <c r="A1491" i="10"/>
  <c r="A1492" i="10"/>
  <c r="A1493" i="10"/>
  <c r="A1494" i="10"/>
  <c r="A1495" i="10"/>
  <c r="A1496" i="10"/>
  <c r="A1497" i="10"/>
  <c r="A1498" i="10"/>
  <c r="A1499" i="10"/>
  <c r="A1500" i="10"/>
  <c r="A1501" i="10"/>
  <c r="A1502" i="10"/>
  <c r="A1503" i="10"/>
  <c r="A1504" i="10"/>
  <c r="A1505" i="10"/>
  <c r="A1506" i="10"/>
  <c r="A1507" i="10"/>
  <c r="A1508" i="10"/>
  <c r="A1509" i="10"/>
  <c r="A1510" i="10"/>
  <c r="A1511" i="10"/>
  <c r="A1512" i="10"/>
  <c r="A1513" i="10"/>
  <c r="A1514" i="10"/>
  <c r="A1515" i="10"/>
  <c r="A1516" i="10"/>
  <c r="A1517" i="10"/>
  <c r="A1518" i="10"/>
  <c r="A1519" i="10"/>
  <c r="A1520" i="10"/>
  <c r="A1521" i="10"/>
  <c r="A1522" i="10"/>
  <c r="A1523" i="10"/>
  <c r="A1524" i="10"/>
  <c r="A1525" i="10"/>
  <c r="A1526" i="10"/>
  <c r="A1527" i="10"/>
  <c r="A1528" i="10"/>
  <c r="A1529" i="10"/>
  <c r="A1530" i="10"/>
  <c r="A1531" i="10"/>
  <c r="A1532" i="10"/>
  <c r="A1533" i="10"/>
  <c r="A1534" i="10"/>
  <c r="A1535" i="10"/>
  <c r="A1536" i="10"/>
  <c r="A1537" i="10"/>
  <c r="A1538" i="10"/>
  <c r="A1539" i="10"/>
  <c r="A1540" i="10"/>
  <c r="A1541" i="10"/>
  <c r="A1542" i="10"/>
  <c r="A1543" i="10"/>
  <c r="A1544" i="10"/>
  <c r="A1545" i="10"/>
  <c r="A1546" i="10"/>
  <c r="A1547" i="10"/>
  <c r="A1548" i="10"/>
  <c r="A1549" i="10"/>
  <c r="A1550" i="10"/>
  <c r="A1551" i="10"/>
  <c r="A1552" i="10"/>
  <c r="A1553" i="10"/>
  <c r="A1554" i="10"/>
  <c r="A1555" i="10"/>
  <c r="A1556" i="10"/>
  <c r="A1557" i="10"/>
  <c r="A1558" i="10"/>
  <c r="A1559" i="10"/>
  <c r="A1560" i="10"/>
  <c r="A1561" i="10"/>
  <c r="A1562" i="10"/>
  <c r="A1563" i="10"/>
  <c r="A1564" i="10"/>
  <c r="A1565" i="10"/>
  <c r="A1566" i="10"/>
  <c r="A1567" i="10"/>
  <c r="A1568" i="10"/>
  <c r="A1569" i="10"/>
  <c r="A1570" i="10"/>
  <c r="A1571" i="10"/>
  <c r="A1572" i="10"/>
  <c r="A1573" i="10"/>
  <c r="A1574" i="10"/>
  <c r="A1575" i="10"/>
  <c r="A1576" i="10"/>
  <c r="A1577" i="10"/>
  <c r="A1578" i="10"/>
  <c r="A1579" i="10"/>
  <c r="A1580" i="10"/>
  <c r="A1581" i="10"/>
  <c r="A1582" i="10"/>
  <c r="A1583" i="10"/>
  <c r="A1584" i="10"/>
  <c r="A1585" i="10"/>
  <c r="A1586" i="10"/>
  <c r="A1587" i="10"/>
  <c r="A1588" i="10"/>
  <c r="A1589" i="10"/>
  <c r="A1590" i="10"/>
  <c r="A1591" i="10"/>
  <c r="A1592" i="10"/>
  <c r="A1593" i="10"/>
  <c r="A1594" i="10"/>
  <c r="A1595" i="10"/>
  <c r="A1596" i="10"/>
  <c r="A1597" i="10"/>
  <c r="A1598" i="10"/>
  <c r="A1599" i="10"/>
  <c r="A1600" i="10"/>
  <c r="A1601" i="10"/>
  <c r="A1602" i="10"/>
  <c r="A1603" i="10"/>
  <c r="A1604" i="10"/>
  <c r="A1605" i="10"/>
  <c r="A1606" i="10"/>
  <c r="A1607" i="10"/>
  <c r="A1608" i="10"/>
  <c r="A1609" i="10"/>
  <c r="A1610" i="10"/>
  <c r="A1611" i="10"/>
  <c r="A1612" i="10"/>
  <c r="A1613" i="10"/>
  <c r="A1614" i="10"/>
  <c r="A1615" i="10"/>
  <c r="A1616" i="10"/>
  <c r="A1617" i="10"/>
  <c r="A1618" i="10"/>
  <c r="A1619" i="10"/>
  <c r="A1620" i="10"/>
  <c r="A1621" i="10"/>
  <c r="A1622" i="10"/>
  <c r="A1623" i="10"/>
  <c r="A1624" i="10"/>
  <c r="A1625" i="10"/>
  <c r="A1626" i="10"/>
  <c r="A1627" i="10"/>
  <c r="A1628" i="10"/>
  <c r="A1629" i="10"/>
  <c r="A1630" i="10"/>
  <c r="A1631" i="10"/>
  <c r="A1632" i="10"/>
  <c r="A1633" i="10"/>
  <c r="A1634" i="10"/>
  <c r="A1635" i="10"/>
  <c r="A1636" i="10"/>
  <c r="A1637" i="10"/>
  <c r="A1638" i="10"/>
  <c r="A1639" i="10"/>
  <c r="A1640" i="10"/>
  <c r="A1641" i="10"/>
  <c r="A1642" i="10"/>
  <c r="A1643" i="10"/>
  <c r="A1644" i="10"/>
  <c r="A1645" i="10"/>
  <c r="A1646" i="10"/>
  <c r="A1647" i="10"/>
  <c r="A1648" i="10"/>
  <c r="A1649" i="10"/>
  <c r="A1650" i="10"/>
  <c r="A1651" i="10"/>
  <c r="A1652" i="10"/>
  <c r="A1653" i="10"/>
  <c r="A1654" i="10"/>
  <c r="A1655" i="10"/>
  <c r="A1656" i="10"/>
  <c r="A1657" i="10"/>
  <c r="A1658" i="10"/>
  <c r="A1659" i="10"/>
  <c r="A1660" i="10"/>
  <c r="A1661" i="10"/>
  <c r="A1662" i="10"/>
  <c r="A1663" i="10"/>
  <c r="A1664" i="10"/>
  <c r="A1665" i="10"/>
  <c r="A1666" i="10"/>
  <c r="A1667" i="10"/>
  <c r="A1668" i="10"/>
  <c r="A1669" i="10"/>
  <c r="A1670" i="10"/>
  <c r="A1671" i="10"/>
  <c r="A1672" i="10"/>
  <c r="A1673" i="10"/>
  <c r="A1674" i="10"/>
  <c r="A1675" i="10"/>
  <c r="A1676" i="10"/>
  <c r="A1677" i="10"/>
  <c r="A1678" i="10"/>
  <c r="A1679" i="10"/>
  <c r="A1680" i="10"/>
  <c r="A1681" i="10"/>
  <c r="A1682" i="10"/>
  <c r="A1683" i="10"/>
  <c r="A1684" i="10"/>
  <c r="A1685" i="10"/>
  <c r="A1686" i="10"/>
  <c r="A1687" i="10"/>
  <c r="A1688" i="10"/>
  <c r="A1689" i="10"/>
  <c r="A1690" i="10"/>
  <c r="A1691" i="10"/>
  <c r="A1692" i="10"/>
  <c r="A1693" i="10"/>
  <c r="A1694" i="10"/>
  <c r="A1695" i="10"/>
  <c r="A1696" i="10"/>
  <c r="A1697" i="10"/>
  <c r="A1698" i="10"/>
  <c r="A1699" i="10"/>
  <c r="A1700" i="10"/>
  <c r="A1701" i="10"/>
  <c r="A1702" i="10"/>
  <c r="A1703" i="10"/>
  <c r="A1704" i="10"/>
  <c r="A1705" i="10"/>
  <c r="A1706" i="10"/>
  <c r="A1707" i="10"/>
  <c r="A1708" i="10"/>
  <c r="A1709" i="10"/>
  <c r="A1710" i="10"/>
  <c r="A1711" i="10"/>
  <c r="A1712" i="10"/>
  <c r="A1713" i="10"/>
  <c r="A1714" i="10"/>
  <c r="A1715" i="10"/>
  <c r="A1716" i="10"/>
  <c r="A1717" i="10"/>
  <c r="A1718" i="10"/>
  <c r="A1719" i="10"/>
  <c r="A1720" i="10"/>
  <c r="A1721" i="10"/>
  <c r="A1722" i="10"/>
  <c r="A1723" i="10"/>
  <c r="A1724" i="10"/>
  <c r="A1725" i="10"/>
  <c r="A1726" i="10"/>
  <c r="A1727" i="10"/>
  <c r="A1728" i="10"/>
  <c r="A1729" i="10"/>
  <c r="A1730" i="10"/>
  <c r="A1731" i="10"/>
  <c r="A1732" i="10"/>
  <c r="A1733" i="10"/>
  <c r="A1734" i="10"/>
  <c r="A1735" i="10"/>
  <c r="A1736" i="10"/>
  <c r="A1737" i="10"/>
  <c r="A1738" i="10"/>
  <c r="A1739" i="10"/>
  <c r="A1740" i="10"/>
  <c r="A1741" i="10"/>
  <c r="A1742" i="10"/>
  <c r="A1743" i="10"/>
  <c r="A1744" i="10"/>
  <c r="A1745" i="10"/>
  <c r="A1746" i="10"/>
  <c r="A1747" i="10"/>
  <c r="A1748" i="10"/>
  <c r="A1749" i="10"/>
  <c r="A1750" i="10"/>
  <c r="A1751" i="10"/>
  <c r="A1752" i="10"/>
  <c r="A1753" i="10"/>
  <c r="A1754" i="10"/>
  <c r="A1755" i="10"/>
  <c r="A1756" i="10"/>
  <c r="A1757" i="10"/>
  <c r="A1758" i="10"/>
  <c r="A1759" i="10"/>
  <c r="A1760" i="10"/>
  <c r="A1761" i="10"/>
  <c r="A1762" i="10"/>
  <c r="A1763" i="10"/>
  <c r="A1764" i="10"/>
  <c r="A1765" i="10"/>
  <c r="A1766" i="10"/>
  <c r="A1767" i="10"/>
  <c r="A1768" i="10"/>
  <c r="A1769" i="10"/>
  <c r="A1770" i="10"/>
  <c r="A1771" i="10"/>
  <c r="A1772" i="10"/>
  <c r="A1773" i="10"/>
  <c r="A1774" i="10"/>
  <c r="A1775" i="10"/>
  <c r="A1776" i="10"/>
  <c r="A1777" i="10"/>
  <c r="A1778" i="10"/>
  <c r="A1779" i="10"/>
  <c r="A1780" i="10"/>
  <c r="A1781" i="10"/>
  <c r="A1782" i="10"/>
  <c r="A1783" i="10"/>
  <c r="A1784" i="10"/>
  <c r="A1785" i="10"/>
  <c r="A1786" i="10"/>
  <c r="A1787" i="10"/>
  <c r="A1788" i="10"/>
  <c r="A1789" i="10"/>
  <c r="A1790" i="10"/>
  <c r="A1791" i="10"/>
  <c r="A1792" i="10"/>
  <c r="A1793" i="10"/>
  <c r="A1794" i="10"/>
  <c r="A1795" i="10"/>
  <c r="A1796" i="10"/>
  <c r="A1797" i="10"/>
  <c r="A1798" i="10"/>
  <c r="A1799" i="10"/>
  <c r="A1800" i="10"/>
  <c r="A1801" i="10"/>
  <c r="A1802" i="10"/>
  <c r="A1803" i="10"/>
  <c r="A1804" i="10"/>
  <c r="A1805" i="10"/>
  <c r="A1806" i="10"/>
  <c r="A1807" i="10"/>
  <c r="A1808" i="10"/>
  <c r="A1809" i="10"/>
  <c r="A1810" i="10"/>
  <c r="A1811" i="10"/>
  <c r="A1812" i="10"/>
  <c r="A1813" i="10"/>
  <c r="A1814" i="10"/>
  <c r="A1815" i="10"/>
  <c r="A1816" i="10"/>
  <c r="A1817" i="10"/>
  <c r="A1818" i="10"/>
  <c r="A1819" i="10"/>
  <c r="A1820" i="10"/>
  <c r="A1821" i="10"/>
  <c r="A1822" i="10"/>
  <c r="A1823" i="10"/>
  <c r="A1824" i="10"/>
  <c r="A1825" i="10"/>
  <c r="A1826" i="10"/>
  <c r="A1827" i="10"/>
  <c r="A1828" i="10"/>
  <c r="A1829" i="10"/>
  <c r="A1830" i="10"/>
  <c r="A1831" i="10"/>
  <c r="A1832" i="10"/>
  <c r="A1833" i="10"/>
  <c r="A1834" i="10"/>
  <c r="A1835" i="10"/>
  <c r="A1836" i="10"/>
  <c r="A1837" i="10"/>
  <c r="A1838" i="10"/>
  <c r="A1839" i="10"/>
  <c r="A1840" i="10"/>
  <c r="A1841" i="10"/>
  <c r="A1842" i="10"/>
  <c r="A1843" i="10"/>
  <c r="A1844" i="10"/>
  <c r="A1845" i="10"/>
  <c r="A1846" i="10"/>
  <c r="A1847" i="10"/>
  <c r="A1848" i="10"/>
  <c r="A1849" i="10"/>
  <c r="A2" i="10"/>
  <c r="F18" i="14" l="1"/>
  <c r="B18" i="14"/>
  <c r="D21" i="14"/>
  <c r="D20" i="14" s="1"/>
  <c r="G19" i="14" s="1"/>
  <c r="A20" i="14"/>
  <c r="C18" i="14" l="1"/>
  <c r="E20" i="14"/>
  <c r="G18" i="14" l="1"/>
  <c r="I41" i="6" l="1"/>
  <c r="N36" i="6" l="1"/>
  <c r="N37" i="16" s="1"/>
  <c r="Q36" i="6" l="1"/>
  <c r="Q37" i="16" s="1"/>
  <c r="M36" i="6"/>
  <c r="M37" i="16" s="1"/>
  <c r="O36" i="6"/>
  <c r="O37" i="16" s="1"/>
  <c r="R36" i="6"/>
  <c r="R37" i="16" s="1"/>
  <c r="L36" i="6"/>
  <c r="L37" i="16" s="1"/>
  <c r="P36" i="6"/>
  <c r="P37" i="16" s="1"/>
  <c r="L40" i="6"/>
  <c r="L41" i="16" s="1"/>
  <c r="P40" i="6"/>
  <c r="P41" i="16" s="1"/>
  <c r="Q40" i="6"/>
  <c r="Q41" i="16" s="1"/>
  <c r="N40" i="6"/>
  <c r="N41" i="16" s="1"/>
  <c r="R40" i="6"/>
  <c r="R41" i="16" s="1"/>
  <c r="S37" i="16" l="1"/>
  <c r="S41" i="16"/>
  <c r="K38" i="6"/>
  <c r="K17" i="6"/>
  <c r="W17" i="6"/>
  <c r="L38" i="6" l="1"/>
  <c r="L39" i="16" s="1"/>
  <c r="N17" i="6"/>
  <c r="N18" i="16" s="1"/>
  <c r="S38" i="6" l="1"/>
  <c r="O38" i="6"/>
  <c r="O39" i="16" s="1"/>
  <c r="N38" i="6"/>
  <c r="N39" i="16" s="1"/>
  <c r="P38" i="6"/>
  <c r="P39" i="16" s="1"/>
  <c r="R38" i="6"/>
  <c r="R39" i="16" s="1"/>
  <c r="M38" i="6"/>
  <c r="M39" i="16" s="1"/>
  <c r="Q38" i="6"/>
  <c r="Q39" i="16" s="1"/>
  <c r="O17" i="6"/>
  <c r="O18" i="16" s="1"/>
  <c r="M17" i="6"/>
  <c r="M18" i="16" s="1"/>
  <c r="S17" i="6"/>
  <c r="R17" i="6"/>
  <c r="R18" i="16" s="1"/>
  <c r="Q17" i="6"/>
  <c r="Q18" i="16" s="1"/>
  <c r="L17" i="6"/>
  <c r="L18" i="16" s="1"/>
  <c r="P17" i="6"/>
  <c r="P18" i="16" s="1"/>
  <c r="S39" i="16" l="1"/>
  <c r="S18" i="16"/>
  <c r="K28" i="6"/>
  <c r="K36" i="6"/>
  <c r="K15" i="6"/>
  <c r="W15" i="6"/>
  <c r="AB15" i="6" s="1"/>
  <c r="X15" i="6" l="1"/>
  <c r="N28" i="6"/>
  <c r="N29" i="16" s="1"/>
  <c r="P15" i="6"/>
  <c r="P16" i="16" s="1"/>
  <c r="L28" i="6" l="1"/>
  <c r="L29" i="16" s="1"/>
  <c r="M28" i="6"/>
  <c r="M29" i="16" s="1"/>
  <c r="R28" i="6"/>
  <c r="R29" i="16" s="1"/>
  <c r="P28" i="6"/>
  <c r="P29" i="16" s="1"/>
  <c r="Q28" i="6"/>
  <c r="Q29" i="16" s="1"/>
  <c r="O28" i="6"/>
  <c r="O29" i="16" s="1"/>
  <c r="S36" i="6"/>
  <c r="Q15" i="6"/>
  <c r="Q16" i="16" s="1"/>
  <c r="M15" i="6"/>
  <c r="M16" i="16" s="1"/>
  <c r="S15" i="6"/>
  <c r="O15" i="6"/>
  <c r="O16" i="16" s="1"/>
  <c r="L15" i="6"/>
  <c r="L16" i="16" s="1"/>
  <c r="R15" i="6"/>
  <c r="R16" i="16" s="1"/>
  <c r="N15" i="6"/>
  <c r="N16" i="16" s="1"/>
  <c r="S29" i="16" l="1"/>
  <c r="S16" i="16"/>
  <c r="H12" i="13"/>
  <c r="H13" i="13"/>
  <c r="H11" i="13"/>
  <c r="H3" i="13"/>
  <c r="H4" i="13"/>
  <c r="H5" i="13"/>
  <c r="H6" i="13"/>
  <c r="H7" i="13"/>
  <c r="H8" i="13"/>
  <c r="H9" i="13"/>
  <c r="H2" i="13"/>
  <c r="H14" i="13"/>
  <c r="H10" i="13"/>
  <c r="G15" i="13"/>
  <c r="G14" i="13"/>
  <c r="G10" i="13"/>
  <c r="G3" i="13"/>
  <c r="G4" i="13"/>
  <c r="G5" i="13"/>
  <c r="G6" i="13"/>
  <c r="G7" i="13"/>
  <c r="G8" i="13"/>
  <c r="G9" i="13"/>
  <c r="G11" i="13"/>
  <c r="G12" i="13"/>
  <c r="G13" i="13"/>
  <c r="G2" i="13"/>
  <c r="B13" i="13"/>
  <c r="B12" i="13"/>
  <c r="B11" i="13"/>
  <c r="B14" i="13"/>
  <c r="B9" i="13"/>
  <c r="B8" i="13"/>
  <c r="B7" i="13"/>
  <c r="B6" i="13"/>
  <c r="B5" i="13"/>
  <c r="B4" i="13"/>
  <c r="B3" i="13"/>
  <c r="B2" i="13"/>
  <c r="B10" i="13"/>
  <c r="C56" i="6" l="1"/>
  <c r="C47" i="6"/>
  <c r="B69" i="6"/>
  <c r="C66" i="6" s="1"/>
  <c r="B73" i="6"/>
  <c r="C55" i="6" l="1"/>
  <c r="C54" i="6"/>
  <c r="C50" i="6"/>
  <c r="C53" i="6"/>
  <c r="C45" i="6"/>
  <c r="C46" i="6"/>
  <c r="C62" i="6"/>
  <c r="C48" i="6"/>
  <c r="C49" i="6"/>
  <c r="C61" i="6"/>
  <c r="C68" i="6"/>
  <c r="C65" i="6"/>
  <c r="C52" i="6"/>
  <c r="C64" i="6"/>
  <c r="C67" i="6"/>
  <c r="C51" i="6"/>
  <c r="C63" i="6"/>
  <c r="B74" i="6"/>
  <c r="C69" i="6" s="1"/>
  <c r="C71" i="6"/>
  <c r="C70" i="6"/>
  <c r="C72" i="6"/>
  <c r="C57" i="6" l="1"/>
  <c r="C73" i="6"/>
  <c r="K35" i="6" l="1"/>
  <c r="W14" i="6"/>
  <c r="AB14" i="6" s="1"/>
  <c r="K14" i="6"/>
  <c r="X14" i="6" l="1"/>
  <c r="L35" i="6"/>
  <c r="L36" i="16" s="1"/>
  <c r="L14" i="6"/>
  <c r="L15" i="16" s="1"/>
  <c r="O35" i="6" l="1"/>
  <c r="O36" i="16" s="1"/>
  <c r="R35" i="6"/>
  <c r="R36" i="16" s="1"/>
  <c r="P35" i="6"/>
  <c r="P36" i="16" s="1"/>
  <c r="Q35" i="6"/>
  <c r="Q36" i="16" s="1"/>
  <c r="M35" i="6"/>
  <c r="M36" i="16" s="1"/>
  <c r="N35" i="6"/>
  <c r="N36" i="16" s="1"/>
  <c r="S35" i="6"/>
  <c r="R14" i="6"/>
  <c r="R15" i="16" s="1"/>
  <c r="S14" i="6"/>
  <c r="O14" i="6"/>
  <c r="O15" i="16" s="1"/>
  <c r="Q14" i="6"/>
  <c r="Q15" i="16" s="1"/>
  <c r="M14" i="6"/>
  <c r="M15" i="16" s="1"/>
  <c r="N14" i="6"/>
  <c r="N15" i="16" s="1"/>
  <c r="P14" i="6"/>
  <c r="P15" i="16" s="1"/>
  <c r="S15" i="16" l="1"/>
  <c r="S36" i="16"/>
  <c r="AB14" i="7"/>
  <c r="X14" i="7"/>
  <c r="AA18" i="7"/>
  <c r="AA17" i="7"/>
  <c r="AA16" i="7"/>
  <c r="AA15" i="7"/>
  <c r="AA14" i="7"/>
  <c r="AA13" i="7"/>
  <c r="AA12" i="7"/>
  <c r="AA11" i="7"/>
  <c r="AA10" i="7"/>
  <c r="AA9" i="7"/>
  <c r="AA8" i="7"/>
  <c r="AA7" i="7"/>
  <c r="AA6" i="7"/>
  <c r="AA5" i="7"/>
  <c r="AA4" i="7"/>
  <c r="AA3" i="7"/>
  <c r="AA2" i="7"/>
  <c r="K33" i="7" l="1"/>
  <c r="H33" i="7"/>
  <c r="G33" i="7"/>
  <c r="F33" i="7"/>
  <c r="E33" i="7"/>
  <c r="D33" i="7"/>
  <c r="C33" i="7"/>
  <c r="B33" i="7"/>
  <c r="W14" i="7"/>
  <c r="K14" i="7"/>
  <c r="H14" i="7"/>
  <c r="G14" i="7"/>
  <c r="F14" i="7"/>
  <c r="E14" i="7"/>
  <c r="D14" i="7"/>
  <c r="C14" i="7"/>
  <c r="B14" i="7"/>
  <c r="K34" i="6"/>
  <c r="W13" i="6"/>
  <c r="X13" i="6" s="1"/>
  <c r="K13" i="6"/>
  <c r="AB13" i="6" l="1"/>
  <c r="M34" i="6"/>
  <c r="M35" i="16" s="1"/>
  <c r="I33" i="7"/>
  <c r="O33" i="7" s="1"/>
  <c r="I14" i="7"/>
  <c r="R14" i="7" s="1"/>
  <c r="R34" i="6" l="1"/>
  <c r="R35" i="16" s="1"/>
  <c r="P34" i="6"/>
  <c r="P35" i="16" s="1"/>
  <c r="N34" i="6"/>
  <c r="N35" i="16" s="1"/>
  <c r="L34" i="6"/>
  <c r="L35" i="16" s="1"/>
  <c r="Q34" i="6"/>
  <c r="Q35" i="16" s="1"/>
  <c r="O34" i="6"/>
  <c r="O35" i="16" s="1"/>
  <c r="L33" i="7"/>
  <c r="M33" i="7"/>
  <c r="P33" i="7"/>
  <c r="R33" i="7"/>
  <c r="N33" i="7"/>
  <c r="S33" i="7"/>
  <c r="S34" i="6"/>
  <c r="Q33" i="7"/>
  <c r="P14" i="7"/>
  <c r="S14" i="7"/>
  <c r="Q14" i="7"/>
  <c r="M14" i="7"/>
  <c r="O14" i="7"/>
  <c r="L14" i="7"/>
  <c r="N14" i="7"/>
  <c r="S13" i="6"/>
  <c r="Q13" i="6"/>
  <c r="Q14" i="16" s="1"/>
  <c r="M13" i="6"/>
  <c r="M14" i="16" s="1"/>
  <c r="P13" i="6"/>
  <c r="P14" i="16" s="1"/>
  <c r="R13" i="6"/>
  <c r="R14" i="16" s="1"/>
  <c r="L13" i="6"/>
  <c r="L14" i="16" s="1"/>
  <c r="N13" i="6"/>
  <c r="N14" i="16" s="1"/>
  <c r="O13" i="6"/>
  <c r="O14" i="16" s="1"/>
  <c r="S35" i="16" l="1"/>
  <c r="S14" i="16"/>
  <c r="H32" i="7"/>
  <c r="G32" i="7"/>
  <c r="F32" i="7"/>
  <c r="H13" i="7"/>
  <c r="G13" i="7"/>
  <c r="F13" i="7"/>
  <c r="B13" i="7"/>
  <c r="K36" i="7"/>
  <c r="H36" i="7"/>
  <c r="G36" i="7"/>
  <c r="F36" i="7"/>
  <c r="E36" i="7"/>
  <c r="D36" i="7"/>
  <c r="C36" i="7"/>
  <c r="B36" i="7"/>
  <c r="K35" i="7"/>
  <c r="H35" i="7"/>
  <c r="G35" i="7"/>
  <c r="F35" i="7"/>
  <c r="E35" i="7"/>
  <c r="D35" i="7"/>
  <c r="C35" i="7"/>
  <c r="B35" i="7"/>
  <c r="K34" i="7"/>
  <c r="H34" i="7"/>
  <c r="G34" i="7"/>
  <c r="F34" i="7"/>
  <c r="E34" i="7"/>
  <c r="D34" i="7"/>
  <c r="C34" i="7"/>
  <c r="B34" i="7"/>
  <c r="K32" i="7"/>
  <c r="K31" i="7"/>
  <c r="H31" i="7"/>
  <c r="G31" i="7"/>
  <c r="F31" i="7"/>
  <c r="E31" i="7"/>
  <c r="D31" i="7"/>
  <c r="C31" i="7"/>
  <c r="B31" i="7"/>
  <c r="K30" i="7"/>
  <c r="H30" i="7"/>
  <c r="G30" i="7"/>
  <c r="F30" i="7"/>
  <c r="E30" i="7"/>
  <c r="D30" i="7"/>
  <c r="C30" i="7"/>
  <c r="B30" i="7"/>
  <c r="K29" i="7"/>
  <c r="H29" i="7"/>
  <c r="G29" i="7"/>
  <c r="F29" i="7"/>
  <c r="E29" i="7"/>
  <c r="D29" i="7"/>
  <c r="C29" i="7"/>
  <c r="B29" i="7"/>
  <c r="K28" i="7"/>
  <c r="H28" i="7"/>
  <c r="G28" i="7"/>
  <c r="F28" i="7"/>
  <c r="E28" i="7"/>
  <c r="D28" i="7"/>
  <c r="C28" i="7"/>
  <c r="B28" i="7"/>
  <c r="K27" i="7"/>
  <c r="H27" i="7"/>
  <c r="G27" i="7"/>
  <c r="F27" i="7"/>
  <c r="E27" i="7"/>
  <c r="D27" i="7"/>
  <c r="C27" i="7"/>
  <c r="B27" i="7"/>
  <c r="K26" i="7"/>
  <c r="H26" i="7"/>
  <c r="G26" i="7"/>
  <c r="F26" i="7"/>
  <c r="E26" i="7"/>
  <c r="D26" i="7"/>
  <c r="C26" i="7"/>
  <c r="B26" i="7"/>
  <c r="K25" i="7"/>
  <c r="H25" i="7"/>
  <c r="G25" i="7"/>
  <c r="F25" i="7"/>
  <c r="E25" i="7"/>
  <c r="D25" i="7"/>
  <c r="C25" i="7"/>
  <c r="B25" i="7"/>
  <c r="K24" i="7"/>
  <c r="H24" i="7"/>
  <c r="G24" i="7"/>
  <c r="F24" i="7"/>
  <c r="E24" i="7"/>
  <c r="D24" i="7"/>
  <c r="C24" i="7"/>
  <c r="B24" i="7"/>
  <c r="K23" i="7"/>
  <c r="H23" i="7"/>
  <c r="G23" i="7"/>
  <c r="F23" i="7"/>
  <c r="E23" i="7"/>
  <c r="D23" i="7"/>
  <c r="C23" i="7"/>
  <c r="B23" i="7"/>
  <c r="K22" i="7"/>
  <c r="H22" i="7"/>
  <c r="G22" i="7"/>
  <c r="F22" i="7"/>
  <c r="E22" i="7"/>
  <c r="D22" i="7"/>
  <c r="C22" i="7"/>
  <c r="B22" i="7"/>
  <c r="K21" i="7"/>
  <c r="H21" i="7"/>
  <c r="G21" i="7"/>
  <c r="F21" i="7"/>
  <c r="E21" i="7"/>
  <c r="D21" i="7"/>
  <c r="C21" i="7"/>
  <c r="B21" i="7"/>
  <c r="W17" i="7"/>
  <c r="X17" i="7" s="1"/>
  <c r="K17" i="7"/>
  <c r="H17" i="7"/>
  <c r="G17" i="7"/>
  <c r="F17" i="7"/>
  <c r="E17" i="7"/>
  <c r="D17" i="7"/>
  <c r="C17" i="7"/>
  <c r="B17" i="7"/>
  <c r="W16" i="7"/>
  <c r="AB16" i="7" s="1"/>
  <c r="K16" i="7"/>
  <c r="H16" i="7"/>
  <c r="G16" i="7"/>
  <c r="F16" i="7"/>
  <c r="E16" i="7"/>
  <c r="D16" i="7"/>
  <c r="C16" i="7"/>
  <c r="B16" i="7"/>
  <c r="W15" i="7"/>
  <c r="X15" i="7" s="1"/>
  <c r="K15" i="7"/>
  <c r="H15" i="7"/>
  <c r="G15" i="7"/>
  <c r="F15" i="7"/>
  <c r="E15" i="7"/>
  <c r="D15" i="7"/>
  <c r="C15" i="7"/>
  <c r="B15" i="7"/>
  <c r="W13" i="7"/>
  <c r="X13" i="7" s="1"/>
  <c r="K13" i="7"/>
  <c r="X12" i="7"/>
  <c r="W12" i="7"/>
  <c r="AB12" i="7" s="1"/>
  <c r="K12" i="7"/>
  <c r="H12" i="7"/>
  <c r="G12" i="7"/>
  <c r="F12" i="7"/>
  <c r="E12" i="7"/>
  <c r="D12" i="7"/>
  <c r="C12" i="7"/>
  <c r="B12" i="7"/>
  <c r="AB11" i="7"/>
  <c r="W11" i="7"/>
  <c r="X11" i="7" s="1"/>
  <c r="K11" i="7"/>
  <c r="H11" i="7"/>
  <c r="G11" i="7"/>
  <c r="F11" i="7"/>
  <c r="E11" i="7"/>
  <c r="D11" i="7"/>
  <c r="C11" i="7"/>
  <c r="B11" i="7"/>
  <c r="X10" i="7"/>
  <c r="W10" i="7"/>
  <c r="AB10" i="7" s="1"/>
  <c r="K10" i="7"/>
  <c r="H10" i="7"/>
  <c r="G10" i="7"/>
  <c r="F10" i="7"/>
  <c r="E10" i="7"/>
  <c r="D10" i="7"/>
  <c r="C10" i="7"/>
  <c r="B10" i="7"/>
  <c r="AB9" i="7"/>
  <c r="W9" i="7"/>
  <c r="X9" i="7" s="1"/>
  <c r="K9" i="7"/>
  <c r="H9" i="7"/>
  <c r="G9" i="7"/>
  <c r="F9" i="7"/>
  <c r="E9" i="7"/>
  <c r="D9" i="7"/>
  <c r="C9" i="7"/>
  <c r="B9" i="7"/>
  <c r="X8" i="7"/>
  <c r="W8" i="7"/>
  <c r="AB8" i="7" s="1"/>
  <c r="K8" i="7"/>
  <c r="H8" i="7"/>
  <c r="G8" i="7"/>
  <c r="F8" i="7"/>
  <c r="E8" i="7"/>
  <c r="D8" i="7"/>
  <c r="C8" i="7"/>
  <c r="B8" i="7"/>
  <c r="AB7" i="7"/>
  <c r="W7" i="7"/>
  <c r="X7" i="7" s="1"/>
  <c r="K7" i="7"/>
  <c r="H7" i="7"/>
  <c r="G7" i="7"/>
  <c r="F7" i="7"/>
  <c r="E7" i="7"/>
  <c r="D7" i="7"/>
  <c r="C7" i="7"/>
  <c r="B7" i="7"/>
  <c r="X6" i="7"/>
  <c r="W6" i="7"/>
  <c r="AB6" i="7" s="1"/>
  <c r="K6" i="7"/>
  <c r="H6" i="7"/>
  <c r="G6" i="7"/>
  <c r="F6" i="7"/>
  <c r="E6" i="7"/>
  <c r="D6" i="7"/>
  <c r="C6" i="7"/>
  <c r="B6" i="7"/>
  <c r="AB5" i="7"/>
  <c r="W5" i="7"/>
  <c r="X5" i="7" s="1"/>
  <c r="K5" i="7"/>
  <c r="H5" i="7"/>
  <c r="G5" i="7"/>
  <c r="F5" i="7"/>
  <c r="E5" i="7"/>
  <c r="D5" i="7"/>
  <c r="C5" i="7"/>
  <c r="B5" i="7"/>
  <c r="X4" i="7"/>
  <c r="W4" i="7"/>
  <c r="AB4" i="7" s="1"/>
  <c r="K4" i="7"/>
  <c r="H4" i="7"/>
  <c r="G4" i="7"/>
  <c r="F4" i="7"/>
  <c r="E4" i="7"/>
  <c r="D4" i="7"/>
  <c r="C4" i="7"/>
  <c r="B4" i="7"/>
  <c r="W3" i="7"/>
  <c r="X3" i="7" s="1"/>
  <c r="K3" i="7"/>
  <c r="H3" i="7"/>
  <c r="G3" i="7"/>
  <c r="F3" i="7"/>
  <c r="E3" i="7"/>
  <c r="D3" i="7"/>
  <c r="C3" i="7"/>
  <c r="B3" i="7"/>
  <c r="W2" i="7"/>
  <c r="AB2" i="7" s="1"/>
  <c r="K2" i="7"/>
  <c r="H2" i="7"/>
  <c r="G2" i="7"/>
  <c r="F2" i="7"/>
  <c r="E2" i="7"/>
  <c r="D2" i="7"/>
  <c r="C2" i="7"/>
  <c r="B2" i="7"/>
  <c r="I21" i="7" l="1"/>
  <c r="R21" i="7" s="1"/>
  <c r="I4" i="7"/>
  <c r="Q4" i="7" s="1"/>
  <c r="I6" i="7"/>
  <c r="S6" i="7" s="1"/>
  <c r="I12" i="7"/>
  <c r="M12" i="7" s="1"/>
  <c r="I15" i="7"/>
  <c r="S15" i="7" s="1"/>
  <c r="AB13" i="7"/>
  <c r="I17" i="7"/>
  <c r="O17" i="7" s="1"/>
  <c r="I24" i="7"/>
  <c r="Q24" i="7" s="1"/>
  <c r="I28" i="7"/>
  <c r="M28" i="7" s="1"/>
  <c r="I25" i="7"/>
  <c r="S25" i="7" s="1"/>
  <c r="I29" i="7"/>
  <c r="S29" i="7" s="1"/>
  <c r="I34" i="7"/>
  <c r="M34" i="7" s="1"/>
  <c r="L21" i="7"/>
  <c r="S21" i="7"/>
  <c r="X2" i="7"/>
  <c r="AB3" i="7"/>
  <c r="I9" i="7"/>
  <c r="L9" i="7" s="1"/>
  <c r="I11" i="7"/>
  <c r="P11" i="7" s="1"/>
  <c r="N12" i="7"/>
  <c r="N21" i="7"/>
  <c r="I3" i="7"/>
  <c r="L3" i="7" s="1"/>
  <c r="M6" i="7"/>
  <c r="I2" i="7"/>
  <c r="N2" i="7" s="1"/>
  <c r="I5" i="7"/>
  <c r="Q5" i="7" s="1"/>
  <c r="I7" i="7"/>
  <c r="M7" i="7" s="1"/>
  <c r="O4" i="7"/>
  <c r="I8" i="7"/>
  <c r="I10" i="7"/>
  <c r="R10" i="7" s="1"/>
  <c r="O15" i="7"/>
  <c r="S17" i="7"/>
  <c r="O21" i="7"/>
  <c r="O28" i="7"/>
  <c r="AB15" i="7"/>
  <c r="X16" i="7"/>
  <c r="AB17" i="7"/>
  <c r="I22" i="7"/>
  <c r="L22" i="7" s="1"/>
  <c r="I26" i="7"/>
  <c r="Q26" i="7" s="1"/>
  <c r="L28" i="7"/>
  <c r="I30" i="7"/>
  <c r="P30" i="7" s="1"/>
  <c r="I35" i="7"/>
  <c r="Q35" i="7" s="1"/>
  <c r="I13" i="7"/>
  <c r="P13" i="7" s="1"/>
  <c r="I16" i="7"/>
  <c r="O16" i="7" s="1"/>
  <c r="I23" i="7"/>
  <c r="L23" i="7" s="1"/>
  <c r="I27" i="7"/>
  <c r="Q27" i="7" s="1"/>
  <c r="I31" i="7"/>
  <c r="Q31" i="7" s="1"/>
  <c r="I36" i="7"/>
  <c r="L36" i="7" s="1"/>
  <c r="M15" i="7"/>
  <c r="M21" i="7"/>
  <c r="I32" i="7"/>
  <c r="P32" i="7" s="1"/>
  <c r="M4" i="7" l="1"/>
  <c r="R4" i="7"/>
  <c r="S28" i="7"/>
  <c r="P4" i="7"/>
  <c r="N4" i="7"/>
  <c r="Q28" i="7"/>
  <c r="S4" i="7"/>
  <c r="L4" i="7"/>
  <c r="N34" i="7"/>
  <c r="S24" i="7"/>
  <c r="O25" i="7"/>
  <c r="N6" i="7"/>
  <c r="Q6" i="7"/>
  <c r="M17" i="7"/>
  <c r="L17" i="7"/>
  <c r="L6" i="7"/>
  <c r="P6" i="7"/>
  <c r="O6" i="7"/>
  <c r="R6" i="7"/>
  <c r="O12" i="7"/>
  <c r="S12" i="7"/>
  <c r="P12" i="7"/>
  <c r="Q12" i="7"/>
  <c r="L12" i="7"/>
  <c r="P5" i="7"/>
  <c r="L5" i="7"/>
  <c r="Q9" i="7"/>
  <c r="R15" i="7"/>
  <c r="P21" i="7"/>
  <c r="Q21" i="7"/>
  <c r="Q15" i="7"/>
  <c r="L34" i="7"/>
  <c r="R28" i="7"/>
  <c r="N15" i="7"/>
  <c r="L15" i="7"/>
  <c r="P34" i="7"/>
  <c r="O34" i="7"/>
  <c r="N28" i="7"/>
  <c r="R12" i="7"/>
  <c r="P15" i="7"/>
  <c r="P28" i="7"/>
  <c r="M11" i="7"/>
  <c r="R34" i="7"/>
  <c r="R24" i="7"/>
  <c r="S34" i="7"/>
  <c r="L24" i="7"/>
  <c r="L29" i="7"/>
  <c r="M29" i="7"/>
  <c r="O24" i="7"/>
  <c r="L7" i="7"/>
  <c r="N24" i="7"/>
  <c r="P29" i="7"/>
  <c r="P24" i="7"/>
  <c r="M25" i="7"/>
  <c r="O29" i="7"/>
  <c r="P17" i="7"/>
  <c r="Q7" i="7"/>
  <c r="R29" i="7"/>
  <c r="R25" i="7"/>
  <c r="Q29" i="7"/>
  <c r="L25" i="7"/>
  <c r="M24" i="7"/>
  <c r="Q17" i="7"/>
  <c r="R17" i="7"/>
  <c r="N29" i="7"/>
  <c r="N25" i="7"/>
  <c r="P25" i="7"/>
  <c r="O36" i="7"/>
  <c r="O27" i="7"/>
  <c r="O2" i="7"/>
  <c r="P9" i="7"/>
  <c r="Q25" i="7"/>
  <c r="Q34" i="7"/>
  <c r="N17" i="7"/>
  <c r="M9" i="7"/>
  <c r="AB18" i="7"/>
  <c r="AC18" i="7" s="1"/>
  <c r="O32" i="7"/>
  <c r="R32" i="7"/>
  <c r="M13" i="7"/>
  <c r="P8" i="7"/>
  <c r="L8" i="7"/>
  <c r="S8" i="7"/>
  <c r="Q8" i="7"/>
  <c r="M8" i="7"/>
  <c r="R26" i="7"/>
  <c r="M16" i="7"/>
  <c r="X18" i="7"/>
  <c r="Q36" i="7"/>
  <c r="Q23" i="7"/>
  <c r="L35" i="7"/>
  <c r="P26" i="7"/>
  <c r="R8" i="7"/>
  <c r="P3" i="7"/>
  <c r="S31" i="7"/>
  <c r="R31" i="7"/>
  <c r="N31" i="7"/>
  <c r="S16" i="7"/>
  <c r="R16" i="7"/>
  <c r="N16" i="7"/>
  <c r="S30" i="7"/>
  <c r="O30" i="7"/>
  <c r="Q22" i="7"/>
  <c r="S22" i="7"/>
  <c r="O22" i="7"/>
  <c r="S32" i="7"/>
  <c r="Q32" i="7"/>
  <c r="M32" i="7"/>
  <c r="S27" i="7"/>
  <c r="R27" i="7"/>
  <c r="N27" i="7"/>
  <c r="S13" i="7"/>
  <c r="R13" i="7"/>
  <c r="N13" i="7"/>
  <c r="O31" i="7"/>
  <c r="P10" i="7"/>
  <c r="L10" i="7"/>
  <c r="S10" i="7"/>
  <c r="Q10" i="7"/>
  <c r="M10" i="7"/>
  <c r="S5" i="7"/>
  <c r="R5" i="7"/>
  <c r="N5" i="7"/>
  <c r="O5" i="7"/>
  <c r="S2" i="7"/>
  <c r="M2" i="7"/>
  <c r="M5" i="7"/>
  <c r="N35" i="7"/>
  <c r="N32" i="7"/>
  <c r="N26" i="7"/>
  <c r="L13" i="7"/>
  <c r="R9" i="7"/>
  <c r="N9" i="7"/>
  <c r="S9" i="7"/>
  <c r="O9" i="7"/>
  <c r="M36" i="7"/>
  <c r="M31" i="7"/>
  <c r="M27" i="7"/>
  <c r="M23" i="7"/>
  <c r="P16" i="7"/>
  <c r="P36" i="7"/>
  <c r="L32" i="7"/>
  <c r="L30" i="7"/>
  <c r="L26" i="7"/>
  <c r="N10" i="7"/>
  <c r="N8" i="7"/>
  <c r="Q2" i="7"/>
  <c r="O3" i="7"/>
  <c r="S3" i="7"/>
  <c r="N3" i="7"/>
  <c r="R3" i="7"/>
  <c r="R30" i="7"/>
  <c r="R22" i="7"/>
  <c r="S11" i="7"/>
  <c r="O11" i="7"/>
  <c r="R11" i="7"/>
  <c r="N11" i="7"/>
  <c r="Q30" i="7"/>
  <c r="M22" i="7"/>
  <c r="L16" i="7"/>
  <c r="O8" i="7"/>
  <c r="P31" i="7"/>
  <c r="P27" i="7"/>
  <c r="L2" i="7"/>
  <c r="P2" i="7"/>
  <c r="P23" i="7"/>
  <c r="S23" i="7"/>
  <c r="R23" i="7"/>
  <c r="N23" i="7"/>
  <c r="S26" i="7"/>
  <c r="O26" i="7"/>
  <c r="S36" i="7"/>
  <c r="R36" i="7"/>
  <c r="N36" i="7"/>
  <c r="S35" i="7"/>
  <c r="O35" i="7"/>
  <c r="R35" i="7"/>
  <c r="O23" i="7"/>
  <c r="Q13" i="7"/>
  <c r="Q11" i="7"/>
  <c r="R7" i="7"/>
  <c r="N7" i="7"/>
  <c r="S7" i="7"/>
  <c r="O7" i="7"/>
  <c r="M3" i="7"/>
  <c r="N30" i="7"/>
  <c r="N22" i="7"/>
  <c r="Q16" i="7"/>
  <c r="L11" i="7"/>
  <c r="P7" i="7"/>
  <c r="Q3" i="7"/>
  <c r="M35" i="7"/>
  <c r="M30" i="7"/>
  <c r="M26" i="7"/>
  <c r="O13" i="7"/>
  <c r="O10" i="7"/>
  <c r="P35" i="7"/>
  <c r="L31" i="7"/>
  <c r="L27" i="7"/>
  <c r="P22" i="7"/>
  <c r="R2" i="7"/>
  <c r="Y2" i="7" l="1"/>
  <c r="Y14" i="7"/>
  <c r="AC4" i="7"/>
  <c r="AC14" i="7"/>
  <c r="AC17" i="7"/>
  <c r="AC3" i="7"/>
  <c r="Y16" i="7"/>
  <c r="AC16" i="7"/>
  <c r="AC9" i="7"/>
  <c r="AC15" i="7"/>
  <c r="AC5" i="7"/>
  <c r="AC13" i="7"/>
  <c r="AC11" i="7"/>
  <c r="AC12" i="7"/>
  <c r="AC7" i="7"/>
  <c r="AC10" i="7"/>
  <c r="AC8" i="7"/>
  <c r="AC6" i="7"/>
  <c r="AC2" i="7"/>
  <c r="Y18" i="7"/>
  <c r="Y3" i="7"/>
  <c r="Y6" i="7"/>
  <c r="Y13" i="7"/>
  <c r="Y4" i="7"/>
  <c r="Y5" i="7"/>
  <c r="Y7" i="7"/>
  <c r="Y9" i="7"/>
  <c r="Y10" i="7"/>
  <c r="Y17" i="7"/>
  <c r="Y15" i="7"/>
  <c r="Y8" i="7"/>
  <c r="Y12" i="7"/>
  <c r="Y11" i="7"/>
  <c r="K40" i="6" l="1"/>
  <c r="K39" i="6"/>
  <c r="K37" i="6"/>
  <c r="K32" i="6"/>
  <c r="K31" i="6"/>
  <c r="K30" i="6"/>
  <c r="K29" i="6"/>
  <c r="K27" i="6"/>
  <c r="K26" i="6"/>
  <c r="K25" i="6"/>
  <c r="K24" i="6"/>
  <c r="K23" i="6"/>
  <c r="W19" i="6"/>
  <c r="W18" i="6"/>
  <c r="W16" i="6"/>
  <c r="W11" i="6"/>
  <c r="W10" i="6"/>
  <c r="W9" i="6"/>
  <c r="W8" i="6"/>
  <c r="W7" i="6"/>
  <c r="W6" i="6"/>
  <c r="W5" i="6"/>
  <c r="W4" i="6"/>
  <c r="W3" i="6"/>
  <c r="W2" i="6"/>
  <c r="X2" i="6" s="1"/>
  <c r="K19" i="6"/>
  <c r="K18" i="6"/>
  <c r="K16" i="6"/>
  <c r="K11" i="6"/>
  <c r="K10" i="6"/>
  <c r="K9" i="6"/>
  <c r="K8" i="6"/>
  <c r="K7" i="6"/>
  <c r="K6" i="6"/>
  <c r="K5" i="6"/>
  <c r="K4" i="6"/>
  <c r="K3" i="6"/>
  <c r="K2" i="6"/>
  <c r="W12" i="6"/>
  <c r="AB12" i="6" s="1"/>
  <c r="K12" i="6"/>
  <c r="K33" i="6"/>
  <c r="X12" i="6" l="1"/>
  <c r="S33" i="6"/>
  <c r="S12" i="6"/>
  <c r="AB3" i="6"/>
  <c r="AB4" i="6"/>
  <c r="AB5" i="6"/>
  <c r="AB6" i="6"/>
  <c r="AB7" i="6"/>
  <c r="AB8" i="6"/>
  <c r="AB9" i="6"/>
  <c r="AB10" i="6"/>
  <c r="AB11" i="6"/>
  <c r="AB16" i="6"/>
  <c r="AB18" i="6"/>
  <c r="AB19" i="6"/>
  <c r="AB2" i="6"/>
  <c r="X3" i="6"/>
  <c r="X4" i="6"/>
  <c r="X5" i="6"/>
  <c r="X6" i="6"/>
  <c r="X7" i="6"/>
  <c r="X8" i="6"/>
  <c r="X9" i="6"/>
  <c r="X10" i="6"/>
  <c r="X11" i="6"/>
  <c r="X16" i="6"/>
  <c r="X18" i="6"/>
  <c r="X19" i="6"/>
  <c r="Q33" i="6" l="1"/>
  <c r="Q34" i="16" s="1"/>
  <c r="O33" i="6"/>
  <c r="O34" i="16" s="1"/>
  <c r="M33" i="6"/>
  <c r="M34" i="16" s="1"/>
  <c r="R33" i="6"/>
  <c r="R34" i="16" s="1"/>
  <c r="P33" i="6"/>
  <c r="P34" i="16" s="1"/>
  <c r="N33" i="6"/>
  <c r="N34" i="16" s="1"/>
  <c r="L33" i="6"/>
  <c r="L34" i="16" s="1"/>
  <c r="X20" i="6"/>
  <c r="S40" i="6"/>
  <c r="N39" i="6"/>
  <c r="N40" i="16" s="1"/>
  <c r="S31" i="6"/>
  <c r="S30" i="6"/>
  <c r="R12" i="6"/>
  <c r="R13" i="16" s="1"/>
  <c r="P12" i="6"/>
  <c r="P13" i="16" s="1"/>
  <c r="S26" i="6"/>
  <c r="S28" i="6"/>
  <c r="S29" i="6"/>
  <c r="S32" i="6"/>
  <c r="S9" i="6"/>
  <c r="S19" i="6"/>
  <c r="N11" i="6"/>
  <c r="N12" i="16" s="1"/>
  <c r="S10" i="6"/>
  <c r="N6" i="6"/>
  <c r="N7" i="16" s="1"/>
  <c r="P3" i="6"/>
  <c r="P4" i="16" s="1"/>
  <c r="Q37" i="6"/>
  <c r="Q38" i="16" s="1"/>
  <c r="N12" i="6"/>
  <c r="N13" i="16" s="1"/>
  <c r="R7" i="6"/>
  <c r="R8" i="16" s="1"/>
  <c r="L12" i="6"/>
  <c r="L13" i="16" s="1"/>
  <c r="Q12" i="6"/>
  <c r="Q13" i="16" s="1"/>
  <c r="O12" i="6"/>
  <c r="O13" i="16" s="1"/>
  <c r="M12" i="6"/>
  <c r="M13" i="16" s="1"/>
  <c r="S2" i="6"/>
  <c r="O8" i="6"/>
  <c r="O9" i="16" s="1"/>
  <c r="M5" i="6"/>
  <c r="M6" i="16" s="1"/>
  <c r="O23" i="6"/>
  <c r="O24" i="16" s="1"/>
  <c r="L27" i="6"/>
  <c r="L28" i="16" s="1"/>
  <c r="AB20" i="6"/>
  <c r="L24" i="6"/>
  <c r="L25" i="16" s="1"/>
  <c r="S25" i="6"/>
  <c r="S13" i="16" l="1"/>
  <c r="S34" i="16"/>
  <c r="O30" i="6"/>
  <c r="O31" i="16" s="1"/>
  <c r="P30" i="6"/>
  <c r="P31" i="16" s="1"/>
  <c r="L30" i="6"/>
  <c r="L31" i="16" s="1"/>
  <c r="M39" i="6"/>
  <c r="M40" i="16" s="1"/>
  <c r="M31" i="6"/>
  <c r="M32" i="16" s="1"/>
  <c r="R27" i="6"/>
  <c r="R28" i="16" s="1"/>
  <c r="P25" i="6"/>
  <c r="P26" i="16" s="1"/>
  <c r="N23" i="6"/>
  <c r="N24" i="16" s="1"/>
  <c r="L39" i="6"/>
  <c r="L40" i="16" s="1"/>
  <c r="L31" i="6"/>
  <c r="L32" i="16" s="1"/>
  <c r="Q27" i="6"/>
  <c r="Q28" i="16" s="1"/>
  <c r="O25" i="6"/>
  <c r="O26" i="16" s="1"/>
  <c r="M23" i="6"/>
  <c r="M24" i="16" s="1"/>
  <c r="R37" i="6"/>
  <c r="R38" i="16" s="1"/>
  <c r="R30" i="6"/>
  <c r="R31" i="16" s="1"/>
  <c r="P27" i="6"/>
  <c r="P28" i="16" s="1"/>
  <c r="N25" i="6"/>
  <c r="N26" i="16" s="1"/>
  <c r="L23" i="6"/>
  <c r="L24" i="16" s="1"/>
  <c r="Q30" i="6"/>
  <c r="Q31" i="16" s="1"/>
  <c r="O27" i="6"/>
  <c r="O28" i="16" s="1"/>
  <c r="M25" i="6"/>
  <c r="M26" i="16" s="1"/>
  <c r="R32" i="6"/>
  <c r="R33" i="16" s="1"/>
  <c r="N27" i="6"/>
  <c r="N28" i="16" s="1"/>
  <c r="L25" i="6"/>
  <c r="L26" i="16" s="1"/>
  <c r="Q32" i="6"/>
  <c r="Q33" i="16" s="1"/>
  <c r="M27" i="6"/>
  <c r="M28" i="16" s="1"/>
  <c r="R24" i="6"/>
  <c r="R25" i="16" s="1"/>
  <c r="P32" i="6"/>
  <c r="P33" i="16" s="1"/>
  <c r="N30" i="6"/>
  <c r="N31" i="16" s="1"/>
  <c r="Q24" i="6"/>
  <c r="Q25" i="16" s="1"/>
  <c r="O32" i="6"/>
  <c r="O33" i="16" s="1"/>
  <c r="M30" i="6"/>
  <c r="M31" i="16" s="1"/>
  <c r="R26" i="6"/>
  <c r="R27" i="16" s="1"/>
  <c r="P24" i="6"/>
  <c r="P25" i="16" s="1"/>
  <c r="N37" i="6"/>
  <c r="N38" i="16" s="1"/>
  <c r="P37" i="6"/>
  <c r="P38" i="16" s="1"/>
  <c r="L37" i="6"/>
  <c r="L38" i="16" s="1"/>
  <c r="O37" i="6"/>
  <c r="O38" i="16" s="1"/>
  <c r="M37" i="6"/>
  <c r="M38" i="16" s="1"/>
  <c r="N32" i="6"/>
  <c r="N33" i="16" s="1"/>
  <c r="Q26" i="6"/>
  <c r="Q27" i="16" s="1"/>
  <c r="O24" i="6"/>
  <c r="O25" i="16" s="1"/>
  <c r="M32" i="6"/>
  <c r="M33" i="16" s="1"/>
  <c r="R29" i="6"/>
  <c r="R30" i="16" s="1"/>
  <c r="P26" i="6"/>
  <c r="P27" i="16" s="1"/>
  <c r="N24" i="6"/>
  <c r="N25" i="16" s="1"/>
  <c r="L32" i="6"/>
  <c r="L33" i="16" s="1"/>
  <c r="Q29" i="6"/>
  <c r="Q30" i="16" s="1"/>
  <c r="O26" i="6"/>
  <c r="O27" i="16" s="1"/>
  <c r="M24" i="6"/>
  <c r="M25" i="16" s="1"/>
  <c r="R39" i="6"/>
  <c r="R40" i="16" s="1"/>
  <c r="R31" i="6"/>
  <c r="R32" i="16" s="1"/>
  <c r="P29" i="6"/>
  <c r="P30" i="16" s="1"/>
  <c r="N26" i="6"/>
  <c r="N27" i="16" s="1"/>
  <c r="Q39" i="6"/>
  <c r="Q40" i="16" s="1"/>
  <c r="Q31" i="6"/>
  <c r="Q32" i="16" s="1"/>
  <c r="O29" i="6"/>
  <c r="O30" i="16" s="1"/>
  <c r="M26" i="6"/>
  <c r="M27" i="16" s="1"/>
  <c r="R23" i="6"/>
  <c r="R24" i="16" s="1"/>
  <c r="P39" i="6"/>
  <c r="P40" i="16" s="1"/>
  <c r="P31" i="6"/>
  <c r="P32" i="16" s="1"/>
  <c r="N29" i="6"/>
  <c r="N30" i="16" s="1"/>
  <c r="L26" i="6"/>
  <c r="L27" i="16" s="1"/>
  <c r="Q23" i="6"/>
  <c r="Q24" i="16" s="1"/>
  <c r="O39" i="6"/>
  <c r="O40" i="16" s="1"/>
  <c r="O31" i="6"/>
  <c r="O32" i="16" s="1"/>
  <c r="M29" i="6"/>
  <c r="M30" i="16" s="1"/>
  <c r="R25" i="6"/>
  <c r="R26" i="16" s="1"/>
  <c r="P23" i="6"/>
  <c r="P24" i="16" s="1"/>
  <c r="N31" i="6"/>
  <c r="N32" i="16" s="1"/>
  <c r="L29" i="6"/>
  <c r="L30" i="16" s="1"/>
  <c r="Q25" i="6"/>
  <c r="Q26" i="16" s="1"/>
  <c r="O6" i="6"/>
  <c r="O7" i="16" s="1"/>
  <c r="J38" i="6"/>
  <c r="F17" i="14" s="1"/>
  <c r="G17" i="14" s="1"/>
  <c r="L9" i="6"/>
  <c r="L10" i="16" s="1"/>
  <c r="Q9" i="6"/>
  <c r="Q10" i="16" s="1"/>
  <c r="AC14" i="6"/>
  <c r="AC15" i="6"/>
  <c r="Y2" i="6"/>
  <c r="Y15" i="6"/>
  <c r="Y14" i="6"/>
  <c r="P9" i="6"/>
  <c r="P10" i="16" s="1"/>
  <c r="S39" i="6"/>
  <c r="S18" i="6"/>
  <c r="J19" i="6"/>
  <c r="O11" i="6"/>
  <c r="O12" i="16" s="1"/>
  <c r="Q10" i="6"/>
  <c r="Q11" i="16" s="1"/>
  <c r="O9" i="6"/>
  <c r="O10" i="16" s="1"/>
  <c r="N9" i="6"/>
  <c r="N10" i="16" s="1"/>
  <c r="M10" i="6"/>
  <c r="M11" i="16" s="1"/>
  <c r="M9" i="6"/>
  <c r="M10" i="16" s="1"/>
  <c r="R9" i="6"/>
  <c r="R10" i="16" s="1"/>
  <c r="AC5" i="6"/>
  <c r="AC13" i="6"/>
  <c r="Y6" i="6"/>
  <c r="Y13" i="6"/>
  <c r="Y4" i="6"/>
  <c r="Y9" i="6"/>
  <c r="Y10" i="6"/>
  <c r="Y7" i="6"/>
  <c r="Y3" i="6"/>
  <c r="Y18" i="6"/>
  <c r="Y19" i="6"/>
  <c r="Y8" i="6"/>
  <c r="P18" i="6"/>
  <c r="P19" i="16" s="1"/>
  <c r="O3" i="6"/>
  <c r="O4" i="16" s="1"/>
  <c r="L3" i="6"/>
  <c r="L4" i="16" s="1"/>
  <c r="Y16" i="6"/>
  <c r="L11" i="6"/>
  <c r="L12" i="16" s="1"/>
  <c r="S37" i="6"/>
  <c r="R11" i="6"/>
  <c r="R12" i="16" s="1"/>
  <c r="N3" i="6"/>
  <c r="N4" i="16" s="1"/>
  <c r="Q11" i="6"/>
  <c r="Q12" i="16" s="1"/>
  <c r="M11" i="6"/>
  <c r="M12" i="16" s="1"/>
  <c r="M3" i="6"/>
  <c r="M4" i="16" s="1"/>
  <c r="M7" i="6"/>
  <c r="M8" i="16" s="1"/>
  <c r="S11" i="6"/>
  <c r="P11" i="6"/>
  <c r="P12" i="16" s="1"/>
  <c r="R19" i="6"/>
  <c r="R20" i="16" s="1"/>
  <c r="N10" i="6"/>
  <c r="N11" i="16" s="1"/>
  <c r="O10" i="6"/>
  <c r="O11" i="16" s="1"/>
  <c r="L10" i="6"/>
  <c r="L11" i="16" s="1"/>
  <c r="L19" i="6"/>
  <c r="L20" i="16" s="1"/>
  <c r="Q6" i="6"/>
  <c r="Q7" i="16" s="1"/>
  <c r="R10" i="6"/>
  <c r="R11" i="16" s="1"/>
  <c r="P10" i="6"/>
  <c r="P11" i="16" s="1"/>
  <c r="S27" i="6"/>
  <c r="R3" i="6"/>
  <c r="R4" i="16" s="1"/>
  <c r="R18" i="6"/>
  <c r="R19" i="16" s="1"/>
  <c r="S3" i="6"/>
  <c r="Q3" i="6"/>
  <c r="Q4" i="16" s="1"/>
  <c r="S23" i="6"/>
  <c r="R6" i="6"/>
  <c r="R7" i="16" s="1"/>
  <c r="M6" i="6"/>
  <c r="M7" i="16" s="1"/>
  <c r="O7" i="6"/>
  <c r="O8" i="16" s="1"/>
  <c r="N18" i="6"/>
  <c r="N19" i="16" s="1"/>
  <c r="L18" i="6"/>
  <c r="L19" i="16" s="1"/>
  <c r="M18" i="6"/>
  <c r="M19" i="16" s="1"/>
  <c r="L7" i="6"/>
  <c r="L8" i="16" s="1"/>
  <c r="S6" i="6"/>
  <c r="Q7" i="6"/>
  <c r="Q8" i="16" s="1"/>
  <c r="Q18" i="6"/>
  <c r="Q19" i="16" s="1"/>
  <c r="P6" i="6"/>
  <c r="P7" i="16" s="1"/>
  <c r="L6" i="6"/>
  <c r="L7" i="16" s="1"/>
  <c r="S7" i="6"/>
  <c r="O18" i="6"/>
  <c r="O19" i="16" s="1"/>
  <c r="Y11" i="6"/>
  <c r="Y5" i="6"/>
  <c r="Y20" i="6"/>
  <c r="Y12" i="6"/>
  <c r="P7" i="6"/>
  <c r="P8" i="16" s="1"/>
  <c r="N7" i="6"/>
  <c r="N8" i="16" s="1"/>
  <c r="P19" i="6"/>
  <c r="P20" i="16" s="1"/>
  <c r="S4" i="6"/>
  <c r="O4" i="6"/>
  <c r="O5" i="16" s="1"/>
  <c r="S16" i="6"/>
  <c r="R16" i="6"/>
  <c r="R17" i="16" s="1"/>
  <c r="N16" i="6"/>
  <c r="N17" i="16" s="1"/>
  <c r="AC10" i="6"/>
  <c r="Q4" i="6"/>
  <c r="Q5" i="16" s="1"/>
  <c r="M2" i="6"/>
  <c r="M3" i="16" s="1"/>
  <c r="AC19" i="6"/>
  <c r="L8" i="6"/>
  <c r="L9" i="16" s="1"/>
  <c r="P16" i="6"/>
  <c r="P17" i="16" s="1"/>
  <c r="Q8" i="6"/>
  <c r="Q9" i="16" s="1"/>
  <c r="L2" i="6"/>
  <c r="L3" i="16" s="1"/>
  <c r="L4" i="6"/>
  <c r="L5" i="16" s="1"/>
  <c r="AC6" i="6"/>
  <c r="AC3" i="6"/>
  <c r="AC20" i="6"/>
  <c r="AC12" i="6"/>
  <c r="AC18" i="6"/>
  <c r="O5" i="6"/>
  <c r="O6" i="16" s="1"/>
  <c r="O16" i="6"/>
  <c r="O17" i="16" s="1"/>
  <c r="Q2" i="6"/>
  <c r="Q3" i="16" s="1"/>
  <c r="L5" i="6"/>
  <c r="L6" i="16" s="1"/>
  <c r="P8" i="6"/>
  <c r="P9" i="16" s="1"/>
  <c r="AC8" i="6"/>
  <c r="AC9" i="6"/>
  <c r="P4" i="6"/>
  <c r="P5" i="16" s="1"/>
  <c r="S5" i="6"/>
  <c r="R5" i="6"/>
  <c r="R6" i="16" s="1"/>
  <c r="N5" i="6"/>
  <c r="N6" i="16" s="1"/>
  <c r="AC4" i="6"/>
  <c r="AC7" i="6"/>
  <c r="N4" i="6"/>
  <c r="N5" i="16" s="1"/>
  <c r="P5" i="6"/>
  <c r="P6" i="16" s="1"/>
  <c r="N2" i="6"/>
  <c r="N3" i="16" s="1"/>
  <c r="AC16" i="6"/>
  <c r="Q5" i="6"/>
  <c r="Q6" i="16" s="1"/>
  <c r="M16" i="6"/>
  <c r="M17" i="16" s="1"/>
  <c r="S8" i="6"/>
  <c r="R8" i="6"/>
  <c r="R9" i="16" s="1"/>
  <c r="N8" i="6"/>
  <c r="N9" i="16" s="1"/>
  <c r="M4" i="6"/>
  <c r="M5" i="16" s="1"/>
  <c r="AC11" i="6"/>
  <c r="R4" i="6"/>
  <c r="R5" i="16" s="1"/>
  <c r="L16" i="6"/>
  <c r="L17" i="16" s="1"/>
  <c r="R2" i="6"/>
  <c r="R3" i="16" s="1"/>
  <c r="AC2" i="6"/>
  <c r="M8" i="6"/>
  <c r="M9" i="16" s="1"/>
  <c r="Q16" i="6"/>
  <c r="Q17" i="16" s="1"/>
  <c r="O2" i="6"/>
  <c r="O3" i="16" s="1"/>
  <c r="P2" i="6"/>
  <c r="P3" i="16" s="1"/>
  <c r="S24" i="6"/>
  <c r="S28" i="16" l="1"/>
  <c r="S12" i="16"/>
  <c r="S38" i="16"/>
  <c r="S30" i="16"/>
  <c r="S27" i="16"/>
  <c r="S17" i="16"/>
  <c r="S6" i="16"/>
  <c r="S8" i="16"/>
  <c r="S7" i="16"/>
  <c r="S4" i="16"/>
  <c r="S33" i="16"/>
  <c r="S26" i="16"/>
  <c r="S5" i="16"/>
  <c r="S9" i="16"/>
  <c r="S20" i="16"/>
  <c r="S10" i="16"/>
  <c r="S31" i="16"/>
  <c r="S11" i="16"/>
  <c r="S25" i="16"/>
  <c r="S32" i="16"/>
  <c r="S3" i="16"/>
  <c r="S19" i="16"/>
  <c r="S24" i="16"/>
  <c r="S40" i="16"/>
  <c r="J17" i="6"/>
  <c r="B17" i="14" s="1"/>
  <c r="C17" i="14" s="1"/>
  <c r="J28" i="6"/>
  <c r="F7" i="14" s="1"/>
  <c r="G7" i="14" s="1"/>
  <c r="J36" i="6"/>
  <c r="F15" i="14" s="1"/>
  <c r="G15" i="14" s="1"/>
  <c r="J15" i="6"/>
  <c r="B15" i="14" s="1"/>
  <c r="C15" i="14" s="1"/>
  <c r="S41" i="6"/>
  <c r="J24" i="6"/>
  <c r="F3" i="14" s="1"/>
  <c r="G3" i="14" s="1"/>
  <c r="J27" i="6"/>
  <c r="F6" i="14" s="1"/>
  <c r="G6" i="14" s="1"/>
  <c r="J31" i="6"/>
  <c r="F10" i="14" s="1"/>
  <c r="G10" i="14" s="1"/>
  <c r="J35" i="6"/>
  <c r="F14" i="14" s="1"/>
  <c r="G14" i="14" s="1"/>
  <c r="J23" i="6"/>
  <c r="F2" i="14" s="1"/>
  <c r="G2" i="14" s="1"/>
  <c r="J33" i="6"/>
  <c r="F12" i="14" s="1"/>
  <c r="G12" i="14" s="1"/>
  <c r="J26" i="6"/>
  <c r="F5" i="14" s="1"/>
  <c r="G5" i="14" s="1"/>
  <c r="J40" i="6"/>
  <c r="J25" i="6"/>
  <c r="F4" i="14" s="1"/>
  <c r="G4" i="14" s="1"/>
  <c r="J32" i="6"/>
  <c r="F11" i="14" s="1"/>
  <c r="G11" i="14" s="1"/>
  <c r="J37" i="6"/>
  <c r="F16" i="14" s="1"/>
  <c r="G16" i="14" s="1"/>
  <c r="J29" i="6"/>
  <c r="F8" i="14" s="1"/>
  <c r="G8" i="14" s="1"/>
  <c r="J30" i="6"/>
  <c r="F9" i="14" s="1"/>
  <c r="G9" i="14" s="1"/>
  <c r="J34" i="6"/>
  <c r="F13" i="14" s="1"/>
  <c r="G13" i="14" s="1"/>
  <c r="S20" i="6"/>
  <c r="J8" i="6"/>
  <c r="B8" i="14" s="1"/>
  <c r="C8" i="14" s="1"/>
  <c r="J12" i="6"/>
  <c r="B12" i="14" s="1"/>
  <c r="C12" i="14" s="1"/>
  <c r="J7" i="6"/>
  <c r="B7" i="14" s="1"/>
  <c r="C7" i="14" s="1"/>
  <c r="J5" i="6"/>
  <c r="B5" i="14" s="1"/>
  <c r="C5" i="14" s="1"/>
  <c r="J9" i="6"/>
  <c r="B9" i="14" s="1"/>
  <c r="C9" i="14" s="1"/>
  <c r="J13" i="6"/>
  <c r="B13" i="14" s="1"/>
  <c r="C13" i="14" s="1"/>
  <c r="J11" i="6"/>
  <c r="B11" i="14" s="1"/>
  <c r="C11" i="14" s="1"/>
  <c r="B3" i="14"/>
  <c r="C3" i="14" s="1"/>
  <c r="J6" i="6"/>
  <c r="B6" i="14" s="1"/>
  <c r="C6" i="14" s="1"/>
  <c r="J10" i="6"/>
  <c r="B10" i="14" s="1"/>
  <c r="C10" i="14" s="1"/>
  <c r="J14" i="6"/>
  <c r="B14" i="14" s="1"/>
  <c r="C14" i="14" s="1"/>
  <c r="J2" i="6"/>
  <c r="J4" i="6"/>
  <c r="B4" i="14" s="1"/>
  <c r="C4" i="14" s="1"/>
  <c r="J16" i="6"/>
  <c r="B16" i="14" s="1"/>
  <c r="C16" i="14" s="1"/>
  <c r="G20" i="14" l="1"/>
  <c r="H6" i="14" s="1"/>
  <c r="K28" i="16" s="1"/>
  <c r="J20" i="6"/>
  <c r="B2" i="14"/>
  <c r="C2" i="14" s="1"/>
  <c r="J41" i="6"/>
  <c r="H5" i="14" l="1"/>
  <c r="K27" i="16" s="1"/>
  <c r="H10" i="14"/>
  <c r="K32" i="16" s="1"/>
  <c r="H2" i="14"/>
  <c r="K24" i="16" s="1"/>
  <c r="H19" i="14"/>
  <c r="K41" i="16" s="1"/>
  <c r="H18" i="14"/>
  <c r="K40" i="16" s="1"/>
  <c r="H17" i="14"/>
  <c r="K39" i="16" s="1"/>
  <c r="H12" i="14"/>
  <c r="K34" i="16" s="1"/>
  <c r="C20" i="14"/>
  <c r="D2" i="14" s="1"/>
  <c r="K3" i="16" s="1"/>
  <c r="H14" i="14"/>
  <c r="K36" i="16" s="1"/>
  <c r="H7" i="14"/>
  <c r="K29" i="16" s="1"/>
  <c r="H4" i="14"/>
  <c r="K26" i="16" s="1"/>
  <c r="H11" i="14"/>
  <c r="K33" i="16" s="1"/>
  <c r="H16" i="14"/>
  <c r="K38" i="16" s="1"/>
  <c r="H8" i="14"/>
  <c r="K30" i="16" s="1"/>
  <c r="H3" i="14"/>
  <c r="K25" i="16" s="1"/>
  <c r="H9" i="14"/>
  <c r="K31" i="16" s="1"/>
  <c r="H15" i="14"/>
  <c r="K37" i="16" s="1"/>
  <c r="H13" i="14"/>
  <c r="K35" i="16" s="1"/>
  <c r="K42" i="16" l="1"/>
  <c r="D19" i="14"/>
  <c r="K20" i="16" s="1"/>
  <c r="D18" i="14"/>
  <c r="K19" i="16" s="1"/>
  <c r="D4" i="14"/>
  <c r="K5" i="16" s="1"/>
  <c r="D10" i="14"/>
  <c r="K11" i="16" s="1"/>
  <c r="D5" i="14"/>
  <c r="K6" i="16" s="1"/>
  <c r="D15" i="14"/>
  <c r="K16" i="16" s="1"/>
  <c r="D7" i="14"/>
  <c r="K8" i="16" s="1"/>
  <c r="D6" i="14"/>
  <c r="K7" i="16" s="1"/>
  <c r="D13" i="14"/>
  <c r="K14" i="16" s="1"/>
  <c r="D9" i="14"/>
  <c r="K10" i="16" s="1"/>
  <c r="D17" i="14"/>
  <c r="K18" i="16" s="1"/>
  <c r="D12" i="14"/>
  <c r="K13" i="16" s="1"/>
  <c r="D16" i="14"/>
  <c r="K17" i="16" s="1"/>
  <c r="D8" i="14"/>
  <c r="K9" i="16" s="1"/>
  <c r="D11" i="14"/>
  <c r="K12" i="16" s="1"/>
  <c r="D3" i="14"/>
  <c r="K4" i="16" s="1"/>
  <c r="D14" i="14"/>
  <c r="K15" i="16" s="1"/>
  <c r="K21" i="16" l="1"/>
</calcChain>
</file>

<file path=xl/connections.xml><?xml version="1.0" encoding="utf-8"?>
<connections xmlns="http://schemas.openxmlformats.org/spreadsheetml/2006/main">
  <connection id="1" sourceFile="S:\db1_backend_Daily.accdb" keepAlive="1" name="db1_backend_Daily" type="5" refreshedVersion="5" background="1" saveData="1">
    <dbPr connection="Provider=Microsoft.ACE.OLEDB.12.0;User ID=Admin;Data Source=S:\db1_backend_Daily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LEFT(Store,3) as Shop, TradingDate, Sum(SOH) AS TSOH, Sum([Units Sold]) AS [TUnitsSold], Sum([Net Sales$]) AS [TNetSales], Sum([GP$]) AS [TGP], Cat  FROM DailyItemmovement  where Tradingdate between datevalue(&quot;9/07/2017&quot;) and datevalue(&quot;5/08/2017&quot;)  group by Store, Tradingdate, Cat "/>
  </connection>
</connections>
</file>

<file path=xl/sharedStrings.xml><?xml version="1.0" encoding="utf-8"?>
<sst xmlns="http://schemas.openxmlformats.org/spreadsheetml/2006/main" count="9082" uniqueCount="91">
  <si>
    <t>TradingDate</t>
  </si>
  <si>
    <t>TSOH</t>
  </si>
  <si>
    <t>TUnitsSold</t>
  </si>
  <si>
    <t>TNetSales</t>
  </si>
  <si>
    <t>TGP</t>
  </si>
  <si>
    <t>Cat</t>
  </si>
  <si>
    <t>001</t>
  </si>
  <si>
    <t>BRACELET</t>
  </si>
  <si>
    <t>ACCESSORY</t>
  </si>
  <si>
    <t>N.APPAREL</t>
  </si>
  <si>
    <t>ELASTIC BELT</t>
  </si>
  <si>
    <t>knit</t>
  </si>
  <si>
    <t>KNIT</t>
  </si>
  <si>
    <t>APPAREL</t>
  </si>
  <si>
    <t>Legging</t>
  </si>
  <si>
    <t>LEGGING</t>
  </si>
  <si>
    <t>NECKLACE</t>
  </si>
  <si>
    <t>outer</t>
  </si>
  <si>
    <t>OUTER</t>
  </si>
  <si>
    <t>pant</t>
  </si>
  <si>
    <t>PANT</t>
  </si>
  <si>
    <t>PURSE</t>
  </si>
  <si>
    <t>SCARF</t>
  </si>
  <si>
    <t>sh&amp;bl</t>
  </si>
  <si>
    <t>SH&amp;BL</t>
  </si>
  <si>
    <t>top</t>
  </si>
  <si>
    <t>TOP</t>
  </si>
  <si>
    <t>BLANKET</t>
  </si>
  <si>
    <t>HANDBAG</t>
  </si>
  <si>
    <t>OPEN TOE SHOE HEEL</t>
  </si>
  <si>
    <t>SHOES</t>
  </si>
  <si>
    <t>RING</t>
  </si>
  <si>
    <t>skirt</t>
  </si>
  <si>
    <t>SKIRT</t>
  </si>
  <si>
    <t>CLOSED TOE SHOE FLAT</t>
  </si>
  <si>
    <t>dress</t>
  </si>
  <si>
    <t>DRESS</t>
  </si>
  <si>
    <t>OPEN TOE SHOE FLAT</t>
  </si>
  <si>
    <t>CLOSED TOE SHOE HEEL</t>
  </si>
  <si>
    <t>BOOTS</t>
  </si>
  <si>
    <t>035</t>
  </si>
  <si>
    <t>037</t>
  </si>
  <si>
    <t>041</t>
  </si>
  <si>
    <t>043</t>
  </si>
  <si>
    <t>044</t>
  </si>
  <si>
    <t>103</t>
  </si>
  <si>
    <t>201</t>
  </si>
  <si>
    <t>AMOUNT</t>
  </si>
  <si>
    <t>TOTAL</t>
  </si>
  <si>
    <t>AMOUNT%</t>
  </si>
  <si>
    <t>UNIT</t>
  </si>
  <si>
    <t xml:space="preserve">Special cat </t>
  </si>
  <si>
    <t>Knit</t>
  </si>
  <si>
    <t>%</t>
  </si>
  <si>
    <t>Ref week</t>
  </si>
  <si>
    <t>SUN</t>
  </si>
  <si>
    <t>MON</t>
  </si>
  <si>
    <t>TUE</t>
  </si>
  <si>
    <t>WED</t>
  </si>
  <si>
    <t>THU</t>
  </si>
  <si>
    <t>FRI</t>
  </si>
  <si>
    <t>SAT</t>
  </si>
  <si>
    <t>Date</t>
  </si>
  <si>
    <t>Day</t>
  </si>
  <si>
    <t>Week Start date</t>
  </si>
  <si>
    <t>WeeK No</t>
  </si>
  <si>
    <t>Year</t>
  </si>
  <si>
    <t>APPERAL TOTAL</t>
  </si>
  <si>
    <t>N.APPERAL TOTAL</t>
  </si>
  <si>
    <t>GRAND TOTAL</t>
  </si>
  <si>
    <t>UNIT%</t>
  </si>
  <si>
    <t>Total</t>
  </si>
  <si>
    <t>AV SP</t>
  </si>
  <si>
    <t>Qty</t>
  </si>
  <si>
    <t>Amount</t>
  </si>
  <si>
    <t>Total Amount</t>
  </si>
  <si>
    <t>AVG SP</t>
  </si>
  <si>
    <t>Total Qty</t>
  </si>
  <si>
    <t>Week No</t>
  </si>
  <si>
    <t>CAT</t>
  </si>
  <si>
    <t>CAT1</t>
  </si>
  <si>
    <t>CAT3</t>
  </si>
  <si>
    <t>NON-ELASTIC BELT</t>
  </si>
  <si>
    <t>EARRING</t>
  </si>
  <si>
    <t>HAIRWEAR</t>
  </si>
  <si>
    <t>UMBRELLA</t>
  </si>
  <si>
    <t>Shop</t>
  </si>
  <si>
    <t>Cat1</t>
  </si>
  <si>
    <t>Cat2</t>
  </si>
  <si>
    <t>Shop2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</si>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</sst>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ddd"/>
    <numFmt numFmtId="165" formatCode="_-* #,##0_-;\-* #,##0_-;_-* &quot;-&quot;??_-;_-@_-"/>
    <numFmt numFmtId="166" formatCode="0.0%"/>
  </numFmts>
  <fonts count="11" x14ac:knownFonts="1">
    <font>
      <sz val="8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sz val="8"/>
      <color rgb="FF3F3F76"/>
      <name val="Calibri"/>
      <family val="2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6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" fillId="5" borderId="10" applyNumberForma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5" fillId="5" borderId="10" applyNumberFormat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</cellStyleXfs>
  <cellXfs count="75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65" fontId="0" fillId="3" borderId="0" xfId="1" applyNumberFormat="1" applyFont="1" applyFill="1" applyAlignment="1">
      <alignment horizontal="center" vertical="center"/>
    </xf>
    <xf numFmtId="9" fontId="0" fillId="3" borderId="0" xfId="2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0" borderId="0" xfId="0" applyFill="1"/>
    <xf numFmtId="9" fontId="0" fillId="3" borderId="0" xfId="0" applyNumberFormat="1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9" fontId="0" fillId="2" borderId="0" xfId="2" applyFont="1" applyFill="1" applyAlignment="1">
      <alignment horizontal="center" vertical="center"/>
    </xf>
    <xf numFmtId="166" fontId="0" fillId="2" borderId="0" xfId="2" applyNumberFormat="1" applyFont="1" applyFill="1" applyAlignment="1">
      <alignment horizontal="center" vertical="center"/>
    </xf>
    <xf numFmtId="0" fontId="0" fillId="0" borderId="9" xfId="0" applyBorder="1"/>
    <xf numFmtId="0" fontId="4" fillId="4" borderId="9" xfId="0" applyFont="1" applyFill="1" applyBorder="1" applyAlignment="1">
      <alignment horizontal="center" vertical="center"/>
    </xf>
    <xf numFmtId="0" fontId="0" fillId="2" borderId="9" xfId="0" applyFill="1" applyBorder="1"/>
    <xf numFmtId="0" fontId="0" fillId="0" borderId="9" xfId="0" applyFill="1" applyBorder="1"/>
    <xf numFmtId="0" fontId="0" fillId="3" borderId="9" xfId="0" applyFill="1" applyBorder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0" fontId="0" fillId="0" borderId="0" xfId="0"/>
    <xf numFmtId="0" fontId="0" fillId="6" borderId="0" xfId="0" applyFill="1"/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14" fontId="0" fillId="3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14" fontId="0" fillId="3" borderId="7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6" fillId="0" borderId="0" xfId="25" applyFont="1" applyFill="1"/>
    <xf numFmtId="0" fontId="6" fillId="0" borderId="0" xfId="25" applyFont="1"/>
    <xf numFmtId="14" fontId="6" fillId="0" borderId="0" xfId="25" applyNumberFormat="1" applyFont="1" applyFill="1"/>
    <xf numFmtId="0" fontId="0" fillId="3" borderId="0" xfId="0" applyFill="1" applyBorder="1"/>
    <xf numFmtId="166" fontId="0" fillId="3" borderId="0" xfId="2" applyNumberFormat="1" applyFont="1" applyFill="1" applyBorder="1"/>
    <xf numFmtId="164" fontId="0" fillId="3" borderId="0" xfId="0" applyNumberFormat="1" applyFill="1" applyBorder="1" applyAlignment="1">
      <alignment horizontal="center" vertical="center"/>
    </xf>
    <xf numFmtId="14" fontId="0" fillId="3" borderId="0" xfId="0" applyNumberFormat="1" applyFill="1" applyBorder="1"/>
    <xf numFmtId="9" fontId="0" fillId="2" borderId="0" xfId="0" applyNumberFormat="1" applyFill="1" applyBorder="1" applyAlignment="1">
      <alignment horizontal="center" vertical="center"/>
    </xf>
    <xf numFmtId="166" fontId="0" fillId="3" borderId="0" xfId="2" applyNumberFormat="1" applyFont="1" applyFill="1" applyBorder="1" applyAlignment="1">
      <alignment horizontal="center" vertical="center"/>
    </xf>
    <xf numFmtId="9" fontId="0" fillId="3" borderId="0" xfId="0" applyNumberFormat="1" applyFill="1" applyBorder="1" applyAlignment="1">
      <alignment horizontal="center" vertical="center"/>
    </xf>
    <xf numFmtId="0" fontId="0" fillId="2" borderId="0" xfId="0" applyFill="1" applyBorder="1"/>
    <xf numFmtId="0" fontId="7" fillId="3" borderId="0" xfId="0" applyFont="1" applyFill="1" applyBorder="1"/>
    <xf numFmtId="1" fontId="7" fillId="3" borderId="0" xfId="0" applyNumberFormat="1" applyFont="1" applyFill="1" applyBorder="1"/>
    <xf numFmtId="9" fontId="0" fillId="2" borderId="1" xfId="0" applyNumberFormat="1" applyFill="1" applyBorder="1" applyAlignment="1">
      <alignment horizontal="center" vertical="center"/>
    </xf>
    <xf numFmtId="9" fontId="0" fillId="2" borderId="2" xfId="0" applyNumberFormat="1" applyFill="1" applyBorder="1" applyAlignment="1">
      <alignment horizontal="center" vertical="center"/>
    </xf>
    <xf numFmtId="9" fontId="0" fillId="2" borderId="3" xfId="0" applyNumberFormat="1" applyFill="1" applyBorder="1" applyAlignment="1">
      <alignment horizontal="center" vertical="center"/>
    </xf>
    <xf numFmtId="9" fontId="0" fillId="2" borderId="4" xfId="0" applyNumberFormat="1" applyFill="1" applyBorder="1" applyAlignment="1">
      <alignment horizontal="center" vertical="center"/>
    </xf>
    <xf numFmtId="9" fontId="0" fillId="2" borderId="5" xfId="0" applyNumberFormat="1" applyFill="1" applyBorder="1" applyAlignment="1">
      <alignment horizontal="center" vertical="center"/>
    </xf>
    <xf numFmtId="9" fontId="0" fillId="2" borderId="6" xfId="0" applyNumberFormat="1" applyFill="1" applyBorder="1" applyAlignment="1">
      <alignment horizontal="center" vertical="center"/>
    </xf>
    <xf numFmtId="9" fontId="0" fillId="2" borderId="7" xfId="0" applyNumberFormat="1" applyFill="1" applyBorder="1" applyAlignment="1">
      <alignment horizontal="center" vertical="center"/>
    </xf>
    <xf numFmtId="9" fontId="0" fillId="2" borderId="8" xfId="0" applyNumberFormat="1" applyFill="1" applyBorder="1" applyAlignment="1">
      <alignment horizontal="center" vertical="center"/>
    </xf>
    <xf numFmtId="166" fontId="0" fillId="2" borderId="14" xfId="2" applyNumberFormat="1" applyFont="1" applyFill="1" applyBorder="1" applyAlignment="1">
      <alignment horizontal="center" vertical="center"/>
    </xf>
    <xf numFmtId="166" fontId="0" fillId="2" borderId="15" xfId="2" applyNumberFormat="1" applyFont="1" applyFill="1" applyBorder="1" applyAlignment="1">
      <alignment horizontal="center" vertical="center"/>
    </xf>
    <xf numFmtId="166" fontId="0" fillId="2" borderId="16" xfId="2" applyNumberFormat="1" applyFont="1" applyFill="1" applyBorder="1" applyAlignment="1">
      <alignment horizontal="center" vertical="center"/>
    </xf>
    <xf numFmtId="0" fontId="8" fillId="0" borderId="0" xfId="25" applyFont="1" applyFill="1"/>
    <xf numFmtId="14" fontId="8" fillId="0" borderId="0" xfId="25" applyNumberFormat="1" applyFont="1" applyFill="1"/>
    <xf numFmtId="0" fontId="9" fillId="0" borderId="0" xfId="25" applyFont="1" applyFill="1"/>
    <xf numFmtId="14" fontId="9" fillId="0" borderId="0" xfId="25" applyNumberFormat="1" applyFont="1" applyFill="1"/>
    <xf numFmtId="0" fontId="10" fillId="0" borderId="0" xfId="25" applyFont="1" applyFill="1"/>
    <xf numFmtId="14" fontId="10" fillId="0" borderId="0" xfId="25" applyNumberFormat="1" applyFont="1" applyFill="1"/>
  </cellXfs>
  <cellStyles count="26">
    <cellStyle name="Comma" xfId="1" builtinId="3"/>
    <cellStyle name="Comma 2" xfId="6"/>
    <cellStyle name="Comma 2 2" xfId="10"/>
    <cellStyle name="Comma 2 3" xfId="14"/>
    <cellStyle name="Comma 2 4" xfId="23"/>
    <cellStyle name="Comma 3" xfId="7"/>
    <cellStyle name="Comma 3 2" xfId="11"/>
    <cellStyle name="Comma 3 3" xfId="15"/>
    <cellStyle name="Comma 3 4" xfId="24"/>
    <cellStyle name="Comma 4" xfId="8"/>
    <cellStyle name="Comma 5" xfId="12"/>
    <cellStyle name="Comma 6" xfId="3"/>
    <cellStyle name="Comma 7" xfId="21"/>
    <cellStyle name="Currency 2" xfId="9"/>
    <cellStyle name="Currency 3" xfId="13"/>
    <cellStyle name="Currency 4" xfId="4"/>
    <cellStyle name="Currency 5" xfId="22"/>
    <cellStyle name="Input 2" xfId="20"/>
    <cellStyle name="Input 3" xfId="5"/>
    <cellStyle name="Normal" xfId="0" builtinId="0"/>
    <cellStyle name="Normal 2" xfId="16"/>
    <cellStyle name="Normal 3" xfId="18"/>
    <cellStyle name="Normal 4" xfId="25"/>
    <cellStyle name="Percent" xfId="2" builtinId="5"/>
    <cellStyle name="Percent 2" xfId="19"/>
    <cellStyle name="Percent 3" xfId="17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1</xdr:row>
      <xdr:rowOff>66675</xdr:rowOff>
    </xdr:from>
    <xdr:to>
      <xdr:col>6</xdr:col>
      <xdr:colOff>152400</xdr:colOff>
      <xdr:row>3</xdr:row>
      <xdr:rowOff>114300</xdr:rowOff>
    </xdr:to>
    <xdr:sp macro="[0]!LoadData" textlink="">
      <xdr:nvSpPr>
        <xdr:cNvPr id="2" name="Rectangle 1"/>
        <xdr:cNvSpPr/>
      </xdr:nvSpPr>
      <xdr:spPr>
        <a:xfrm>
          <a:off x="2762250" y="209550"/>
          <a:ext cx="8953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0.Company%20Reports\100.New%20Era\02.%20Department\3.%20BUY\00.buying%20system\guidlines\20.%20range%20plan\OTB\UPDATED\OTB_total_category_version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tegory Total"/>
      <sheetName val="Portion by Category"/>
      <sheetName val="PO"/>
      <sheetName val="canon"/>
      <sheetName val="Sales"/>
    </sheetNames>
    <sheetDataSet>
      <sheetData sheetId="0">
        <row r="416">
          <cell r="A416"/>
          <cell r="B416"/>
          <cell r="C416"/>
          <cell r="D416"/>
          <cell r="AI416"/>
          <cell r="AM416"/>
          <cell r="BA416">
            <v>201622</v>
          </cell>
          <cell r="BB416">
            <v>201623</v>
          </cell>
          <cell r="BC416">
            <v>201624</v>
          </cell>
          <cell r="BD416">
            <v>201625</v>
          </cell>
          <cell r="BE416">
            <v>201626</v>
          </cell>
          <cell r="BF416">
            <v>201627</v>
          </cell>
          <cell r="BG416">
            <v>201628</v>
          </cell>
          <cell r="BH416">
            <v>201629</v>
          </cell>
          <cell r="BI416">
            <v>201630</v>
          </cell>
          <cell r="BJ416">
            <v>201631</v>
          </cell>
          <cell r="BK416">
            <v>201632</v>
          </cell>
          <cell r="BL416">
            <v>201633</v>
          </cell>
          <cell r="BM416">
            <v>201634</v>
          </cell>
          <cell r="BN416">
            <v>201635</v>
          </cell>
          <cell r="BO416">
            <v>201636</v>
          </cell>
          <cell r="BP416">
            <v>201637</v>
          </cell>
          <cell r="BQ416">
            <v>201638</v>
          </cell>
          <cell r="BR416">
            <v>201639</v>
          </cell>
          <cell r="BS416">
            <v>201640</v>
          </cell>
          <cell r="BT416">
            <v>201641</v>
          </cell>
          <cell r="BU416">
            <v>201642</v>
          </cell>
          <cell r="BV416">
            <v>201643</v>
          </cell>
          <cell r="BW416">
            <v>201644</v>
          </cell>
          <cell r="BX416">
            <v>201645</v>
          </cell>
          <cell r="BY416">
            <v>201646</v>
          </cell>
          <cell r="BZ416">
            <v>201647</v>
          </cell>
          <cell r="CA416">
            <v>201648</v>
          </cell>
          <cell r="CB416">
            <v>201649</v>
          </cell>
          <cell r="CC416">
            <v>201650</v>
          </cell>
          <cell r="CD416">
            <v>201651</v>
          </cell>
          <cell r="CE416">
            <v>201652</v>
          </cell>
          <cell r="CF416">
            <v>201701</v>
          </cell>
          <cell r="CG416">
            <v>201702</v>
          </cell>
          <cell r="CH416">
            <v>201703</v>
          </cell>
          <cell r="CI416">
            <v>201704</v>
          </cell>
          <cell r="CJ416">
            <v>201705</v>
          </cell>
          <cell r="CK416">
            <v>201706</v>
          </cell>
          <cell r="CL416">
            <v>201707</v>
          </cell>
          <cell r="CM416">
            <v>201708</v>
          </cell>
          <cell r="CN416">
            <v>201709</v>
          </cell>
          <cell r="CO416">
            <v>201710</v>
          </cell>
          <cell r="CP416">
            <v>201711</v>
          </cell>
          <cell r="CQ416">
            <v>201712</v>
          </cell>
          <cell r="CR416">
            <v>201713</v>
          </cell>
          <cell r="CS416">
            <v>201714</v>
          </cell>
          <cell r="CT416">
            <v>201715</v>
          </cell>
          <cell r="CU416">
            <v>201716</v>
          </cell>
          <cell r="CV416">
            <v>201717</v>
          </cell>
          <cell r="CW416">
            <v>201718</v>
          </cell>
          <cell r="CX416">
            <v>201719</v>
          </cell>
          <cell r="CY416">
            <v>201720</v>
          </cell>
          <cell r="CZ416">
            <v>201721</v>
          </cell>
          <cell r="DA416">
            <v>201722</v>
          </cell>
          <cell r="DB416">
            <v>201723</v>
          </cell>
          <cell r="DC416">
            <v>201724</v>
          </cell>
          <cell r="DD416">
            <v>201725</v>
          </cell>
          <cell r="DE416">
            <v>201726</v>
          </cell>
          <cell r="DF416">
            <v>201727</v>
          </cell>
          <cell r="DG416">
            <v>201728</v>
          </cell>
          <cell r="DH416">
            <v>201729</v>
          </cell>
          <cell r="DI416">
            <v>201730</v>
          </cell>
          <cell r="DJ416">
            <v>201731</v>
          </cell>
          <cell r="DK416">
            <v>201732</v>
          </cell>
          <cell r="DL416">
            <v>201733</v>
          </cell>
          <cell r="DM416">
            <v>201734</v>
          </cell>
          <cell r="DN416">
            <v>201735</v>
          </cell>
          <cell r="DO416">
            <v>201736</v>
          </cell>
          <cell r="DP416">
            <v>201737</v>
          </cell>
          <cell r="DQ416">
            <v>201738</v>
          </cell>
          <cell r="DR416">
            <v>201739</v>
          </cell>
          <cell r="DS416">
            <v>201740</v>
          </cell>
          <cell r="DT416">
            <v>201741</v>
          </cell>
          <cell r="DU416">
            <v>201742</v>
          </cell>
          <cell r="DV416">
            <v>201743</v>
          </cell>
          <cell r="DW416">
            <v>201744</v>
          </cell>
          <cell r="DX416">
            <v>201745</v>
          </cell>
          <cell r="DY416">
            <v>201746</v>
          </cell>
          <cell r="DZ416">
            <v>201747</v>
          </cell>
          <cell r="EA416">
            <v>201748</v>
          </cell>
          <cell r="EB416">
            <v>201749</v>
          </cell>
          <cell r="EC416">
            <v>201750</v>
          </cell>
          <cell r="ED416">
            <v>201751</v>
          </cell>
          <cell r="EE416">
            <v>201752</v>
          </cell>
        </row>
        <row r="417">
          <cell r="A417"/>
          <cell r="B417"/>
          <cell r="C417" t="str">
            <v>TOP</v>
          </cell>
          <cell r="D417" t="str">
            <v>SALES PLAN $</v>
          </cell>
          <cell r="E417">
            <v>20249.440000000028</v>
          </cell>
          <cell r="F417">
            <v>17977.440000000017</v>
          </cell>
          <cell r="G417">
            <v>15479.140000000014</v>
          </cell>
          <cell r="H417">
            <v>15294.220000000019</v>
          </cell>
          <cell r="I417">
            <v>18935.280000000024</v>
          </cell>
          <cell r="J417">
            <v>19760.43000000004</v>
          </cell>
          <cell r="K417">
            <v>20910.301519138717</v>
          </cell>
          <cell r="L417">
            <v>23896.138369478653</v>
          </cell>
          <cell r="M417">
            <v>26474.681868989897</v>
          </cell>
          <cell r="N417">
            <v>27968.34040049087</v>
          </cell>
          <cell r="O417">
            <v>27163.694850064312</v>
          </cell>
          <cell r="P417">
            <v>28978.369111272332</v>
          </cell>
          <cell r="Q417">
            <v>27687.942863644683</v>
          </cell>
          <cell r="R417">
            <v>23628.616645014674</v>
          </cell>
          <cell r="S417">
            <v>24619.055101935912</v>
          </cell>
          <cell r="T417">
            <v>24778.355094454357</v>
          </cell>
          <cell r="U417">
            <v>26485.253239617527</v>
          </cell>
          <cell r="V417">
            <v>31202.447795043692</v>
          </cell>
          <cell r="W417">
            <v>33645.28886814601</v>
          </cell>
          <cell r="X417">
            <v>38976.109956109955</v>
          </cell>
          <cell r="Y417">
            <v>44023.23862323862</v>
          </cell>
          <cell r="Z417">
            <v>37814.691614691612</v>
          </cell>
          <cell r="AA417">
            <v>41508.523908523901</v>
          </cell>
          <cell r="AB417">
            <v>44469.022869022869</v>
          </cell>
          <cell r="AC417">
            <v>53710.295579860795</v>
          </cell>
          <cell r="AD417">
            <v>58849.58871915393</v>
          </cell>
          <cell r="AE417">
            <v>47136.355418964115</v>
          </cell>
          <cell r="AF417">
            <v>44807.439955137328</v>
          </cell>
          <cell r="AG417">
            <v>42337.480440967287</v>
          </cell>
          <cell r="AH417">
            <v>42969.059388335707</v>
          </cell>
          <cell r="AI417">
            <v>44232.217283072547</v>
          </cell>
          <cell r="AJ417">
            <v>41601.394464326957</v>
          </cell>
          <cell r="AK417">
            <v>37970.769230769227</v>
          </cell>
          <cell r="AL417">
            <v>36946.153846153851</v>
          </cell>
          <cell r="AM417">
            <v>38176.923076923078</v>
          </cell>
          <cell r="AN417">
            <v>35993.589743589742</v>
          </cell>
          <cell r="AO417">
            <v>35316.666666666664</v>
          </cell>
          <cell r="AP417">
            <v>35444.871794871789</v>
          </cell>
          <cell r="AQ417">
            <v>35444.871794871789</v>
          </cell>
          <cell r="AR417">
            <v>35444.871794871789</v>
          </cell>
          <cell r="AS417">
            <v>32188.461538461539</v>
          </cell>
          <cell r="AT417">
            <v>32188.461538461539</v>
          </cell>
          <cell r="AU417">
            <v>32188.461538461539</v>
          </cell>
          <cell r="AV417">
            <v>33162.820512820515</v>
          </cell>
          <cell r="AW417">
            <v>28855.128205128203</v>
          </cell>
          <cell r="AX417">
            <v>32137.179487179488</v>
          </cell>
          <cell r="AY417">
            <v>32137.179487179488</v>
          </cell>
          <cell r="AZ417">
            <v>33111.538461538461</v>
          </cell>
          <cell r="BA417">
            <v>36496.153846153844</v>
          </cell>
          <cell r="BB417">
            <v>36496.153846153844</v>
          </cell>
          <cell r="BC417">
            <v>34198.717948717953</v>
          </cell>
          <cell r="BD417">
            <v>34701.282051282054</v>
          </cell>
          <cell r="BE417">
            <v>34803.846153846156</v>
          </cell>
          <cell r="BF417">
            <v>26153.846153846152</v>
          </cell>
          <cell r="BG417">
            <v>26705.128205128207</v>
          </cell>
          <cell r="BH417">
            <v>28000</v>
          </cell>
          <cell r="BI417">
            <v>30769.23076923077</v>
          </cell>
          <cell r="BJ417">
            <v>32589.74358974359</v>
          </cell>
          <cell r="BK417">
            <v>33692.307692307688</v>
          </cell>
          <cell r="BL417">
            <v>34794.871794871797</v>
          </cell>
          <cell r="BM417">
            <v>36128.205128205125</v>
          </cell>
          <cell r="BN417">
            <v>41619.954507857736</v>
          </cell>
          <cell r="BO417">
            <v>44248.159636062861</v>
          </cell>
          <cell r="BP417">
            <v>44248.159636062861</v>
          </cell>
          <cell r="BQ417">
            <v>46671.236559139783</v>
          </cell>
          <cell r="BR417">
            <v>47033.436724565756</v>
          </cell>
          <cell r="BS417">
            <v>51474.358974358969</v>
          </cell>
          <cell r="BT417">
            <v>49576.923076923078</v>
          </cell>
          <cell r="BU417">
            <v>50756.41025641025</v>
          </cell>
          <cell r="BV417">
            <v>51038.461538461532</v>
          </cell>
          <cell r="BW417">
            <v>50235.897435897437</v>
          </cell>
          <cell r="BX417">
            <v>51530.256410256414</v>
          </cell>
          <cell r="BY417">
            <v>53137.948717948719</v>
          </cell>
          <cell r="BZ417">
            <v>52487.179487179485</v>
          </cell>
          <cell r="CA417">
            <v>52230.769230769234</v>
          </cell>
          <cell r="CB417">
            <v>52230.769230769234</v>
          </cell>
          <cell r="CC417">
            <v>54230.769230769234</v>
          </cell>
          <cell r="CD417">
            <v>54435.897435897437</v>
          </cell>
          <cell r="CE417">
            <v>54435.897435897437</v>
          </cell>
          <cell r="CF417">
            <v>50153.846153846156</v>
          </cell>
          <cell r="CG417">
            <v>33128.205128205125</v>
          </cell>
          <cell r="CH417">
            <v>42871.794871794875</v>
          </cell>
          <cell r="CI417">
            <v>40487.179487179485</v>
          </cell>
          <cell r="CJ417">
            <v>48153.846153846156</v>
          </cell>
          <cell r="CK417">
            <v>48153.846153846156</v>
          </cell>
          <cell r="CL417">
            <v>48153.846153846156</v>
          </cell>
          <cell r="CM417">
            <v>48153.846153846156</v>
          </cell>
          <cell r="CN417">
            <v>44410.256410256407</v>
          </cell>
          <cell r="CO417">
            <v>28679.48717948718</v>
          </cell>
          <cell r="CP417">
            <v>28679.48717948718</v>
          </cell>
          <cell r="CQ417">
            <v>28679.48717948718</v>
          </cell>
          <cell r="CR417">
            <v>28679.48717948718</v>
          </cell>
          <cell r="CS417">
            <v>17769.230769230766</v>
          </cell>
          <cell r="CT417">
            <v>15461.538461538461</v>
          </cell>
          <cell r="CU417">
            <v>15507.692307692309</v>
          </cell>
          <cell r="CV417">
            <v>15507.692307692309</v>
          </cell>
          <cell r="CW417">
            <v>16635.897435897437</v>
          </cell>
          <cell r="CX417">
            <v>16635.897435897437</v>
          </cell>
          <cell r="CY417">
            <v>16635.897435897437</v>
          </cell>
          <cell r="CZ417">
            <v>16635.897435897437</v>
          </cell>
          <cell r="DA417">
            <v>16635.897435897437</v>
          </cell>
          <cell r="DB417">
            <v>16635.897435897437</v>
          </cell>
          <cell r="DC417">
            <v>16635.897435897437</v>
          </cell>
          <cell r="DD417">
            <v>16635.897435897437</v>
          </cell>
          <cell r="DE417">
            <v>16635.897435897437</v>
          </cell>
          <cell r="DF417">
            <v>10800</v>
          </cell>
          <cell r="DG417">
            <v>10800</v>
          </cell>
          <cell r="DH417">
            <v>10800</v>
          </cell>
          <cell r="DI417">
            <v>10800</v>
          </cell>
          <cell r="DJ417">
            <v>14897.435897435898</v>
          </cell>
          <cell r="DK417">
            <v>14897.435897435898</v>
          </cell>
          <cell r="DL417">
            <v>14897.435897435898</v>
          </cell>
          <cell r="DM417">
            <v>14897.435897435898</v>
          </cell>
          <cell r="DN417">
            <v>19358.974358974359</v>
          </cell>
          <cell r="DO417">
            <v>19358.974358974359</v>
          </cell>
          <cell r="DP417">
            <v>19358.974358974359</v>
          </cell>
          <cell r="DQ417">
            <v>19358.974358974359</v>
          </cell>
          <cell r="DR417">
            <v>19358.974358974359</v>
          </cell>
          <cell r="DS417">
            <v>27256.410256410254</v>
          </cell>
          <cell r="DT417">
            <v>27256.410256410254</v>
          </cell>
          <cell r="DU417">
            <v>27256.410256410254</v>
          </cell>
          <cell r="DV417">
            <v>27256.410256410254</v>
          </cell>
          <cell r="DW417">
            <v>29076.923076923074</v>
          </cell>
          <cell r="DX417">
            <v>29076.923076923074</v>
          </cell>
          <cell r="DY417">
            <v>29076.923076923074</v>
          </cell>
          <cell r="DZ417">
            <v>29076.923076923074</v>
          </cell>
          <cell r="EA417">
            <v>33538.461538461539</v>
          </cell>
          <cell r="EB417">
            <v>33538.461538461539</v>
          </cell>
          <cell r="EC417">
            <v>33538.461538461539</v>
          </cell>
          <cell r="ED417">
            <v>33538.461538461539</v>
          </cell>
          <cell r="EE417">
            <v>33538.461538461539</v>
          </cell>
        </row>
        <row r="418">
          <cell r="A418"/>
          <cell r="B418"/>
          <cell r="C418" t="str">
            <v>PANT</v>
          </cell>
          <cell r="D418" t="str">
            <v>SALES PLAN $</v>
          </cell>
          <cell r="E418">
            <v>8463.7099999999991</v>
          </cell>
          <cell r="F418">
            <v>8922.6099999999988</v>
          </cell>
          <cell r="G418">
            <v>9483.6100000000024</v>
          </cell>
          <cell r="H418">
            <v>8746.239999999998</v>
          </cell>
          <cell r="I418">
            <v>9961.7500000000018</v>
          </cell>
          <cell r="J418">
            <v>9745.08</v>
          </cell>
          <cell r="K418">
            <v>14444.398048612271</v>
          </cell>
          <cell r="L418">
            <v>14350.42735042735</v>
          </cell>
          <cell r="M418">
            <v>17558.974358974359</v>
          </cell>
          <cell r="N418">
            <v>10534.035113822347</v>
          </cell>
          <cell r="O418">
            <v>11580.188959976193</v>
          </cell>
          <cell r="P418">
            <v>14632.051282051283</v>
          </cell>
          <cell r="Q418">
            <v>13987.307692307691</v>
          </cell>
          <cell r="R418">
            <v>14619.679487179486</v>
          </cell>
          <cell r="S418">
            <v>14899.679487179486</v>
          </cell>
          <cell r="T418">
            <v>14899.679487179486</v>
          </cell>
          <cell r="U418">
            <v>19932.692307692309</v>
          </cell>
          <cell r="V418">
            <v>21878.108974358976</v>
          </cell>
          <cell r="W418">
            <v>23274.038461538461</v>
          </cell>
          <cell r="X418">
            <v>24510.256410256407</v>
          </cell>
          <cell r="Y418">
            <v>26272.115384615379</v>
          </cell>
          <cell r="Z418">
            <v>29215.384615384613</v>
          </cell>
          <cell r="AA418">
            <v>29164.102564102563</v>
          </cell>
          <cell r="AB418">
            <v>30998.256410256407</v>
          </cell>
          <cell r="AC418">
            <v>40500</v>
          </cell>
          <cell r="AD418">
            <v>41205.128205128203</v>
          </cell>
          <cell r="AE418">
            <v>30615.38461538461</v>
          </cell>
          <cell r="AF418">
            <v>25948.717948717946</v>
          </cell>
          <cell r="AG418">
            <v>15589.74358974359</v>
          </cell>
          <cell r="AH418">
            <v>13128.205128205127</v>
          </cell>
          <cell r="AI418">
            <v>12307.692307692307</v>
          </cell>
          <cell r="AJ418">
            <v>22953.333333333328</v>
          </cell>
          <cell r="AK418">
            <v>18274.358974358976</v>
          </cell>
          <cell r="AL418">
            <v>17249.48717948718</v>
          </cell>
          <cell r="AM418">
            <v>16405.384615384617</v>
          </cell>
          <cell r="AN418">
            <v>13400.76923076923</v>
          </cell>
          <cell r="AO418">
            <v>14221.282051282051</v>
          </cell>
          <cell r="AP418">
            <v>15862.307692307691</v>
          </cell>
          <cell r="AQ418">
            <v>17503.333333333332</v>
          </cell>
          <cell r="AR418">
            <v>17503.333333333332</v>
          </cell>
          <cell r="AS418">
            <v>12125.128205128203</v>
          </cell>
          <cell r="AT418">
            <v>11214.871794871793</v>
          </cell>
          <cell r="AU418">
            <v>11214.871794871793</v>
          </cell>
          <cell r="AV418">
            <v>9807.6923076923085</v>
          </cell>
          <cell r="AW418">
            <v>9807.6923076923085</v>
          </cell>
          <cell r="AX418">
            <v>9807.6923076923085</v>
          </cell>
          <cell r="AY418">
            <v>9807.6923076923085</v>
          </cell>
          <cell r="AZ418">
            <v>9807.6923076923085</v>
          </cell>
          <cell r="BA418">
            <v>12238.461538461539</v>
          </cell>
          <cell r="BB418">
            <v>12238.461538461539</v>
          </cell>
          <cell r="BC418">
            <v>12238.461538461539</v>
          </cell>
          <cell r="BD418">
            <v>12238.461538461539</v>
          </cell>
          <cell r="BE418">
            <v>7841.0256410256407</v>
          </cell>
          <cell r="BF418">
            <v>4476.9230769230762</v>
          </cell>
          <cell r="BG418">
            <v>4476.9230769230762</v>
          </cell>
          <cell r="BH418">
            <v>4476.9230769230762</v>
          </cell>
          <cell r="BI418">
            <v>4476.9230769230762</v>
          </cell>
          <cell r="BJ418">
            <v>5282.0512820512813</v>
          </cell>
          <cell r="BK418">
            <v>7294.8717948717949</v>
          </cell>
          <cell r="BL418">
            <v>11064.102564102563</v>
          </cell>
          <cell r="BM418">
            <v>12320.51282051282</v>
          </cell>
          <cell r="BN418">
            <v>19358.974358974359</v>
          </cell>
          <cell r="BO418">
            <v>19358.974358974359</v>
          </cell>
          <cell r="BP418">
            <v>14141.025641025641</v>
          </cell>
          <cell r="BQ418">
            <v>16710.256410256407</v>
          </cell>
          <cell r="BR418">
            <v>15782.051282051281</v>
          </cell>
          <cell r="BS418">
            <v>15782.051282051281</v>
          </cell>
          <cell r="BT418">
            <v>15782.051282051281</v>
          </cell>
          <cell r="BU418">
            <v>15782.051282051281</v>
          </cell>
          <cell r="BV418">
            <v>15782.051282051281</v>
          </cell>
          <cell r="BW418">
            <v>15000</v>
          </cell>
          <cell r="BX418">
            <v>16282.051282051281</v>
          </cell>
          <cell r="BY418">
            <v>16653.846153846152</v>
          </cell>
          <cell r="BZ418">
            <v>16653.846153846152</v>
          </cell>
          <cell r="CA418">
            <v>19833.333333333332</v>
          </cell>
          <cell r="CB418">
            <v>21089.743589743586</v>
          </cell>
          <cell r="CC418">
            <v>21435.897435897434</v>
          </cell>
          <cell r="CD418">
            <v>21435.897435897434</v>
          </cell>
          <cell r="CE418">
            <v>21435.897435897434</v>
          </cell>
          <cell r="CF418">
            <v>13423.076923076922</v>
          </cell>
          <cell r="CG418">
            <v>12166.666666666664</v>
          </cell>
          <cell r="CH418">
            <v>12166.666666666664</v>
          </cell>
          <cell r="CI418">
            <v>10910.25641025641</v>
          </cell>
          <cell r="CJ418">
            <v>19102.564102564102</v>
          </cell>
          <cell r="CK418">
            <v>19102.564102564102</v>
          </cell>
          <cell r="CL418">
            <v>17846.153846153844</v>
          </cell>
          <cell r="CM418">
            <v>17846.153846153844</v>
          </cell>
          <cell r="CN418">
            <v>16589.74358974359</v>
          </cell>
          <cell r="CO418">
            <v>16589.74358974359</v>
          </cell>
          <cell r="CP418">
            <v>15333.333333333332</v>
          </cell>
          <cell r="CQ418">
            <v>15333.333333333332</v>
          </cell>
          <cell r="CR418">
            <v>14076.923076923074</v>
          </cell>
          <cell r="CS418">
            <v>3448.7179487179483</v>
          </cell>
          <cell r="CT418">
            <v>2820.5128205128203</v>
          </cell>
          <cell r="CU418">
            <v>2820.5128205128203</v>
          </cell>
          <cell r="CV418">
            <v>2820.5128205128203</v>
          </cell>
          <cell r="CW418">
            <v>4384.6153846153848</v>
          </cell>
          <cell r="CX418">
            <v>4748.7179487179483</v>
          </cell>
          <cell r="CY418">
            <v>4748.7179487179483</v>
          </cell>
          <cell r="CZ418">
            <v>4748.7179487179483</v>
          </cell>
          <cell r="DA418">
            <v>7261.538461538461</v>
          </cell>
          <cell r="DB418">
            <v>7261.538461538461</v>
          </cell>
          <cell r="DC418">
            <v>7261.538461538461</v>
          </cell>
          <cell r="DD418">
            <v>7261.538461538461</v>
          </cell>
          <cell r="DE418">
            <v>7261.538461538461</v>
          </cell>
          <cell r="DF418">
            <v>13051.282051282051</v>
          </cell>
          <cell r="DG418">
            <v>13051.282051282051</v>
          </cell>
          <cell r="DH418">
            <v>11794.871794871793</v>
          </cell>
          <cell r="DI418">
            <v>11794.871794871793</v>
          </cell>
          <cell r="DJ418">
            <v>10538.461538461539</v>
          </cell>
          <cell r="DK418">
            <v>10538.461538461539</v>
          </cell>
          <cell r="DL418">
            <v>10538.461538461539</v>
          </cell>
          <cell r="DM418">
            <v>11820.51282051282</v>
          </cell>
          <cell r="DN418">
            <v>11820.51282051282</v>
          </cell>
          <cell r="DO418">
            <v>11820.51282051282</v>
          </cell>
          <cell r="DP418">
            <v>11820.51282051282</v>
          </cell>
          <cell r="DQ418">
            <v>11820.51282051282</v>
          </cell>
          <cell r="DR418">
            <v>11820.51282051282</v>
          </cell>
          <cell r="DS418">
            <v>14333.333333333332</v>
          </cell>
          <cell r="DT418">
            <v>14333.333333333332</v>
          </cell>
          <cell r="DU418">
            <v>13076.923076923076</v>
          </cell>
          <cell r="DV418">
            <v>13076.923076923076</v>
          </cell>
          <cell r="DW418">
            <v>11820.51282051282</v>
          </cell>
          <cell r="DX418">
            <v>11820.51282051282</v>
          </cell>
          <cell r="DY418">
            <v>11820.51282051282</v>
          </cell>
          <cell r="DZ418">
            <v>11820.51282051282</v>
          </cell>
          <cell r="EA418">
            <v>11820.51282051282</v>
          </cell>
          <cell r="EB418">
            <v>11820.51282051282</v>
          </cell>
          <cell r="EC418">
            <v>11820.51282051282</v>
          </cell>
          <cell r="ED418">
            <v>11820.51282051282</v>
          </cell>
          <cell r="EE418">
            <v>11820.51282051282</v>
          </cell>
        </row>
        <row r="419">
          <cell r="A419"/>
          <cell r="B419"/>
          <cell r="C419" t="str">
            <v>DRESS</v>
          </cell>
          <cell r="D419" t="str">
            <v>SALES PLAN $</v>
          </cell>
          <cell r="E419">
            <v>5454.65</v>
          </cell>
          <cell r="F419">
            <v>5466.5599999999995</v>
          </cell>
          <cell r="G419">
            <v>5133.7300000000014</v>
          </cell>
          <cell r="H419">
            <v>4942.4599999999991</v>
          </cell>
          <cell r="I419">
            <v>7204.6699999999992</v>
          </cell>
          <cell r="J419">
            <v>9546.369999999999</v>
          </cell>
          <cell r="K419">
            <v>11233.548142269807</v>
          </cell>
          <cell r="L419">
            <v>12236.622610211425</v>
          </cell>
          <cell r="M419">
            <v>14005.865384615385</v>
          </cell>
          <cell r="N419">
            <v>9414.9038328820916</v>
          </cell>
          <cell r="O419">
            <v>9918.751282051282</v>
          </cell>
          <cell r="P419">
            <v>12668.593534353437</v>
          </cell>
          <cell r="Q419">
            <v>15297.46100512577</v>
          </cell>
          <cell r="R419">
            <v>15323.63154503738</v>
          </cell>
          <cell r="S419">
            <v>18280.432106649489</v>
          </cell>
          <cell r="T419">
            <v>21139.955916173298</v>
          </cell>
          <cell r="U419">
            <v>22933.728809946188</v>
          </cell>
          <cell r="V419">
            <v>22267.697975809628</v>
          </cell>
          <cell r="W419">
            <v>23683.595411707065</v>
          </cell>
          <cell r="X419">
            <v>27423.233420756838</v>
          </cell>
          <cell r="Y419">
            <v>30268.135381541153</v>
          </cell>
          <cell r="Z419">
            <v>42879.022666907345</v>
          </cell>
          <cell r="AA419">
            <v>44142.180561644185</v>
          </cell>
          <cell r="AB419">
            <v>53093.516594032844</v>
          </cell>
          <cell r="AC419">
            <v>65857.386901845486</v>
          </cell>
          <cell r="AD419">
            <v>65857.386901845486</v>
          </cell>
          <cell r="AE419">
            <v>52186.634002939725</v>
          </cell>
          <cell r="AF419">
            <v>37582.53143883717</v>
          </cell>
          <cell r="AG419">
            <v>30402.539604768899</v>
          </cell>
          <cell r="AH419">
            <v>27401.190077103587</v>
          </cell>
          <cell r="AI419">
            <v>24086.331554484419</v>
          </cell>
          <cell r="AJ419">
            <v>28717.948717948719</v>
          </cell>
          <cell r="AK419">
            <v>28717.948717948719</v>
          </cell>
          <cell r="AL419">
            <v>30061.538461538465</v>
          </cell>
          <cell r="AM419">
            <v>30805.128205128207</v>
          </cell>
          <cell r="AN419">
            <v>34501.932236008673</v>
          </cell>
          <cell r="AO419">
            <v>34501.932236008673</v>
          </cell>
          <cell r="AP419">
            <v>34501.932236008673</v>
          </cell>
          <cell r="AQ419">
            <v>28745.521979598409</v>
          </cell>
          <cell r="AR419">
            <v>28130.116574193005</v>
          </cell>
          <cell r="AS419">
            <v>23343.589743589742</v>
          </cell>
          <cell r="AT419">
            <v>20600</v>
          </cell>
          <cell r="AU419">
            <v>20000</v>
          </cell>
          <cell r="AV419">
            <v>20000</v>
          </cell>
          <cell r="AW419">
            <v>17574.102564102563</v>
          </cell>
          <cell r="AX419">
            <v>17574.102564102563</v>
          </cell>
          <cell r="AY419">
            <v>17574.102564102563</v>
          </cell>
          <cell r="AZ419">
            <v>17574.102564102563</v>
          </cell>
          <cell r="BA419">
            <v>19571.794871794871</v>
          </cell>
          <cell r="BB419">
            <v>19571.794871794871</v>
          </cell>
          <cell r="BC419">
            <v>19571.794871794871</v>
          </cell>
          <cell r="BD419">
            <v>16828.205128205125</v>
          </cell>
          <cell r="BE419">
            <v>16828.205128205125</v>
          </cell>
          <cell r="BF419">
            <v>18256.153846153844</v>
          </cell>
          <cell r="BG419">
            <v>17333.076923076922</v>
          </cell>
          <cell r="BH419">
            <v>16779.23076923077</v>
          </cell>
          <cell r="BI419">
            <v>16410</v>
          </cell>
          <cell r="BJ419">
            <v>17833.333333333332</v>
          </cell>
          <cell r="BK419">
            <v>19679.48717948718</v>
          </cell>
          <cell r="BL419">
            <v>19679.48717948718</v>
          </cell>
          <cell r="BM419">
            <v>21525.641025641027</v>
          </cell>
          <cell r="BN419">
            <v>27282.051282051281</v>
          </cell>
          <cell r="BO419">
            <v>21320.51282051282</v>
          </cell>
          <cell r="BP419">
            <v>22397.435897435895</v>
          </cell>
          <cell r="BQ419">
            <v>24935.897435897437</v>
          </cell>
          <cell r="BR419">
            <v>24935.897435897437</v>
          </cell>
          <cell r="BS419">
            <v>26025.641025641024</v>
          </cell>
          <cell r="BT419">
            <v>26025.641025641024</v>
          </cell>
          <cell r="BU419">
            <v>27115.384615384617</v>
          </cell>
          <cell r="BV419">
            <v>27115.384615384617</v>
          </cell>
          <cell r="BW419">
            <v>37692.307692307688</v>
          </cell>
          <cell r="BX419">
            <v>37692.307692307688</v>
          </cell>
          <cell r="BY419">
            <v>37692.307692307688</v>
          </cell>
          <cell r="BZ419">
            <v>36923.076923076922</v>
          </cell>
          <cell r="CA419">
            <v>40000</v>
          </cell>
          <cell r="CB419">
            <v>40000</v>
          </cell>
          <cell r="CC419">
            <v>40000</v>
          </cell>
          <cell r="CD419">
            <v>40000</v>
          </cell>
          <cell r="CE419">
            <v>40000</v>
          </cell>
          <cell r="CF419">
            <v>31025.641025641024</v>
          </cell>
          <cell r="CG419">
            <v>31025.641025641024</v>
          </cell>
          <cell r="CH419">
            <v>28846.153846153844</v>
          </cell>
          <cell r="CI419">
            <v>28846.153846153844</v>
          </cell>
          <cell r="CJ419">
            <v>25333.333333333332</v>
          </cell>
          <cell r="CK419">
            <v>25333.333333333332</v>
          </cell>
          <cell r="CL419">
            <v>23153.846153846152</v>
          </cell>
          <cell r="CM419">
            <v>23153.846153846152</v>
          </cell>
          <cell r="CN419">
            <v>20974.358974358973</v>
          </cell>
          <cell r="CO419">
            <v>20974.358974358973</v>
          </cell>
          <cell r="CP419">
            <v>20974.358974358973</v>
          </cell>
          <cell r="CQ419">
            <v>20974.358974358973</v>
          </cell>
          <cell r="CR419">
            <v>20974.358974358973</v>
          </cell>
          <cell r="CS419">
            <v>3039.9999999999995</v>
          </cell>
          <cell r="CT419">
            <v>2568.2051282051279</v>
          </cell>
          <cell r="CU419">
            <v>2568.2051282051279</v>
          </cell>
          <cell r="CV419">
            <v>2568.2051282051279</v>
          </cell>
          <cell r="CW419">
            <v>7733.3333333333321</v>
          </cell>
          <cell r="CX419">
            <v>8256.4102564102559</v>
          </cell>
          <cell r="CY419">
            <v>9128.205128205127</v>
          </cell>
          <cell r="CZ419">
            <v>9128.205128205127</v>
          </cell>
          <cell r="DA419">
            <v>9128.205128205127</v>
          </cell>
          <cell r="DB419">
            <v>9128.205128205127</v>
          </cell>
          <cell r="DC419">
            <v>9128.205128205127</v>
          </cell>
          <cell r="DD419">
            <v>9128.205128205127</v>
          </cell>
          <cell r="DE419">
            <v>9128.205128205127</v>
          </cell>
          <cell r="DF419">
            <v>12000</v>
          </cell>
          <cell r="DG419">
            <v>12000</v>
          </cell>
          <cell r="DH419">
            <v>12000</v>
          </cell>
          <cell r="DI419">
            <v>12000</v>
          </cell>
          <cell r="DJ419">
            <v>6923.076923076922</v>
          </cell>
          <cell r="DK419">
            <v>6923.076923076922</v>
          </cell>
          <cell r="DL419">
            <v>6923.076923076922</v>
          </cell>
          <cell r="DM419">
            <v>6923.076923076922</v>
          </cell>
          <cell r="DN419">
            <v>13846.153846153844</v>
          </cell>
          <cell r="DO419">
            <v>13846.153846153844</v>
          </cell>
          <cell r="DP419">
            <v>13846.153846153844</v>
          </cell>
          <cell r="DQ419">
            <v>13846.153846153844</v>
          </cell>
          <cell r="DR419">
            <v>20769.23076923077</v>
          </cell>
          <cell r="DS419">
            <v>20769.23076923077</v>
          </cell>
          <cell r="DT419">
            <v>20769.23076923077</v>
          </cell>
          <cell r="DU419">
            <v>20769.23076923077</v>
          </cell>
          <cell r="DV419">
            <v>20769.23076923077</v>
          </cell>
          <cell r="DW419">
            <v>27692.307692307688</v>
          </cell>
          <cell r="DX419">
            <v>27692.307692307688</v>
          </cell>
          <cell r="DY419">
            <v>27692.307692307688</v>
          </cell>
          <cell r="DZ419">
            <v>27692.307692307688</v>
          </cell>
          <cell r="EA419">
            <v>34615.384615384617</v>
          </cell>
          <cell r="EB419">
            <v>34615.384615384617</v>
          </cell>
          <cell r="EC419">
            <v>34615.384615384617</v>
          </cell>
          <cell r="ED419">
            <v>34615.384615384617</v>
          </cell>
          <cell r="EE419">
            <v>41538.461538461539</v>
          </cell>
        </row>
        <row r="420">
          <cell r="A420"/>
          <cell r="B420"/>
          <cell r="C420" t="str">
            <v>SKIRT</v>
          </cell>
          <cell r="D420" t="str">
            <v>SALES PLAN $</v>
          </cell>
          <cell r="E420">
            <v>3373.9299999999989</v>
          </cell>
          <cell r="F420">
            <v>4140.0599999999995</v>
          </cell>
          <cell r="G420">
            <v>3587.51</v>
          </cell>
          <cell r="H420">
            <v>4378.4000000000005</v>
          </cell>
          <cell r="I420">
            <v>4983.43</v>
          </cell>
          <cell r="J420">
            <v>4995.4800000000032</v>
          </cell>
          <cell r="K420">
            <v>8560.4157342982653</v>
          </cell>
          <cell r="L420">
            <v>9628.8888888888887</v>
          </cell>
          <cell r="M420">
            <v>11011.111111111109</v>
          </cell>
          <cell r="N420">
            <v>7473.5555555555547</v>
          </cell>
          <cell r="O420">
            <v>7789.8611111111104</v>
          </cell>
          <cell r="P420">
            <v>8041.5367965367959</v>
          </cell>
          <cell r="Q420">
            <v>7732.4707298391504</v>
          </cell>
          <cell r="R420">
            <v>7431.5800415800413</v>
          </cell>
          <cell r="S420">
            <v>8341.8532818532822</v>
          </cell>
          <cell r="T420">
            <v>8969.2280692280692</v>
          </cell>
          <cell r="U420">
            <v>9665.6482856482853</v>
          </cell>
          <cell r="V420">
            <v>11843.589743589742</v>
          </cell>
          <cell r="W420">
            <v>11371.794871794871</v>
          </cell>
          <cell r="X420">
            <v>9030.3314571607243</v>
          </cell>
          <cell r="Y420">
            <v>11336.147592245154</v>
          </cell>
          <cell r="Z420">
            <v>11979.48717948718</v>
          </cell>
          <cell r="AA420">
            <v>12794.871794871793</v>
          </cell>
          <cell r="AB420">
            <v>16769.230769230766</v>
          </cell>
          <cell r="AC420">
            <v>21897.435897435898</v>
          </cell>
          <cell r="AD420">
            <v>21897.435897435898</v>
          </cell>
          <cell r="AE420">
            <v>18205.128205128203</v>
          </cell>
          <cell r="AF420">
            <v>16974.358974358973</v>
          </cell>
          <cell r="AG420">
            <v>15673.846153846152</v>
          </cell>
          <cell r="AH420">
            <v>13861.808367071526</v>
          </cell>
          <cell r="AI420">
            <v>14839.362439362438</v>
          </cell>
          <cell r="AJ420">
            <v>13102.564102564103</v>
          </cell>
          <cell r="AK420">
            <v>12107.948717948719</v>
          </cell>
          <cell r="AL420">
            <v>12107.948717948719</v>
          </cell>
          <cell r="AM420">
            <v>10786.923076923078</v>
          </cell>
          <cell r="AN420">
            <v>12390.51282051282</v>
          </cell>
          <cell r="AO420">
            <v>11732.820512820514</v>
          </cell>
          <cell r="AP420">
            <v>10807.692307692309</v>
          </cell>
          <cell r="AQ420">
            <v>9861.538461538461</v>
          </cell>
          <cell r="AR420">
            <v>9753.8461538461543</v>
          </cell>
          <cell r="AS420">
            <v>9642.5641025641035</v>
          </cell>
          <cell r="AT420">
            <v>9642.5641025641035</v>
          </cell>
          <cell r="AU420">
            <v>9642.5641025641035</v>
          </cell>
          <cell r="AV420">
            <v>6394.8717948717949</v>
          </cell>
          <cell r="AW420">
            <v>5523.0769230769229</v>
          </cell>
          <cell r="AX420">
            <v>4689.7435897435898</v>
          </cell>
          <cell r="AY420">
            <v>4689.7435897435898</v>
          </cell>
          <cell r="AZ420">
            <v>4689.7435897435898</v>
          </cell>
          <cell r="BA420">
            <v>7756.4102564102568</v>
          </cell>
          <cell r="BB420">
            <v>8294.8717948717949</v>
          </cell>
          <cell r="BC420">
            <v>8294.8717948717949</v>
          </cell>
          <cell r="BD420">
            <v>8294.8717948717949</v>
          </cell>
          <cell r="BE420">
            <v>8294.8717948717949</v>
          </cell>
          <cell r="BF420">
            <v>5075.6410256410254</v>
          </cell>
          <cell r="BG420">
            <v>5075.6410256410254</v>
          </cell>
          <cell r="BH420">
            <v>5075.6410256410254</v>
          </cell>
          <cell r="BI420">
            <v>6498.7179487179492</v>
          </cell>
          <cell r="BJ420">
            <v>7522.869022869023</v>
          </cell>
          <cell r="BK420">
            <v>8571.5869715869703</v>
          </cell>
          <cell r="BL420">
            <v>9727.997227997228</v>
          </cell>
          <cell r="BM420">
            <v>11061.33056133056</v>
          </cell>
          <cell r="BN420">
            <v>13248.440748440749</v>
          </cell>
          <cell r="BO420">
            <v>12467.082467082468</v>
          </cell>
          <cell r="BP420">
            <v>7493.6936936936945</v>
          </cell>
          <cell r="BQ420">
            <v>10193.693693693695</v>
          </cell>
          <cell r="BR420">
            <v>10693.693693693695</v>
          </cell>
          <cell r="BS420">
            <v>10873.873873873874</v>
          </cell>
          <cell r="BT420">
            <v>10873.873873873874</v>
          </cell>
          <cell r="BU420">
            <v>10873.873873873874</v>
          </cell>
          <cell r="BV420">
            <v>10873.873873873874</v>
          </cell>
          <cell r="BW420">
            <v>14554.054054054053</v>
          </cell>
          <cell r="BX420">
            <v>14687.387387387389</v>
          </cell>
          <cell r="BY420">
            <v>15700.900900900902</v>
          </cell>
          <cell r="BZ420">
            <v>15700.900900900902</v>
          </cell>
          <cell r="CA420">
            <v>15034.234234234234</v>
          </cell>
          <cell r="CB420">
            <v>15034.234234234234</v>
          </cell>
          <cell r="CC420">
            <v>14367.567567567567</v>
          </cell>
          <cell r="CD420">
            <v>13700.900900900902</v>
          </cell>
          <cell r="CE420">
            <v>13700.900900900902</v>
          </cell>
          <cell r="CF420">
            <v>9400.9009009009023</v>
          </cell>
          <cell r="CG420">
            <v>9400.9009009009023</v>
          </cell>
          <cell r="CH420">
            <v>8900.9009009009005</v>
          </cell>
          <cell r="CI420">
            <v>8900.9009009009005</v>
          </cell>
          <cell r="CJ420">
            <v>12787.387387387389</v>
          </cell>
          <cell r="CK420">
            <v>12787.387387387389</v>
          </cell>
          <cell r="CL420">
            <v>12787.387387387389</v>
          </cell>
          <cell r="CM420">
            <v>12787.387387387389</v>
          </cell>
          <cell r="CN420">
            <v>11787.387387387389</v>
          </cell>
          <cell r="CO420">
            <v>11787.387387387389</v>
          </cell>
          <cell r="CP420">
            <v>11787.387387387389</v>
          </cell>
          <cell r="CQ420">
            <v>11787.387387387389</v>
          </cell>
          <cell r="CR420">
            <v>11787.387387387389</v>
          </cell>
          <cell r="CS420">
            <v>5040.54054054054</v>
          </cell>
          <cell r="CT420">
            <v>4373.8738738738739</v>
          </cell>
          <cell r="CU420">
            <v>4373.8738738738739</v>
          </cell>
          <cell r="CV420">
            <v>4373.8738738738739</v>
          </cell>
          <cell r="CW420">
            <v>5707.2072072072078</v>
          </cell>
          <cell r="CX420">
            <v>5840.5405405405409</v>
          </cell>
          <cell r="CY420">
            <v>7040.5405405405409</v>
          </cell>
          <cell r="CZ420">
            <v>7040.5405405405409</v>
          </cell>
          <cell r="DA420">
            <v>11787.387387387389</v>
          </cell>
          <cell r="DB420">
            <v>11787.387387387389</v>
          </cell>
          <cell r="DC420">
            <v>11787.387387387389</v>
          </cell>
          <cell r="DD420">
            <v>11787.387387387389</v>
          </cell>
          <cell r="DE420">
            <v>11787.387387387389</v>
          </cell>
          <cell r="DF420">
            <v>11787.387387387389</v>
          </cell>
          <cell r="DG420">
            <v>11787.387387387389</v>
          </cell>
          <cell r="DH420">
            <v>11787.387387387389</v>
          </cell>
          <cell r="DI420">
            <v>11787.387387387389</v>
          </cell>
          <cell r="DJ420">
            <v>11787.387387387389</v>
          </cell>
          <cell r="DK420">
            <v>11787.387387387389</v>
          </cell>
          <cell r="DL420">
            <v>11787.387387387389</v>
          </cell>
          <cell r="DM420">
            <v>11787.387387387389</v>
          </cell>
          <cell r="DN420">
            <v>11787.387387387389</v>
          </cell>
          <cell r="DO420">
            <v>11787.387387387389</v>
          </cell>
          <cell r="DP420">
            <v>11787.387387387389</v>
          </cell>
          <cell r="DQ420">
            <v>11787.387387387389</v>
          </cell>
          <cell r="DR420">
            <v>11787.387387387389</v>
          </cell>
          <cell r="DS420">
            <v>11787.387387387389</v>
          </cell>
          <cell r="DT420">
            <v>11787.387387387389</v>
          </cell>
          <cell r="DU420">
            <v>11787.387387387389</v>
          </cell>
          <cell r="DV420">
            <v>11787.387387387389</v>
          </cell>
          <cell r="DW420">
            <v>11787.387387387389</v>
          </cell>
          <cell r="DX420">
            <v>11787.387387387389</v>
          </cell>
          <cell r="DY420">
            <v>11787.387387387389</v>
          </cell>
          <cell r="DZ420">
            <v>11787.387387387389</v>
          </cell>
          <cell r="EA420">
            <v>11787.387387387389</v>
          </cell>
          <cell r="EB420">
            <v>11787.387387387389</v>
          </cell>
          <cell r="EC420">
            <v>11787.387387387389</v>
          </cell>
          <cell r="ED420">
            <v>11787.387387387389</v>
          </cell>
          <cell r="EE420">
            <v>11787.387387387389</v>
          </cell>
        </row>
        <row r="421">
          <cell r="A421"/>
          <cell r="B421"/>
          <cell r="C421" t="str">
            <v>OUTER</v>
          </cell>
          <cell r="D421" t="str">
            <v>SALES PLAN $</v>
          </cell>
          <cell r="E421">
            <v>18361.679999999997</v>
          </cell>
          <cell r="F421">
            <v>21570.159999999996</v>
          </cell>
          <cell r="G421">
            <v>21675.539999999994</v>
          </cell>
          <cell r="H421">
            <v>14400.590000000006</v>
          </cell>
          <cell r="I421">
            <v>18071.93</v>
          </cell>
          <cell r="J421">
            <v>18840.690000000002</v>
          </cell>
          <cell r="K421">
            <v>17611.114102969324</v>
          </cell>
          <cell r="L421">
            <v>17179.036894036897</v>
          </cell>
          <cell r="M421">
            <v>17503.945119208274</v>
          </cell>
          <cell r="N421">
            <v>13609.716401656699</v>
          </cell>
          <cell r="O421">
            <v>14266.859258799557</v>
          </cell>
          <cell r="P421">
            <v>16704.538395583171</v>
          </cell>
          <cell r="Q421">
            <v>14608.093284922552</v>
          </cell>
          <cell r="R421">
            <v>14350.979463784341</v>
          </cell>
          <cell r="S421">
            <v>12289.83794334404</v>
          </cell>
          <cell r="T421">
            <v>11418.381528137625</v>
          </cell>
          <cell r="U421">
            <v>9417.4199896760874</v>
          </cell>
          <cell r="V421">
            <v>9407.2496947496948</v>
          </cell>
          <cell r="W421">
            <v>10726.678876678876</v>
          </cell>
          <cell r="X421">
            <v>10901.5873015873</v>
          </cell>
          <cell r="Y421">
            <v>11114.920634920634</v>
          </cell>
          <cell r="Z421">
            <v>14300.806006557499</v>
          </cell>
          <cell r="AA421">
            <v>14354.652160403653</v>
          </cell>
          <cell r="AB421">
            <v>17341.831647583142</v>
          </cell>
          <cell r="AC421">
            <v>22466.05117075003</v>
          </cell>
          <cell r="AD421">
            <v>22466.05117075003</v>
          </cell>
          <cell r="AE421">
            <v>18059.78036553186</v>
          </cell>
          <cell r="AF421">
            <v>18059.78036553186</v>
          </cell>
          <cell r="AG421">
            <v>20329.011134762626</v>
          </cell>
          <cell r="AH421">
            <v>20803.370109121599</v>
          </cell>
          <cell r="AI421">
            <v>21007.495286930989</v>
          </cell>
          <cell r="AJ421">
            <v>14590.598290598289</v>
          </cell>
          <cell r="AK421">
            <v>15049.914529914528</v>
          </cell>
          <cell r="AL421">
            <v>14519.658119658117</v>
          </cell>
          <cell r="AM421">
            <v>14266.324786324785</v>
          </cell>
          <cell r="AN421">
            <v>16146.288798920377</v>
          </cell>
          <cell r="AO421">
            <v>13619.973009446692</v>
          </cell>
          <cell r="AP421">
            <v>12551.821862348177</v>
          </cell>
          <cell r="AQ421">
            <v>13782.591093117408</v>
          </cell>
          <cell r="AR421">
            <v>15013.360323886638</v>
          </cell>
          <cell r="AS421">
            <v>16296.221322537111</v>
          </cell>
          <cell r="AT421">
            <v>17116.734143049933</v>
          </cell>
          <cell r="AU421">
            <v>19578.272604588394</v>
          </cell>
          <cell r="AV421">
            <v>16352.631578947368</v>
          </cell>
          <cell r="AW421">
            <v>11615.384615384613</v>
          </cell>
          <cell r="AX421">
            <v>10384.615384615383</v>
          </cell>
          <cell r="AY421">
            <v>10384.615384615383</v>
          </cell>
          <cell r="AZ421">
            <v>10384.615384615383</v>
          </cell>
          <cell r="BA421">
            <v>23128.205128205125</v>
          </cell>
          <cell r="BB421">
            <v>23128.205128205125</v>
          </cell>
          <cell r="BC421">
            <v>23128.205128205125</v>
          </cell>
          <cell r="BD421">
            <v>23128.205128205125</v>
          </cell>
          <cell r="BE421">
            <v>23128.205128205125</v>
          </cell>
          <cell r="BF421">
            <v>21743.589743589742</v>
          </cell>
          <cell r="BG421">
            <v>22179.48717948718</v>
          </cell>
          <cell r="BH421">
            <v>22179.48717948718</v>
          </cell>
          <cell r="BI421">
            <v>20948.717948717946</v>
          </cell>
          <cell r="BJ421">
            <v>21717.948717948719</v>
          </cell>
          <cell r="BK421">
            <v>20487.179487179485</v>
          </cell>
          <cell r="BL421">
            <v>19884.615384615383</v>
          </cell>
          <cell r="BM421">
            <v>22448.717948717946</v>
          </cell>
          <cell r="BN421">
            <v>21217.948717948719</v>
          </cell>
          <cell r="BO421">
            <v>21217.948717948719</v>
          </cell>
          <cell r="BP421">
            <v>16141.025641025639</v>
          </cell>
          <cell r="BQ421">
            <v>15346.153846153844</v>
          </cell>
          <cell r="BR421">
            <v>14384.615384615383</v>
          </cell>
          <cell r="BS421">
            <v>13935.897435897434</v>
          </cell>
          <cell r="BT421">
            <v>13935.897435897434</v>
          </cell>
          <cell r="BU421">
            <v>13028.205128205127</v>
          </cell>
          <cell r="BV421">
            <v>13028.205128205127</v>
          </cell>
          <cell r="BW421">
            <v>10989.74358974359</v>
          </cell>
          <cell r="BX421">
            <v>10989.74358974359</v>
          </cell>
          <cell r="BY421">
            <v>10028.205128205127</v>
          </cell>
          <cell r="BZ421">
            <v>8797.4358974358965</v>
          </cell>
          <cell r="CA421">
            <v>9705.1282051282033</v>
          </cell>
          <cell r="CB421">
            <v>9705.1282051282033</v>
          </cell>
          <cell r="CC421">
            <v>9705.1282051282033</v>
          </cell>
          <cell r="CD421">
            <v>8797.4358974358965</v>
          </cell>
          <cell r="CE421">
            <v>8797.4358974358965</v>
          </cell>
          <cell r="CF421">
            <v>7720.5128205128203</v>
          </cell>
          <cell r="CG421">
            <v>7720.5128205128203</v>
          </cell>
          <cell r="CH421">
            <v>7720.5128205128203</v>
          </cell>
          <cell r="CI421">
            <v>7720.5128205128203</v>
          </cell>
          <cell r="CJ421">
            <v>9589.7435897435898</v>
          </cell>
          <cell r="CK421">
            <v>9589.7435897435898</v>
          </cell>
          <cell r="CL421">
            <v>11512.820512820512</v>
          </cell>
          <cell r="CM421">
            <v>11512.820512820512</v>
          </cell>
          <cell r="CN421">
            <v>15574.358974358973</v>
          </cell>
          <cell r="CO421">
            <v>16535.897435897437</v>
          </cell>
          <cell r="CP421">
            <v>19333.333333333336</v>
          </cell>
          <cell r="CQ421">
            <v>21807.692307692309</v>
          </cell>
          <cell r="CR421">
            <v>24000</v>
          </cell>
          <cell r="CS421">
            <v>8500</v>
          </cell>
          <cell r="CT421">
            <v>8500</v>
          </cell>
          <cell r="CU421">
            <v>8500</v>
          </cell>
          <cell r="CV421">
            <v>8500</v>
          </cell>
          <cell r="CW421">
            <v>11269.23076923077</v>
          </cell>
          <cell r="CX421">
            <v>11269.23076923077</v>
          </cell>
          <cell r="CY421">
            <v>11269.23076923077</v>
          </cell>
          <cell r="CZ421">
            <v>11269.23076923077</v>
          </cell>
          <cell r="DA421">
            <v>11484.615384615385</v>
          </cell>
          <cell r="DB421">
            <v>11484.615384615385</v>
          </cell>
          <cell r="DC421">
            <v>11484.615384615385</v>
          </cell>
          <cell r="DD421">
            <v>11484.615384615385</v>
          </cell>
          <cell r="DE421">
            <v>11484.615384615385</v>
          </cell>
          <cell r="DF421">
            <v>13648.717948717947</v>
          </cell>
          <cell r="DG421">
            <v>13648.717948717947</v>
          </cell>
          <cell r="DH421">
            <v>15161.538461538461</v>
          </cell>
          <cell r="DI421">
            <v>15161.538461538461</v>
          </cell>
          <cell r="DJ421">
            <v>9692.4358974358984</v>
          </cell>
          <cell r="DK421">
            <v>9989.9358974358965</v>
          </cell>
          <cell r="DL421">
            <v>10012.820512820512</v>
          </cell>
          <cell r="DM421">
            <v>10012.820512820512</v>
          </cell>
          <cell r="DN421">
            <v>10056.545209176787</v>
          </cell>
          <cell r="DO421">
            <v>10056.545209176787</v>
          </cell>
          <cell r="DP421">
            <v>10056.545209176787</v>
          </cell>
          <cell r="DQ421">
            <v>10056.545209176787</v>
          </cell>
          <cell r="DR421">
            <v>10056.545209176787</v>
          </cell>
          <cell r="DS421">
            <v>10623.076923076922</v>
          </cell>
          <cell r="DT421">
            <v>10623.076923076922</v>
          </cell>
          <cell r="DU421">
            <v>10623.076923076922</v>
          </cell>
          <cell r="DV421">
            <v>10623.076923076922</v>
          </cell>
          <cell r="DW421">
            <v>9692.4358974358984</v>
          </cell>
          <cell r="DX421">
            <v>9989.9358974358965</v>
          </cell>
          <cell r="DY421">
            <v>10012.820512820512</v>
          </cell>
          <cell r="DZ421">
            <v>10012.820512820512</v>
          </cell>
          <cell r="EA421">
            <v>10056.545209176787</v>
          </cell>
          <cell r="EB421">
            <v>10056.545209176787</v>
          </cell>
          <cell r="EC421">
            <v>10056.545209176787</v>
          </cell>
          <cell r="ED421">
            <v>10056.545209176787</v>
          </cell>
          <cell r="EE421">
            <v>10056.545209176787</v>
          </cell>
        </row>
        <row r="422">
          <cell r="A422"/>
          <cell r="B422"/>
          <cell r="C422" t="str">
            <v>KNIT</v>
          </cell>
          <cell r="D422" t="str">
            <v>SALES PLAN $</v>
          </cell>
          <cell r="E422">
            <v>31492.050000000025</v>
          </cell>
          <cell r="F422">
            <v>28329.540000000023</v>
          </cell>
          <cell r="G422">
            <v>29554.240000000042</v>
          </cell>
          <cell r="H422">
            <v>23502.090000000026</v>
          </cell>
          <cell r="I422">
            <v>21486.190000000017</v>
          </cell>
          <cell r="J422">
            <v>20674.19000000001</v>
          </cell>
          <cell r="K422">
            <v>22836.685143005026</v>
          </cell>
          <cell r="L422">
            <v>28316.05458273516</v>
          </cell>
          <cell r="M422">
            <v>27097.875368404741</v>
          </cell>
          <cell r="N422">
            <v>18614.233278677326</v>
          </cell>
          <cell r="O422">
            <v>15782.913966006019</v>
          </cell>
          <cell r="P422">
            <v>7339.1690863337208</v>
          </cell>
          <cell r="Q422">
            <v>7603.0924495297368</v>
          </cell>
          <cell r="R422">
            <v>7497.0931270365118</v>
          </cell>
          <cell r="S422">
            <v>4534.3292682926831</v>
          </cell>
          <cell r="T422">
            <v>4720</v>
          </cell>
          <cell r="U422">
            <v>3896</v>
          </cell>
          <cell r="V422">
            <v>4496</v>
          </cell>
          <cell r="W422">
            <v>4579.333333333333</v>
          </cell>
          <cell r="X422">
            <v>4696</v>
          </cell>
          <cell r="Y422">
            <v>4871</v>
          </cell>
          <cell r="Z422">
            <v>4871</v>
          </cell>
          <cell r="AA422">
            <v>4871</v>
          </cell>
          <cell r="AB422">
            <v>6371</v>
          </cell>
          <cell r="AC422">
            <v>6713.7777777777774</v>
          </cell>
          <cell r="AD422">
            <v>5213.7777777777774</v>
          </cell>
          <cell r="AE422">
            <v>4773.7777777777774</v>
          </cell>
          <cell r="AF422">
            <v>4958.0256410256407</v>
          </cell>
          <cell r="AG422">
            <v>3341.0256410256411</v>
          </cell>
          <cell r="AH422">
            <v>3341.0256410256411</v>
          </cell>
          <cell r="AI422">
            <v>3007.6923076923076</v>
          </cell>
          <cell r="AJ422">
            <v>1058.9743589743589</v>
          </cell>
          <cell r="AK422">
            <v>1182.051282051282</v>
          </cell>
          <cell r="AL422">
            <v>1505.1282051282051</v>
          </cell>
          <cell r="AM422">
            <v>3017.9487179487178</v>
          </cell>
          <cell r="AN422">
            <v>23397.435897435895</v>
          </cell>
          <cell r="AO422">
            <v>26666.666666666668</v>
          </cell>
          <cell r="AP422">
            <v>27474.358974358973</v>
          </cell>
          <cell r="AQ422">
            <v>27474.358974358973</v>
          </cell>
          <cell r="AR422">
            <v>29935.897435897434</v>
          </cell>
          <cell r="AS422">
            <v>57769.230769230766</v>
          </cell>
          <cell r="AT422">
            <v>57769.230769230766</v>
          </cell>
          <cell r="AU422">
            <v>57769.230769230766</v>
          </cell>
          <cell r="AV422">
            <v>57769.230769230766</v>
          </cell>
          <cell r="AW422">
            <v>72025.641025641031</v>
          </cell>
          <cell r="AX422">
            <v>74487.179487179485</v>
          </cell>
          <cell r="AY422">
            <v>76948.717948717953</v>
          </cell>
          <cell r="AZ422">
            <v>76948.717948717953</v>
          </cell>
          <cell r="BA422">
            <v>71525.641025641031</v>
          </cell>
          <cell r="BB422">
            <v>71525.641025641031</v>
          </cell>
          <cell r="BC422">
            <v>68320.512820512813</v>
          </cell>
          <cell r="BD422">
            <v>68320.512820512813</v>
          </cell>
          <cell r="BE422">
            <v>68320.512820512813</v>
          </cell>
          <cell r="BF422">
            <v>50166.666666666664</v>
          </cell>
          <cell r="BG422">
            <v>50166.666666666664</v>
          </cell>
          <cell r="BH422">
            <v>50166.666666666664</v>
          </cell>
          <cell r="BI422">
            <v>50166.666666666664</v>
          </cell>
          <cell r="BJ422">
            <v>32192.307692307688</v>
          </cell>
          <cell r="BK422">
            <v>32192.307692307688</v>
          </cell>
          <cell r="BL422">
            <v>32192.307692307688</v>
          </cell>
          <cell r="BM422">
            <v>32192.307692307688</v>
          </cell>
          <cell r="BN422">
            <v>20589.464882943143</v>
          </cell>
          <cell r="BO422">
            <v>19358.695652173912</v>
          </cell>
          <cell r="BP422">
            <v>18127.926421404682</v>
          </cell>
          <cell r="BQ422">
            <v>14230.490523968783</v>
          </cell>
          <cell r="BR422">
            <v>15666.387959866221</v>
          </cell>
          <cell r="BS422">
            <v>9916.6666666666679</v>
          </cell>
          <cell r="BT422">
            <v>8850</v>
          </cell>
          <cell r="BU422">
            <v>7783.3333333333339</v>
          </cell>
          <cell r="BV422">
            <v>6216.6666666666661</v>
          </cell>
          <cell r="BW422">
            <v>3333.333333333333</v>
          </cell>
          <cell r="BX422">
            <v>3333.333333333333</v>
          </cell>
          <cell r="BY422">
            <v>3333.333333333333</v>
          </cell>
          <cell r="BZ422">
            <v>3333.333333333333</v>
          </cell>
          <cell r="CA422">
            <v>4358.9743589743593</v>
          </cell>
          <cell r="CB422">
            <v>4358.9743589743593</v>
          </cell>
          <cell r="CC422">
            <v>4358.9743589743593</v>
          </cell>
          <cell r="CD422">
            <v>4358.9743589743593</v>
          </cell>
          <cell r="CE422">
            <v>4358.9743589743593</v>
          </cell>
          <cell r="CF422">
            <v>1035.8974358974358</v>
          </cell>
          <cell r="CG422">
            <v>1035.8974358974358</v>
          </cell>
          <cell r="CH422">
            <v>1035.8974358974358</v>
          </cell>
          <cell r="CI422">
            <v>1035.8974358974358</v>
          </cell>
          <cell r="CJ422">
            <v>6860.0891861761429</v>
          </cell>
          <cell r="CK422">
            <v>6860.0891861761429</v>
          </cell>
          <cell r="CL422">
            <v>6860.0891861761429</v>
          </cell>
          <cell r="CM422">
            <v>6860.0891861761429</v>
          </cell>
          <cell r="CN422">
            <v>12643.25529542921</v>
          </cell>
          <cell r="CO422">
            <v>13384.615384615385</v>
          </cell>
          <cell r="CP422">
            <v>10533.333333333334</v>
          </cell>
          <cell r="CQ422">
            <v>16897.435897435898</v>
          </cell>
          <cell r="CR422">
            <v>21948.717948717953</v>
          </cell>
          <cell r="CS422">
            <v>25897.435897435898</v>
          </cell>
          <cell r="CT422">
            <v>20141.025641025641</v>
          </cell>
          <cell r="CU422">
            <v>20141.025641025641</v>
          </cell>
          <cell r="CV422">
            <v>20141.025641025641</v>
          </cell>
          <cell r="CW422">
            <v>54384.61538461539</v>
          </cell>
          <cell r="CX422">
            <v>58256.410256410265</v>
          </cell>
          <cell r="CY422">
            <v>61294.871794871797</v>
          </cell>
          <cell r="CZ422">
            <v>64333.333333333343</v>
          </cell>
          <cell r="DA422">
            <v>66538.461538461546</v>
          </cell>
          <cell r="DB422">
            <v>66538.461538461546</v>
          </cell>
          <cell r="DC422">
            <v>66538.461538461546</v>
          </cell>
          <cell r="DD422">
            <v>66538.461538461546</v>
          </cell>
          <cell r="DE422">
            <v>66538.461538461546</v>
          </cell>
          <cell r="DF422">
            <v>47692.307692307695</v>
          </cell>
          <cell r="DG422">
            <v>47692.307692307695</v>
          </cell>
          <cell r="DH422">
            <v>41769.230769230773</v>
          </cell>
          <cell r="DI422">
            <v>35846.153846153844</v>
          </cell>
          <cell r="DJ422">
            <v>31897.435897435898</v>
          </cell>
          <cell r="DK422">
            <v>31897.435897435898</v>
          </cell>
          <cell r="DL422">
            <v>31897.435897435898</v>
          </cell>
          <cell r="DM422">
            <v>31897.435897435898</v>
          </cell>
          <cell r="DN422">
            <v>15179.487179487181</v>
          </cell>
          <cell r="DO422">
            <v>15179.487179487181</v>
          </cell>
          <cell r="DP422">
            <v>15179.487179487181</v>
          </cell>
          <cell r="DQ422">
            <v>15179.487179487181</v>
          </cell>
          <cell r="DR422">
            <v>15179.487179487181</v>
          </cell>
          <cell r="DS422">
            <v>29641.025641025641</v>
          </cell>
          <cell r="DT422">
            <v>32141.025641025641</v>
          </cell>
          <cell r="DU422">
            <v>38569.230769230773</v>
          </cell>
          <cell r="DV422">
            <v>38569.230769230773</v>
          </cell>
          <cell r="DW422">
            <v>41842.809364548499</v>
          </cell>
          <cell r="DX422">
            <v>41842.809364548499</v>
          </cell>
          <cell r="DY422">
            <v>41842.809364548499</v>
          </cell>
          <cell r="DZ422">
            <v>41842.809364548499</v>
          </cell>
          <cell r="EA422">
            <v>41842.809364548499</v>
          </cell>
          <cell r="EB422">
            <v>41842.809364548499</v>
          </cell>
          <cell r="EC422">
            <v>41842.809364548499</v>
          </cell>
          <cell r="ED422">
            <v>41842.809364548499</v>
          </cell>
          <cell r="EE422">
            <v>41842.809364548499</v>
          </cell>
        </row>
        <row r="423">
          <cell r="A423"/>
          <cell r="B423"/>
          <cell r="C423" t="str">
            <v>SH&amp;BL</v>
          </cell>
          <cell r="D423" t="str">
            <v>SALES PLAN $</v>
          </cell>
          <cell r="E423">
            <v>1233.7899999999997</v>
          </cell>
          <cell r="F423">
            <v>1423.9699999999998</v>
          </cell>
          <cell r="G423">
            <v>770.03000000000009</v>
          </cell>
          <cell r="H423">
            <v>457.74</v>
          </cell>
          <cell r="I423">
            <v>483.40000000000003</v>
          </cell>
          <cell r="J423">
            <v>502.58000000000004</v>
          </cell>
          <cell r="K423">
            <v>870.88836206896542</v>
          </cell>
          <cell r="L423">
            <v>638.74206349206349</v>
          </cell>
          <cell r="M423">
            <v>1302.4871794871794</v>
          </cell>
          <cell r="N423">
            <v>1149.852564102564</v>
          </cell>
          <cell r="O423">
            <v>1808.602564102564</v>
          </cell>
          <cell r="P423">
            <v>2815.6250000000005</v>
          </cell>
          <cell r="Q423">
            <v>1045.1851851851852</v>
          </cell>
          <cell r="R423">
            <v>1057.1851851851852</v>
          </cell>
          <cell r="S423">
            <v>1429.1851851851852</v>
          </cell>
          <cell r="T423">
            <v>1925.1851851851852</v>
          </cell>
          <cell r="U423">
            <v>3165.1851851851852</v>
          </cell>
          <cell r="V423">
            <v>4025.6410256410254</v>
          </cell>
          <cell r="W423">
            <v>4153.8461538461534</v>
          </cell>
          <cell r="X423">
            <v>2307.6923076923076</v>
          </cell>
          <cell r="Y423">
            <v>2307.6923076923076</v>
          </cell>
          <cell r="Z423">
            <v>4512.8205128205136</v>
          </cell>
          <cell r="AA423">
            <v>5743.5897435897441</v>
          </cell>
          <cell r="AB423">
            <v>8205.1282051282051</v>
          </cell>
          <cell r="AC423">
            <v>12307.692307692309</v>
          </cell>
          <cell r="AD423">
            <v>12307.692307692309</v>
          </cell>
          <cell r="AE423">
            <v>8205.1282051282051</v>
          </cell>
          <cell r="AF423">
            <v>8205.1282051282051</v>
          </cell>
          <cell r="AG423">
            <v>8205.1282051282051</v>
          </cell>
          <cell r="AH423">
            <v>8421.0526315789466</v>
          </cell>
          <cell r="AI423">
            <v>8648.6486486486483</v>
          </cell>
          <cell r="AJ423">
            <v>11683.494552489865</v>
          </cell>
          <cell r="AK423">
            <v>11683.494552489865</v>
          </cell>
          <cell r="AL423">
            <v>11683.494552489865</v>
          </cell>
          <cell r="AM423">
            <v>7458.5613599158869</v>
          </cell>
          <cell r="AN423">
            <v>5105.5330634278007</v>
          </cell>
          <cell r="AO423">
            <v>5105.5330634278007</v>
          </cell>
          <cell r="AP423">
            <v>5558.9743589743593</v>
          </cell>
          <cell r="AQ423">
            <v>5558.9743589743593</v>
          </cell>
          <cell r="AR423">
            <v>6051.2820512820508</v>
          </cell>
          <cell r="AS423">
            <v>4256.4102564102559</v>
          </cell>
          <cell r="AT423">
            <v>5487.1794871794864</v>
          </cell>
          <cell r="AU423">
            <v>5487.1794871794864</v>
          </cell>
          <cell r="AV423">
            <v>5487.1794871794864</v>
          </cell>
          <cell r="AW423">
            <v>5487.1794871794864</v>
          </cell>
          <cell r="AX423">
            <v>5487.1794871794864</v>
          </cell>
          <cell r="AY423">
            <v>5487.1794871794864</v>
          </cell>
          <cell r="AZ423">
            <v>5487.1794871794864</v>
          </cell>
          <cell r="BA423">
            <v>6384.6153846153848</v>
          </cell>
          <cell r="BB423">
            <v>6384.6153846153848</v>
          </cell>
          <cell r="BC423">
            <v>6384.6153846153848</v>
          </cell>
          <cell r="BD423">
            <v>6384.6153846153848</v>
          </cell>
          <cell r="BE423">
            <v>6384.6153846153848</v>
          </cell>
          <cell r="BF423">
            <v>6717.9487179487178</v>
          </cell>
          <cell r="BG423">
            <v>5487.1794871794864</v>
          </cell>
          <cell r="BH423">
            <v>4256.4102564102559</v>
          </cell>
          <cell r="BI423">
            <v>4256.4102564102559</v>
          </cell>
          <cell r="BJ423">
            <v>7846.1538461538457</v>
          </cell>
          <cell r="BK423">
            <v>7846.1538461538457</v>
          </cell>
          <cell r="BL423">
            <v>7846.1538461538457</v>
          </cell>
          <cell r="BM423">
            <v>9076.9230769230762</v>
          </cell>
          <cell r="BN423">
            <v>13897.435897435898</v>
          </cell>
          <cell r="BO423">
            <v>16358.974358974359</v>
          </cell>
          <cell r="BP423">
            <v>7846.1538461538457</v>
          </cell>
          <cell r="BQ423">
            <v>8506.4102564102559</v>
          </cell>
          <cell r="BR423">
            <v>8471.794871794873</v>
          </cell>
          <cell r="BS423">
            <v>11500</v>
          </cell>
          <cell r="BT423">
            <v>11500</v>
          </cell>
          <cell r="BU423">
            <v>14000</v>
          </cell>
          <cell r="BV423">
            <v>14000</v>
          </cell>
          <cell r="BW423">
            <v>11333.333333333334</v>
          </cell>
          <cell r="BX423">
            <v>11333.333333333334</v>
          </cell>
          <cell r="BY423">
            <v>11333.333333333334</v>
          </cell>
          <cell r="BZ423">
            <v>11333.333333333334</v>
          </cell>
          <cell r="CA423">
            <v>11500</v>
          </cell>
          <cell r="CB423">
            <v>11666.666666666668</v>
          </cell>
          <cell r="CC423">
            <v>11666.666666666668</v>
          </cell>
          <cell r="CD423">
            <v>11666.666666666668</v>
          </cell>
          <cell r="CE423">
            <v>11666.666666666668</v>
          </cell>
          <cell r="CF423">
            <v>10000</v>
          </cell>
          <cell r="CG423">
            <v>8333.3333333333339</v>
          </cell>
          <cell r="CH423">
            <v>8333.3333333333339</v>
          </cell>
          <cell r="CI423">
            <v>8333.3333333333339</v>
          </cell>
          <cell r="CJ423">
            <v>11000</v>
          </cell>
          <cell r="CK423">
            <v>11000</v>
          </cell>
          <cell r="CL423">
            <v>11000</v>
          </cell>
          <cell r="CM423">
            <v>11000</v>
          </cell>
          <cell r="CN423">
            <v>11000</v>
          </cell>
          <cell r="CO423">
            <v>11000</v>
          </cell>
          <cell r="CP423">
            <v>11000</v>
          </cell>
          <cell r="CQ423">
            <v>11000</v>
          </cell>
          <cell r="CR423">
            <v>11000</v>
          </cell>
          <cell r="CS423">
            <v>4133.333333333333</v>
          </cell>
          <cell r="CT423">
            <v>3333.3333333333335</v>
          </cell>
          <cell r="CU423">
            <v>3333.3333333333335</v>
          </cell>
          <cell r="CV423">
            <v>3333.3333333333335</v>
          </cell>
          <cell r="CW423">
            <v>7333.3333333333339</v>
          </cell>
          <cell r="CX423">
            <v>7333.3333333333339</v>
          </cell>
          <cell r="CY423">
            <v>5500</v>
          </cell>
          <cell r="CZ423">
            <v>5500</v>
          </cell>
          <cell r="DA423">
            <v>5500</v>
          </cell>
          <cell r="DB423">
            <v>5500</v>
          </cell>
          <cell r="DC423">
            <v>5500</v>
          </cell>
          <cell r="DD423">
            <v>5500</v>
          </cell>
          <cell r="DE423">
            <v>5500</v>
          </cell>
          <cell r="DF423">
            <v>2348.7179487179487</v>
          </cell>
          <cell r="DG423">
            <v>2348.7179487179487</v>
          </cell>
          <cell r="DH423">
            <v>2348.7179487179487</v>
          </cell>
          <cell r="DI423">
            <v>2348.7179487179487</v>
          </cell>
          <cell r="DJ423">
            <v>2348.7179487179487</v>
          </cell>
          <cell r="DK423">
            <v>2348.7179487179487</v>
          </cell>
          <cell r="DL423">
            <v>2348.7179487179487</v>
          </cell>
          <cell r="DM423">
            <v>2348.7179487179487</v>
          </cell>
          <cell r="DN423">
            <v>2348.7179487179487</v>
          </cell>
          <cell r="DO423">
            <v>2348.7179487179487</v>
          </cell>
          <cell r="DP423">
            <v>2348.7179487179487</v>
          </cell>
          <cell r="DQ423">
            <v>2348.7179487179487</v>
          </cell>
          <cell r="DR423">
            <v>2348.7179487179487</v>
          </cell>
          <cell r="DS423">
            <v>8846.1538461538457</v>
          </cell>
          <cell r="DT423">
            <v>8846.1538461538457</v>
          </cell>
          <cell r="DU423">
            <v>8846.1538461538457</v>
          </cell>
          <cell r="DV423">
            <v>8846.1538461538457</v>
          </cell>
          <cell r="DW423">
            <v>8846.1538461538457</v>
          </cell>
          <cell r="DX423">
            <v>8846.1538461538457</v>
          </cell>
          <cell r="DY423">
            <v>8846.1538461538457</v>
          </cell>
          <cell r="DZ423">
            <v>8846.1538461538457</v>
          </cell>
          <cell r="EA423">
            <v>8846.1538461538457</v>
          </cell>
          <cell r="EB423">
            <v>8846.1538461538457</v>
          </cell>
          <cell r="EC423">
            <v>8846.1538461538457</v>
          </cell>
          <cell r="ED423">
            <v>8846.1538461538457</v>
          </cell>
          <cell r="EE423">
            <v>8846.1538461538457</v>
          </cell>
        </row>
        <row r="424">
          <cell r="A424"/>
          <cell r="B424"/>
          <cell r="C424" t="str">
            <v>LEGGING</v>
          </cell>
          <cell r="D424" t="str">
            <v>SALES PLAN $</v>
          </cell>
          <cell r="E424">
            <v>5230.9299999999994</v>
          </cell>
          <cell r="F424">
            <v>4549.2899999999991</v>
          </cell>
          <cell r="G424">
            <v>4179.4000000000005</v>
          </cell>
          <cell r="H424">
            <v>3426.7199999999993</v>
          </cell>
          <cell r="I424">
            <v>4231.7000000000007</v>
          </cell>
          <cell r="J424">
            <v>3915.6400000000008</v>
          </cell>
          <cell r="K424">
            <v>4875.5513522094789</v>
          </cell>
          <cell r="L424">
            <v>5733.3659673659668</v>
          </cell>
          <cell r="M424">
            <v>6493.8275058275049</v>
          </cell>
          <cell r="N424">
            <v>4574.3971523971522</v>
          </cell>
          <cell r="O424">
            <v>4201.6920241920243</v>
          </cell>
          <cell r="P424">
            <v>6462.7039627039621</v>
          </cell>
          <cell r="Q424">
            <v>5976.8553120187917</v>
          </cell>
          <cell r="R424">
            <v>5563.7337348008286</v>
          </cell>
          <cell r="S424">
            <v>3519.5907745864401</v>
          </cell>
          <cell r="T424">
            <v>3441.7831060644858</v>
          </cell>
          <cell r="U424">
            <v>3789.3588636402433</v>
          </cell>
          <cell r="V424">
            <v>5026.9683194018726</v>
          </cell>
          <cell r="W424">
            <v>4246.4127638463178</v>
          </cell>
          <cell r="X424">
            <v>4285.5153279488813</v>
          </cell>
          <cell r="Y424">
            <v>4285.5153279488813</v>
          </cell>
          <cell r="Z424">
            <v>6904.3630357965894</v>
          </cell>
          <cell r="AA424">
            <v>6904.3630357965894</v>
          </cell>
          <cell r="AB424">
            <v>6896.7658626517132</v>
          </cell>
          <cell r="AC424">
            <v>11192.165719260513</v>
          </cell>
          <cell r="AD424">
            <v>11138.985507246378</v>
          </cell>
          <cell r="AE424">
            <v>6828.3913043478269</v>
          </cell>
          <cell r="AF424">
            <v>6177.6666666666679</v>
          </cell>
          <cell r="AG424">
            <v>6814.6666666666679</v>
          </cell>
          <cell r="AH424">
            <v>5994.1538461538466</v>
          </cell>
          <cell r="AI424">
            <v>5173.6410256410263</v>
          </cell>
          <cell r="AJ424">
            <v>6239.7435897435898</v>
          </cell>
          <cell r="AK424">
            <v>6239.7435897435898</v>
          </cell>
          <cell r="AL424">
            <v>7547.4358974358965</v>
          </cell>
          <cell r="AM424">
            <v>1554.9348465741914</v>
          </cell>
          <cell r="AN424">
            <v>9994.1165501165488</v>
          </cell>
          <cell r="AO424">
            <v>9537.4735084735075</v>
          </cell>
          <cell r="AP424">
            <v>9537.4735084735075</v>
          </cell>
          <cell r="AQ424">
            <v>9195.6200466200462</v>
          </cell>
          <cell r="AR424">
            <v>8161.7123123577512</v>
          </cell>
          <cell r="AS424">
            <v>8683.3333333333321</v>
          </cell>
          <cell r="AT424">
            <v>8683.3333333333321</v>
          </cell>
          <cell r="AU424">
            <v>9114.1025641025626</v>
          </cell>
          <cell r="AV424">
            <v>9114.1025641025626</v>
          </cell>
          <cell r="AW424">
            <v>9514.219114219115</v>
          </cell>
          <cell r="AX424">
            <v>9514.219114219115</v>
          </cell>
          <cell r="AY424">
            <v>9514.219114219115</v>
          </cell>
          <cell r="AZ424">
            <v>8337.2540028277726</v>
          </cell>
          <cell r="BA424">
            <v>11955.244755244756</v>
          </cell>
          <cell r="BB424">
            <v>11662.319662319662</v>
          </cell>
          <cell r="BC424">
            <v>11662.319662319662</v>
          </cell>
          <cell r="BD424">
            <v>11283.927738927739</v>
          </cell>
          <cell r="BE424">
            <v>10364.216735645308</v>
          </cell>
          <cell r="BF424">
            <v>7886.3624708624702</v>
          </cell>
          <cell r="BG424">
            <v>7886.3624708624702</v>
          </cell>
          <cell r="BH424">
            <v>7886.3624708624702</v>
          </cell>
          <cell r="BI424">
            <v>7886.3624708624702</v>
          </cell>
          <cell r="BJ424">
            <v>10841.958041958042</v>
          </cell>
          <cell r="BK424">
            <v>10841.958041958042</v>
          </cell>
          <cell r="BL424">
            <v>10841.958041958042</v>
          </cell>
          <cell r="BM424">
            <v>2603.2022622186564</v>
          </cell>
          <cell r="BN424">
            <v>10841.958041958042</v>
          </cell>
          <cell r="BO424">
            <v>10479.153279153279</v>
          </cell>
          <cell r="BP424">
            <v>10479.153279153279</v>
          </cell>
          <cell r="BQ424">
            <v>4751.0256410256407</v>
          </cell>
          <cell r="BR424">
            <v>4485.6334142048427</v>
          </cell>
          <cell r="BS424">
            <v>5188.4615384615381</v>
          </cell>
          <cell r="BT424">
            <v>5188.4615384615381</v>
          </cell>
          <cell r="BU424">
            <v>4638.4615384615381</v>
          </cell>
          <cell r="BV424">
            <v>4638.4615384615381</v>
          </cell>
          <cell r="BW424">
            <v>4523.0769230769229</v>
          </cell>
          <cell r="BX424">
            <v>4092.3076923076919</v>
          </cell>
          <cell r="BY424">
            <v>4092.3076923076919</v>
          </cell>
          <cell r="BZ424">
            <v>2764.0184951660362</v>
          </cell>
          <cell r="CA424">
            <v>3353.8461538461538</v>
          </cell>
          <cell r="CB424">
            <v>3283.8253638253636</v>
          </cell>
          <cell r="CC424">
            <v>3283.8253638253636</v>
          </cell>
          <cell r="CD424">
            <v>3224.8717948717949</v>
          </cell>
          <cell r="CE424">
            <v>3078.8164216735645</v>
          </cell>
          <cell r="CF424">
            <v>3339.7435897435898</v>
          </cell>
          <cell r="CG424">
            <v>3339.7435897435898</v>
          </cell>
          <cell r="CH424">
            <v>3339.7435897435898</v>
          </cell>
          <cell r="CI424">
            <v>3339.7435897435898</v>
          </cell>
          <cell r="CJ424">
            <v>9538.461538461539</v>
          </cell>
          <cell r="CK424">
            <v>9538.461538461539</v>
          </cell>
          <cell r="CL424">
            <v>9538.461538461539</v>
          </cell>
          <cell r="CM424">
            <v>7184.531315678857</v>
          </cell>
          <cell r="CN424">
            <v>9538.461538461539</v>
          </cell>
          <cell r="CO424">
            <v>9538.461538461539</v>
          </cell>
          <cell r="CP424">
            <v>7517.9487179487187</v>
          </cell>
          <cell r="CQ424">
            <v>7517.9487179487187</v>
          </cell>
          <cell r="CR424">
            <v>7517.9487179487187</v>
          </cell>
          <cell r="CS424">
            <v>8594.8717948717949</v>
          </cell>
          <cell r="CT424">
            <v>6736.0089186176137</v>
          </cell>
          <cell r="CU424">
            <v>6736.0089186176137</v>
          </cell>
          <cell r="CV424">
            <v>5727.5391275391266</v>
          </cell>
          <cell r="CW424">
            <v>6415.3846153846152</v>
          </cell>
          <cell r="CX424">
            <v>6415.3846153846152</v>
          </cell>
          <cell r="CY424">
            <v>6415.3846153846152</v>
          </cell>
          <cell r="CZ424">
            <v>5843.7158469945352</v>
          </cell>
          <cell r="DA424">
            <v>5198.9743589743593</v>
          </cell>
          <cell r="DB424">
            <v>4424.3076923076924</v>
          </cell>
          <cell r="DC424">
            <v>4438.1410256410254</v>
          </cell>
          <cell r="DD424">
            <v>4461.1965811965811</v>
          </cell>
          <cell r="DE424">
            <v>4848.8294314381274</v>
          </cell>
          <cell r="DF424">
            <v>11589.74358974359</v>
          </cell>
          <cell r="DG424">
            <v>11589.74358974359</v>
          </cell>
          <cell r="DH424">
            <v>11589.74358974359</v>
          </cell>
          <cell r="DI424">
            <v>11589.74358974359</v>
          </cell>
          <cell r="DJ424">
            <v>11589.74358974359</v>
          </cell>
          <cell r="DK424">
            <v>11589.74358974359</v>
          </cell>
          <cell r="DL424">
            <v>11589.74358974359</v>
          </cell>
          <cell r="DM424">
            <v>3014.7120638923916</v>
          </cell>
          <cell r="DN424">
            <v>11589.74358974359</v>
          </cell>
          <cell r="DO424">
            <v>11589.74358974359</v>
          </cell>
          <cell r="DP424">
            <v>11589.74358974359</v>
          </cell>
          <cell r="DQ424">
            <v>11589.74358974359</v>
          </cell>
          <cell r="DR424">
            <v>11589.74358974359</v>
          </cell>
          <cell r="DS424">
            <v>9482.0512820512813</v>
          </cell>
          <cell r="DT424">
            <v>9482.0512820512813</v>
          </cell>
          <cell r="DU424">
            <v>9482.0512820512813</v>
          </cell>
          <cell r="DV424">
            <v>9482.0512820512813</v>
          </cell>
          <cell r="DW424">
            <v>9538.461538461539</v>
          </cell>
          <cell r="DX424">
            <v>9538.461538461539</v>
          </cell>
          <cell r="DY424">
            <v>9538.461538461539</v>
          </cell>
          <cell r="DZ424">
            <v>2897.0155527532584</v>
          </cell>
          <cell r="EA424">
            <v>9538.461538461539</v>
          </cell>
          <cell r="EB424">
            <v>9157.865557865558</v>
          </cell>
          <cell r="EC424">
            <v>9157.865557865558</v>
          </cell>
          <cell r="ED424">
            <v>8907.6923076923067</v>
          </cell>
          <cell r="EE424">
            <v>8278.4358498644215</v>
          </cell>
        </row>
        <row r="425">
          <cell r="A425"/>
          <cell r="B425"/>
          <cell r="C425" t="str">
            <v>APPERAL TOTAL</v>
          </cell>
          <cell r="D425" t="str">
            <v>SALES PLAN $</v>
          </cell>
          <cell r="E425">
            <v>93860.180000000037</v>
          </cell>
          <cell r="F425">
            <v>92379.630000000019</v>
          </cell>
          <cell r="G425">
            <v>89863.200000000041</v>
          </cell>
          <cell r="H425">
            <v>75148.46000000005</v>
          </cell>
          <cell r="I425">
            <v>85358.350000000035</v>
          </cell>
          <cell r="J425">
            <v>87980.46000000005</v>
          </cell>
          <cell r="K425">
            <v>101342.90240457185</v>
          </cell>
          <cell r="L425">
            <v>111979.2767266364</v>
          </cell>
          <cell r="M425">
            <v>121448.76789661843</v>
          </cell>
          <cell r="N425">
            <v>93339.034299584615</v>
          </cell>
          <cell r="O425">
            <v>92512.564016303062</v>
          </cell>
          <cell r="P425">
            <v>97642.587168834696</v>
          </cell>
          <cell r="Q425">
            <v>93938.408522573547</v>
          </cell>
          <cell r="R425">
            <v>89472.49922961845</v>
          </cell>
          <cell r="S425">
            <v>87913.963149026516</v>
          </cell>
          <cell r="T425">
            <v>91292.568386422514</v>
          </cell>
          <cell r="U425">
            <v>99285.286681405822</v>
          </cell>
          <cell r="V425">
            <v>110147.70352859465</v>
          </cell>
          <cell r="W425">
            <v>115680.9887408911</v>
          </cell>
          <cell r="X425">
            <v>122130.72618151242</v>
          </cell>
          <cell r="Y425">
            <v>134478.76525220214</v>
          </cell>
          <cell r="Z425">
            <v>152477.57563164536</v>
          </cell>
          <cell r="AA425">
            <v>159483.28376893242</v>
          </cell>
          <cell r="AB425">
            <v>184144.75235790596</v>
          </cell>
          <cell r="AC425">
            <v>234644.80535462283</v>
          </cell>
          <cell r="AD425">
            <v>238936.04648703002</v>
          </cell>
          <cell r="AE425">
            <v>186010.57989520236</v>
          </cell>
          <cell r="AF425">
            <v>162713.64919540379</v>
          </cell>
          <cell r="AG425">
            <v>142693.44143690905</v>
          </cell>
          <cell r="AH425">
            <v>135919.86518859598</v>
          </cell>
          <cell r="AI425">
            <v>133303.08085352468</v>
          </cell>
          <cell r="AJ425">
            <v>139948.05140997921</v>
          </cell>
          <cell r="AK425">
            <v>131226.2295952249</v>
          </cell>
          <cell r="AL425">
            <v>131620.8449798403</v>
          </cell>
          <cell r="AM425">
            <v>122472.12868512256</v>
          </cell>
          <cell r="AN425">
            <v>150930.17834078107</v>
          </cell>
          <cell r="AO425">
            <v>150702.34771479259</v>
          </cell>
          <cell r="AP425">
            <v>151739.43273503552</v>
          </cell>
          <cell r="AQ425">
            <v>147566.81004241281</v>
          </cell>
          <cell r="AR425">
            <v>149994.41997966816</v>
          </cell>
          <cell r="AS425">
            <v>164304.93927125508</v>
          </cell>
          <cell r="AT425">
            <v>162702.37516869098</v>
          </cell>
          <cell r="AU425">
            <v>164994.68286099867</v>
          </cell>
          <cell r="AV425">
            <v>158088.52901484483</v>
          </cell>
          <cell r="AW425">
            <v>160402.42424242425</v>
          </cell>
          <cell r="AX425">
            <v>164081.91142191144</v>
          </cell>
          <cell r="AY425">
            <v>166543.44988344994</v>
          </cell>
          <cell r="AZ425">
            <v>166340.84374641752</v>
          </cell>
          <cell r="BA425">
            <v>189056.52680652679</v>
          </cell>
          <cell r="BB425">
            <v>189302.06325206324</v>
          </cell>
          <cell r="BC425">
            <v>183799.49914949914</v>
          </cell>
          <cell r="BD425">
            <v>181180.08158508156</v>
          </cell>
          <cell r="BE425">
            <v>175965.49878692735</v>
          </cell>
          <cell r="BF425">
            <v>140477.1317016317</v>
          </cell>
          <cell r="BG425">
            <v>139310.46503496502</v>
          </cell>
          <cell r="BH425">
            <v>138820.72144522145</v>
          </cell>
          <cell r="BI425">
            <v>141413.02913752914</v>
          </cell>
          <cell r="BJ425">
            <v>135826.36552636552</v>
          </cell>
          <cell r="BK425">
            <v>140605.85270585268</v>
          </cell>
          <cell r="BL425">
            <v>146031.49373149371</v>
          </cell>
          <cell r="BM425">
            <v>147356.84051585689</v>
          </cell>
          <cell r="BN425">
            <v>168056.22843760994</v>
          </cell>
          <cell r="BO425">
            <v>164809.50129088276</v>
          </cell>
          <cell r="BP425">
            <v>140874.57405595554</v>
          </cell>
          <cell r="BQ425">
            <v>141345.16436654585</v>
          </cell>
          <cell r="BR425">
            <v>141453.51076668946</v>
          </cell>
          <cell r="BS425">
            <v>144696.95079695081</v>
          </cell>
          <cell r="BT425">
            <v>141732.84823284822</v>
          </cell>
          <cell r="BU425">
            <v>143977.72002772</v>
          </cell>
          <cell r="BV425">
            <v>142693.10464310463</v>
          </cell>
          <cell r="BW425">
            <v>147661.74636174639</v>
          </cell>
          <cell r="BX425">
            <v>149940.72072072074</v>
          </cell>
          <cell r="BY425">
            <v>151972.18295218298</v>
          </cell>
          <cell r="BZ425">
            <v>147993.12452427208</v>
          </cell>
          <cell r="CA425">
            <v>156016.28551628554</v>
          </cell>
          <cell r="CB425">
            <v>157369.34164934166</v>
          </cell>
          <cell r="CC425">
            <v>159048.82882882885</v>
          </cell>
          <cell r="CD425">
            <v>157620.64449064445</v>
          </cell>
          <cell r="CE425">
            <v>157474.58911744624</v>
          </cell>
          <cell r="CF425">
            <v>126099.61884961886</v>
          </cell>
          <cell r="CG425">
            <v>106150.9009009009</v>
          </cell>
          <cell r="CH425">
            <v>113215.00346500346</v>
          </cell>
          <cell r="CI425">
            <v>109573.97782397781</v>
          </cell>
          <cell r="CJ425">
            <v>142365.42529151225</v>
          </cell>
          <cell r="CK425">
            <v>142365.42529151225</v>
          </cell>
          <cell r="CL425">
            <v>140852.60477869175</v>
          </cell>
          <cell r="CM425">
            <v>138498.67455590906</v>
          </cell>
          <cell r="CN425">
            <v>142517.82216999607</v>
          </cell>
          <cell r="CO425">
            <v>128489.95148995149</v>
          </cell>
          <cell r="CP425">
            <v>125159.18225918226</v>
          </cell>
          <cell r="CQ425">
            <v>133997.6437976438</v>
          </cell>
          <cell r="CR425">
            <v>139984.8232848233</v>
          </cell>
          <cell r="CS425">
            <v>76424.130284130282</v>
          </cell>
          <cell r="CT425">
            <v>63934.498177106871</v>
          </cell>
          <cell r="CU425">
            <v>63980.652023260722</v>
          </cell>
          <cell r="CV425">
            <v>62972.18223218224</v>
          </cell>
          <cell r="CW425">
            <v>113863.61746361745</v>
          </cell>
          <cell r="CX425">
            <v>118755.92515592516</v>
          </cell>
          <cell r="CY425">
            <v>122032.84823284824</v>
          </cell>
          <cell r="CZ425">
            <v>124499.6410029197</v>
          </cell>
          <cell r="DA425">
            <v>133535.07969507971</v>
          </cell>
          <cell r="DB425">
            <v>132760.41302841302</v>
          </cell>
          <cell r="DC425">
            <v>132774.24636174637</v>
          </cell>
          <cell r="DD425">
            <v>132797.30191730193</v>
          </cell>
          <cell r="DE425">
            <v>133184.93476754345</v>
          </cell>
          <cell r="DF425">
            <v>122918.15661815663</v>
          </cell>
          <cell r="DG425">
            <v>122918.15661815663</v>
          </cell>
          <cell r="DH425">
            <v>117251.48995148997</v>
          </cell>
          <cell r="DI425">
            <v>111328.41302841304</v>
          </cell>
          <cell r="DJ425">
            <v>99674.695079695099</v>
          </cell>
          <cell r="DK425">
            <v>99972.195079695099</v>
          </cell>
          <cell r="DL425">
            <v>99995.079695079694</v>
          </cell>
          <cell r="DM425">
            <v>92702.099451279777</v>
          </cell>
          <cell r="DN425">
            <v>95987.522340153941</v>
          </cell>
          <cell r="DO425">
            <v>95987.522340153941</v>
          </cell>
          <cell r="DP425">
            <v>95987.522340153941</v>
          </cell>
          <cell r="DQ425">
            <v>95987.522340153941</v>
          </cell>
          <cell r="DR425">
            <v>102910.59926323086</v>
          </cell>
          <cell r="DS425">
            <v>132738.66943866943</v>
          </cell>
          <cell r="DT425">
            <v>135238.66943866943</v>
          </cell>
          <cell r="DU425">
            <v>140410.4643104643</v>
          </cell>
          <cell r="DV425">
            <v>140410.4643104643</v>
          </cell>
          <cell r="DW425">
            <v>150296.99162373075</v>
          </cell>
          <cell r="DX425">
            <v>150594.49162373072</v>
          </cell>
          <cell r="DY425">
            <v>150617.37623911534</v>
          </cell>
          <cell r="DZ425">
            <v>143975.93025340707</v>
          </cell>
          <cell r="EA425">
            <v>162045.71632008703</v>
          </cell>
          <cell r="EB425">
            <v>161665.12033949106</v>
          </cell>
          <cell r="EC425">
            <v>161665.12033949106</v>
          </cell>
          <cell r="ED425">
            <v>161414.94708931781</v>
          </cell>
          <cell r="EE425">
            <v>167708.76755456685</v>
          </cell>
        </row>
        <row r="426">
          <cell r="A426"/>
          <cell r="B426"/>
          <cell r="C426" t="str">
            <v>SHOE</v>
          </cell>
          <cell r="D426" t="str">
            <v>SALES PLAN $</v>
          </cell>
          <cell r="E426">
            <v>2405.3800000000006</v>
          </cell>
          <cell r="F426">
            <v>2561.08</v>
          </cell>
          <cell r="G426">
            <v>2579.7599999999998</v>
          </cell>
          <cell r="H426">
            <v>2550.2300000000005</v>
          </cell>
          <cell r="I426">
            <v>2912.02</v>
          </cell>
          <cell r="J426">
            <v>3033.0599999999995</v>
          </cell>
          <cell r="K426">
            <v>4956.8249725128899</v>
          </cell>
          <cell r="L426">
            <v>6649.7390923890935</v>
          </cell>
          <cell r="M426">
            <v>10901.883363858364</v>
          </cell>
          <cell r="N426">
            <v>2796.1703754578753</v>
          </cell>
          <cell r="O426">
            <v>3322.4116300366295</v>
          </cell>
          <cell r="P426">
            <v>3603.6289529914529</v>
          </cell>
          <cell r="Q426">
            <v>7094.8617511520724</v>
          </cell>
          <cell r="R426">
            <v>7396.1208420611638</v>
          </cell>
          <cell r="S426">
            <v>8524.6593213238375</v>
          </cell>
          <cell r="T426">
            <v>10379.640657729367</v>
          </cell>
          <cell r="U426">
            <v>11832.003644742354</v>
          </cell>
          <cell r="V426">
            <v>13043.589743589742</v>
          </cell>
          <cell r="W426">
            <v>14833.333333333334</v>
          </cell>
          <cell r="X426">
            <v>15558.974358974361</v>
          </cell>
          <cell r="Y426">
            <v>16348.717948717947</v>
          </cell>
          <cell r="Z426">
            <v>18948.717948717949</v>
          </cell>
          <cell r="AA426">
            <v>23051.282051282054</v>
          </cell>
          <cell r="AB426">
            <v>30307.692307692312</v>
          </cell>
          <cell r="AC426">
            <v>39205.128205128203</v>
          </cell>
          <cell r="AD426">
            <v>39205.128205128203</v>
          </cell>
          <cell r="AE426">
            <v>31948.717948717953</v>
          </cell>
          <cell r="AF426">
            <v>30307.692307692312</v>
          </cell>
          <cell r="AG426">
            <v>29615.384615384617</v>
          </cell>
          <cell r="AH426">
            <v>29615.384615384617</v>
          </cell>
          <cell r="AI426">
            <v>29615.384615384617</v>
          </cell>
          <cell r="AJ426">
            <v>62340.412260585668</v>
          </cell>
          <cell r="AK426">
            <v>62340.412260585668</v>
          </cell>
          <cell r="AL426">
            <v>62340.412260585668</v>
          </cell>
          <cell r="AM426">
            <v>62340.412260585668</v>
          </cell>
          <cell r="AN426">
            <v>37397.4643242936</v>
          </cell>
          <cell r="AO426">
            <v>37397.4643242936</v>
          </cell>
          <cell r="AP426">
            <v>34115.413042242319</v>
          </cell>
          <cell r="AQ426">
            <v>34115.413042242319</v>
          </cell>
          <cell r="AR426">
            <v>32474.387401216671</v>
          </cell>
          <cell r="AS426">
            <v>38051.282051282054</v>
          </cell>
          <cell r="AT426">
            <v>38051.282051282054</v>
          </cell>
          <cell r="AU426">
            <v>38051.282051282054</v>
          </cell>
          <cell r="AV426">
            <v>38051.282051282054</v>
          </cell>
          <cell r="AW426">
            <v>28000</v>
          </cell>
          <cell r="AX426">
            <v>28000</v>
          </cell>
          <cell r="AY426">
            <v>28000</v>
          </cell>
          <cell r="AZ426">
            <v>23384.615384615383</v>
          </cell>
          <cell r="BA426">
            <v>15891.821428571428</v>
          </cell>
          <cell r="BB426">
            <v>16967.267857142855</v>
          </cell>
          <cell r="BC426">
            <v>15352.142857142853</v>
          </cell>
          <cell r="BD426">
            <v>15352.142857142853</v>
          </cell>
          <cell r="BE426">
            <v>19834.732142857145</v>
          </cell>
          <cell r="BF426">
            <v>8756.6510890492282</v>
          </cell>
          <cell r="BG426">
            <v>5441.2800430850075</v>
          </cell>
          <cell r="BH426">
            <v>2615.06858268632</v>
          </cell>
          <cell r="BI426">
            <v>2694.7747395843871</v>
          </cell>
          <cell r="BJ426">
            <v>2715.2213689322371</v>
          </cell>
          <cell r="BK426">
            <v>2833.3146912504399</v>
          </cell>
          <cell r="BL426">
            <v>2942.1500832467568</v>
          </cell>
          <cell r="BM426">
            <v>4102.5641025641025</v>
          </cell>
          <cell r="BN426">
            <v>6977.2831908831913</v>
          </cell>
          <cell r="BO426">
            <v>6792.1709401709404</v>
          </cell>
          <cell r="BP426">
            <v>5308.9743589743593</v>
          </cell>
          <cell r="BQ426">
            <v>7666.666666666667</v>
          </cell>
          <cell r="BR426">
            <v>7666.666666666667</v>
          </cell>
          <cell r="BS426">
            <v>7666.666666666667</v>
          </cell>
          <cell r="BT426">
            <v>7666.666666666667</v>
          </cell>
          <cell r="BU426">
            <v>7666.666666666667</v>
          </cell>
          <cell r="BV426">
            <v>7666.666666666667</v>
          </cell>
          <cell r="BW426">
            <v>4346.1538461538457</v>
          </cell>
          <cell r="BX426">
            <v>4346.1538461538457</v>
          </cell>
          <cell r="BY426">
            <v>4346.1538461538457</v>
          </cell>
          <cell r="BZ426">
            <v>4346.1538461538457</v>
          </cell>
          <cell r="CA426">
            <v>4256.4102564102559</v>
          </cell>
          <cell r="CB426">
            <v>4256.4102564102559</v>
          </cell>
          <cell r="CC426">
            <v>4256.4102564102559</v>
          </cell>
          <cell r="CD426">
            <v>4256.4102564102559</v>
          </cell>
          <cell r="CE426">
            <v>4256.4102564102559</v>
          </cell>
          <cell r="CF426">
            <v>0</v>
          </cell>
          <cell r="CG426">
            <v>0</v>
          </cell>
          <cell r="CH426">
            <v>0</v>
          </cell>
          <cell r="CI426">
            <v>0</v>
          </cell>
          <cell r="CJ426">
            <v>0</v>
          </cell>
          <cell r="CK426">
            <v>0</v>
          </cell>
          <cell r="CL426">
            <v>0</v>
          </cell>
          <cell r="CM426">
            <v>0</v>
          </cell>
          <cell r="CN426">
            <v>0</v>
          </cell>
          <cell r="CO426">
            <v>0</v>
          </cell>
          <cell r="CP426">
            <v>0</v>
          </cell>
          <cell r="CQ426">
            <v>0</v>
          </cell>
          <cell r="CR426">
            <v>0</v>
          </cell>
          <cell r="CS426">
            <v>0</v>
          </cell>
          <cell r="CT426">
            <v>0</v>
          </cell>
          <cell r="CU426">
            <v>0</v>
          </cell>
          <cell r="CV426">
            <v>0</v>
          </cell>
          <cell r="CW426">
            <v>0</v>
          </cell>
          <cell r="CX426">
            <v>0</v>
          </cell>
          <cell r="CY426">
            <v>0</v>
          </cell>
          <cell r="CZ426">
            <v>0</v>
          </cell>
          <cell r="DA426">
            <v>0</v>
          </cell>
          <cell r="DB426">
            <v>0</v>
          </cell>
          <cell r="DC426">
            <v>0</v>
          </cell>
          <cell r="DD426">
            <v>0</v>
          </cell>
          <cell r="DE426">
            <v>0</v>
          </cell>
          <cell r="DF426">
            <v>0</v>
          </cell>
          <cell r="DG426">
            <v>0</v>
          </cell>
          <cell r="DH426">
            <v>0</v>
          </cell>
          <cell r="DI426">
            <v>0</v>
          </cell>
          <cell r="DJ426">
            <v>0</v>
          </cell>
          <cell r="DK426">
            <v>0</v>
          </cell>
          <cell r="DL426">
            <v>8019.9556541019965</v>
          </cell>
          <cell r="DM426">
            <v>8019.9556541019965</v>
          </cell>
          <cell r="DN426">
            <v>8019.9556541019965</v>
          </cell>
          <cell r="DO426">
            <v>8019.9556541019965</v>
          </cell>
          <cell r="DP426">
            <v>8019.9556541019965</v>
          </cell>
          <cell r="DQ426">
            <v>8019.9556541019965</v>
          </cell>
          <cell r="DR426">
            <v>8019.9556541019965</v>
          </cell>
          <cell r="DS426">
            <v>9692.3076923076933</v>
          </cell>
          <cell r="DT426">
            <v>9692.3076923076933</v>
          </cell>
          <cell r="DU426">
            <v>9692.3076923076933</v>
          </cell>
          <cell r="DV426">
            <v>9692.3076923076933</v>
          </cell>
          <cell r="DW426">
            <v>8019.9556541019965</v>
          </cell>
          <cell r="DX426">
            <v>8019.9556541019965</v>
          </cell>
          <cell r="DY426">
            <v>8019.9556541019965</v>
          </cell>
          <cell r="DZ426">
            <v>8019.9556541019965</v>
          </cell>
          <cell r="EA426">
            <v>8019.9556541019965</v>
          </cell>
          <cell r="EB426">
            <v>8019.9556541019965</v>
          </cell>
          <cell r="EC426">
            <v>8019.9556541019965</v>
          </cell>
          <cell r="ED426">
            <v>8019.9556541019965</v>
          </cell>
          <cell r="EE426">
            <v>8019.9556541019965</v>
          </cell>
        </row>
        <row r="427">
          <cell r="A427"/>
          <cell r="B427"/>
          <cell r="C427" t="str">
            <v>SCARF</v>
          </cell>
          <cell r="D427" t="str">
            <v>SALES PLAN $</v>
          </cell>
          <cell r="E427">
            <v>8553.730000000025</v>
          </cell>
          <cell r="F427">
            <v>9365.070000000027</v>
          </cell>
          <cell r="G427">
            <v>8966.610000000026</v>
          </cell>
          <cell r="H427">
            <v>8491.5800000000127</v>
          </cell>
          <cell r="I427">
            <v>7830.4000000000224</v>
          </cell>
          <cell r="J427">
            <v>5767.0600000000104</v>
          </cell>
          <cell r="K427">
            <v>5696.6898538893656</v>
          </cell>
          <cell r="L427">
            <v>6203.8731363513543</v>
          </cell>
          <cell r="M427">
            <v>6115.6378422337075</v>
          </cell>
          <cell r="N427">
            <v>4878.3256528418151</v>
          </cell>
          <cell r="O427">
            <v>4534.6251364906957</v>
          </cell>
          <cell r="P427">
            <v>3991.3364055299867</v>
          </cell>
          <cell r="Q427">
            <v>2635.5414746544016</v>
          </cell>
          <cell r="R427">
            <v>2896.5517241379303</v>
          </cell>
          <cell r="S427">
            <v>3230.7692307692305</v>
          </cell>
          <cell r="T427">
            <v>3652.1739130434785</v>
          </cell>
          <cell r="U427">
            <v>4000</v>
          </cell>
          <cell r="V427">
            <v>5428.5714285714294</v>
          </cell>
          <cell r="W427">
            <v>3799.9999999999991</v>
          </cell>
          <cell r="X427">
            <v>3799.9999999999991</v>
          </cell>
          <cell r="Y427">
            <v>3799.9999999999991</v>
          </cell>
          <cell r="Z427">
            <v>5066.6666666666661</v>
          </cell>
          <cell r="AA427">
            <v>5066.6666666666661</v>
          </cell>
          <cell r="AB427">
            <v>6333.3333333333321</v>
          </cell>
          <cell r="AC427">
            <v>7599.9999999999982</v>
          </cell>
          <cell r="AD427">
            <v>7599.9999999999982</v>
          </cell>
          <cell r="AE427">
            <v>6333.3333333333321</v>
          </cell>
          <cell r="AF427">
            <v>3897.435897435897</v>
          </cell>
          <cell r="AG427">
            <v>3897.435897435897</v>
          </cell>
          <cell r="AH427">
            <v>3897.435897435897</v>
          </cell>
          <cell r="AI427">
            <v>3897.435897435897</v>
          </cell>
          <cell r="AJ427">
            <v>2923.0769230769229</v>
          </cell>
          <cell r="AK427">
            <v>2776.9230769230767</v>
          </cell>
          <cell r="AL427">
            <v>2776.9230769230767</v>
          </cell>
          <cell r="AM427">
            <v>2630.7692307692305</v>
          </cell>
          <cell r="AN427">
            <v>2435.8974358974356</v>
          </cell>
          <cell r="AO427">
            <v>2515.3846153846152</v>
          </cell>
          <cell r="AP427">
            <v>2594.8717948717945</v>
          </cell>
          <cell r="AQ427">
            <v>2594.8717948717945</v>
          </cell>
          <cell r="AR427">
            <v>2594.8717948717945</v>
          </cell>
          <cell r="AS427">
            <v>3241.0256410256407</v>
          </cell>
          <cell r="AT427">
            <v>3728.2051282051279</v>
          </cell>
          <cell r="AU427">
            <v>4215.3846153846152</v>
          </cell>
          <cell r="AV427">
            <v>4458.9743589743584</v>
          </cell>
          <cell r="AW427">
            <v>4617.9487179487178</v>
          </cell>
          <cell r="AX427">
            <v>4617.9487179487178</v>
          </cell>
          <cell r="AY427">
            <v>9064.1025641025644</v>
          </cell>
          <cell r="AZ427">
            <v>9064.1025641025644</v>
          </cell>
          <cell r="BA427">
            <v>10546.153846153846</v>
          </cell>
          <cell r="BB427">
            <v>10546.153846153846</v>
          </cell>
          <cell r="BC427">
            <v>9805.1282051282051</v>
          </cell>
          <cell r="BD427">
            <v>9805.1282051282051</v>
          </cell>
          <cell r="BE427">
            <v>9805.1282051282051</v>
          </cell>
          <cell r="BF427">
            <v>10090.76923076923</v>
          </cell>
          <cell r="BG427">
            <v>6385.6410256410254</v>
          </cell>
          <cell r="BH427">
            <v>6385.6410256410254</v>
          </cell>
          <cell r="BI427">
            <v>6385.6410256410254</v>
          </cell>
          <cell r="BJ427">
            <v>5858.5538461538454</v>
          </cell>
          <cell r="BK427">
            <v>5877.9487179487178</v>
          </cell>
          <cell r="BL427">
            <v>5877.9487179487178</v>
          </cell>
          <cell r="BM427">
            <v>6877.9487179487178</v>
          </cell>
          <cell r="BN427">
            <v>5871.7948717948711</v>
          </cell>
          <cell r="BO427">
            <v>5294.6520146520143</v>
          </cell>
          <cell r="BP427">
            <v>5160.9514983008949</v>
          </cell>
          <cell r="BQ427">
            <v>4914.8056244830432</v>
          </cell>
          <cell r="BR427">
            <v>4871.7948717948711</v>
          </cell>
          <cell r="BS427">
            <v>4871.7948717948711</v>
          </cell>
          <cell r="BT427">
            <v>2435.8974358974356</v>
          </cell>
          <cell r="BU427">
            <v>2435.8974358974356</v>
          </cell>
          <cell r="BV427">
            <v>2435.8974358974356</v>
          </cell>
          <cell r="BW427">
            <v>2923.0769230769229</v>
          </cell>
          <cell r="BX427">
            <v>3410.2564102564102</v>
          </cell>
          <cell r="BY427">
            <v>3897.435897435897</v>
          </cell>
          <cell r="BZ427">
            <v>3923.0769230769229</v>
          </cell>
          <cell r="CA427">
            <v>4358.9743589743584</v>
          </cell>
          <cell r="CB427">
            <v>4358.9743589743584</v>
          </cell>
          <cell r="CC427">
            <v>4358.9743589743584</v>
          </cell>
          <cell r="CD427">
            <v>4358.9743589743584</v>
          </cell>
          <cell r="CE427">
            <v>4358.9743589743584</v>
          </cell>
          <cell r="CF427">
            <v>1743.5897435897434</v>
          </cell>
          <cell r="CG427">
            <v>1743.5897435897434</v>
          </cell>
          <cell r="CH427">
            <v>1743.5897435897434</v>
          </cell>
          <cell r="CI427">
            <v>1743.5897435897434</v>
          </cell>
          <cell r="CJ427">
            <v>1743.5897435897434</v>
          </cell>
          <cell r="CK427">
            <v>1743.5897435897434</v>
          </cell>
          <cell r="CL427">
            <v>1743.5897435897434</v>
          </cell>
          <cell r="CM427">
            <v>1743.5897435897434</v>
          </cell>
          <cell r="CN427">
            <v>3923.0769230769229</v>
          </cell>
          <cell r="CO427">
            <v>3923.0769230769229</v>
          </cell>
          <cell r="CP427">
            <v>3923.0769230769229</v>
          </cell>
          <cell r="CQ427">
            <v>2179.4871794871792</v>
          </cell>
          <cell r="CR427">
            <v>2179.4871794871792</v>
          </cell>
          <cell r="CS427">
            <v>4743.5897435897432</v>
          </cell>
          <cell r="CT427">
            <v>5307.6923076923067</v>
          </cell>
          <cell r="CU427">
            <v>5307.6923076923067</v>
          </cell>
          <cell r="CV427">
            <v>5307.6923076923067</v>
          </cell>
          <cell r="CW427">
            <v>4743.5897435897432</v>
          </cell>
          <cell r="CX427">
            <v>4743.5897435897432</v>
          </cell>
          <cell r="CY427">
            <v>4743.5897435897432</v>
          </cell>
          <cell r="CZ427">
            <v>4743.5897435897432</v>
          </cell>
          <cell r="DA427">
            <v>5179.4871794871797</v>
          </cell>
          <cell r="DB427">
            <v>5179.4871794871797</v>
          </cell>
          <cell r="DC427">
            <v>5179.4871794871797</v>
          </cell>
          <cell r="DD427">
            <v>5179.4871794871797</v>
          </cell>
          <cell r="DE427">
            <v>5179.4871794871797</v>
          </cell>
          <cell r="DF427">
            <v>3487.1794871794868</v>
          </cell>
          <cell r="DG427">
            <v>3487.1794871794868</v>
          </cell>
          <cell r="DH427">
            <v>3487.1794871794868</v>
          </cell>
          <cell r="DI427">
            <v>3487.1794871794868</v>
          </cell>
          <cell r="DJ427">
            <v>3051.2820512820508</v>
          </cell>
          <cell r="DK427">
            <v>3051.2820512820508</v>
          </cell>
          <cell r="DL427">
            <v>3051.2820512820508</v>
          </cell>
          <cell r="DM427">
            <v>3051.2820512820508</v>
          </cell>
          <cell r="DN427">
            <v>2615.3846153846152</v>
          </cell>
          <cell r="DO427">
            <v>2615.3846153846152</v>
          </cell>
          <cell r="DP427">
            <v>2615.3846153846152</v>
          </cell>
          <cell r="DQ427">
            <v>2615.3846153846152</v>
          </cell>
          <cell r="DR427">
            <v>2615.3846153846152</v>
          </cell>
          <cell r="DS427">
            <v>2179.4871794871792</v>
          </cell>
          <cell r="DT427">
            <v>2179.4871794871792</v>
          </cell>
          <cell r="DU427">
            <v>2179.4871794871792</v>
          </cell>
          <cell r="DV427">
            <v>2179.4871794871792</v>
          </cell>
          <cell r="DW427">
            <v>1743.5897435897434</v>
          </cell>
          <cell r="DX427">
            <v>1743.5897435897434</v>
          </cell>
          <cell r="DY427">
            <v>1743.5897435897434</v>
          </cell>
          <cell r="DZ427">
            <v>1743.5897435897434</v>
          </cell>
          <cell r="EA427">
            <v>1743.5897435897434</v>
          </cell>
          <cell r="EB427">
            <v>1743.5897435897434</v>
          </cell>
          <cell r="EC427">
            <v>1743.5897435897434</v>
          </cell>
          <cell r="ED427">
            <v>1743.5897435897434</v>
          </cell>
          <cell r="EE427">
            <v>1743.5897435897434</v>
          </cell>
        </row>
        <row r="428">
          <cell r="A428"/>
          <cell r="B428"/>
          <cell r="C428" t="str">
            <v>ACCESSORY</v>
          </cell>
          <cell r="D428" t="str">
            <v>SALES PLAN $</v>
          </cell>
          <cell r="E428">
            <v>3028.8900000000008</v>
          </cell>
          <cell r="F428">
            <v>3359.8500000000004</v>
          </cell>
          <cell r="G428">
            <v>3313.2599999999998</v>
          </cell>
          <cell r="H428">
            <v>2875.55</v>
          </cell>
          <cell r="I428">
            <v>3067.7200000000003</v>
          </cell>
          <cell r="J428">
            <v>2705.2999999999997</v>
          </cell>
          <cell r="K428">
            <v>3388.8761436847467</v>
          </cell>
          <cell r="L428">
            <v>3400.904</v>
          </cell>
          <cell r="M428">
            <v>3620.904</v>
          </cell>
          <cell r="N428">
            <v>2817.3156363636363</v>
          </cell>
          <cell r="O428">
            <v>2416.1792727272727</v>
          </cell>
          <cell r="P428">
            <v>2520.6792727272727</v>
          </cell>
          <cell r="Q428">
            <v>1818.9781303512395</v>
          </cell>
          <cell r="R428">
            <v>1832.117165165165</v>
          </cell>
          <cell r="S428">
            <v>1912.117165165165</v>
          </cell>
          <cell r="T428">
            <v>2154.7838318318322</v>
          </cell>
          <cell r="U428">
            <v>2485.0402420882424</v>
          </cell>
          <cell r="V428">
            <v>6550.5925155925161</v>
          </cell>
          <cell r="W428">
            <v>3258.7976437976445</v>
          </cell>
          <cell r="X428">
            <v>3349.0540540540546</v>
          </cell>
          <cell r="Y428">
            <v>3579.8232848232856</v>
          </cell>
          <cell r="Z428">
            <v>3523.0769230769229</v>
          </cell>
          <cell r="AA428">
            <v>2926.0854700854698</v>
          </cell>
          <cell r="AB428">
            <v>3426.6666666666665</v>
          </cell>
          <cell r="AC428">
            <v>6594.871794871794</v>
          </cell>
          <cell r="AD428">
            <v>6594.871794871794</v>
          </cell>
          <cell r="AE428">
            <v>4723.0769230769229</v>
          </cell>
          <cell r="AF428">
            <v>4282.0512820512813</v>
          </cell>
          <cell r="AG428">
            <v>5697.4358974358975</v>
          </cell>
          <cell r="AH428">
            <v>5697.4358974358975</v>
          </cell>
          <cell r="AI428">
            <v>5076.9230769230762</v>
          </cell>
          <cell r="AJ428">
            <v>4344.6590650771595</v>
          </cell>
          <cell r="AK428">
            <v>4344.6590650771595</v>
          </cell>
          <cell r="AL428">
            <v>4344.6590650771595</v>
          </cell>
          <cell r="AM428">
            <v>4344.6590650771595</v>
          </cell>
          <cell r="AN428">
            <v>2666.7216262974507</v>
          </cell>
          <cell r="AO428">
            <v>2666.7216262974507</v>
          </cell>
          <cell r="AP428">
            <v>2666.7216262974507</v>
          </cell>
          <cell r="AQ428">
            <v>2666.7216262974507</v>
          </cell>
          <cell r="AR428">
            <v>2666.7216262974507</v>
          </cell>
          <cell r="AS428">
            <v>2623.6970731547522</v>
          </cell>
          <cell r="AT428">
            <v>2623.6970731547522</v>
          </cell>
          <cell r="AU428">
            <v>2623.6970731547522</v>
          </cell>
          <cell r="AV428">
            <v>2623.6970731547522</v>
          </cell>
          <cell r="AW428">
            <v>3963.0769230769229</v>
          </cell>
          <cell r="AX428">
            <v>3963.0769230769229</v>
          </cell>
          <cell r="AY428">
            <v>3963.0769230769229</v>
          </cell>
          <cell r="AZ428">
            <v>3963.0769230769229</v>
          </cell>
          <cell r="BA428">
            <v>2466.7735042735044</v>
          </cell>
          <cell r="BB428">
            <v>2414.2482517482522</v>
          </cell>
          <cell r="BC428">
            <v>2414.2482517482522</v>
          </cell>
          <cell r="BD428">
            <v>2414.2482517482522</v>
          </cell>
          <cell r="BE428">
            <v>2320.2865761689291</v>
          </cell>
          <cell r="BF428">
            <v>3402.6723635257576</v>
          </cell>
          <cell r="BG428">
            <v>3226.4274031053692</v>
          </cell>
          <cell r="BH428">
            <v>3076.9230769230767</v>
          </cell>
          <cell r="BI428">
            <v>3076.9230769230767</v>
          </cell>
          <cell r="BJ428">
            <v>3076.9230769230767</v>
          </cell>
          <cell r="BK428">
            <v>3076.9230769230767</v>
          </cell>
          <cell r="BL428">
            <v>3512.8205128205127</v>
          </cell>
          <cell r="BM428">
            <v>3512.8205128205127</v>
          </cell>
          <cell r="BN428">
            <v>3948.7179487179483</v>
          </cell>
          <cell r="BO428">
            <v>3948.7179487179483</v>
          </cell>
          <cell r="BP428">
            <v>3948.7179487179483</v>
          </cell>
          <cell r="BQ428">
            <v>3948.7179487179483</v>
          </cell>
          <cell r="BR428">
            <v>3948.7179487179483</v>
          </cell>
          <cell r="BS428">
            <v>3948.7179487179483</v>
          </cell>
          <cell r="BT428">
            <v>3948.7179487179483</v>
          </cell>
          <cell r="BU428">
            <v>3948.7179487179483</v>
          </cell>
          <cell r="BV428">
            <v>3948.7179487179483</v>
          </cell>
          <cell r="BW428">
            <v>4102.5641025641025</v>
          </cell>
          <cell r="BX428">
            <v>4102.5641025641025</v>
          </cell>
          <cell r="BY428">
            <v>4102.5641025641025</v>
          </cell>
          <cell r="BZ428">
            <v>4102.5641025641025</v>
          </cell>
          <cell r="CA428">
            <v>5282.0512820512813</v>
          </cell>
          <cell r="CB428">
            <v>5282.0512820512813</v>
          </cell>
          <cell r="CC428">
            <v>6461.538461538461</v>
          </cell>
          <cell r="CD428">
            <v>3533.333333333333</v>
          </cell>
          <cell r="CE428">
            <v>3533.333333333333</v>
          </cell>
          <cell r="CF428">
            <v>1410.2564102564102</v>
          </cell>
          <cell r="CG428">
            <v>1410.2564102564102</v>
          </cell>
          <cell r="CH428">
            <v>1410.2564102564102</v>
          </cell>
          <cell r="CI428">
            <v>1410.2564102564102</v>
          </cell>
          <cell r="CJ428">
            <v>3076.9230769230767</v>
          </cell>
          <cell r="CK428">
            <v>3076.9230769230767</v>
          </cell>
          <cell r="CL428">
            <v>3076.9230769230767</v>
          </cell>
          <cell r="CM428">
            <v>3076.9230769230767</v>
          </cell>
          <cell r="CN428">
            <v>3076.9230769230767</v>
          </cell>
          <cell r="CO428">
            <v>3076.9230769230767</v>
          </cell>
          <cell r="CP428">
            <v>3076.9230769230767</v>
          </cell>
          <cell r="CQ428">
            <v>3076.9230769230767</v>
          </cell>
          <cell r="CR428">
            <v>3076.9230769230767</v>
          </cell>
          <cell r="CS428">
            <v>0</v>
          </cell>
          <cell r="CT428">
            <v>0</v>
          </cell>
          <cell r="CU428">
            <v>0</v>
          </cell>
          <cell r="CV428">
            <v>0</v>
          </cell>
          <cell r="CW428">
            <v>0</v>
          </cell>
          <cell r="CX428">
            <v>0</v>
          </cell>
          <cell r="CY428">
            <v>0</v>
          </cell>
          <cell r="CZ428">
            <v>0</v>
          </cell>
          <cell r="DA428">
            <v>0</v>
          </cell>
          <cell r="DB428">
            <v>0</v>
          </cell>
          <cell r="DC428">
            <v>0</v>
          </cell>
          <cell r="DD428">
            <v>0</v>
          </cell>
          <cell r="DE428">
            <v>0</v>
          </cell>
          <cell r="DF428">
            <v>0</v>
          </cell>
          <cell r="DG428">
            <v>0</v>
          </cell>
          <cell r="DH428">
            <v>0</v>
          </cell>
          <cell r="DI428">
            <v>0</v>
          </cell>
          <cell r="DJ428">
            <v>0</v>
          </cell>
          <cell r="DK428">
            <v>0</v>
          </cell>
          <cell r="DL428">
            <v>0</v>
          </cell>
          <cell r="DM428">
            <v>0</v>
          </cell>
          <cell r="DN428">
            <v>0</v>
          </cell>
          <cell r="DO428">
            <v>0</v>
          </cell>
          <cell r="DP428">
            <v>0</v>
          </cell>
          <cell r="DQ428">
            <v>0</v>
          </cell>
          <cell r="DR428">
            <v>0</v>
          </cell>
          <cell r="DS428">
            <v>3076.9230769230767</v>
          </cell>
          <cell r="DT428">
            <v>3076.9230769230767</v>
          </cell>
          <cell r="DU428">
            <v>3076.9230769230767</v>
          </cell>
          <cell r="DV428">
            <v>3076.9230769230767</v>
          </cell>
          <cell r="DW428">
            <v>3076.9230769230767</v>
          </cell>
          <cell r="DX428">
            <v>3076.9230769230767</v>
          </cell>
          <cell r="DY428">
            <v>3076.9230769230767</v>
          </cell>
          <cell r="DZ428">
            <v>3076.9230769230767</v>
          </cell>
          <cell r="EA428">
            <v>3076.9230769230767</v>
          </cell>
          <cell r="EB428">
            <v>3076.9230769230767</v>
          </cell>
          <cell r="EC428">
            <v>3076.9230769230767</v>
          </cell>
          <cell r="ED428">
            <v>3076.9230769230767</v>
          </cell>
          <cell r="EE428">
            <v>3076.9230769230767</v>
          </cell>
        </row>
        <row r="429">
          <cell r="A429"/>
          <cell r="B429"/>
          <cell r="C429" t="str">
            <v>N.APPERAL TOTAL</v>
          </cell>
          <cell r="D429" t="str">
            <v>SALES PLAN $</v>
          </cell>
          <cell r="E429">
            <v>13988.000000000027</v>
          </cell>
          <cell r="F429">
            <v>15286.000000000027</v>
          </cell>
          <cell r="G429">
            <v>14859.630000000026</v>
          </cell>
          <cell r="H429">
            <v>13917.360000000011</v>
          </cell>
          <cell r="I429">
            <v>13810.140000000021</v>
          </cell>
          <cell r="J429">
            <v>11505.420000000009</v>
          </cell>
          <cell r="K429">
            <v>14042.390970087003</v>
          </cell>
          <cell r="L429">
            <v>16254.516228740447</v>
          </cell>
          <cell r="M429">
            <v>20638.42520609207</v>
          </cell>
          <cell r="N429">
            <v>10491.811664663328</v>
          </cell>
          <cell r="O429">
            <v>10273.216039254597</v>
          </cell>
          <cell r="P429">
            <v>10115.644631248713</v>
          </cell>
          <cell r="Q429">
            <v>11549.381356157714</v>
          </cell>
          <cell r="R429">
            <v>12124.789731364259</v>
          </cell>
          <cell r="S429">
            <v>13667.545717258234</v>
          </cell>
          <cell r="T429">
            <v>16186.598402604677</v>
          </cell>
          <cell r="U429">
            <v>18317.043886830597</v>
          </cell>
          <cell r="V429">
            <v>25022.753687753684</v>
          </cell>
          <cell r="W429">
            <v>21892.130977130975</v>
          </cell>
          <cell r="X429">
            <v>22708.028413028413</v>
          </cell>
          <cell r="Y429">
            <v>23728.541233541233</v>
          </cell>
          <cell r="Z429">
            <v>27538.461538461539</v>
          </cell>
          <cell r="AA429">
            <v>31044.034188034188</v>
          </cell>
          <cell r="AB429">
            <v>40067.692307692305</v>
          </cell>
          <cell r="AC429">
            <v>53400</v>
          </cell>
          <cell r="AD429">
            <v>53400</v>
          </cell>
          <cell r="AE429">
            <v>43005.128205128203</v>
          </cell>
          <cell r="AF429">
            <v>38487.179487179492</v>
          </cell>
          <cell r="AG429">
            <v>39210.256410256414</v>
          </cell>
          <cell r="AH429">
            <v>39210.256410256414</v>
          </cell>
          <cell r="AI429">
            <v>38589.743589743593</v>
          </cell>
          <cell r="AJ429">
            <v>69608.148248739744</v>
          </cell>
          <cell r="AK429">
            <v>69461.9944025859</v>
          </cell>
          <cell r="AL429">
            <v>69461.9944025859</v>
          </cell>
          <cell r="AM429">
            <v>69315.840556432056</v>
          </cell>
          <cell r="AN429">
            <v>42500.083386488492</v>
          </cell>
          <cell r="AO429">
            <v>42579.570565975664</v>
          </cell>
          <cell r="AP429">
            <v>39377.00646341157</v>
          </cell>
          <cell r="AQ429">
            <v>39377.00646341157</v>
          </cell>
          <cell r="AR429">
            <v>37735.980822385915</v>
          </cell>
          <cell r="AS429">
            <v>43916.00476546245</v>
          </cell>
          <cell r="AT429">
            <v>44403.184252641935</v>
          </cell>
          <cell r="AU429">
            <v>44890.363739821427</v>
          </cell>
          <cell r="AV429">
            <v>45133.953483411169</v>
          </cell>
          <cell r="AW429">
            <v>36581.025641025641</v>
          </cell>
          <cell r="AX429">
            <v>36581.025641025641</v>
          </cell>
          <cell r="AY429">
            <v>41027.179487179485</v>
          </cell>
          <cell r="AZ429">
            <v>36411.794871794868</v>
          </cell>
          <cell r="BA429">
            <v>28904.748778998775</v>
          </cell>
          <cell r="BB429">
            <v>29927.669955044952</v>
          </cell>
          <cell r="BC429">
            <v>27571.519314019311</v>
          </cell>
          <cell r="BD429">
            <v>27571.519314019311</v>
          </cell>
          <cell r="BE429">
            <v>31960.146924154276</v>
          </cell>
          <cell r="BF429">
            <v>22250.092683344217</v>
          </cell>
          <cell r="BG429">
            <v>15053.348471831403</v>
          </cell>
          <cell r="BH429">
            <v>12077.632685250423</v>
          </cell>
          <cell r="BI429">
            <v>12157.338842148489</v>
          </cell>
          <cell r="BJ429">
            <v>11650.69829200916</v>
          </cell>
          <cell r="BK429">
            <v>11788.186486122233</v>
          </cell>
          <cell r="BL429">
            <v>12332.919314015988</v>
          </cell>
          <cell r="BM429">
            <v>14493.333333333332</v>
          </cell>
          <cell r="BN429">
            <v>16797.796011396011</v>
          </cell>
          <cell r="BO429">
            <v>16035.540903540903</v>
          </cell>
          <cell r="BP429">
            <v>14418.643805993204</v>
          </cell>
          <cell r="BQ429">
            <v>16530.190239867658</v>
          </cell>
          <cell r="BR429">
            <v>16487.179487179488</v>
          </cell>
          <cell r="BS429">
            <v>16487.179487179488</v>
          </cell>
          <cell r="BT429">
            <v>14051.282051282051</v>
          </cell>
          <cell r="BU429">
            <v>14051.282051282051</v>
          </cell>
          <cell r="BV429">
            <v>14051.282051282051</v>
          </cell>
          <cell r="BW429">
            <v>11371.794871794871</v>
          </cell>
          <cell r="BX429">
            <v>11858.974358974359</v>
          </cell>
          <cell r="BY429">
            <v>12346.153846153844</v>
          </cell>
          <cell r="BZ429">
            <v>12371.794871794871</v>
          </cell>
          <cell r="CA429">
            <v>13897.435897435895</v>
          </cell>
          <cell r="CB429">
            <v>13897.435897435895</v>
          </cell>
          <cell r="CC429">
            <v>15076.923076923074</v>
          </cell>
          <cell r="CD429">
            <v>12148.717948717946</v>
          </cell>
          <cell r="CE429">
            <v>12148.717948717946</v>
          </cell>
          <cell r="CF429">
            <v>3153.8461538461534</v>
          </cell>
          <cell r="CG429">
            <v>3153.8461538461534</v>
          </cell>
          <cell r="CH429">
            <v>3153.8461538461534</v>
          </cell>
          <cell r="CI429">
            <v>3153.8461538461534</v>
          </cell>
          <cell r="CJ429">
            <v>4820.5128205128203</v>
          </cell>
          <cell r="CK429">
            <v>4820.5128205128203</v>
          </cell>
          <cell r="CL429">
            <v>4820.5128205128203</v>
          </cell>
          <cell r="CM429">
            <v>4820.5128205128203</v>
          </cell>
          <cell r="CN429">
            <v>7000</v>
          </cell>
          <cell r="CO429">
            <v>7000</v>
          </cell>
          <cell r="CP429">
            <v>7000</v>
          </cell>
          <cell r="CQ429">
            <v>5256.4102564102559</v>
          </cell>
          <cell r="CR429">
            <v>5256.4102564102559</v>
          </cell>
          <cell r="CS429">
            <v>4743.5897435897432</v>
          </cell>
          <cell r="CT429">
            <v>5307.6923076923067</v>
          </cell>
          <cell r="CU429">
            <v>5307.6923076923067</v>
          </cell>
          <cell r="CV429">
            <v>5307.6923076923067</v>
          </cell>
          <cell r="CW429">
            <v>4743.5897435897432</v>
          </cell>
          <cell r="CX429">
            <v>4743.5897435897432</v>
          </cell>
          <cell r="CY429">
            <v>4743.5897435897432</v>
          </cell>
          <cell r="CZ429">
            <v>4743.5897435897432</v>
          </cell>
          <cell r="DA429">
            <v>5179.4871794871797</v>
          </cell>
          <cell r="DB429">
            <v>5179.4871794871797</v>
          </cell>
          <cell r="DC429">
            <v>5179.4871794871797</v>
          </cell>
          <cell r="DD429">
            <v>5179.4871794871797</v>
          </cell>
          <cell r="DE429">
            <v>5179.4871794871797</v>
          </cell>
          <cell r="DF429">
            <v>3487.1794871794868</v>
          </cell>
          <cell r="DG429">
            <v>3487.1794871794868</v>
          </cell>
          <cell r="DH429">
            <v>3487.1794871794868</v>
          </cell>
          <cell r="DI429">
            <v>3487.1794871794868</v>
          </cell>
          <cell r="DJ429">
            <v>3051.2820512820508</v>
          </cell>
          <cell r="DK429">
            <v>3051.2820512820508</v>
          </cell>
          <cell r="DL429">
            <v>11071.237705384046</v>
          </cell>
          <cell r="DM429">
            <v>11071.237705384046</v>
          </cell>
          <cell r="DN429">
            <v>10635.340269486613</v>
          </cell>
          <cell r="DO429">
            <v>10635.340269486613</v>
          </cell>
          <cell r="DP429">
            <v>10635.340269486613</v>
          </cell>
          <cell r="DQ429">
            <v>10635.340269486613</v>
          </cell>
          <cell r="DR429">
            <v>10635.340269486613</v>
          </cell>
          <cell r="DS429">
            <v>14948.717948717949</v>
          </cell>
          <cell r="DT429">
            <v>14948.717948717949</v>
          </cell>
          <cell r="DU429">
            <v>14948.717948717949</v>
          </cell>
          <cell r="DV429">
            <v>14948.717948717949</v>
          </cell>
          <cell r="DW429">
            <v>12840.468474614816</v>
          </cell>
          <cell r="DX429">
            <v>12840.468474614816</v>
          </cell>
          <cell r="DY429">
            <v>12840.468474614816</v>
          </cell>
          <cell r="DZ429">
            <v>12840.468474614816</v>
          </cell>
          <cell r="EA429">
            <v>12840.468474614816</v>
          </cell>
          <cell r="EB429">
            <v>12840.468474614816</v>
          </cell>
          <cell r="EC429">
            <v>12840.468474614816</v>
          </cell>
          <cell r="ED429">
            <v>12840.468474614816</v>
          </cell>
          <cell r="EE429">
            <v>12840.468474614816</v>
          </cell>
        </row>
        <row r="430">
          <cell r="A430"/>
          <cell r="B430"/>
          <cell r="C430" t="str">
            <v>GRAND TOTAL</v>
          </cell>
          <cell r="D430" t="str">
            <v>SALES PLAN $</v>
          </cell>
          <cell r="E430">
            <v>107848.18000000007</v>
          </cell>
          <cell r="F430">
            <v>107665.63000000005</v>
          </cell>
          <cell r="G430">
            <v>104722.83000000007</v>
          </cell>
          <cell r="H430">
            <v>89065.820000000065</v>
          </cell>
          <cell r="I430">
            <v>99168.490000000049</v>
          </cell>
          <cell r="J430">
            <v>99485.880000000063</v>
          </cell>
          <cell r="K430">
            <v>115385.29337465885</v>
          </cell>
          <cell r="L430">
            <v>128233.79295537685</v>
          </cell>
          <cell r="M430">
            <v>142087.1931027105</v>
          </cell>
          <cell r="N430">
            <v>103830.84596424794</v>
          </cell>
          <cell r="O430">
            <v>102785.78005555765</v>
          </cell>
          <cell r="P430">
            <v>107758.23180008341</v>
          </cell>
          <cell r="Q430">
            <v>105487.78987873126</v>
          </cell>
          <cell r="R430">
            <v>101597.28896098271</v>
          </cell>
          <cell r="S430">
            <v>101581.50886628476</v>
          </cell>
          <cell r="T430">
            <v>107479.16678902719</v>
          </cell>
          <cell r="U430">
            <v>117602.33056823642</v>
          </cell>
          <cell r="V430">
            <v>135170.45721634832</v>
          </cell>
          <cell r="W430">
            <v>137573.11971802206</v>
          </cell>
          <cell r="X430">
            <v>144838.75459454083</v>
          </cell>
          <cell r="Y430">
            <v>158207.30648574338</v>
          </cell>
          <cell r="Z430">
            <v>180016.03717010689</v>
          </cell>
          <cell r="AA430">
            <v>190527.31795696661</v>
          </cell>
          <cell r="AB430">
            <v>224212.44466559828</v>
          </cell>
          <cell r="AC430">
            <v>288044.80535462283</v>
          </cell>
          <cell r="AD430">
            <v>292336.04648702999</v>
          </cell>
          <cell r="AE430">
            <v>229015.70810033055</v>
          </cell>
          <cell r="AF430">
            <v>201200.82868258329</v>
          </cell>
          <cell r="AG430">
            <v>181903.69784716546</v>
          </cell>
          <cell r="AH430">
            <v>175130.12159885239</v>
          </cell>
          <cell r="AI430">
            <v>171892.82444326827</v>
          </cell>
          <cell r="AJ430">
            <v>209556.19965871895</v>
          </cell>
          <cell r="AK430">
            <v>200688.2239978108</v>
          </cell>
          <cell r="AL430">
            <v>201082.8393824262</v>
          </cell>
          <cell r="AM430">
            <v>191787.96924155462</v>
          </cell>
          <cell r="AN430">
            <v>193430.26172726956</v>
          </cell>
          <cell r="AO430">
            <v>193281.91828076827</v>
          </cell>
          <cell r="AP430">
            <v>191116.4391984471</v>
          </cell>
          <cell r="AQ430">
            <v>186943.81650582439</v>
          </cell>
          <cell r="AR430">
            <v>187730.40080205409</v>
          </cell>
          <cell r="AS430">
            <v>208220.94403671753</v>
          </cell>
          <cell r="AT430">
            <v>207105.5594213329</v>
          </cell>
          <cell r="AU430">
            <v>209885.04660082009</v>
          </cell>
          <cell r="AV430">
            <v>203222.48249825599</v>
          </cell>
          <cell r="AW430">
            <v>196983.44988344988</v>
          </cell>
          <cell r="AX430">
            <v>200662.93706293707</v>
          </cell>
          <cell r="AY430">
            <v>207570.62937062944</v>
          </cell>
          <cell r="AZ430">
            <v>202752.6386182124</v>
          </cell>
          <cell r="BA430">
            <v>217961.27558552555</v>
          </cell>
          <cell r="BB430">
            <v>219229.73320710819</v>
          </cell>
          <cell r="BC430">
            <v>211371.01846351844</v>
          </cell>
          <cell r="BD430">
            <v>208751.60089910086</v>
          </cell>
          <cell r="BE430">
            <v>207925.64571108163</v>
          </cell>
          <cell r="BF430">
            <v>162727.22438497591</v>
          </cell>
          <cell r="BG430">
            <v>154363.81350679643</v>
          </cell>
          <cell r="BH430">
            <v>150898.35413047188</v>
          </cell>
          <cell r="BI430">
            <v>153570.36797967763</v>
          </cell>
          <cell r="BJ430">
            <v>147477.06381837468</v>
          </cell>
          <cell r="BK430">
            <v>152394.03919197491</v>
          </cell>
          <cell r="BL430">
            <v>158364.41304550969</v>
          </cell>
          <cell r="BM430">
            <v>161850.17384919024</v>
          </cell>
          <cell r="BN430">
            <v>184854.02444900596</v>
          </cell>
          <cell r="BO430">
            <v>180845.04219442367</v>
          </cell>
          <cell r="BP430">
            <v>155293.21786194874</v>
          </cell>
          <cell r="BQ430">
            <v>157875.35460641352</v>
          </cell>
          <cell r="BR430">
            <v>157940.69025386896</v>
          </cell>
          <cell r="BS430">
            <v>161184.13028413031</v>
          </cell>
          <cell r="BT430">
            <v>155784.13028413028</v>
          </cell>
          <cell r="BU430">
            <v>158029.00207900206</v>
          </cell>
          <cell r="BV430">
            <v>156744.38669438669</v>
          </cell>
          <cell r="BW430">
            <v>159033.54123354127</v>
          </cell>
          <cell r="BX430">
            <v>161799.69507969508</v>
          </cell>
          <cell r="BY430">
            <v>164318.33679833682</v>
          </cell>
          <cell r="BZ430">
            <v>160364.91939606695</v>
          </cell>
          <cell r="CA430">
            <v>169913.72141372145</v>
          </cell>
          <cell r="CB430">
            <v>171266.77754677756</v>
          </cell>
          <cell r="CC430">
            <v>174125.75190575191</v>
          </cell>
          <cell r="CD430">
            <v>169769.36243936239</v>
          </cell>
          <cell r="CE430">
            <v>169623.30706616418</v>
          </cell>
          <cell r="CF430">
            <v>129253.46500346501</v>
          </cell>
          <cell r="CG430">
            <v>109304.74705474706</v>
          </cell>
          <cell r="CH430">
            <v>116368.84961884962</v>
          </cell>
          <cell r="CI430">
            <v>112727.82397782397</v>
          </cell>
          <cell r="CJ430">
            <v>147185.93811202506</v>
          </cell>
          <cell r="CK430">
            <v>147185.93811202506</v>
          </cell>
          <cell r="CL430">
            <v>145673.11759920456</v>
          </cell>
          <cell r="CM430">
            <v>143319.18737642188</v>
          </cell>
          <cell r="CN430">
            <v>149517.82216999607</v>
          </cell>
          <cell r="CO430">
            <v>135489.95148995149</v>
          </cell>
          <cell r="CP430">
            <v>132159.18225918227</v>
          </cell>
          <cell r="CQ430">
            <v>139254.05405405405</v>
          </cell>
          <cell r="CR430">
            <v>145241.23354123355</v>
          </cell>
          <cell r="CS430">
            <v>81167.720027720032</v>
          </cell>
          <cell r="CT430">
            <v>69242.190484799183</v>
          </cell>
          <cell r="CU430">
            <v>69288.344330953027</v>
          </cell>
          <cell r="CV430">
            <v>68279.874539874552</v>
          </cell>
          <cell r="CW430">
            <v>118607.2072072072</v>
          </cell>
          <cell r="CX430">
            <v>123499.51489951491</v>
          </cell>
          <cell r="CY430">
            <v>126776.43797643798</v>
          </cell>
          <cell r="CZ430">
            <v>129243.23074650945</v>
          </cell>
          <cell r="DA430">
            <v>138714.5668745669</v>
          </cell>
          <cell r="DB430">
            <v>137939.90020790021</v>
          </cell>
          <cell r="DC430">
            <v>137953.73354123355</v>
          </cell>
          <cell r="DD430">
            <v>137976.78909678911</v>
          </cell>
          <cell r="DE430">
            <v>138364.42194703064</v>
          </cell>
          <cell r="DF430">
            <v>126405.33610533611</v>
          </cell>
          <cell r="DG430">
            <v>126405.33610533611</v>
          </cell>
          <cell r="DH430">
            <v>120738.66943866946</v>
          </cell>
          <cell r="DI430">
            <v>114815.59251559252</v>
          </cell>
          <cell r="DJ430">
            <v>102725.97713097715</v>
          </cell>
          <cell r="DK430">
            <v>103023.47713097715</v>
          </cell>
          <cell r="DL430">
            <v>111066.31740046374</v>
          </cell>
          <cell r="DM430">
            <v>103773.33715666382</v>
          </cell>
          <cell r="DN430">
            <v>106622.86260964055</v>
          </cell>
          <cell r="DO430">
            <v>106622.86260964055</v>
          </cell>
          <cell r="DP430">
            <v>106622.86260964055</v>
          </cell>
          <cell r="DQ430">
            <v>106622.86260964055</v>
          </cell>
          <cell r="DR430">
            <v>113545.93953271747</v>
          </cell>
          <cell r="DS430">
            <v>147687.38738738737</v>
          </cell>
          <cell r="DT430">
            <v>150187.38738738737</v>
          </cell>
          <cell r="DU430">
            <v>155359.18225918224</v>
          </cell>
          <cell r="DV430">
            <v>155359.18225918224</v>
          </cell>
          <cell r="DW430">
            <v>163137.46009834556</v>
          </cell>
          <cell r="DX430">
            <v>163434.96009834553</v>
          </cell>
          <cell r="DY430">
            <v>163457.84471373016</v>
          </cell>
          <cell r="DZ430">
            <v>156816.39872802189</v>
          </cell>
          <cell r="EA430">
            <v>174886.18479470184</v>
          </cell>
          <cell r="EB430">
            <v>174505.58881410587</v>
          </cell>
          <cell r="EC430">
            <v>174505.58881410587</v>
          </cell>
          <cell r="ED430">
            <v>174255.41556393262</v>
          </cell>
          <cell r="EE430">
            <v>180549.23602918166</v>
          </cell>
        </row>
        <row r="446">
          <cell r="A446"/>
          <cell r="B446"/>
          <cell r="C446"/>
          <cell r="D446"/>
          <cell r="E446"/>
          <cell r="F446"/>
          <cell r="G446"/>
          <cell r="H446"/>
          <cell r="I446"/>
          <cell r="J446"/>
          <cell r="K446"/>
          <cell r="L446"/>
          <cell r="M446"/>
          <cell r="N446"/>
          <cell r="O446"/>
          <cell r="P446"/>
          <cell r="Q446"/>
          <cell r="R446"/>
          <cell r="S446"/>
          <cell r="T446"/>
          <cell r="U446"/>
          <cell r="V446"/>
          <cell r="W446"/>
          <cell r="X446"/>
          <cell r="Y446"/>
          <cell r="Z446"/>
          <cell r="AA446"/>
          <cell r="AB446"/>
          <cell r="AC446"/>
          <cell r="AD446"/>
          <cell r="AE446"/>
          <cell r="AF446"/>
          <cell r="AG446"/>
          <cell r="AH446"/>
          <cell r="AI446"/>
          <cell r="AJ446"/>
          <cell r="AK446"/>
          <cell r="AL446"/>
          <cell r="AM446"/>
          <cell r="AN446"/>
          <cell r="AO446"/>
          <cell r="AP446"/>
          <cell r="AQ446"/>
          <cell r="AR446"/>
          <cell r="AS446"/>
          <cell r="AT446"/>
          <cell r="AU446"/>
          <cell r="AV446"/>
          <cell r="AW446"/>
          <cell r="AX446"/>
          <cell r="AY446"/>
          <cell r="AZ446"/>
          <cell r="BA446">
            <v>201622</v>
          </cell>
          <cell r="BB446">
            <v>201623</v>
          </cell>
          <cell r="BC446">
            <v>201624</v>
          </cell>
          <cell r="BD446">
            <v>201625</v>
          </cell>
          <cell r="BE446">
            <v>201626</v>
          </cell>
          <cell r="BF446">
            <v>201627</v>
          </cell>
          <cell r="BG446">
            <v>201628</v>
          </cell>
          <cell r="BH446">
            <v>201629</v>
          </cell>
          <cell r="BI446">
            <v>201630</v>
          </cell>
          <cell r="BJ446">
            <v>201631</v>
          </cell>
          <cell r="BK446">
            <v>201632</v>
          </cell>
          <cell r="BL446">
            <v>201633</v>
          </cell>
          <cell r="BM446">
            <v>201634</v>
          </cell>
          <cell r="BN446">
            <v>201635</v>
          </cell>
          <cell r="BO446">
            <v>201636</v>
          </cell>
          <cell r="BP446">
            <v>201637</v>
          </cell>
          <cell r="BQ446">
            <v>201638</v>
          </cell>
          <cell r="BR446">
            <v>201639</v>
          </cell>
          <cell r="BS446">
            <v>201640</v>
          </cell>
          <cell r="BT446">
            <v>201641</v>
          </cell>
          <cell r="BU446">
            <v>201642</v>
          </cell>
          <cell r="BV446">
            <v>201643</v>
          </cell>
          <cell r="BW446">
            <v>201644</v>
          </cell>
          <cell r="BX446">
            <v>201645</v>
          </cell>
          <cell r="BY446">
            <v>201646</v>
          </cell>
          <cell r="BZ446">
            <v>201647</v>
          </cell>
          <cell r="CA446">
            <v>201648</v>
          </cell>
          <cell r="CB446">
            <v>201649</v>
          </cell>
          <cell r="CC446">
            <v>201650</v>
          </cell>
          <cell r="CD446">
            <v>201651</v>
          </cell>
          <cell r="CE446">
            <v>201652</v>
          </cell>
          <cell r="CF446">
            <v>201701</v>
          </cell>
          <cell r="CG446">
            <v>201702</v>
          </cell>
          <cell r="CH446">
            <v>201703</v>
          </cell>
          <cell r="CI446">
            <v>201704</v>
          </cell>
          <cell r="CJ446">
            <v>201705</v>
          </cell>
          <cell r="CK446">
            <v>201706</v>
          </cell>
          <cell r="CL446">
            <v>201707</v>
          </cell>
          <cell r="CM446">
            <v>201708</v>
          </cell>
          <cell r="CN446">
            <v>201709</v>
          </cell>
          <cell r="CO446">
            <v>201710</v>
          </cell>
          <cell r="CP446">
            <v>201711</v>
          </cell>
          <cell r="CQ446">
            <v>201712</v>
          </cell>
          <cell r="CR446">
            <v>201713</v>
          </cell>
          <cell r="CS446">
            <v>201714</v>
          </cell>
          <cell r="CT446">
            <v>201715</v>
          </cell>
          <cell r="CU446">
            <v>201716</v>
          </cell>
          <cell r="CV446">
            <v>201717</v>
          </cell>
          <cell r="CW446">
            <v>201718</v>
          </cell>
          <cell r="CX446">
            <v>201719</v>
          </cell>
          <cell r="CY446">
            <v>201720</v>
          </cell>
          <cell r="CZ446">
            <v>201721</v>
          </cell>
          <cell r="DA446">
            <v>201722</v>
          </cell>
          <cell r="DB446">
            <v>201723</v>
          </cell>
          <cell r="DC446">
            <v>201724</v>
          </cell>
          <cell r="DD446">
            <v>201725</v>
          </cell>
          <cell r="DE446">
            <v>201726</v>
          </cell>
          <cell r="DF446">
            <v>201727</v>
          </cell>
          <cell r="DG446">
            <v>201728</v>
          </cell>
          <cell r="DH446">
            <v>201729</v>
          </cell>
          <cell r="DI446">
            <v>201730</v>
          </cell>
          <cell r="DJ446">
            <v>201731</v>
          </cell>
          <cell r="DK446">
            <v>201732</v>
          </cell>
          <cell r="DL446">
            <v>201733</v>
          </cell>
          <cell r="DM446">
            <v>201734</v>
          </cell>
          <cell r="DN446">
            <v>201735</v>
          </cell>
          <cell r="DO446">
            <v>201736</v>
          </cell>
          <cell r="DP446">
            <v>201737</v>
          </cell>
          <cell r="DQ446">
            <v>201738</v>
          </cell>
          <cell r="DR446">
            <v>201739</v>
          </cell>
          <cell r="DS446">
            <v>201740</v>
          </cell>
          <cell r="DT446">
            <v>201741</v>
          </cell>
          <cell r="DU446">
            <v>201742</v>
          </cell>
          <cell r="DV446">
            <v>201743</v>
          </cell>
          <cell r="DW446">
            <v>201744</v>
          </cell>
          <cell r="DX446">
            <v>201745</v>
          </cell>
          <cell r="DY446">
            <v>201746</v>
          </cell>
          <cell r="DZ446">
            <v>201747</v>
          </cell>
          <cell r="EA446">
            <v>201748</v>
          </cell>
          <cell r="EB446">
            <v>201749</v>
          </cell>
          <cell r="EC446">
            <v>201750</v>
          </cell>
          <cell r="ED446">
            <v>201751</v>
          </cell>
          <cell r="EE446">
            <v>201752</v>
          </cell>
        </row>
        <row r="447">
          <cell r="A447"/>
          <cell r="B447"/>
          <cell r="C447" t="str">
            <v>TOP</v>
          </cell>
          <cell r="D447" t="str">
            <v>QTY</v>
          </cell>
          <cell r="E447">
            <v>2186</v>
          </cell>
          <cell r="F447">
            <v>1947</v>
          </cell>
          <cell r="G447">
            <v>1436</v>
          </cell>
          <cell r="H447">
            <v>1380</v>
          </cell>
          <cell r="I447">
            <v>1675</v>
          </cell>
          <cell r="J447">
            <v>1728</v>
          </cell>
          <cell r="K447">
            <v>1864</v>
          </cell>
          <cell r="L447">
            <v>2014</v>
          </cell>
          <cell r="M447">
            <v>2204</v>
          </cell>
          <cell r="N447">
            <v>2504</v>
          </cell>
          <cell r="O447">
            <v>2434</v>
          </cell>
          <cell r="P447">
            <v>2854</v>
          </cell>
          <cell r="Q447">
            <v>3325</v>
          </cell>
          <cell r="R447">
            <v>2780</v>
          </cell>
          <cell r="S447">
            <v>2730</v>
          </cell>
          <cell r="T447">
            <v>2630</v>
          </cell>
          <cell r="U447">
            <v>2648.6</v>
          </cell>
          <cell r="V447">
            <v>2680</v>
          </cell>
          <cell r="W447">
            <v>2772</v>
          </cell>
          <cell r="X447">
            <v>3077</v>
          </cell>
          <cell r="Y447">
            <v>3450</v>
          </cell>
          <cell r="Z447">
            <v>3450</v>
          </cell>
          <cell r="AA447">
            <v>3750</v>
          </cell>
          <cell r="AB447">
            <v>3950</v>
          </cell>
          <cell r="AC447">
            <v>4700</v>
          </cell>
          <cell r="AD447">
            <v>4800</v>
          </cell>
          <cell r="AE447">
            <v>3950</v>
          </cell>
          <cell r="AF447">
            <v>3640</v>
          </cell>
          <cell r="AG447">
            <v>3354</v>
          </cell>
          <cell r="AH447">
            <v>3404</v>
          </cell>
          <cell r="AI447">
            <v>3504</v>
          </cell>
          <cell r="AJ447">
            <v>2906.9799432455407</v>
          </cell>
          <cell r="AK447">
            <v>3186</v>
          </cell>
          <cell r="AL447">
            <v>2630</v>
          </cell>
          <cell r="AM447">
            <v>2680</v>
          </cell>
          <cell r="AN447">
            <v>2515</v>
          </cell>
          <cell r="AO447">
            <v>2585</v>
          </cell>
          <cell r="AP447">
            <v>2585</v>
          </cell>
          <cell r="AQ447">
            <v>2585</v>
          </cell>
          <cell r="AR447">
            <v>2585</v>
          </cell>
          <cell r="AS447">
            <v>2335</v>
          </cell>
          <cell r="AT447">
            <v>2335</v>
          </cell>
          <cell r="AU447">
            <v>2335</v>
          </cell>
          <cell r="AV447">
            <v>2435</v>
          </cell>
          <cell r="AW447">
            <v>2185</v>
          </cell>
          <cell r="AX447">
            <v>2385</v>
          </cell>
          <cell r="AY447">
            <v>2385</v>
          </cell>
          <cell r="AZ447">
            <v>2485</v>
          </cell>
          <cell r="BA447">
            <v>2785</v>
          </cell>
          <cell r="BB447">
            <v>2785</v>
          </cell>
          <cell r="BC447">
            <v>2465</v>
          </cell>
          <cell r="BD447">
            <v>2535</v>
          </cell>
          <cell r="BE447">
            <v>2635</v>
          </cell>
          <cell r="BF447">
            <v>1900</v>
          </cell>
          <cell r="BG447">
            <v>1950</v>
          </cell>
          <cell r="BH447">
            <v>2100</v>
          </cell>
          <cell r="BI447">
            <v>2300</v>
          </cell>
          <cell r="BJ447">
            <v>2500</v>
          </cell>
          <cell r="BK447">
            <v>2600</v>
          </cell>
          <cell r="BL447">
            <v>2700</v>
          </cell>
          <cell r="BM447">
            <v>2800</v>
          </cell>
          <cell r="BN447">
            <v>3184</v>
          </cell>
          <cell r="BO447">
            <v>3234</v>
          </cell>
          <cell r="BP447">
            <v>3234</v>
          </cell>
          <cell r="BQ447">
            <v>3534</v>
          </cell>
          <cell r="BR447">
            <v>3585</v>
          </cell>
          <cell r="BS447">
            <v>4080</v>
          </cell>
          <cell r="BT447">
            <v>4180</v>
          </cell>
          <cell r="BU447">
            <v>4330</v>
          </cell>
          <cell r="BV447">
            <v>4380</v>
          </cell>
          <cell r="BW447">
            <v>4280</v>
          </cell>
          <cell r="BX447">
            <v>4372</v>
          </cell>
          <cell r="BY447">
            <v>4477</v>
          </cell>
          <cell r="BZ447">
            <v>4450</v>
          </cell>
          <cell r="CA447">
            <v>4400</v>
          </cell>
          <cell r="CB447">
            <v>4400</v>
          </cell>
          <cell r="CC447">
            <v>4500</v>
          </cell>
          <cell r="CD447">
            <v>4400</v>
          </cell>
          <cell r="CE447">
            <v>4400</v>
          </cell>
          <cell r="CF447">
            <v>3700</v>
          </cell>
          <cell r="CG447">
            <v>2500</v>
          </cell>
          <cell r="CH447">
            <v>3100</v>
          </cell>
          <cell r="CI447">
            <v>2900</v>
          </cell>
          <cell r="CJ447">
            <v>3800</v>
          </cell>
          <cell r="CK447">
            <v>3800</v>
          </cell>
          <cell r="CL447">
            <v>3800</v>
          </cell>
          <cell r="CM447">
            <v>3800</v>
          </cell>
          <cell r="CN447">
            <v>3600</v>
          </cell>
          <cell r="CO447">
            <v>2050</v>
          </cell>
          <cell r="CP447">
            <v>2050</v>
          </cell>
          <cell r="CQ447">
            <v>2050</v>
          </cell>
          <cell r="CR447">
            <v>2050</v>
          </cell>
          <cell r="CS447">
            <v>1230</v>
          </cell>
          <cell r="CT447">
            <v>1110</v>
          </cell>
          <cell r="CU447">
            <v>1110</v>
          </cell>
          <cell r="CV447">
            <v>1110</v>
          </cell>
          <cell r="CW447">
            <v>1160</v>
          </cell>
          <cell r="CX447">
            <v>1160</v>
          </cell>
          <cell r="CY447">
            <v>1160</v>
          </cell>
          <cell r="CZ447">
            <v>1160</v>
          </cell>
          <cell r="DA447">
            <v>1160</v>
          </cell>
          <cell r="DB447">
            <v>1160</v>
          </cell>
          <cell r="DC447">
            <v>1160</v>
          </cell>
          <cell r="DD447">
            <v>1160</v>
          </cell>
          <cell r="DE447">
            <v>1160</v>
          </cell>
          <cell r="DF447">
            <v>740</v>
          </cell>
          <cell r="DG447">
            <v>740</v>
          </cell>
          <cell r="DH447">
            <v>740</v>
          </cell>
          <cell r="DI447">
            <v>740</v>
          </cell>
          <cell r="DJ447">
            <v>1100</v>
          </cell>
          <cell r="DK447">
            <v>1100</v>
          </cell>
          <cell r="DL447">
            <v>1100</v>
          </cell>
          <cell r="DM447">
            <v>1100</v>
          </cell>
          <cell r="DN447">
            <v>1500</v>
          </cell>
          <cell r="DO447">
            <v>1500</v>
          </cell>
          <cell r="DP447">
            <v>1500</v>
          </cell>
          <cell r="DQ447">
            <v>1500</v>
          </cell>
          <cell r="DR447">
            <v>1500</v>
          </cell>
          <cell r="DS447">
            <v>2100</v>
          </cell>
          <cell r="DT447">
            <v>2100</v>
          </cell>
          <cell r="DU447">
            <v>2100</v>
          </cell>
          <cell r="DV447">
            <v>2100</v>
          </cell>
          <cell r="DW447">
            <v>2300</v>
          </cell>
          <cell r="DX447">
            <v>2300</v>
          </cell>
          <cell r="DY447">
            <v>2300</v>
          </cell>
          <cell r="DZ447">
            <v>2300</v>
          </cell>
          <cell r="EA447">
            <v>2700</v>
          </cell>
          <cell r="EB447">
            <v>2700</v>
          </cell>
          <cell r="EC447">
            <v>2700</v>
          </cell>
          <cell r="ED447">
            <v>2700</v>
          </cell>
          <cell r="EE447">
            <v>2700</v>
          </cell>
        </row>
        <row r="448">
          <cell r="A448"/>
          <cell r="B448"/>
          <cell r="C448" t="str">
            <v>PANT</v>
          </cell>
          <cell r="D448" t="str">
            <v>QTY</v>
          </cell>
          <cell r="E448">
            <v>859</v>
          </cell>
          <cell r="F448">
            <v>892</v>
          </cell>
          <cell r="G448">
            <v>905</v>
          </cell>
          <cell r="H448">
            <v>863</v>
          </cell>
          <cell r="I448">
            <v>995</v>
          </cell>
          <cell r="J448">
            <v>962</v>
          </cell>
          <cell r="K448">
            <v>1103</v>
          </cell>
          <cell r="L448">
            <v>1103</v>
          </cell>
          <cell r="M448">
            <v>1366</v>
          </cell>
          <cell r="N448">
            <v>892</v>
          </cell>
          <cell r="O448">
            <v>962</v>
          </cell>
          <cell r="P448">
            <v>1083</v>
          </cell>
          <cell r="Q448">
            <v>1063</v>
          </cell>
          <cell r="R448">
            <v>1073</v>
          </cell>
          <cell r="S448">
            <v>1103</v>
          </cell>
          <cell r="T448">
            <v>1103</v>
          </cell>
          <cell r="U448">
            <v>1583</v>
          </cell>
          <cell r="V448">
            <v>1702</v>
          </cell>
          <cell r="W448">
            <v>1699</v>
          </cell>
          <cell r="X448">
            <v>1768</v>
          </cell>
          <cell r="Y448">
            <v>1868</v>
          </cell>
          <cell r="Z448">
            <v>2202</v>
          </cell>
          <cell r="AA448">
            <v>2200</v>
          </cell>
          <cell r="AB448">
            <v>2286</v>
          </cell>
          <cell r="AC448">
            <v>2718</v>
          </cell>
          <cell r="AD448">
            <v>2768</v>
          </cell>
          <cell r="AE448">
            <v>2200</v>
          </cell>
          <cell r="AF448">
            <v>1850</v>
          </cell>
          <cell r="AG448">
            <v>1100</v>
          </cell>
          <cell r="AH448">
            <v>900</v>
          </cell>
          <cell r="AI448">
            <v>850</v>
          </cell>
          <cell r="AJ448">
            <v>1327</v>
          </cell>
          <cell r="AK448">
            <v>1093</v>
          </cell>
          <cell r="AL448">
            <v>1079</v>
          </cell>
          <cell r="AM448">
            <v>1021</v>
          </cell>
          <cell r="AN448">
            <v>837</v>
          </cell>
          <cell r="AO448">
            <v>887</v>
          </cell>
          <cell r="AP448">
            <v>987</v>
          </cell>
          <cell r="AQ448">
            <v>1087</v>
          </cell>
          <cell r="AR448">
            <v>1087</v>
          </cell>
          <cell r="AS448">
            <v>762</v>
          </cell>
          <cell r="AT448">
            <v>712</v>
          </cell>
          <cell r="AU448">
            <v>712</v>
          </cell>
          <cell r="AV448">
            <v>600</v>
          </cell>
          <cell r="AW448">
            <v>600</v>
          </cell>
          <cell r="AX448">
            <v>600</v>
          </cell>
          <cell r="AY448">
            <v>600</v>
          </cell>
          <cell r="AZ448">
            <v>600</v>
          </cell>
          <cell r="BA448">
            <v>780</v>
          </cell>
          <cell r="BB448">
            <v>780</v>
          </cell>
          <cell r="BC448">
            <v>780</v>
          </cell>
          <cell r="BD448">
            <v>780</v>
          </cell>
          <cell r="BE448">
            <v>430</v>
          </cell>
          <cell r="BF448">
            <v>260</v>
          </cell>
          <cell r="BG448">
            <v>260</v>
          </cell>
          <cell r="BH448">
            <v>260</v>
          </cell>
          <cell r="BI448">
            <v>260</v>
          </cell>
          <cell r="BJ448">
            <v>300</v>
          </cell>
          <cell r="BK448">
            <v>400</v>
          </cell>
          <cell r="BL448">
            <v>700</v>
          </cell>
          <cell r="BM448">
            <v>800</v>
          </cell>
          <cell r="BN448">
            <v>1300</v>
          </cell>
          <cell r="BO448">
            <v>1300</v>
          </cell>
          <cell r="BP448">
            <v>850</v>
          </cell>
          <cell r="BQ448">
            <v>975</v>
          </cell>
          <cell r="BR448">
            <v>950</v>
          </cell>
          <cell r="BS448">
            <v>950</v>
          </cell>
          <cell r="BT448">
            <v>950</v>
          </cell>
          <cell r="BU448">
            <v>950</v>
          </cell>
          <cell r="BV448">
            <v>950</v>
          </cell>
          <cell r="BW448">
            <v>900</v>
          </cell>
          <cell r="BX448">
            <v>1000</v>
          </cell>
          <cell r="BY448">
            <v>1050</v>
          </cell>
          <cell r="BZ448">
            <v>1050</v>
          </cell>
          <cell r="CA448">
            <v>1250</v>
          </cell>
          <cell r="CB448">
            <v>1350</v>
          </cell>
          <cell r="CC448">
            <v>1400</v>
          </cell>
          <cell r="CD448">
            <v>1400</v>
          </cell>
          <cell r="CE448">
            <v>1400</v>
          </cell>
          <cell r="CF448">
            <v>850</v>
          </cell>
          <cell r="CG448">
            <v>750</v>
          </cell>
          <cell r="CH448">
            <v>750</v>
          </cell>
          <cell r="CI448">
            <v>650</v>
          </cell>
          <cell r="CJ448">
            <v>1300</v>
          </cell>
          <cell r="CK448">
            <v>1300</v>
          </cell>
          <cell r="CL448">
            <v>1200</v>
          </cell>
          <cell r="CM448">
            <v>1200</v>
          </cell>
          <cell r="CN448">
            <v>1100</v>
          </cell>
          <cell r="CO448">
            <v>1100</v>
          </cell>
          <cell r="CP448">
            <v>1000</v>
          </cell>
          <cell r="CQ448">
            <v>1000</v>
          </cell>
          <cell r="CR448">
            <v>900</v>
          </cell>
          <cell r="CS448">
            <v>250</v>
          </cell>
          <cell r="CT448">
            <v>200</v>
          </cell>
          <cell r="CU448">
            <v>200</v>
          </cell>
          <cell r="CV448">
            <v>200</v>
          </cell>
          <cell r="CW448">
            <v>300</v>
          </cell>
          <cell r="CX448">
            <v>320</v>
          </cell>
          <cell r="CY448">
            <v>320</v>
          </cell>
          <cell r="CZ448">
            <v>320</v>
          </cell>
          <cell r="DA448">
            <v>520</v>
          </cell>
          <cell r="DB448">
            <v>520</v>
          </cell>
          <cell r="DC448">
            <v>520</v>
          </cell>
          <cell r="DD448">
            <v>520</v>
          </cell>
          <cell r="DE448">
            <v>520</v>
          </cell>
          <cell r="DF448">
            <v>900</v>
          </cell>
          <cell r="DG448">
            <v>900</v>
          </cell>
          <cell r="DH448">
            <v>800</v>
          </cell>
          <cell r="DI448">
            <v>800</v>
          </cell>
          <cell r="DJ448">
            <v>700</v>
          </cell>
          <cell r="DK448">
            <v>700</v>
          </cell>
          <cell r="DL448">
            <v>700</v>
          </cell>
          <cell r="DM448">
            <v>700</v>
          </cell>
          <cell r="DN448">
            <v>700</v>
          </cell>
          <cell r="DO448">
            <v>700</v>
          </cell>
          <cell r="DP448">
            <v>700</v>
          </cell>
          <cell r="DQ448">
            <v>700</v>
          </cell>
          <cell r="DR448">
            <v>700</v>
          </cell>
          <cell r="DS448">
            <v>900</v>
          </cell>
          <cell r="DT448">
            <v>900</v>
          </cell>
          <cell r="DU448">
            <v>800</v>
          </cell>
          <cell r="DV448">
            <v>800</v>
          </cell>
          <cell r="DW448">
            <v>700</v>
          </cell>
          <cell r="DX448">
            <v>700</v>
          </cell>
          <cell r="DY448">
            <v>700</v>
          </cell>
          <cell r="DZ448">
            <v>700</v>
          </cell>
          <cell r="EA448">
            <v>700</v>
          </cell>
          <cell r="EB448">
            <v>700</v>
          </cell>
          <cell r="EC448">
            <v>700</v>
          </cell>
          <cell r="ED448">
            <v>700</v>
          </cell>
          <cell r="EE448">
            <v>700</v>
          </cell>
        </row>
        <row r="449">
          <cell r="A449"/>
          <cell r="B449"/>
          <cell r="C449" t="str">
            <v>DRESS</v>
          </cell>
          <cell r="D449" t="str">
            <v>QTY</v>
          </cell>
          <cell r="E449">
            <v>491</v>
          </cell>
          <cell r="F449">
            <v>499</v>
          </cell>
          <cell r="G449">
            <v>379</v>
          </cell>
          <cell r="H449">
            <v>324</v>
          </cell>
          <cell r="I449">
            <v>419</v>
          </cell>
          <cell r="J449">
            <v>493</v>
          </cell>
          <cell r="K449">
            <v>612</v>
          </cell>
          <cell r="L449">
            <v>692</v>
          </cell>
          <cell r="M449">
            <v>790</v>
          </cell>
          <cell r="N449">
            <v>417</v>
          </cell>
          <cell r="O449">
            <v>445</v>
          </cell>
          <cell r="P449">
            <v>544</v>
          </cell>
          <cell r="Q449">
            <v>661</v>
          </cell>
          <cell r="R449">
            <v>670</v>
          </cell>
          <cell r="S449">
            <v>910</v>
          </cell>
          <cell r="T449">
            <v>1030</v>
          </cell>
          <cell r="U449">
            <v>1122.1982758620691</v>
          </cell>
          <cell r="V449">
            <v>1161</v>
          </cell>
          <cell r="W449">
            <v>1210</v>
          </cell>
          <cell r="X449">
            <v>1358</v>
          </cell>
          <cell r="Y449">
            <v>1470</v>
          </cell>
          <cell r="Z449">
            <v>1925</v>
          </cell>
          <cell r="AA449">
            <v>1975</v>
          </cell>
          <cell r="AB449">
            <v>2240</v>
          </cell>
          <cell r="AC449">
            <v>2770</v>
          </cell>
          <cell r="AD449">
            <v>2770</v>
          </cell>
          <cell r="AE449">
            <v>2240</v>
          </cell>
          <cell r="AF449">
            <v>1554</v>
          </cell>
          <cell r="AG449">
            <v>1215</v>
          </cell>
          <cell r="AH449">
            <v>1115</v>
          </cell>
          <cell r="AI449">
            <v>1010</v>
          </cell>
          <cell r="AJ449">
            <v>1300</v>
          </cell>
          <cell r="AK449">
            <v>1300</v>
          </cell>
          <cell r="AL449">
            <v>1400</v>
          </cell>
          <cell r="AM449">
            <v>1450</v>
          </cell>
          <cell r="AN449">
            <v>1495</v>
          </cell>
          <cell r="AO449">
            <v>1495</v>
          </cell>
          <cell r="AP449">
            <v>1495</v>
          </cell>
          <cell r="AQ449">
            <v>1245</v>
          </cell>
          <cell r="AR449">
            <v>1234</v>
          </cell>
          <cell r="AS449">
            <v>1050</v>
          </cell>
          <cell r="AT449">
            <v>950</v>
          </cell>
          <cell r="AU449">
            <v>900</v>
          </cell>
          <cell r="AV449">
            <v>900</v>
          </cell>
          <cell r="AW449">
            <v>805</v>
          </cell>
          <cell r="AX449">
            <v>805</v>
          </cell>
          <cell r="AY449">
            <v>805</v>
          </cell>
          <cell r="AZ449">
            <v>805</v>
          </cell>
          <cell r="BA449">
            <v>890</v>
          </cell>
          <cell r="BB449">
            <v>890</v>
          </cell>
          <cell r="BC449">
            <v>890</v>
          </cell>
          <cell r="BD449">
            <v>790</v>
          </cell>
          <cell r="BE449">
            <v>790</v>
          </cell>
          <cell r="BF449">
            <v>789</v>
          </cell>
          <cell r="BG449">
            <v>739</v>
          </cell>
          <cell r="BH449">
            <v>709</v>
          </cell>
          <cell r="BI449">
            <v>689</v>
          </cell>
          <cell r="BJ449">
            <v>750</v>
          </cell>
          <cell r="BK449">
            <v>850</v>
          </cell>
          <cell r="BL449">
            <v>850</v>
          </cell>
          <cell r="BM449">
            <v>950</v>
          </cell>
          <cell r="BN449">
            <v>1200</v>
          </cell>
          <cell r="BO449">
            <v>950</v>
          </cell>
          <cell r="BP449">
            <v>1000</v>
          </cell>
          <cell r="BQ449">
            <v>1200</v>
          </cell>
          <cell r="BR449">
            <v>1200</v>
          </cell>
          <cell r="BS449">
            <v>1250</v>
          </cell>
          <cell r="BT449">
            <v>1250</v>
          </cell>
          <cell r="BU449">
            <v>1300</v>
          </cell>
          <cell r="BV449">
            <v>1300</v>
          </cell>
          <cell r="BW449">
            <v>1650</v>
          </cell>
          <cell r="BX449">
            <v>1650</v>
          </cell>
          <cell r="BY449">
            <v>1650</v>
          </cell>
          <cell r="BZ449">
            <v>1600</v>
          </cell>
          <cell r="CA449">
            <v>1820</v>
          </cell>
          <cell r="CB449">
            <v>1820</v>
          </cell>
          <cell r="CC449">
            <v>1820</v>
          </cell>
          <cell r="CD449">
            <v>1820</v>
          </cell>
          <cell r="CE449">
            <v>1820</v>
          </cell>
          <cell r="CF449">
            <v>1320</v>
          </cell>
          <cell r="CG449">
            <v>1320</v>
          </cell>
          <cell r="CH449">
            <v>1220</v>
          </cell>
          <cell r="CI449">
            <v>1220</v>
          </cell>
          <cell r="CJ449">
            <v>1120</v>
          </cell>
          <cell r="CK449">
            <v>1120</v>
          </cell>
          <cell r="CL449">
            <v>1020</v>
          </cell>
          <cell r="CM449">
            <v>1020</v>
          </cell>
          <cell r="CN449">
            <v>920</v>
          </cell>
          <cell r="CO449">
            <v>920</v>
          </cell>
          <cell r="CP449">
            <v>920</v>
          </cell>
          <cell r="CQ449">
            <v>920</v>
          </cell>
          <cell r="CR449">
            <v>920</v>
          </cell>
          <cell r="CS449">
            <v>132</v>
          </cell>
          <cell r="CT449">
            <v>112</v>
          </cell>
          <cell r="CU449">
            <v>112</v>
          </cell>
          <cell r="CV449">
            <v>112</v>
          </cell>
          <cell r="CW449">
            <v>340</v>
          </cell>
          <cell r="CX449">
            <v>370</v>
          </cell>
          <cell r="CY449">
            <v>420</v>
          </cell>
          <cell r="CZ449">
            <v>420</v>
          </cell>
          <cell r="DA449">
            <v>420</v>
          </cell>
          <cell r="DB449">
            <v>420</v>
          </cell>
          <cell r="DC449">
            <v>420</v>
          </cell>
          <cell r="DD449">
            <v>420</v>
          </cell>
          <cell r="DE449">
            <v>420</v>
          </cell>
          <cell r="DF449">
            <v>500</v>
          </cell>
          <cell r="DG449">
            <v>500</v>
          </cell>
          <cell r="DH449">
            <v>500</v>
          </cell>
          <cell r="DI449">
            <v>500</v>
          </cell>
          <cell r="DJ449">
            <v>300</v>
          </cell>
          <cell r="DK449">
            <v>300</v>
          </cell>
          <cell r="DL449">
            <v>300</v>
          </cell>
          <cell r="DM449">
            <v>300</v>
          </cell>
          <cell r="DN449">
            <v>600</v>
          </cell>
          <cell r="DO449">
            <v>600</v>
          </cell>
          <cell r="DP449">
            <v>600</v>
          </cell>
          <cell r="DQ449">
            <v>600</v>
          </cell>
          <cell r="DR449">
            <v>900</v>
          </cell>
          <cell r="DS449">
            <v>900</v>
          </cell>
          <cell r="DT449">
            <v>900</v>
          </cell>
          <cell r="DU449">
            <v>900</v>
          </cell>
          <cell r="DV449">
            <v>900</v>
          </cell>
          <cell r="DW449">
            <v>1200</v>
          </cell>
          <cell r="DX449">
            <v>1200</v>
          </cell>
          <cell r="DY449">
            <v>1200</v>
          </cell>
          <cell r="DZ449">
            <v>1200</v>
          </cell>
          <cell r="EA449">
            <v>1500</v>
          </cell>
          <cell r="EB449">
            <v>1500</v>
          </cell>
          <cell r="EC449">
            <v>1500</v>
          </cell>
          <cell r="ED449">
            <v>1500</v>
          </cell>
          <cell r="EE449">
            <v>1800</v>
          </cell>
        </row>
        <row r="450">
          <cell r="A450"/>
          <cell r="B450"/>
          <cell r="C450" t="str">
            <v>SKIRT</v>
          </cell>
          <cell r="D450" t="str">
            <v>QTY</v>
          </cell>
          <cell r="E450">
            <v>414</v>
          </cell>
          <cell r="F450">
            <v>481</v>
          </cell>
          <cell r="G450">
            <v>405</v>
          </cell>
          <cell r="H450">
            <v>373</v>
          </cell>
          <cell r="I450">
            <v>332</v>
          </cell>
          <cell r="J450">
            <v>338</v>
          </cell>
          <cell r="K450">
            <v>550</v>
          </cell>
          <cell r="L450">
            <v>650</v>
          </cell>
          <cell r="M450">
            <v>720</v>
          </cell>
          <cell r="N450">
            <v>470</v>
          </cell>
          <cell r="O450">
            <v>486</v>
          </cell>
          <cell r="P450">
            <v>540</v>
          </cell>
          <cell r="Q450">
            <v>640</v>
          </cell>
          <cell r="R450">
            <v>620</v>
          </cell>
          <cell r="S450">
            <v>670</v>
          </cell>
          <cell r="T450">
            <v>690</v>
          </cell>
          <cell r="U450">
            <v>700</v>
          </cell>
          <cell r="V450">
            <v>780</v>
          </cell>
          <cell r="W450">
            <v>750</v>
          </cell>
          <cell r="X450">
            <v>630</v>
          </cell>
          <cell r="Y450">
            <v>780</v>
          </cell>
          <cell r="Z450">
            <v>830</v>
          </cell>
          <cell r="AA450">
            <v>900</v>
          </cell>
          <cell r="AB450">
            <v>1150</v>
          </cell>
          <cell r="AC450">
            <v>1500</v>
          </cell>
          <cell r="AD450">
            <v>1500</v>
          </cell>
          <cell r="AE450">
            <v>1250</v>
          </cell>
          <cell r="AF450">
            <v>1150</v>
          </cell>
          <cell r="AG450">
            <v>986</v>
          </cell>
          <cell r="AH450">
            <v>830</v>
          </cell>
          <cell r="AI450">
            <v>880</v>
          </cell>
          <cell r="AJ450">
            <v>900</v>
          </cell>
          <cell r="AK450">
            <v>892</v>
          </cell>
          <cell r="AL450">
            <v>892</v>
          </cell>
          <cell r="AM450">
            <v>737</v>
          </cell>
          <cell r="AN450">
            <v>819</v>
          </cell>
          <cell r="AO450">
            <v>774</v>
          </cell>
          <cell r="AP450">
            <v>700</v>
          </cell>
          <cell r="AQ450">
            <v>630</v>
          </cell>
          <cell r="AR450">
            <v>620</v>
          </cell>
          <cell r="AS450">
            <v>608</v>
          </cell>
          <cell r="AT450">
            <v>608</v>
          </cell>
          <cell r="AU450">
            <v>608</v>
          </cell>
          <cell r="AV450">
            <v>430</v>
          </cell>
          <cell r="AW450">
            <v>330</v>
          </cell>
          <cell r="AX450">
            <v>280</v>
          </cell>
          <cell r="AY450">
            <v>280</v>
          </cell>
          <cell r="AZ450">
            <v>280</v>
          </cell>
          <cell r="BA450">
            <v>500</v>
          </cell>
          <cell r="BB450">
            <v>550</v>
          </cell>
          <cell r="BC450">
            <v>550</v>
          </cell>
          <cell r="BD450">
            <v>550</v>
          </cell>
          <cell r="BE450">
            <v>550</v>
          </cell>
          <cell r="BF450">
            <v>310</v>
          </cell>
          <cell r="BG450">
            <v>310</v>
          </cell>
          <cell r="BH450">
            <v>310</v>
          </cell>
          <cell r="BI450">
            <v>385</v>
          </cell>
          <cell r="BJ450">
            <v>450</v>
          </cell>
          <cell r="BK450">
            <v>520</v>
          </cell>
          <cell r="BL450">
            <v>600</v>
          </cell>
          <cell r="BM450">
            <v>700</v>
          </cell>
          <cell r="BN450">
            <v>830</v>
          </cell>
          <cell r="BO450">
            <v>830</v>
          </cell>
          <cell r="BP450">
            <v>540</v>
          </cell>
          <cell r="BQ450">
            <v>750</v>
          </cell>
          <cell r="BR450">
            <v>800</v>
          </cell>
          <cell r="BS450">
            <v>800</v>
          </cell>
          <cell r="BT450">
            <v>800</v>
          </cell>
          <cell r="BU450">
            <v>800</v>
          </cell>
          <cell r="BV450">
            <v>800</v>
          </cell>
          <cell r="BW450">
            <v>1100</v>
          </cell>
          <cell r="BX450">
            <v>1110</v>
          </cell>
          <cell r="BY450">
            <v>1160</v>
          </cell>
          <cell r="BZ450">
            <v>1160</v>
          </cell>
          <cell r="CA450">
            <v>1110</v>
          </cell>
          <cell r="CB450">
            <v>1110</v>
          </cell>
          <cell r="CC450">
            <v>1060</v>
          </cell>
          <cell r="CD450">
            <v>1010</v>
          </cell>
          <cell r="CE450">
            <v>1010</v>
          </cell>
          <cell r="CF450">
            <v>600</v>
          </cell>
          <cell r="CG450">
            <v>600</v>
          </cell>
          <cell r="CH450">
            <v>550</v>
          </cell>
          <cell r="CI450">
            <v>550</v>
          </cell>
          <cell r="CJ450">
            <v>930</v>
          </cell>
          <cell r="CK450">
            <v>930</v>
          </cell>
          <cell r="CL450">
            <v>930</v>
          </cell>
          <cell r="CM450">
            <v>930</v>
          </cell>
          <cell r="CN450">
            <v>830</v>
          </cell>
          <cell r="CO450">
            <v>830</v>
          </cell>
          <cell r="CP450">
            <v>830</v>
          </cell>
          <cell r="CQ450">
            <v>830</v>
          </cell>
          <cell r="CR450">
            <v>830</v>
          </cell>
          <cell r="CS450">
            <v>300</v>
          </cell>
          <cell r="CT450">
            <v>250</v>
          </cell>
          <cell r="CU450">
            <v>250</v>
          </cell>
          <cell r="CV450">
            <v>250</v>
          </cell>
          <cell r="CW450">
            <v>350</v>
          </cell>
          <cell r="CX450">
            <v>360</v>
          </cell>
          <cell r="CY450">
            <v>450</v>
          </cell>
          <cell r="CZ450">
            <v>450</v>
          </cell>
          <cell r="DA450">
            <v>830</v>
          </cell>
          <cell r="DB450">
            <v>830</v>
          </cell>
          <cell r="DC450">
            <v>830</v>
          </cell>
          <cell r="DD450">
            <v>830</v>
          </cell>
          <cell r="DE450">
            <v>830</v>
          </cell>
          <cell r="DF450">
            <v>830</v>
          </cell>
          <cell r="DG450">
            <v>830</v>
          </cell>
          <cell r="DH450">
            <v>830</v>
          </cell>
          <cell r="DI450">
            <v>830</v>
          </cell>
          <cell r="DJ450">
            <v>830</v>
          </cell>
          <cell r="DK450">
            <v>830</v>
          </cell>
          <cell r="DL450">
            <v>830</v>
          </cell>
          <cell r="DM450">
            <v>830</v>
          </cell>
          <cell r="DN450">
            <v>830</v>
          </cell>
          <cell r="DO450">
            <v>830</v>
          </cell>
          <cell r="DP450">
            <v>830</v>
          </cell>
          <cell r="DQ450">
            <v>830</v>
          </cell>
          <cell r="DR450">
            <v>830</v>
          </cell>
          <cell r="DS450">
            <v>830</v>
          </cell>
          <cell r="DT450">
            <v>830</v>
          </cell>
          <cell r="DU450">
            <v>830</v>
          </cell>
          <cell r="DV450">
            <v>830</v>
          </cell>
          <cell r="DW450">
            <v>830</v>
          </cell>
          <cell r="DX450">
            <v>830</v>
          </cell>
          <cell r="DY450">
            <v>830</v>
          </cell>
          <cell r="DZ450">
            <v>830</v>
          </cell>
          <cell r="EA450">
            <v>830</v>
          </cell>
          <cell r="EB450">
            <v>830</v>
          </cell>
          <cell r="EC450">
            <v>830</v>
          </cell>
          <cell r="ED450">
            <v>830</v>
          </cell>
          <cell r="EE450">
            <v>830</v>
          </cell>
        </row>
        <row r="451">
          <cell r="A451"/>
          <cell r="B451"/>
          <cell r="C451" t="str">
            <v>OUTER</v>
          </cell>
          <cell r="D451" t="str">
            <v>QTY</v>
          </cell>
          <cell r="E451">
            <v>1079</v>
          </cell>
          <cell r="F451">
            <v>1244</v>
          </cell>
          <cell r="G451">
            <v>1266</v>
          </cell>
          <cell r="H451">
            <v>886</v>
          </cell>
          <cell r="I451">
            <v>1122</v>
          </cell>
          <cell r="J451">
            <v>1153</v>
          </cell>
          <cell r="K451">
            <v>1110</v>
          </cell>
          <cell r="L451">
            <v>1010</v>
          </cell>
          <cell r="M451">
            <v>1010</v>
          </cell>
          <cell r="N451">
            <v>984</v>
          </cell>
          <cell r="O451">
            <v>1034</v>
          </cell>
          <cell r="P451">
            <v>1205</v>
          </cell>
          <cell r="Q451">
            <v>1140</v>
          </cell>
          <cell r="R451">
            <v>1095</v>
          </cell>
          <cell r="S451">
            <v>891</v>
          </cell>
          <cell r="T451">
            <v>842</v>
          </cell>
          <cell r="U451">
            <v>660</v>
          </cell>
          <cell r="V451">
            <v>650</v>
          </cell>
          <cell r="W451">
            <v>700</v>
          </cell>
          <cell r="X451">
            <v>700</v>
          </cell>
          <cell r="Y451">
            <v>700</v>
          </cell>
          <cell r="Z451">
            <v>890</v>
          </cell>
          <cell r="AA451">
            <v>890</v>
          </cell>
          <cell r="AB451">
            <v>1090</v>
          </cell>
          <cell r="AC451">
            <v>1400</v>
          </cell>
          <cell r="AD451">
            <v>1400</v>
          </cell>
          <cell r="AE451">
            <v>1140</v>
          </cell>
          <cell r="AF451">
            <v>1140</v>
          </cell>
          <cell r="AG451">
            <v>1290</v>
          </cell>
          <cell r="AH451">
            <v>1290</v>
          </cell>
          <cell r="AI451">
            <v>1290</v>
          </cell>
          <cell r="AJ451">
            <v>860</v>
          </cell>
          <cell r="AK451">
            <v>890</v>
          </cell>
          <cell r="AL451">
            <v>860</v>
          </cell>
          <cell r="AM451">
            <v>830</v>
          </cell>
          <cell r="AN451">
            <v>840</v>
          </cell>
          <cell r="AO451">
            <v>740</v>
          </cell>
          <cell r="AP451">
            <v>690</v>
          </cell>
          <cell r="AQ451">
            <v>740</v>
          </cell>
          <cell r="AR451">
            <v>790</v>
          </cell>
          <cell r="AS451">
            <v>900</v>
          </cell>
          <cell r="AT451">
            <v>950</v>
          </cell>
          <cell r="AU451">
            <v>1050</v>
          </cell>
          <cell r="AV451">
            <v>830</v>
          </cell>
          <cell r="AW451">
            <v>530</v>
          </cell>
          <cell r="AX451">
            <v>480</v>
          </cell>
          <cell r="AY451">
            <v>480</v>
          </cell>
          <cell r="AZ451">
            <v>480</v>
          </cell>
          <cell r="BA451">
            <v>1000</v>
          </cell>
          <cell r="BB451">
            <v>1000</v>
          </cell>
          <cell r="BC451">
            <v>1000</v>
          </cell>
          <cell r="BD451">
            <v>1000</v>
          </cell>
          <cell r="BE451">
            <v>1000</v>
          </cell>
          <cell r="BF451">
            <v>930</v>
          </cell>
          <cell r="BG451">
            <v>950</v>
          </cell>
          <cell r="BH451">
            <v>950</v>
          </cell>
          <cell r="BI451">
            <v>900</v>
          </cell>
          <cell r="BJ451">
            <v>900</v>
          </cell>
          <cell r="BK451">
            <v>850</v>
          </cell>
          <cell r="BL451">
            <v>850</v>
          </cell>
          <cell r="BM451">
            <v>950</v>
          </cell>
          <cell r="BN451">
            <v>900</v>
          </cell>
          <cell r="BO451">
            <v>900</v>
          </cell>
          <cell r="BP451">
            <v>750</v>
          </cell>
          <cell r="BQ451">
            <v>800</v>
          </cell>
          <cell r="BR451">
            <v>750</v>
          </cell>
          <cell r="BS451">
            <v>750</v>
          </cell>
          <cell r="BT451">
            <v>750</v>
          </cell>
          <cell r="BU451">
            <v>720</v>
          </cell>
          <cell r="BV451">
            <v>720</v>
          </cell>
          <cell r="BW451">
            <v>570</v>
          </cell>
          <cell r="BX451">
            <v>570</v>
          </cell>
          <cell r="BY451">
            <v>520</v>
          </cell>
          <cell r="BZ451">
            <v>470</v>
          </cell>
          <cell r="CA451">
            <v>500</v>
          </cell>
          <cell r="CB451">
            <v>500</v>
          </cell>
          <cell r="CC451">
            <v>500</v>
          </cell>
          <cell r="CD451">
            <v>470</v>
          </cell>
          <cell r="CE451">
            <v>470</v>
          </cell>
          <cell r="CF451">
            <v>370</v>
          </cell>
          <cell r="CG451">
            <v>370</v>
          </cell>
          <cell r="CH451">
            <v>370</v>
          </cell>
          <cell r="CI451">
            <v>370</v>
          </cell>
          <cell r="CJ451">
            <v>450</v>
          </cell>
          <cell r="CK451">
            <v>450</v>
          </cell>
          <cell r="CL451">
            <v>550</v>
          </cell>
          <cell r="CM451">
            <v>550</v>
          </cell>
          <cell r="CN451">
            <v>730</v>
          </cell>
          <cell r="CO451">
            <v>780</v>
          </cell>
          <cell r="CP451">
            <v>900</v>
          </cell>
          <cell r="CQ451">
            <v>1000</v>
          </cell>
          <cell r="CR451">
            <v>1100</v>
          </cell>
          <cell r="CS451">
            <v>360</v>
          </cell>
          <cell r="CT451">
            <v>360</v>
          </cell>
          <cell r="CU451">
            <v>360</v>
          </cell>
          <cell r="CV451">
            <v>360</v>
          </cell>
          <cell r="CW451">
            <v>460</v>
          </cell>
          <cell r="CX451">
            <v>460</v>
          </cell>
          <cell r="CY451">
            <v>460</v>
          </cell>
          <cell r="CZ451">
            <v>460</v>
          </cell>
          <cell r="DA451">
            <v>480</v>
          </cell>
          <cell r="DB451">
            <v>480</v>
          </cell>
          <cell r="DC451">
            <v>480</v>
          </cell>
          <cell r="DD451">
            <v>480</v>
          </cell>
          <cell r="DE451">
            <v>480</v>
          </cell>
          <cell r="DF451">
            <v>540</v>
          </cell>
          <cell r="DG451">
            <v>540</v>
          </cell>
          <cell r="DH451">
            <v>590</v>
          </cell>
          <cell r="DI451">
            <v>590</v>
          </cell>
          <cell r="DJ451">
            <v>440</v>
          </cell>
          <cell r="DK451">
            <v>440</v>
          </cell>
          <cell r="DL451">
            <v>440</v>
          </cell>
          <cell r="DM451">
            <v>440</v>
          </cell>
          <cell r="DN451">
            <v>440</v>
          </cell>
          <cell r="DO451">
            <v>440</v>
          </cell>
          <cell r="DP451">
            <v>440</v>
          </cell>
          <cell r="DQ451">
            <v>440</v>
          </cell>
          <cell r="DR451">
            <v>440</v>
          </cell>
          <cell r="DS451">
            <v>440</v>
          </cell>
          <cell r="DT451">
            <v>440</v>
          </cell>
          <cell r="DU451">
            <v>440</v>
          </cell>
          <cell r="DV451">
            <v>440</v>
          </cell>
          <cell r="DW451">
            <v>440</v>
          </cell>
          <cell r="DX451">
            <v>440</v>
          </cell>
          <cell r="DY451">
            <v>440</v>
          </cell>
          <cell r="DZ451">
            <v>440</v>
          </cell>
          <cell r="EA451">
            <v>440</v>
          </cell>
          <cell r="EB451">
            <v>440</v>
          </cell>
          <cell r="EC451">
            <v>440</v>
          </cell>
          <cell r="ED451">
            <v>440</v>
          </cell>
          <cell r="EE451">
            <v>440</v>
          </cell>
        </row>
        <row r="452">
          <cell r="A452"/>
          <cell r="B452"/>
          <cell r="C452" t="str">
            <v>KNIT</v>
          </cell>
          <cell r="D452" t="str">
            <v>QTY</v>
          </cell>
          <cell r="E452">
            <v>2259</v>
          </cell>
          <cell r="F452">
            <v>1973</v>
          </cell>
          <cell r="G452">
            <v>1945</v>
          </cell>
          <cell r="H452">
            <v>1575</v>
          </cell>
          <cell r="I452">
            <v>1597</v>
          </cell>
          <cell r="J452">
            <v>1689</v>
          </cell>
          <cell r="K452">
            <v>2050</v>
          </cell>
          <cell r="L452">
            <v>2934</v>
          </cell>
          <cell r="M452">
            <v>2770</v>
          </cell>
          <cell r="N452">
            <v>1905</v>
          </cell>
          <cell r="O452">
            <v>1615</v>
          </cell>
          <cell r="P452">
            <v>750</v>
          </cell>
          <cell r="Q452">
            <v>1030</v>
          </cell>
          <cell r="R452">
            <v>1002</v>
          </cell>
          <cell r="S452">
            <v>467</v>
          </cell>
          <cell r="T452">
            <v>460</v>
          </cell>
          <cell r="U452">
            <v>350</v>
          </cell>
          <cell r="V452">
            <v>390</v>
          </cell>
          <cell r="W452">
            <v>390</v>
          </cell>
          <cell r="X452">
            <v>390</v>
          </cell>
          <cell r="Y452">
            <v>390</v>
          </cell>
          <cell r="Z452">
            <v>390</v>
          </cell>
          <cell r="AA452">
            <v>390</v>
          </cell>
          <cell r="AB452">
            <v>490</v>
          </cell>
          <cell r="AC452">
            <v>530</v>
          </cell>
          <cell r="AD452">
            <v>430</v>
          </cell>
          <cell r="AE452">
            <v>390</v>
          </cell>
          <cell r="AF452">
            <v>377</v>
          </cell>
          <cell r="AG452">
            <v>230</v>
          </cell>
          <cell r="AH452">
            <v>230</v>
          </cell>
          <cell r="AI452">
            <v>208</v>
          </cell>
          <cell r="AJ452">
            <v>60</v>
          </cell>
          <cell r="AK452">
            <v>65</v>
          </cell>
          <cell r="AL452">
            <v>85</v>
          </cell>
          <cell r="AM452">
            <v>160</v>
          </cell>
          <cell r="AN452">
            <v>1050</v>
          </cell>
          <cell r="AO452">
            <v>1200</v>
          </cell>
          <cell r="AP452">
            <v>1250</v>
          </cell>
          <cell r="AQ452">
            <v>1250</v>
          </cell>
          <cell r="AR452">
            <v>1350</v>
          </cell>
          <cell r="AS452">
            <v>2400</v>
          </cell>
          <cell r="AT452">
            <v>2400</v>
          </cell>
          <cell r="AU452">
            <v>2400</v>
          </cell>
          <cell r="AV452">
            <v>2400</v>
          </cell>
          <cell r="AW452">
            <v>3000</v>
          </cell>
          <cell r="AX452">
            <v>3100</v>
          </cell>
          <cell r="AY452">
            <v>3200</v>
          </cell>
          <cell r="AZ452">
            <v>3200</v>
          </cell>
          <cell r="BA452">
            <v>3050</v>
          </cell>
          <cell r="BB452">
            <v>3050</v>
          </cell>
          <cell r="BC452">
            <v>2950</v>
          </cell>
          <cell r="BD452">
            <v>2950</v>
          </cell>
          <cell r="BE452">
            <v>2950</v>
          </cell>
          <cell r="BF452">
            <v>2050</v>
          </cell>
          <cell r="BG452">
            <v>2050</v>
          </cell>
          <cell r="BH452">
            <v>2050</v>
          </cell>
          <cell r="BI452">
            <v>2050</v>
          </cell>
          <cell r="BJ452">
            <v>1350</v>
          </cell>
          <cell r="BK452">
            <v>1350</v>
          </cell>
          <cell r="BL452">
            <v>1350</v>
          </cell>
          <cell r="BM452">
            <v>1350</v>
          </cell>
          <cell r="BN452">
            <v>950</v>
          </cell>
          <cell r="BO452">
            <v>900</v>
          </cell>
          <cell r="BP452">
            <v>850</v>
          </cell>
          <cell r="BQ452">
            <v>700</v>
          </cell>
          <cell r="BR452">
            <v>750</v>
          </cell>
          <cell r="BS452">
            <v>500</v>
          </cell>
          <cell r="BT452">
            <v>450</v>
          </cell>
          <cell r="BU452">
            <v>400</v>
          </cell>
          <cell r="BV452">
            <v>330</v>
          </cell>
          <cell r="BW452">
            <v>200</v>
          </cell>
          <cell r="BX452">
            <v>200</v>
          </cell>
          <cell r="BY452">
            <v>200</v>
          </cell>
          <cell r="BZ452">
            <v>200</v>
          </cell>
          <cell r="CA452">
            <v>250</v>
          </cell>
          <cell r="CB452">
            <v>250</v>
          </cell>
          <cell r="CC452">
            <v>250</v>
          </cell>
          <cell r="CD452">
            <v>250</v>
          </cell>
          <cell r="CE452">
            <v>250</v>
          </cell>
          <cell r="CF452">
            <v>70</v>
          </cell>
          <cell r="CG452">
            <v>70</v>
          </cell>
          <cell r="CH452">
            <v>70</v>
          </cell>
          <cell r="CI452">
            <v>70</v>
          </cell>
          <cell r="CJ452">
            <v>400</v>
          </cell>
          <cell r="CK452">
            <v>400</v>
          </cell>
          <cell r="CL452">
            <v>400</v>
          </cell>
          <cell r="CM452">
            <v>400</v>
          </cell>
          <cell r="CN452">
            <v>700</v>
          </cell>
          <cell r="CO452">
            <v>700</v>
          </cell>
          <cell r="CP452">
            <v>530</v>
          </cell>
          <cell r="CQ452">
            <v>850</v>
          </cell>
          <cell r="CR452">
            <v>1100</v>
          </cell>
          <cell r="CS452">
            <v>1300</v>
          </cell>
          <cell r="CT452">
            <v>1010</v>
          </cell>
          <cell r="CU452">
            <v>1010</v>
          </cell>
          <cell r="CV452">
            <v>1010</v>
          </cell>
          <cell r="CW452">
            <v>2700</v>
          </cell>
          <cell r="CX452">
            <v>2900</v>
          </cell>
          <cell r="CY452">
            <v>3050</v>
          </cell>
          <cell r="CZ452">
            <v>3200</v>
          </cell>
          <cell r="DA452">
            <v>3300</v>
          </cell>
          <cell r="DB452">
            <v>3300</v>
          </cell>
          <cell r="DC452">
            <v>3300</v>
          </cell>
          <cell r="DD452">
            <v>3300</v>
          </cell>
          <cell r="DE452">
            <v>3300</v>
          </cell>
          <cell r="DF452">
            <v>2400</v>
          </cell>
          <cell r="DG452">
            <v>2400</v>
          </cell>
          <cell r="DH452">
            <v>2100</v>
          </cell>
          <cell r="DI452">
            <v>1800</v>
          </cell>
          <cell r="DJ452">
            <v>1600</v>
          </cell>
          <cell r="DK452">
            <v>1600</v>
          </cell>
          <cell r="DL452">
            <v>1600</v>
          </cell>
          <cell r="DM452">
            <v>1600</v>
          </cell>
          <cell r="DN452">
            <v>800</v>
          </cell>
          <cell r="DO452">
            <v>800</v>
          </cell>
          <cell r="DP452">
            <v>800</v>
          </cell>
          <cell r="DQ452">
            <v>800</v>
          </cell>
          <cell r="DR452">
            <v>800</v>
          </cell>
          <cell r="DS452">
            <v>1400</v>
          </cell>
          <cell r="DT452">
            <v>1500</v>
          </cell>
          <cell r="DU452">
            <v>1800</v>
          </cell>
          <cell r="DV452">
            <v>1800</v>
          </cell>
          <cell r="DW452">
            <v>1800</v>
          </cell>
          <cell r="DX452">
            <v>1800</v>
          </cell>
          <cell r="DY452">
            <v>1800</v>
          </cell>
          <cell r="DZ452">
            <v>1800</v>
          </cell>
          <cell r="EA452">
            <v>1800</v>
          </cell>
          <cell r="EB452">
            <v>1800</v>
          </cell>
          <cell r="EC452">
            <v>1800</v>
          </cell>
          <cell r="ED452">
            <v>1800</v>
          </cell>
          <cell r="EE452">
            <v>1800</v>
          </cell>
        </row>
        <row r="453">
          <cell r="A453"/>
          <cell r="B453"/>
          <cell r="C453" t="str">
            <v>SH&amp;BL</v>
          </cell>
          <cell r="D453" t="str">
            <v>QTY</v>
          </cell>
          <cell r="E453">
            <v>154</v>
          </cell>
          <cell r="F453">
            <v>194</v>
          </cell>
          <cell r="G453">
            <v>104</v>
          </cell>
          <cell r="H453">
            <v>61</v>
          </cell>
          <cell r="I453">
            <v>54</v>
          </cell>
          <cell r="J453">
            <v>52</v>
          </cell>
          <cell r="K453">
            <v>64</v>
          </cell>
          <cell r="L453">
            <v>64</v>
          </cell>
          <cell r="M453">
            <v>84</v>
          </cell>
          <cell r="N453">
            <v>51</v>
          </cell>
          <cell r="O453">
            <v>81</v>
          </cell>
          <cell r="P453">
            <v>130</v>
          </cell>
          <cell r="Q453">
            <v>40</v>
          </cell>
          <cell r="R453">
            <v>40</v>
          </cell>
          <cell r="S453">
            <v>55</v>
          </cell>
          <cell r="T453">
            <v>75</v>
          </cell>
          <cell r="U453">
            <v>125</v>
          </cell>
          <cell r="V453">
            <v>200</v>
          </cell>
          <cell r="W453">
            <v>200</v>
          </cell>
          <cell r="X453">
            <v>120</v>
          </cell>
          <cell r="Y453">
            <v>120</v>
          </cell>
          <cell r="Z453">
            <v>250</v>
          </cell>
          <cell r="AA453">
            <v>300</v>
          </cell>
          <cell r="AB453">
            <v>400</v>
          </cell>
          <cell r="AC453">
            <v>600</v>
          </cell>
          <cell r="AD453">
            <v>600</v>
          </cell>
          <cell r="AE453">
            <v>400</v>
          </cell>
          <cell r="AF453">
            <v>400</v>
          </cell>
          <cell r="AG453">
            <v>400</v>
          </cell>
          <cell r="AH453">
            <v>400</v>
          </cell>
          <cell r="AI453">
            <v>400</v>
          </cell>
          <cell r="AJ453">
            <v>575.45202881582031</v>
          </cell>
          <cell r="AK453">
            <v>575.45202881582031</v>
          </cell>
          <cell r="AL453">
            <v>575.45202881582031</v>
          </cell>
          <cell r="AM453">
            <v>425.45202881582026</v>
          </cell>
          <cell r="AN453">
            <v>260</v>
          </cell>
          <cell r="AO453">
            <v>260</v>
          </cell>
          <cell r="AP453">
            <v>280</v>
          </cell>
          <cell r="AQ453">
            <v>280</v>
          </cell>
          <cell r="AR453">
            <v>300</v>
          </cell>
          <cell r="AS453">
            <v>200</v>
          </cell>
          <cell r="AT453">
            <v>250</v>
          </cell>
          <cell r="AU453">
            <v>250</v>
          </cell>
          <cell r="AV453">
            <v>250</v>
          </cell>
          <cell r="AW453">
            <v>250</v>
          </cell>
          <cell r="AX453">
            <v>250</v>
          </cell>
          <cell r="AY453">
            <v>250</v>
          </cell>
          <cell r="AZ453">
            <v>250</v>
          </cell>
          <cell r="BA453">
            <v>300</v>
          </cell>
          <cell r="BB453">
            <v>300</v>
          </cell>
          <cell r="BC453">
            <v>300</v>
          </cell>
          <cell r="BD453">
            <v>300</v>
          </cell>
          <cell r="BE453">
            <v>300</v>
          </cell>
          <cell r="BF453">
            <v>300</v>
          </cell>
          <cell r="BG453">
            <v>250</v>
          </cell>
          <cell r="BH453">
            <v>200</v>
          </cell>
          <cell r="BI453">
            <v>200</v>
          </cell>
          <cell r="BJ453">
            <v>400</v>
          </cell>
          <cell r="BK453">
            <v>400</v>
          </cell>
          <cell r="BL453">
            <v>400</v>
          </cell>
          <cell r="BM453">
            <v>450</v>
          </cell>
          <cell r="BN453">
            <v>700</v>
          </cell>
          <cell r="BO453">
            <v>800</v>
          </cell>
          <cell r="BP453">
            <v>400</v>
          </cell>
          <cell r="BQ453">
            <v>475</v>
          </cell>
          <cell r="BR453">
            <v>480</v>
          </cell>
          <cell r="BS453">
            <v>650</v>
          </cell>
          <cell r="BT453">
            <v>650</v>
          </cell>
          <cell r="BU453">
            <v>800</v>
          </cell>
          <cell r="BV453">
            <v>800</v>
          </cell>
          <cell r="BW453">
            <v>650</v>
          </cell>
          <cell r="BX453">
            <v>650</v>
          </cell>
          <cell r="BY453">
            <v>650</v>
          </cell>
          <cell r="BZ453">
            <v>650</v>
          </cell>
          <cell r="CA453">
            <v>650</v>
          </cell>
          <cell r="CB453">
            <v>650</v>
          </cell>
          <cell r="CC453">
            <v>650</v>
          </cell>
          <cell r="CD453">
            <v>650</v>
          </cell>
          <cell r="CE453">
            <v>650</v>
          </cell>
          <cell r="CF453">
            <v>550</v>
          </cell>
          <cell r="CG453">
            <v>450</v>
          </cell>
          <cell r="CH453">
            <v>450</v>
          </cell>
          <cell r="CI453">
            <v>450</v>
          </cell>
          <cell r="CJ453">
            <v>600</v>
          </cell>
          <cell r="CK453">
            <v>600</v>
          </cell>
          <cell r="CL453">
            <v>600</v>
          </cell>
          <cell r="CM453">
            <v>600</v>
          </cell>
          <cell r="CN453">
            <v>600</v>
          </cell>
          <cell r="CO453">
            <v>600</v>
          </cell>
          <cell r="CP453">
            <v>600</v>
          </cell>
          <cell r="CQ453">
            <v>600</v>
          </cell>
          <cell r="CR453">
            <v>600</v>
          </cell>
          <cell r="CS453">
            <v>210</v>
          </cell>
          <cell r="CT453">
            <v>170</v>
          </cell>
          <cell r="CU453">
            <v>170</v>
          </cell>
          <cell r="CV453">
            <v>170</v>
          </cell>
          <cell r="CW453">
            <v>400</v>
          </cell>
          <cell r="CX453">
            <v>400</v>
          </cell>
          <cell r="CY453">
            <v>300</v>
          </cell>
          <cell r="CZ453">
            <v>300</v>
          </cell>
          <cell r="DA453">
            <v>300</v>
          </cell>
          <cell r="DB453">
            <v>300</v>
          </cell>
          <cell r="DC453">
            <v>300</v>
          </cell>
          <cell r="DD453">
            <v>300</v>
          </cell>
          <cell r="DE453">
            <v>300</v>
          </cell>
          <cell r="DF453">
            <v>120</v>
          </cell>
          <cell r="DG453">
            <v>120</v>
          </cell>
          <cell r="DH453">
            <v>120</v>
          </cell>
          <cell r="DI453">
            <v>120</v>
          </cell>
          <cell r="DJ453">
            <v>120</v>
          </cell>
          <cell r="DK453">
            <v>120</v>
          </cell>
          <cell r="DL453">
            <v>120</v>
          </cell>
          <cell r="DM453">
            <v>120</v>
          </cell>
          <cell r="DN453">
            <v>120</v>
          </cell>
          <cell r="DO453">
            <v>120</v>
          </cell>
          <cell r="DP453">
            <v>120</v>
          </cell>
          <cell r="DQ453">
            <v>120</v>
          </cell>
          <cell r="DR453">
            <v>120</v>
          </cell>
          <cell r="DS453">
            <v>500</v>
          </cell>
          <cell r="DT453">
            <v>500</v>
          </cell>
          <cell r="DU453">
            <v>500</v>
          </cell>
          <cell r="DV453">
            <v>500</v>
          </cell>
          <cell r="DW453">
            <v>500</v>
          </cell>
          <cell r="DX453">
            <v>500</v>
          </cell>
          <cell r="DY453">
            <v>500</v>
          </cell>
          <cell r="DZ453">
            <v>500</v>
          </cell>
          <cell r="EA453">
            <v>500</v>
          </cell>
          <cell r="EB453">
            <v>500</v>
          </cell>
          <cell r="EC453">
            <v>500</v>
          </cell>
          <cell r="ED453">
            <v>500</v>
          </cell>
          <cell r="EE453">
            <v>500</v>
          </cell>
        </row>
        <row r="454">
          <cell r="A454"/>
          <cell r="B454"/>
          <cell r="C454" t="str">
            <v>LEGGING</v>
          </cell>
          <cell r="D454" t="str">
            <v>QTY</v>
          </cell>
          <cell r="E454">
            <v>560</v>
          </cell>
          <cell r="F454">
            <v>505</v>
          </cell>
          <cell r="G454">
            <v>435</v>
          </cell>
          <cell r="H454">
            <v>327</v>
          </cell>
          <cell r="I454">
            <v>369</v>
          </cell>
          <cell r="J454">
            <v>336</v>
          </cell>
          <cell r="K454">
            <v>482</v>
          </cell>
          <cell r="L454">
            <v>482</v>
          </cell>
          <cell r="M454">
            <v>534</v>
          </cell>
          <cell r="N454">
            <v>435</v>
          </cell>
          <cell r="O454">
            <v>395</v>
          </cell>
          <cell r="P454">
            <v>670</v>
          </cell>
          <cell r="Q454">
            <v>810</v>
          </cell>
          <cell r="R454">
            <v>710</v>
          </cell>
          <cell r="S454">
            <v>380</v>
          </cell>
          <cell r="T454">
            <v>371</v>
          </cell>
          <cell r="U454">
            <v>380</v>
          </cell>
          <cell r="V454">
            <v>435</v>
          </cell>
          <cell r="W454">
            <v>340</v>
          </cell>
          <cell r="X454">
            <v>325</v>
          </cell>
          <cell r="Y454">
            <v>325</v>
          </cell>
          <cell r="Z454">
            <v>525</v>
          </cell>
          <cell r="AA454">
            <v>525</v>
          </cell>
          <cell r="AB454">
            <v>524</v>
          </cell>
          <cell r="AC454">
            <v>862</v>
          </cell>
          <cell r="AD454">
            <v>855</v>
          </cell>
          <cell r="AE454">
            <v>515</v>
          </cell>
          <cell r="AF454">
            <v>490</v>
          </cell>
          <cell r="AG454">
            <v>560</v>
          </cell>
          <cell r="AH454">
            <v>510</v>
          </cell>
          <cell r="AI454">
            <v>460</v>
          </cell>
          <cell r="AJ454">
            <v>425</v>
          </cell>
          <cell r="AK454">
            <v>425</v>
          </cell>
          <cell r="AL454">
            <v>515</v>
          </cell>
          <cell r="AM454">
            <v>576</v>
          </cell>
          <cell r="AN454">
            <v>634</v>
          </cell>
          <cell r="AO454">
            <v>630</v>
          </cell>
          <cell r="AP454">
            <v>630</v>
          </cell>
          <cell r="AQ454">
            <v>630</v>
          </cell>
          <cell r="AR454">
            <v>630</v>
          </cell>
          <cell r="AS454">
            <v>640</v>
          </cell>
          <cell r="AT454">
            <v>640</v>
          </cell>
          <cell r="AU454">
            <v>680</v>
          </cell>
          <cell r="AV454">
            <v>680</v>
          </cell>
          <cell r="AW454">
            <v>620</v>
          </cell>
          <cell r="AX454">
            <v>620</v>
          </cell>
          <cell r="AY454">
            <v>620</v>
          </cell>
          <cell r="AZ454">
            <v>620</v>
          </cell>
          <cell r="BA454">
            <v>750</v>
          </cell>
          <cell r="BB454">
            <v>750</v>
          </cell>
          <cell r="BC454">
            <v>750</v>
          </cell>
          <cell r="BD454">
            <v>750</v>
          </cell>
          <cell r="BE454">
            <v>750</v>
          </cell>
          <cell r="BF454">
            <v>490</v>
          </cell>
          <cell r="BG454">
            <v>490</v>
          </cell>
          <cell r="BH454">
            <v>490</v>
          </cell>
          <cell r="BI454">
            <v>490</v>
          </cell>
          <cell r="BJ454">
            <v>650</v>
          </cell>
          <cell r="BK454">
            <v>650</v>
          </cell>
          <cell r="BL454">
            <v>650</v>
          </cell>
          <cell r="BM454">
            <v>650</v>
          </cell>
          <cell r="BN454">
            <v>650</v>
          </cell>
          <cell r="BO454">
            <v>650</v>
          </cell>
          <cell r="BP454">
            <v>650</v>
          </cell>
          <cell r="BQ454">
            <v>340</v>
          </cell>
          <cell r="BR454">
            <v>350</v>
          </cell>
          <cell r="BS454">
            <v>350</v>
          </cell>
          <cell r="BT454">
            <v>350</v>
          </cell>
          <cell r="BU454">
            <v>300</v>
          </cell>
          <cell r="BV454">
            <v>300</v>
          </cell>
          <cell r="BW454">
            <v>280</v>
          </cell>
          <cell r="BX454">
            <v>250</v>
          </cell>
          <cell r="BY454">
            <v>250</v>
          </cell>
          <cell r="BZ454">
            <v>250</v>
          </cell>
          <cell r="CA454">
            <v>190</v>
          </cell>
          <cell r="CB454">
            <v>190</v>
          </cell>
          <cell r="CC454">
            <v>190</v>
          </cell>
          <cell r="CD454">
            <v>190</v>
          </cell>
          <cell r="CE454">
            <v>190</v>
          </cell>
          <cell r="CF454">
            <v>190</v>
          </cell>
          <cell r="CG454">
            <v>190</v>
          </cell>
          <cell r="CH454">
            <v>190</v>
          </cell>
          <cell r="CI454">
            <v>190</v>
          </cell>
          <cell r="CJ454">
            <v>600</v>
          </cell>
          <cell r="CK454">
            <v>600</v>
          </cell>
          <cell r="CL454">
            <v>600</v>
          </cell>
          <cell r="CM454">
            <v>600</v>
          </cell>
          <cell r="CN454">
            <v>600</v>
          </cell>
          <cell r="CO454">
            <v>600</v>
          </cell>
          <cell r="CP454">
            <v>380</v>
          </cell>
          <cell r="CQ454">
            <v>380</v>
          </cell>
          <cell r="CR454">
            <v>380</v>
          </cell>
          <cell r="CS454">
            <v>530</v>
          </cell>
          <cell r="CT454">
            <v>400</v>
          </cell>
          <cell r="CU454">
            <v>400</v>
          </cell>
          <cell r="CV454">
            <v>400</v>
          </cell>
          <cell r="CW454">
            <v>390</v>
          </cell>
          <cell r="CX454">
            <v>390</v>
          </cell>
          <cell r="CY454">
            <v>390</v>
          </cell>
          <cell r="CZ454">
            <v>390</v>
          </cell>
          <cell r="DA454">
            <v>290</v>
          </cell>
          <cell r="DB454">
            <v>290</v>
          </cell>
          <cell r="DC454">
            <v>290</v>
          </cell>
          <cell r="DD454">
            <v>290</v>
          </cell>
          <cell r="DE454">
            <v>290</v>
          </cell>
          <cell r="DF454">
            <v>700</v>
          </cell>
          <cell r="DG454">
            <v>700</v>
          </cell>
          <cell r="DH454">
            <v>700</v>
          </cell>
          <cell r="DI454">
            <v>700</v>
          </cell>
          <cell r="DJ454">
            <v>700</v>
          </cell>
          <cell r="DK454">
            <v>700</v>
          </cell>
          <cell r="DL454">
            <v>700</v>
          </cell>
          <cell r="DM454">
            <v>700</v>
          </cell>
          <cell r="DN454">
            <v>700</v>
          </cell>
          <cell r="DO454">
            <v>700</v>
          </cell>
          <cell r="DP454">
            <v>700</v>
          </cell>
          <cell r="DQ454">
            <v>700</v>
          </cell>
          <cell r="DR454">
            <v>700</v>
          </cell>
          <cell r="DS454">
            <v>600</v>
          </cell>
          <cell r="DT454">
            <v>600</v>
          </cell>
          <cell r="DU454">
            <v>600</v>
          </cell>
          <cell r="DV454">
            <v>600</v>
          </cell>
          <cell r="DW454">
            <v>600</v>
          </cell>
          <cell r="DX454">
            <v>600</v>
          </cell>
          <cell r="DY454">
            <v>600</v>
          </cell>
          <cell r="DZ454">
            <v>600</v>
          </cell>
          <cell r="EA454">
            <v>600</v>
          </cell>
          <cell r="EB454">
            <v>600</v>
          </cell>
          <cell r="EC454">
            <v>600</v>
          </cell>
          <cell r="ED454">
            <v>600</v>
          </cell>
          <cell r="EE454">
            <v>600</v>
          </cell>
        </row>
        <row r="455">
          <cell r="A455"/>
          <cell r="B455"/>
          <cell r="C455" t="str">
            <v>APPERAL TOTAL</v>
          </cell>
          <cell r="D455" t="str">
            <v>QTY</v>
          </cell>
          <cell r="E455">
            <v>8002</v>
          </cell>
          <cell r="F455">
            <v>7735</v>
          </cell>
          <cell r="G455">
            <v>6875</v>
          </cell>
          <cell r="H455">
            <v>5789</v>
          </cell>
          <cell r="I455">
            <v>6563</v>
          </cell>
          <cell r="J455">
            <v>6751</v>
          </cell>
          <cell r="K455">
            <v>7835</v>
          </cell>
          <cell r="L455">
            <v>8949</v>
          </cell>
          <cell r="M455">
            <v>9478</v>
          </cell>
          <cell r="N455">
            <v>7658</v>
          </cell>
          <cell r="O455">
            <v>7452</v>
          </cell>
          <cell r="P455">
            <v>7776</v>
          </cell>
          <cell r="Q455">
            <v>8709</v>
          </cell>
          <cell r="R455">
            <v>7990</v>
          </cell>
          <cell r="S455">
            <v>7206</v>
          </cell>
          <cell r="T455">
            <v>7201</v>
          </cell>
          <cell r="U455">
            <v>7568.7982758620692</v>
          </cell>
          <cell r="V455">
            <v>7998</v>
          </cell>
          <cell r="W455">
            <v>8061</v>
          </cell>
          <cell r="X455">
            <v>8368</v>
          </cell>
          <cell r="Y455">
            <v>9103</v>
          </cell>
          <cell r="Z455">
            <v>10462</v>
          </cell>
          <cell r="AA455">
            <v>10930</v>
          </cell>
          <cell r="AB455">
            <v>12130</v>
          </cell>
          <cell r="AC455">
            <v>15080</v>
          </cell>
          <cell r="AD455">
            <v>15123</v>
          </cell>
          <cell r="AE455">
            <v>12085</v>
          </cell>
          <cell r="AF455">
            <v>10601</v>
          </cell>
          <cell r="AG455">
            <v>9135</v>
          </cell>
          <cell r="AH455">
            <v>8679</v>
          </cell>
          <cell r="AI455">
            <v>8602</v>
          </cell>
          <cell r="AJ455">
            <v>8354.4319720613603</v>
          </cell>
          <cell r="AK455">
            <v>8426.4520288158201</v>
          </cell>
          <cell r="AL455">
            <v>8036.4520288158201</v>
          </cell>
          <cell r="AM455">
            <v>7879.4520288158201</v>
          </cell>
          <cell r="AN455">
            <v>8450</v>
          </cell>
          <cell r="AO455">
            <v>8571</v>
          </cell>
          <cell r="AP455">
            <v>8617</v>
          </cell>
          <cell r="AQ455">
            <v>8447</v>
          </cell>
          <cell r="AR455">
            <v>8596</v>
          </cell>
          <cell r="AS455">
            <v>8895</v>
          </cell>
          <cell r="AT455">
            <v>8845</v>
          </cell>
          <cell r="AU455">
            <v>8935</v>
          </cell>
          <cell r="AV455">
            <v>8525</v>
          </cell>
          <cell r="AW455">
            <v>8320</v>
          </cell>
          <cell r="AX455">
            <v>8520</v>
          </cell>
          <cell r="AY455">
            <v>8620</v>
          </cell>
          <cell r="AZ455">
            <v>8720</v>
          </cell>
          <cell r="BA455">
            <v>10055</v>
          </cell>
          <cell r="BB455">
            <v>10105</v>
          </cell>
          <cell r="BC455">
            <v>9685</v>
          </cell>
          <cell r="BD455">
            <v>9655</v>
          </cell>
          <cell r="BE455">
            <v>9405</v>
          </cell>
          <cell r="BF455">
            <v>7029</v>
          </cell>
          <cell r="BG455">
            <v>6999</v>
          </cell>
          <cell r="BH455">
            <v>7069</v>
          </cell>
          <cell r="BI455">
            <v>7274</v>
          </cell>
          <cell r="BJ455">
            <v>7300</v>
          </cell>
          <cell r="BK455">
            <v>7620</v>
          </cell>
          <cell r="BL455">
            <v>8100</v>
          </cell>
          <cell r="BM455">
            <v>8650</v>
          </cell>
          <cell r="BN455">
            <v>9714</v>
          </cell>
          <cell r="BO455">
            <v>9564</v>
          </cell>
          <cell r="BP455">
            <v>8274</v>
          </cell>
          <cell r="BQ455">
            <v>8774</v>
          </cell>
          <cell r="BR455">
            <v>8865</v>
          </cell>
          <cell r="BS455">
            <v>9330</v>
          </cell>
          <cell r="BT455">
            <v>9380</v>
          </cell>
          <cell r="BU455">
            <v>9600</v>
          </cell>
          <cell r="BV455">
            <v>9580</v>
          </cell>
          <cell r="BW455">
            <v>9630</v>
          </cell>
          <cell r="BX455">
            <v>9802</v>
          </cell>
          <cell r="BY455">
            <v>9957</v>
          </cell>
          <cell r="BZ455">
            <v>9830</v>
          </cell>
          <cell r="CA455">
            <v>10170</v>
          </cell>
          <cell r="CB455">
            <v>10270</v>
          </cell>
          <cell r="CC455">
            <v>10370</v>
          </cell>
          <cell r="CD455">
            <v>10190</v>
          </cell>
          <cell r="CE455">
            <v>10190</v>
          </cell>
          <cell r="CF455">
            <v>7650</v>
          </cell>
          <cell r="CG455">
            <v>6250</v>
          </cell>
          <cell r="CH455">
            <v>6700</v>
          </cell>
          <cell r="CI455">
            <v>6400</v>
          </cell>
          <cell r="CJ455">
            <v>9200</v>
          </cell>
          <cell r="CK455">
            <v>9200</v>
          </cell>
          <cell r="CL455">
            <v>9100</v>
          </cell>
          <cell r="CM455">
            <v>9100</v>
          </cell>
          <cell r="CN455">
            <v>9080</v>
          </cell>
          <cell r="CO455">
            <v>7580</v>
          </cell>
          <cell r="CP455">
            <v>7210</v>
          </cell>
          <cell r="CQ455">
            <v>7630</v>
          </cell>
          <cell r="CR455">
            <v>7880</v>
          </cell>
          <cell r="CS455">
            <v>4312</v>
          </cell>
          <cell r="CT455">
            <v>3612</v>
          </cell>
          <cell r="CU455">
            <v>3612</v>
          </cell>
          <cell r="CV455">
            <v>3612</v>
          </cell>
          <cell r="CW455">
            <v>6100</v>
          </cell>
          <cell r="CX455">
            <v>6360</v>
          </cell>
          <cell r="CY455">
            <v>6550</v>
          </cell>
          <cell r="CZ455">
            <v>6700</v>
          </cell>
          <cell r="DA455">
            <v>7300</v>
          </cell>
          <cell r="DB455">
            <v>7300</v>
          </cell>
          <cell r="DC455">
            <v>7300</v>
          </cell>
          <cell r="DD455">
            <v>7300</v>
          </cell>
          <cell r="DE455">
            <v>7300</v>
          </cell>
          <cell r="DF455">
            <v>6730</v>
          </cell>
          <cell r="DG455">
            <v>6730</v>
          </cell>
          <cell r="DH455">
            <v>6380</v>
          </cell>
          <cell r="DI455">
            <v>6080</v>
          </cell>
          <cell r="DJ455">
            <v>5790</v>
          </cell>
          <cell r="DK455">
            <v>5790</v>
          </cell>
          <cell r="DL455">
            <v>5790</v>
          </cell>
          <cell r="DM455">
            <v>5790</v>
          </cell>
          <cell r="DN455">
            <v>5690</v>
          </cell>
          <cell r="DO455">
            <v>5690</v>
          </cell>
          <cell r="DP455">
            <v>5690</v>
          </cell>
          <cell r="DQ455">
            <v>5690</v>
          </cell>
          <cell r="DR455">
            <v>5990</v>
          </cell>
          <cell r="DS455">
            <v>7670</v>
          </cell>
          <cell r="DT455">
            <v>7770</v>
          </cell>
          <cell r="DU455">
            <v>7970</v>
          </cell>
          <cell r="DV455">
            <v>7970</v>
          </cell>
          <cell r="DW455">
            <v>8370</v>
          </cell>
          <cell r="DX455">
            <v>8370</v>
          </cell>
          <cell r="DY455">
            <v>8370</v>
          </cell>
          <cell r="DZ455">
            <v>8370</v>
          </cell>
          <cell r="EA455">
            <v>9070</v>
          </cell>
          <cell r="EB455">
            <v>9070</v>
          </cell>
          <cell r="EC455">
            <v>9070</v>
          </cell>
          <cell r="ED455">
            <v>9070</v>
          </cell>
          <cell r="EE455">
            <v>9370</v>
          </cell>
        </row>
        <row r="456">
          <cell r="A456"/>
          <cell r="B456"/>
          <cell r="C456" t="str">
            <v>SHOE</v>
          </cell>
          <cell r="D456" t="str">
            <v>QTY</v>
          </cell>
          <cell r="E456">
            <v>160</v>
          </cell>
          <cell r="F456">
            <v>184</v>
          </cell>
          <cell r="G456">
            <v>184</v>
          </cell>
          <cell r="H456">
            <v>194</v>
          </cell>
          <cell r="I456">
            <v>219</v>
          </cell>
          <cell r="J456">
            <v>270</v>
          </cell>
          <cell r="K456">
            <v>385</v>
          </cell>
          <cell r="L456">
            <v>525</v>
          </cell>
          <cell r="M456">
            <v>825</v>
          </cell>
          <cell r="N456">
            <v>215</v>
          </cell>
          <cell r="O456">
            <v>255</v>
          </cell>
          <cell r="P456">
            <v>275</v>
          </cell>
          <cell r="Q456">
            <v>441</v>
          </cell>
          <cell r="R456">
            <v>445</v>
          </cell>
          <cell r="S456">
            <v>480</v>
          </cell>
          <cell r="T456">
            <v>565</v>
          </cell>
          <cell r="U456">
            <v>630</v>
          </cell>
          <cell r="V456">
            <v>890</v>
          </cell>
          <cell r="W456">
            <v>1000</v>
          </cell>
          <cell r="X456">
            <v>1060</v>
          </cell>
          <cell r="Y456">
            <v>1120</v>
          </cell>
          <cell r="Z456">
            <v>1300</v>
          </cell>
          <cell r="AA456">
            <v>1500</v>
          </cell>
          <cell r="AB456">
            <v>1850</v>
          </cell>
          <cell r="AC456">
            <v>2300</v>
          </cell>
          <cell r="AD456">
            <v>2300</v>
          </cell>
          <cell r="AE456">
            <v>1950</v>
          </cell>
          <cell r="AF456">
            <v>1850</v>
          </cell>
          <cell r="AG456">
            <v>1800</v>
          </cell>
          <cell r="AH456">
            <v>1800</v>
          </cell>
          <cell r="AI456">
            <v>1800</v>
          </cell>
          <cell r="AJ456">
            <v>5843.2846947627577</v>
          </cell>
          <cell r="AK456">
            <v>5843.2846947627577</v>
          </cell>
          <cell r="AL456">
            <v>5843.2846947627577</v>
          </cell>
          <cell r="AM456">
            <v>5843.2846947627577</v>
          </cell>
          <cell r="AN456">
            <v>3050</v>
          </cell>
          <cell r="AO456">
            <v>3050</v>
          </cell>
          <cell r="AP456">
            <v>2850</v>
          </cell>
          <cell r="AQ456">
            <v>2850</v>
          </cell>
          <cell r="AR456">
            <v>2750</v>
          </cell>
          <cell r="AS456">
            <v>2550</v>
          </cell>
          <cell r="AT456">
            <v>2550</v>
          </cell>
          <cell r="AU456">
            <v>2550</v>
          </cell>
          <cell r="AV456">
            <v>2550</v>
          </cell>
          <cell r="AW456">
            <v>1900</v>
          </cell>
          <cell r="AX456">
            <v>1900</v>
          </cell>
          <cell r="AY456">
            <v>1900</v>
          </cell>
          <cell r="AZ456">
            <v>1500</v>
          </cell>
          <cell r="BA456">
            <v>900</v>
          </cell>
          <cell r="BB456">
            <v>900</v>
          </cell>
          <cell r="BC456">
            <v>900</v>
          </cell>
          <cell r="BD456">
            <v>900</v>
          </cell>
          <cell r="BE456">
            <v>900</v>
          </cell>
          <cell r="BF456">
            <v>800</v>
          </cell>
          <cell r="BG456">
            <v>400</v>
          </cell>
          <cell r="BH456">
            <v>300</v>
          </cell>
          <cell r="BI456">
            <v>300</v>
          </cell>
          <cell r="BJ456">
            <v>300</v>
          </cell>
          <cell r="BK456">
            <v>300</v>
          </cell>
          <cell r="BL456">
            <v>300</v>
          </cell>
          <cell r="BM456">
            <v>300</v>
          </cell>
          <cell r="BN456">
            <v>400</v>
          </cell>
          <cell r="BO456">
            <v>400</v>
          </cell>
          <cell r="BP456">
            <v>400</v>
          </cell>
          <cell r="BQ456">
            <v>560</v>
          </cell>
          <cell r="BR456">
            <v>560</v>
          </cell>
          <cell r="BS456">
            <v>560</v>
          </cell>
          <cell r="BT456">
            <v>560</v>
          </cell>
          <cell r="BU456">
            <v>560</v>
          </cell>
          <cell r="BV456">
            <v>560</v>
          </cell>
          <cell r="BW456">
            <v>315</v>
          </cell>
          <cell r="BX456">
            <v>315</v>
          </cell>
          <cell r="BY456">
            <v>315</v>
          </cell>
          <cell r="BZ456">
            <v>315</v>
          </cell>
          <cell r="CA456">
            <v>310</v>
          </cell>
          <cell r="CB456">
            <v>310</v>
          </cell>
          <cell r="CC456">
            <v>310</v>
          </cell>
          <cell r="CD456">
            <v>310</v>
          </cell>
          <cell r="CE456">
            <v>310</v>
          </cell>
          <cell r="CF456">
            <v>0</v>
          </cell>
          <cell r="CG456">
            <v>0</v>
          </cell>
          <cell r="CH456">
            <v>0</v>
          </cell>
          <cell r="CI456">
            <v>0</v>
          </cell>
          <cell r="CJ456">
            <v>0</v>
          </cell>
          <cell r="CK456">
            <v>0</v>
          </cell>
          <cell r="CL456">
            <v>0</v>
          </cell>
          <cell r="CM456">
            <v>0</v>
          </cell>
          <cell r="CN456">
            <v>0</v>
          </cell>
          <cell r="CO456">
            <v>0</v>
          </cell>
          <cell r="CP456">
            <v>0</v>
          </cell>
          <cell r="CQ456">
            <v>0</v>
          </cell>
          <cell r="CR456">
            <v>0</v>
          </cell>
          <cell r="CS456">
            <v>0</v>
          </cell>
          <cell r="CT456">
            <v>0</v>
          </cell>
          <cell r="CU456">
            <v>0</v>
          </cell>
          <cell r="CV456">
            <v>0</v>
          </cell>
          <cell r="CW456">
            <v>0</v>
          </cell>
          <cell r="CX456">
            <v>0</v>
          </cell>
          <cell r="CY456">
            <v>0</v>
          </cell>
          <cell r="CZ456">
            <v>0</v>
          </cell>
          <cell r="DA456">
            <v>0</v>
          </cell>
          <cell r="DB456">
            <v>0</v>
          </cell>
          <cell r="DC456">
            <v>0</v>
          </cell>
          <cell r="DD456">
            <v>0</v>
          </cell>
          <cell r="DE456">
            <v>0</v>
          </cell>
          <cell r="DF456">
            <v>0</v>
          </cell>
          <cell r="DG456">
            <v>0</v>
          </cell>
          <cell r="DH456">
            <v>0</v>
          </cell>
          <cell r="DI456">
            <v>0</v>
          </cell>
          <cell r="DJ456">
            <v>0</v>
          </cell>
          <cell r="DK456">
            <v>0</v>
          </cell>
          <cell r="DL456">
            <v>700</v>
          </cell>
          <cell r="DM456">
            <v>700</v>
          </cell>
          <cell r="DN456">
            <v>700</v>
          </cell>
          <cell r="DO456">
            <v>700</v>
          </cell>
          <cell r="DP456">
            <v>700</v>
          </cell>
          <cell r="DQ456">
            <v>700</v>
          </cell>
          <cell r="DR456">
            <v>700</v>
          </cell>
          <cell r="DS456">
            <v>700</v>
          </cell>
          <cell r="DT456">
            <v>700</v>
          </cell>
          <cell r="DU456">
            <v>700</v>
          </cell>
          <cell r="DV456">
            <v>700</v>
          </cell>
          <cell r="DW456">
            <v>700</v>
          </cell>
          <cell r="DX456">
            <v>700</v>
          </cell>
          <cell r="DY456">
            <v>700</v>
          </cell>
          <cell r="DZ456">
            <v>700</v>
          </cell>
          <cell r="EA456">
            <v>700</v>
          </cell>
          <cell r="EB456">
            <v>700</v>
          </cell>
          <cell r="EC456">
            <v>700</v>
          </cell>
          <cell r="ED456">
            <v>700</v>
          </cell>
          <cell r="EE456">
            <v>700</v>
          </cell>
        </row>
        <row r="457">
          <cell r="A457"/>
          <cell r="B457"/>
          <cell r="C457" t="str">
            <v>SCARF</v>
          </cell>
          <cell r="D457" t="str">
            <v>QTY</v>
          </cell>
          <cell r="E457">
            <v>1409</v>
          </cell>
          <cell r="F457">
            <v>1700</v>
          </cell>
          <cell r="G457">
            <v>1502</v>
          </cell>
          <cell r="H457">
            <v>1252</v>
          </cell>
          <cell r="I457">
            <v>1163</v>
          </cell>
          <cell r="J457">
            <v>936</v>
          </cell>
          <cell r="K457">
            <v>980</v>
          </cell>
          <cell r="L457">
            <v>980</v>
          </cell>
          <cell r="M457">
            <v>970</v>
          </cell>
          <cell r="N457">
            <v>1002</v>
          </cell>
          <cell r="O457">
            <v>946</v>
          </cell>
          <cell r="P457">
            <v>855</v>
          </cell>
          <cell r="Q457">
            <v>600</v>
          </cell>
          <cell r="R457">
            <v>600</v>
          </cell>
          <cell r="S457">
            <v>600</v>
          </cell>
          <cell r="T457">
            <v>600</v>
          </cell>
          <cell r="U457">
            <v>600</v>
          </cell>
          <cell r="V457">
            <v>600</v>
          </cell>
          <cell r="W457">
            <v>600</v>
          </cell>
          <cell r="X457">
            <v>600</v>
          </cell>
          <cell r="Y457">
            <v>600</v>
          </cell>
          <cell r="Z457">
            <v>800</v>
          </cell>
          <cell r="AA457">
            <v>800</v>
          </cell>
          <cell r="AB457">
            <v>1000</v>
          </cell>
          <cell r="AC457">
            <v>1200</v>
          </cell>
          <cell r="AD457">
            <v>1200</v>
          </cell>
          <cell r="AE457">
            <v>1000</v>
          </cell>
          <cell r="AF457">
            <v>800</v>
          </cell>
          <cell r="AG457">
            <v>800</v>
          </cell>
          <cell r="AH457">
            <v>800</v>
          </cell>
          <cell r="AI457">
            <v>800</v>
          </cell>
          <cell r="AJ457">
            <v>600</v>
          </cell>
          <cell r="AK457">
            <v>570</v>
          </cell>
          <cell r="AL457">
            <v>570</v>
          </cell>
          <cell r="AM457">
            <v>540</v>
          </cell>
          <cell r="AN457">
            <v>500</v>
          </cell>
          <cell r="AO457">
            <v>505</v>
          </cell>
          <cell r="AP457">
            <v>510</v>
          </cell>
          <cell r="AQ457">
            <v>510</v>
          </cell>
          <cell r="AR457">
            <v>510</v>
          </cell>
          <cell r="AS457">
            <v>620</v>
          </cell>
          <cell r="AT457">
            <v>720</v>
          </cell>
          <cell r="AU457">
            <v>820</v>
          </cell>
          <cell r="AV457">
            <v>870</v>
          </cell>
          <cell r="AW457">
            <v>880</v>
          </cell>
          <cell r="AX457">
            <v>880</v>
          </cell>
          <cell r="AY457">
            <v>1480</v>
          </cell>
          <cell r="AZ457">
            <v>1480</v>
          </cell>
          <cell r="BA457">
            <v>1680</v>
          </cell>
          <cell r="BB457">
            <v>1680</v>
          </cell>
          <cell r="BC457">
            <v>1580</v>
          </cell>
          <cell r="BD457">
            <v>1580</v>
          </cell>
          <cell r="BE457">
            <v>1580</v>
          </cell>
          <cell r="BF457">
            <v>1702</v>
          </cell>
          <cell r="BG457">
            <v>1202</v>
          </cell>
          <cell r="BH457">
            <v>1202</v>
          </cell>
          <cell r="BI457">
            <v>1202</v>
          </cell>
          <cell r="BJ457">
            <v>1202</v>
          </cell>
          <cell r="BK457">
            <v>1302</v>
          </cell>
          <cell r="BL457">
            <v>1302</v>
          </cell>
          <cell r="BM457">
            <v>1302</v>
          </cell>
          <cell r="BN457">
            <v>1100</v>
          </cell>
          <cell r="BO457">
            <v>1037</v>
          </cell>
          <cell r="BP457">
            <v>1030</v>
          </cell>
          <cell r="BQ457">
            <v>1005</v>
          </cell>
          <cell r="BR457">
            <v>1000</v>
          </cell>
          <cell r="BS457">
            <v>1000</v>
          </cell>
          <cell r="BT457">
            <v>500</v>
          </cell>
          <cell r="BU457">
            <v>500</v>
          </cell>
          <cell r="BV457">
            <v>500</v>
          </cell>
          <cell r="BW457">
            <v>600</v>
          </cell>
          <cell r="BX457">
            <v>700</v>
          </cell>
          <cell r="BY457">
            <v>800</v>
          </cell>
          <cell r="BZ457">
            <v>900</v>
          </cell>
          <cell r="CA457">
            <v>1000</v>
          </cell>
          <cell r="CB457">
            <v>1000</v>
          </cell>
          <cell r="CC457">
            <v>1000</v>
          </cell>
          <cell r="CD457">
            <v>1000</v>
          </cell>
          <cell r="CE457">
            <v>1000</v>
          </cell>
          <cell r="CF457">
            <v>400</v>
          </cell>
          <cell r="CG457">
            <v>400</v>
          </cell>
          <cell r="CH457">
            <v>400</v>
          </cell>
          <cell r="CI457">
            <v>400</v>
          </cell>
          <cell r="CJ457">
            <v>400</v>
          </cell>
          <cell r="CK457">
            <v>400</v>
          </cell>
          <cell r="CL457">
            <v>400</v>
          </cell>
          <cell r="CM457">
            <v>400</v>
          </cell>
          <cell r="CN457">
            <v>900</v>
          </cell>
          <cell r="CO457">
            <v>900</v>
          </cell>
          <cell r="CP457">
            <v>900</v>
          </cell>
          <cell r="CQ457">
            <v>500</v>
          </cell>
          <cell r="CR457">
            <v>500</v>
          </cell>
          <cell r="CS457">
            <v>1000</v>
          </cell>
          <cell r="CT457">
            <v>1100</v>
          </cell>
          <cell r="CU457">
            <v>1100</v>
          </cell>
          <cell r="CV457">
            <v>1100</v>
          </cell>
          <cell r="CW457">
            <v>1000</v>
          </cell>
          <cell r="CX457">
            <v>1000</v>
          </cell>
          <cell r="CY457">
            <v>1000</v>
          </cell>
          <cell r="CZ457">
            <v>1000</v>
          </cell>
          <cell r="DA457">
            <v>1100</v>
          </cell>
          <cell r="DB457">
            <v>1100</v>
          </cell>
          <cell r="DC457">
            <v>1100</v>
          </cell>
          <cell r="DD457">
            <v>1100</v>
          </cell>
          <cell r="DE457">
            <v>1100</v>
          </cell>
          <cell r="DF457">
            <v>800</v>
          </cell>
          <cell r="DG457">
            <v>800</v>
          </cell>
          <cell r="DH457">
            <v>800</v>
          </cell>
          <cell r="DI457">
            <v>800</v>
          </cell>
          <cell r="DJ457">
            <v>700</v>
          </cell>
          <cell r="DK457">
            <v>700</v>
          </cell>
          <cell r="DL457">
            <v>700</v>
          </cell>
          <cell r="DM457">
            <v>700</v>
          </cell>
          <cell r="DN457">
            <v>600</v>
          </cell>
          <cell r="DO457">
            <v>600</v>
          </cell>
          <cell r="DP457">
            <v>600</v>
          </cell>
          <cell r="DQ457">
            <v>600</v>
          </cell>
          <cell r="DR457">
            <v>600</v>
          </cell>
          <cell r="DS457">
            <v>500</v>
          </cell>
          <cell r="DT457">
            <v>500</v>
          </cell>
          <cell r="DU457">
            <v>500</v>
          </cell>
          <cell r="DV457">
            <v>500</v>
          </cell>
          <cell r="DW457">
            <v>400</v>
          </cell>
          <cell r="DX457">
            <v>400</v>
          </cell>
          <cell r="DY457">
            <v>400</v>
          </cell>
          <cell r="DZ457">
            <v>400</v>
          </cell>
          <cell r="EA457">
            <v>400</v>
          </cell>
          <cell r="EB457">
            <v>400</v>
          </cell>
          <cell r="EC457">
            <v>400</v>
          </cell>
          <cell r="ED457">
            <v>400</v>
          </cell>
          <cell r="EE457">
            <v>400</v>
          </cell>
        </row>
        <row r="458">
          <cell r="A458"/>
          <cell r="B458"/>
          <cell r="C458" t="str">
            <v>ACCESSORY</v>
          </cell>
          <cell r="D458" t="str">
            <v>QTY</v>
          </cell>
          <cell r="E458">
            <v>465</v>
          </cell>
          <cell r="F458">
            <v>583</v>
          </cell>
          <cell r="G458">
            <v>544</v>
          </cell>
          <cell r="H458">
            <v>523</v>
          </cell>
          <cell r="I458">
            <v>554</v>
          </cell>
          <cell r="J458">
            <v>472</v>
          </cell>
          <cell r="K458">
            <v>580</v>
          </cell>
          <cell r="L458">
            <v>570</v>
          </cell>
          <cell r="M458">
            <v>570</v>
          </cell>
          <cell r="N458">
            <v>470</v>
          </cell>
          <cell r="O458">
            <v>430</v>
          </cell>
          <cell r="P458">
            <v>442</v>
          </cell>
          <cell r="Q458">
            <v>351</v>
          </cell>
          <cell r="R458">
            <v>351</v>
          </cell>
          <cell r="S458">
            <v>351</v>
          </cell>
          <cell r="T458">
            <v>371</v>
          </cell>
          <cell r="U458">
            <v>391</v>
          </cell>
          <cell r="V458">
            <v>671</v>
          </cell>
          <cell r="W458">
            <v>421</v>
          </cell>
          <cell r="X458">
            <v>421</v>
          </cell>
          <cell r="Y458">
            <v>441</v>
          </cell>
          <cell r="Z458">
            <v>491</v>
          </cell>
          <cell r="AA458">
            <v>383</v>
          </cell>
          <cell r="AB458">
            <v>401</v>
          </cell>
          <cell r="AC458">
            <v>680</v>
          </cell>
          <cell r="AD458">
            <v>680</v>
          </cell>
          <cell r="AE458">
            <v>480</v>
          </cell>
          <cell r="AF458">
            <v>440</v>
          </cell>
          <cell r="AG458">
            <v>580</v>
          </cell>
          <cell r="AH458">
            <v>580</v>
          </cell>
          <cell r="AI458">
            <v>530</v>
          </cell>
          <cell r="AJ458">
            <v>456.3401999031779</v>
          </cell>
          <cell r="AK458">
            <v>456.3401999031779</v>
          </cell>
          <cell r="AL458">
            <v>456.3401999031779</v>
          </cell>
          <cell r="AM458">
            <v>456.3401999031779</v>
          </cell>
          <cell r="AN458">
            <v>301.44414208298031</v>
          </cell>
          <cell r="AO458">
            <v>301.44414208298031</v>
          </cell>
          <cell r="AP458">
            <v>301.44414208298031</v>
          </cell>
          <cell r="AQ458">
            <v>301.44414208298031</v>
          </cell>
          <cell r="AR458">
            <v>301.44414208298031</v>
          </cell>
          <cell r="AS458">
            <v>295.14029393178265</v>
          </cell>
          <cell r="AT458">
            <v>295.14029393178265</v>
          </cell>
          <cell r="AU458">
            <v>295.14029393178265</v>
          </cell>
          <cell r="AV458">
            <v>295.14029393178265</v>
          </cell>
          <cell r="AW458">
            <v>530</v>
          </cell>
          <cell r="AX458">
            <v>530</v>
          </cell>
          <cell r="AY458">
            <v>530</v>
          </cell>
          <cell r="AZ458">
            <v>530</v>
          </cell>
          <cell r="BA458">
            <v>350</v>
          </cell>
          <cell r="BB458">
            <v>350</v>
          </cell>
          <cell r="BC458">
            <v>350</v>
          </cell>
          <cell r="BD458">
            <v>350</v>
          </cell>
          <cell r="BE458">
            <v>350</v>
          </cell>
          <cell r="BF458">
            <v>400</v>
          </cell>
          <cell r="BG458">
            <v>450</v>
          </cell>
          <cell r="BH458">
            <v>450</v>
          </cell>
          <cell r="BI458">
            <v>450</v>
          </cell>
          <cell r="BJ458">
            <v>450</v>
          </cell>
          <cell r="BK458">
            <v>450</v>
          </cell>
          <cell r="BL458">
            <v>500</v>
          </cell>
          <cell r="BM458">
            <v>500</v>
          </cell>
          <cell r="BN458">
            <v>550</v>
          </cell>
          <cell r="BO458">
            <v>550</v>
          </cell>
          <cell r="BP458">
            <v>550</v>
          </cell>
          <cell r="BQ458">
            <v>550</v>
          </cell>
          <cell r="BR458">
            <v>550</v>
          </cell>
          <cell r="BS458">
            <v>550</v>
          </cell>
          <cell r="BT458">
            <v>550</v>
          </cell>
          <cell r="BU458">
            <v>550</v>
          </cell>
          <cell r="BV458">
            <v>550</v>
          </cell>
          <cell r="BW458">
            <v>600</v>
          </cell>
          <cell r="BX458">
            <v>600</v>
          </cell>
          <cell r="BY458">
            <v>600</v>
          </cell>
          <cell r="BZ458">
            <v>600</v>
          </cell>
          <cell r="CA458">
            <v>800</v>
          </cell>
          <cell r="CB458">
            <v>800</v>
          </cell>
          <cell r="CC458">
            <v>1000</v>
          </cell>
          <cell r="CD458">
            <v>620</v>
          </cell>
          <cell r="CE458">
            <v>620</v>
          </cell>
          <cell r="CF458">
            <v>250</v>
          </cell>
          <cell r="CG458">
            <v>250</v>
          </cell>
          <cell r="CH458">
            <v>250</v>
          </cell>
          <cell r="CI458">
            <v>250</v>
          </cell>
          <cell r="CJ458">
            <v>450</v>
          </cell>
          <cell r="CK458">
            <v>450</v>
          </cell>
          <cell r="CL458">
            <v>450</v>
          </cell>
          <cell r="CM458">
            <v>450</v>
          </cell>
          <cell r="CN458">
            <v>450</v>
          </cell>
          <cell r="CO458">
            <v>450</v>
          </cell>
          <cell r="CP458">
            <v>450</v>
          </cell>
          <cell r="CQ458">
            <v>450</v>
          </cell>
          <cell r="CR458">
            <v>450</v>
          </cell>
          <cell r="CS458">
            <v>0</v>
          </cell>
          <cell r="CT458">
            <v>0</v>
          </cell>
          <cell r="CU458">
            <v>0</v>
          </cell>
          <cell r="CV458">
            <v>0</v>
          </cell>
          <cell r="CW458">
            <v>0</v>
          </cell>
          <cell r="CX458">
            <v>0</v>
          </cell>
          <cell r="CY458">
            <v>0</v>
          </cell>
          <cell r="CZ458">
            <v>0</v>
          </cell>
          <cell r="DA458">
            <v>0</v>
          </cell>
          <cell r="DB458">
            <v>0</v>
          </cell>
          <cell r="DC458">
            <v>0</v>
          </cell>
          <cell r="DD458">
            <v>0</v>
          </cell>
          <cell r="DE458">
            <v>0</v>
          </cell>
          <cell r="DF458">
            <v>0</v>
          </cell>
          <cell r="DG458">
            <v>0</v>
          </cell>
          <cell r="DH458">
            <v>0</v>
          </cell>
          <cell r="DI458">
            <v>0</v>
          </cell>
          <cell r="DJ458">
            <v>0</v>
          </cell>
          <cell r="DK458">
            <v>0</v>
          </cell>
          <cell r="DL458">
            <v>0</v>
          </cell>
          <cell r="DM458">
            <v>0</v>
          </cell>
          <cell r="DN458">
            <v>0</v>
          </cell>
          <cell r="DO458">
            <v>0</v>
          </cell>
          <cell r="DP458">
            <v>0</v>
          </cell>
          <cell r="DQ458">
            <v>0</v>
          </cell>
          <cell r="DR458">
            <v>0</v>
          </cell>
          <cell r="DS458">
            <v>450</v>
          </cell>
          <cell r="DT458">
            <v>450</v>
          </cell>
          <cell r="DU458">
            <v>450</v>
          </cell>
          <cell r="DV458">
            <v>450</v>
          </cell>
          <cell r="DW458">
            <v>450</v>
          </cell>
          <cell r="DX458">
            <v>450</v>
          </cell>
          <cell r="DY458">
            <v>450</v>
          </cell>
          <cell r="DZ458">
            <v>450</v>
          </cell>
          <cell r="EA458">
            <v>450</v>
          </cell>
          <cell r="EB458">
            <v>450</v>
          </cell>
          <cell r="EC458">
            <v>450</v>
          </cell>
          <cell r="ED458">
            <v>450</v>
          </cell>
          <cell r="EE458">
            <v>450</v>
          </cell>
        </row>
        <row r="459">
          <cell r="A459"/>
          <cell r="B459"/>
          <cell r="C459" t="str">
            <v>N.APPERAL TOTAL</v>
          </cell>
          <cell r="D459" t="str">
            <v>QTY</v>
          </cell>
          <cell r="E459">
            <v>2034</v>
          </cell>
          <cell r="F459">
            <v>2467</v>
          </cell>
          <cell r="G459">
            <v>2230</v>
          </cell>
          <cell r="H459">
            <v>1969</v>
          </cell>
          <cell r="I459">
            <v>1936</v>
          </cell>
          <cell r="J459">
            <v>1678</v>
          </cell>
          <cell r="K459">
            <v>1945</v>
          </cell>
          <cell r="L459">
            <v>2075</v>
          </cell>
          <cell r="M459">
            <v>2365</v>
          </cell>
          <cell r="N459">
            <v>1687</v>
          </cell>
          <cell r="O459">
            <v>1631</v>
          </cell>
          <cell r="P459">
            <v>1572</v>
          </cell>
          <cell r="Q459">
            <v>1392</v>
          </cell>
          <cell r="R459">
            <v>1396</v>
          </cell>
          <cell r="S459">
            <v>1431</v>
          </cell>
          <cell r="T459">
            <v>1536</v>
          </cell>
          <cell r="U459">
            <v>1621</v>
          </cell>
          <cell r="V459">
            <v>2161</v>
          </cell>
          <cell r="W459">
            <v>2021</v>
          </cell>
          <cell r="X459">
            <v>2081</v>
          </cell>
          <cell r="Y459">
            <v>2161</v>
          </cell>
          <cell r="Z459">
            <v>2591</v>
          </cell>
          <cell r="AA459">
            <v>2683</v>
          </cell>
          <cell r="AB459">
            <v>3251</v>
          </cell>
          <cell r="AC459">
            <v>4180</v>
          </cell>
          <cell r="AD459">
            <v>4180</v>
          </cell>
          <cell r="AE459">
            <v>3430</v>
          </cell>
          <cell r="AF459">
            <v>3090</v>
          </cell>
          <cell r="AG459">
            <v>3180</v>
          </cell>
          <cell r="AH459">
            <v>3180</v>
          </cell>
          <cell r="AI459">
            <v>3130</v>
          </cell>
          <cell r="AJ459">
            <v>6899.6248946659352</v>
          </cell>
          <cell r="AK459">
            <v>6869.6248946659352</v>
          </cell>
          <cell r="AL459">
            <v>6869.6248946659352</v>
          </cell>
          <cell r="AM459">
            <v>6839.6248946659352</v>
          </cell>
          <cell r="AN459">
            <v>3851.4441420829803</v>
          </cell>
          <cell r="AO459">
            <v>3856.4441420829803</v>
          </cell>
          <cell r="AP459">
            <v>3661.4441420829803</v>
          </cell>
          <cell r="AQ459">
            <v>3661.4441420829803</v>
          </cell>
          <cell r="AR459">
            <v>3561.4441420829803</v>
          </cell>
          <cell r="AS459">
            <v>3465.1402939317827</v>
          </cell>
          <cell r="AT459">
            <v>3565.1402939317827</v>
          </cell>
          <cell r="AU459">
            <v>3665.1402939317827</v>
          </cell>
          <cell r="AV459">
            <v>3715.1402939317827</v>
          </cell>
          <cell r="AW459">
            <v>3310</v>
          </cell>
          <cell r="AX459">
            <v>3310</v>
          </cell>
          <cell r="AY459">
            <v>3910</v>
          </cell>
          <cell r="AZ459">
            <v>3510</v>
          </cell>
          <cell r="BA459">
            <v>2930</v>
          </cell>
          <cell r="BB459">
            <v>2930</v>
          </cell>
          <cell r="BC459">
            <v>2830</v>
          </cell>
          <cell r="BD459">
            <v>2830</v>
          </cell>
          <cell r="BE459">
            <v>2830</v>
          </cell>
          <cell r="BF459">
            <v>2902</v>
          </cell>
          <cell r="BG459">
            <v>2052</v>
          </cell>
          <cell r="BH459">
            <v>1952</v>
          </cell>
          <cell r="BI459">
            <v>1952</v>
          </cell>
          <cell r="BJ459">
            <v>1952</v>
          </cell>
          <cell r="BK459">
            <v>2052</v>
          </cell>
          <cell r="BL459">
            <v>2102</v>
          </cell>
          <cell r="BM459">
            <v>2102</v>
          </cell>
          <cell r="BN459">
            <v>2050</v>
          </cell>
          <cell r="BO459">
            <v>1987</v>
          </cell>
          <cell r="BP459">
            <v>1980</v>
          </cell>
          <cell r="BQ459">
            <v>2115</v>
          </cell>
          <cell r="BR459">
            <v>2110</v>
          </cell>
          <cell r="BS459">
            <v>2110</v>
          </cell>
          <cell r="BT459">
            <v>1610</v>
          </cell>
          <cell r="BU459">
            <v>1610</v>
          </cell>
          <cell r="BV459">
            <v>1610</v>
          </cell>
          <cell r="BW459">
            <v>1515</v>
          </cell>
          <cell r="BX459">
            <v>1615</v>
          </cell>
          <cell r="BY459">
            <v>1715</v>
          </cell>
          <cell r="BZ459">
            <v>1815</v>
          </cell>
          <cell r="CA459">
            <v>2110</v>
          </cell>
          <cell r="CB459">
            <v>2110</v>
          </cell>
          <cell r="CC459">
            <v>2310</v>
          </cell>
          <cell r="CD459">
            <v>1930</v>
          </cell>
          <cell r="CE459">
            <v>1930</v>
          </cell>
          <cell r="CF459">
            <v>650</v>
          </cell>
          <cell r="CG459">
            <v>650</v>
          </cell>
          <cell r="CH459">
            <v>650</v>
          </cell>
          <cell r="CI459">
            <v>650</v>
          </cell>
          <cell r="CJ459">
            <v>850</v>
          </cell>
          <cell r="CK459">
            <v>850</v>
          </cell>
          <cell r="CL459">
            <v>850</v>
          </cell>
          <cell r="CM459">
            <v>850</v>
          </cell>
          <cell r="CN459">
            <v>1350</v>
          </cell>
          <cell r="CO459">
            <v>1350</v>
          </cell>
          <cell r="CP459">
            <v>1350</v>
          </cell>
          <cell r="CQ459">
            <v>950</v>
          </cell>
          <cell r="CR459">
            <v>950</v>
          </cell>
          <cell r="CS459">
            <v>1000</v>
          </cell>
          <cell r="CT459">
            <v>1100</v>
          </cell>
          <cell r="CU459">
            <v>1100</v>
          </cell>
          <cell r="CV459">
            <v>1100</v>
          </cell>
          <cell r="CW459">
            <v>1000</v>
          </cell>
          <cell r="CX459">
            <v>1000</v>
          </cell>
          <cell r="CY459">
            <v>1000</v>
          </cell>
          <cell r="CZ459">
            <v>1000</v>
          </cell>
          <cell r="DA459">
            <v>1100</v>
          </cell>
          <cell r="DB459">
            <v>1100</v>
          </cell>
          <cell r="DC459">
            <v>1100</v>
          </cell>
          <cell r="DD459">
            <v>1100</v>
          </cell>
          <cell r="DE459">
            <v>1100</v>
          </cell>
          <cell r="DF459">
            <v>800</v>
          </cell>
          <cell r="DG459">
            <v>800</v>
          </cell>
          <cell r="DH459">
            <v>800</v>
          </cell>
          <cell r="DI459">
            <v>800</v>
          </cell>
          <cell r="DJ459">
            <v>700</v>
          </cell>
          <cell r="DK459">
            <v>700</v>
          </cell>
          <cell r="DL459">
            <v>1400</v>
          </cell>
          <cell r="DM459">
            <v>1400</v>
          </cell>
          <cell r="DN459">
            <v>1300</v>
          </cell>
          <cell r="DO459">
            <v>1300</v>
          </cell>
          <cell r="DP459">
            <v>1300</v>
          </cell>
          <cell r="DQ459">
            <v>1300</v>
          </cell>
          <cell r="DR459">
            <v>1300</v>
          </cell>
          <cell r="DS459">
            <v>1650</v>
          </cell>
          <cell r="DT459">
            <v>1650</v>
          </cell>
          <cell r="DU459">
            <v>1650</v>
          </cell>
          <cell r="DV459">
            <v>1650</v>
          </cell>
          <cell r="DW459">
            <v>1550</v>
          </cell>
          <cell r="DX459">
            <v>1550</v>
          </cell>
          <cell r="DY459">
            <v>1550</v>
          </cell>
          <cell r="DZ459">
            <v>1550</v>
          </cell>
          <cell r="EA459">
            <v>1550</v>
          </cell>
          <cell r="EB459">
            <v>1550</v>
          </cell>
          <cell r="EC459">
            <v>1550</v>
          </cell>
          <cell r="ED459">
            <v>1550</v>
          </cell>
          <cell r="EE459">
            <v>1550</v>
          </cell>
        </row>
        <row r="460">
          <cell r="A460"/>
          <cell r="B460"/>
          <cell r="C460" t="str">
            <v>GRAND TOTAL</v>
          </cell>
          <cell r="D460" t="str">
            <v>QTY</v>
          </cell>
          <cell r="E460">
            <v>10036</v>
          </cell>
          <cell r="F460">
            <v>10202</v>
          </cell>
          <cell r="G460">
            <v>9105</v>
          </cell>
          <cell r="H460">
            <v>7758</v>
          </cell>
          <cell r="I460">
            <v>8499</v>
          </cell>
          <cell r="J460">
            <v>8429</v>
          </cell>
          <cell r="K460">
            <v>9780</v>
          </cell>
          <cell r="L460">
            <v>11024</v>
          </cell>
          <cell r="M460">
            <v>11843</v>
          </cell>
          <cell r="N460">
            <v>9345</v>
          </cell>
          <cell r="O460">
            <v>9083</v>
          </cell>
          <cell r="P460">
            <v>9348</v>
          </cell>
          <cell r="Q460">
            <v>10101</v>
          </cell>
          <cell r="R460">
            <v>9386</v>
          </cell>
          <cell r="S460">
            <v>8637</v>
          </cell>
          <cell r="T460">
            <v>8737</v>
          </cell>
          <cell r="U460">
            <v>9189.7982758620692</v>
          </cell>
          <cell r="V460">
            <v>10159</v>
          </cell>
          <cell r="W460">
            <v>10082</v>
          </cell>
          <cell r="X460">
            <v>10449</v>
          </cell>
          <cell r="Y460">
            <v>11264</v>
          </cell>
          <cell r="Z460">
            <v>13053</v>
          </cell>
          <cell r="AA460">
            <v>13613</v>
          </cell>
          <cell r="AB460">
            <v>15381</v>
          </cell>
          <cell r="AC460">
            <v>19260</v>
          </cell>
          <cell r="AD460">
            <v>19303</v>
          </cell>
          <cell r="AE460">
            <v>15515</v>
          </cell>
          <cell r="AF460">
            <v>13691</v>
          </cell>
          <cell r="AG460">
            <v>12315</v>
          </cell>
          <cell r="AH460">
            <v>11859</v>
          </cell>
          <cell r="AI460">
            <v>11732</v>
          </cell>
          <cell r="AJ460">
            <v>15254.056866727296</v>
          </cell>
          <cell r="AK460">
            <v>15296.076923481756</v>
          </cell>
          <cell r="AL460">
            <v>14906.076923481756</v>
          </cell>
          <cell r="AM460">
            <v>14719.076923481756</v>
          </cell>
          <cell r="AN460">
            <v>12301.444142082981</v>
          </cell>
          <cell r="AO460">
            <v>12427.444142082981</v>
          </cell>
          <cell r="AP460">
            <v>12278.444142082981</v>
          </cell>
          <cell r="AQ460">
            <v>12108.444142082981</v>
          </cell>
          <cell r="AR460">
            <v>12157.444142082981</v>
          </cell>
          <cell r="AS460">
            <v>12360.140293931783</v>
          </cell>
          <cell r="AT460">
            <v>12410.140293931783</v>
          </cell>
          <cell r="AU460">
            <v>12600.140293931783</v>
          </cell>
          <cell r="AV460">
            <v>12240.140293931783</v>
          </cell>
          <cell r="AW460">
            <v>11630</v>
          </cell>
          <cell r="AX460">
            <v>11830</v>
          </cell>
          <cell r="AY460">
            <v>12530</v>
          </cell>
          <cell r="AZ460">
            <v>12230</v>
          </cell>
          <cell r="BA460">
            <v>12985</v>
          </cell>
          <cell r="BB460">
            <v>13035</v>
          </cell>
          <cell r="BC460">
            <v>12515</v>
          </cell>
          <cell r="BD460">
            <v>12485</v>
          </cell>
          <cell r="BE460">
            <v>12235</v>
          </cell>
          <cell r="BF460">
            <v>9931</v>
          </cell>
          <cell r="BG460">
            <v>9051</v>
          </cell>
          <cell r="BH460">
            <v>9021</v>
          </cell>
          <cell r="BI460">
            <v>9226</v>
          </cell>
          <cell r="BJ460">
            <v>9252</v>
          </cell>
          <cell r="BK460">
            <v>9672</v>
          </cell>
          <cell r="BL460">
            <v>10202</v>
          </cell>
          <cell r="BM460">
            <v>10752</v>
          </cell>
          <cell r="BN460">
            <v>11764</v>
          </cell>
          <cell r="BO460">
            <v>11551</v>
          </cell>
          <cell r="BP460">
            <v>10254</v>
          </cell>
          <cell r="BQ460">
            <v>10889</v>
          </cell>
          <cell r="BR460">
            <v>10975</v>
          </cell>
          <cell r="BS460">
            <v>11440</v>
          </cell>
          <cell r="BT460">
            <v>10990</v>
          </cell>
          <cell r="BU460">
            <v>11210</v>
          </cell>
          <cell r="BV460">
            <v>11190</v>
          </cell>
          <cell r="BW460">
            <v>11145</v>
          </cell>
          <cell r="BX460">
            <v>11417</v>
          </cell>
          <cell r="BY460">
            <v>11672</v>
          </cell>
          <cell r="BZ460">
            <v>11645</v>
          </cell>
          <cell r="CA460">
            <v>12280</v>
          </cell>
          <cell r="CB460">
            <v>12380</v>
          </cell>
          <cell r="CC460">
            <v>12680</v>
          </cell>
          <cell r="CD460">
            <v>12120</v>
          </cell>
          <cell r="CE460">
            <v>12120</v>
          </cell>
          <cell r="CF460">
            <v>8300</v>
          </cell>
          <cell r="CG460">
            <v>6900</v>
          </cell>
          <cell r="CH460">
            <v>7350</v>
          </cell>
          <cell r="CI460">
            <v>7050</v>
          </cell>
          <cell r="CJ460">
            <v>10050</v>
          </cell>
          <cell r="CK460">
            <v>10050</v>
          </cell>
          <cell r="CL460">
            <v>9950</v>
          </cell>
          <cell r="CM460">
            <v>9950</v>
          </cell>
          <cell r="CN460">
            <v>10430</v>
          </cell>
          <cell r="CO460">
            <v>8930</v>
          </cell>
          <cell r="CP460">
            <v>8560</v>
          </cell>
          <cell r="CQ460">
            <v>8580</v>
          </cell>
          <cell r="CR460">
            <v>8830</v>
          </cell>
          <cell r="CS460">
            <v>5312</v>
          </cell>
          <cell r="CT460">
            <v>4712</v>
          </cell>
          <cell r="CU460">
            <v>4712</v>
          </cell>
          <cell r="CV460">
            <v>4712</v>
          </cell>
          <cell r="CW460">
            <v>7100</v>
          </cell>
          <cell r="CX460">
            <v>7360</v>
          </cell>
          <cell r="CY460">
            <v>7550</v>
          </cell>
          <cell r="CZ460">
            <v>7700</v>
          </cell>
          <cell r="DA460">
            <v>8400</v>
          </cell>
          <cell r="DB460">
            <v>8400</v>
          </cell>
          <cell r="DC460">
            <v>8400</v>
          </cell>
          <cell r="DD460">
            <v>8400</v>
          </cell>
          <cell r="DE460">
            <v>8400</v>
          </cell>
          <cell r="DF460">
            <v>7530</v>
          </cell>
          <cell r="DG460">
            <v>7530</v>
          </cell>
          <cell r="DH460">
            <v>7180</v>
          </cell>
          <cell r="DI460">
            <v>6880</v>
          </cell>
          <cell r="DJ460">
            <v>6490</v>
          </cell>
          <cell r="DK460">
            <v>6490</v>
          </cell>
          <cell r="DL460">
            <v>7190</v>
          </cell>
          <cell r="DM460">
            <v>7190</v>
          </cell>
          <cell r="DN460">
            <v>6990</v>
          </cell>
          <cell r="DO460">
            <v>6990</v>
          </cell>
          <cell r="DP460">
            <v>6990</v>
          </cell>
          <cell r="DQ460">
            <v>6990</v>
          </cell>
          <cell r="DR460">
            <v>7290</v>
          </cell>
          <cell r="DS460">
            <v>9320</v>
          </cell>
          <cell r="DT460">
            <v>9420</v>
          </cell>
          <cell r="DU460">
            <v>9620</v>
          </cell>
          <cell r="DV460">
            <v>9620</v>
          </cell>
          <cell r="DW460">
            <v>9920</v>
          </cell>
          <cell r="DX460">
            <v>9920</v>
          </cell>
          <cell r="DY460">
            <v>9920</v>
          </cell>
          <cell r="DZ460">
            <v>9920</v>
          </cell>
          <cell r="EA460">
            <v>10620</v>
          </cell>
          <cell r="EB460">
            <v>10620</v>
          </cell>
          <cell r="EC460">
            <v>10620</v>
          </cell>
          <cell r="ED460">
            <v>10620</v>
          </cell>
          <cell r="EE460">
            <v>10920</v>
          </cell>
        </row>
      </sheetData>
      <sheetData sheetId="1"/>
      <sheetData sheetId="2"/>
      <sheetData sheetId="3"/>
      <sheetData sheetId="4"/>
    </sheetDataSet>
  </externalBook>
</externalLink>
</file>

<file path=xl/queryTables/queryTable1.xml><?xml version="1.0" encoding="utf-8"?>
<queryTable xmlns="http://schemas.openxmlformats.org/spreadsheetml/2006/main" name="db1_backend_Daily.accdb" connectionId="1" autoFormatId="16" applyNumberFormats="0" applyBorderFormats="0" applyFontFormats="0" applyPatternFormats="0" applyAlignmentFormats="0" applyWidthHeightFormats="0">
  <queryTableRefresh nextId="13" unboundColumnsRight="5">
    <queryTableFields count="12">
      <queryTableField id="1" name="SHOP" tableColumnId="1"/>
      <queryTableField id="2" name="TradingDate" tableColumnId="2"/>
      <queryTableField id="3" name="TSOH" tableColumnId="3"/>
      <queryTableField id="4" name="TUnitsSold" tableColumnId="4"/>
      <queryTableField id="5" name="TNetSales" tableColumnId="5"/>
      <queryTableField id="6" name="TGP" tableColumnId="6"/>
      <queryTableField id="7" name="Cat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db1_backend_Daily.accdb" displayName="Table_db1_backend_Daily.accdb" ref="A1:L3521" tableType="queryTable" totalsRowShown="0" headerRowDxfId="13" dataDxfId="12" headerRowCellStyle="Normal 4" dataCellStyle="Normal 4">
  <autoFilter ref="A1:L3521"/>
  <tableColumns count="12">
    <tableColumn id="1" uniqueName="1" name="Shop" queryTableFieldId="1" dataDxfId="11" dataCellStyle="Normal 4"/>
    <tableColumn id="2" uniqueName="2" name="TradingDate" queryTableFieldId="2" dataDxfId="10" dataCellStyle="Normal 4"/>
    <tableColumn id="3" uniqueName="3" name="TSOH" queryTableFieldId="3" dataDxfId="9" dataCellStyle="Normal 4"/>
    <tableColumn id="4" uniqueName="4" name="TUnitsSold" queryTableFieldId="4" dataDxfId="8" dataCellStyle="Normal 4"/>
    <tableColumn id="5" uniqueName="5" name="TNetSales" queryTableFieldId="5" dataDxfId="7" dataCellStyle="Normal 4"/>
    <tableColumn id="6" uniqueName="6" name="TGP" queryTableFieldId="6" dataDxfId="6" dataCellStyle="Normal 4"/>
    <tableColumn id="7" uniqueName="7" name="Cat" queryTableFieldId="7" dataDxfId="5" dataCellStyle="Normal 4"/>
    <tableColumn id="8" uniqueName="8" name="Cat1" queryTableFieldId="8" dataDxfId="4" dataCellStyle="Normal 4">
      <calculatedColumnFormula>IFERROR(VLOOKUP(Data!$G2,canon!$I$2:$K$27,2,FALSE),"")</calculatedColumnFormula>
    </tableColumn>
    <tableColumn id="9" uniqueName="9" name="Cat2" queryTableFieldId="9" dataDxfId="3" dataCellStyle="Normal 4">
      <calculatedColumnFormula>IFERROR(VLOOKUP(Data!$G2,canon!$I$2:$K$27,3,FALSE),"")</calculatedColumnFormula>
    </tableColumn>
    <tableColumn id="10" uniqueName="10" name="Day" queryTableFieldId="10" dataDxfId="2" dataCellStyle="Normal 4">
      <calculatedColumnFormula>WEEKDAY(B2)</calculatedColumnFormula>
    </tableColumn>
    <tableColumn id="11" uniqueName="11" name="Shop2" queryTableFieldId="11" dataDxfId="1" dataCellStyle="Normal 4">
      <calculatedColumnFormula>INT(A2)</calculatedColumnFormula>
    </tableColumn>
    <tableColumn id="12" uniqueName="12" name="Week" queryTableFieldId="12" dataDxfId="0" dataCellStyle="Normal 4">
      <calculatedColumnFormula>VLOOKUP(Table_db1_backend_Daily.accdb[[#This Row],[TradingDate]],canon!B:E,4,0)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S42"/>
  <sheetViews>
    <sheetView tabSelected="1" topLeftCell="C1" workbookViewId="0">
      <selection activeCell="S28" sqref="S28"/>
    </sheetView>
  </sheetViews>
  <sheetFormatPr defaultRowHeight="11.25" x14ac:dyDescent="0.2"/>
  <cols>
    <col min="1" max="2" width="9.33203125" style="48"/>
    <col min="3" max="3" width="14.6640625" style="48" customWidth="1"/>
    <col min="4" max="6" width="9.33203125" style="48"/>
    <col min="7" max="7" width="11.6640625" style="48" bestFit="1" customWidth="1"/>
    <col min="8" max="9" width="9.33203125" style="48"/>
    <col min="10" max="10" width="9.5" style="48" customWidth="1"/>
    <col min="11" max="11" width="9.5" style="49" customWidth="1"/>
    <col min="12" max="19" width="9.5" style="48" customWidth="1"/>
    <col min="20" max="16384" width="9.33203125" style="48"/>
  </cols>
  <sheetData>
    <row r="2" spans="2:19" x14ac:dyDescent="0.2">
      <c r="B2" s="48" t="s">
        <v>78</v>
      </c>
      <c r="C2" s="55">
        <v>1733</v>
      </c>
      <c r="J2" s="42" t="s">
        <v>47</v>
      </c>
      <c r="K2" s="53"/>
      <c r="L2" s="50">
        <v>1</v>
      </c>
      <c r="M2" s="50">
        <v>2</v>
      </c>
      <c r="N2" s="50">
        <v>3</v>
      </c>
      <c r="O2" s="50">
        <v>4</v>
      </c>
      <c r="P2" s="50">
        <v>5</v>
      </c>
      <c r="Q2" s="50">
        <v>6</v>
      </c>
      <c r="R2" s="50">
        <v>7</v>
      </c>
      <c r="S2" s="42"/>
    </row>
    <row r="3" spans="2:19" x14ac:dyDescent="0.2">
      <c r="J3" s="42">
        <v>16</v>
      </c>
      <c r="K3" s="66">
        <f>'fix '!D2</f>
        <v>0</v>
      </c>
      <c r="L3" s="58">
        <f>'Day avg Portion'!L2</f>
        <v>0</v>
      </c>
      <c r="M3" s="59">
        <f>'Day avg Portion'!M2</f>
        <v>0</v>
      </c>
      <c r="N3" s="59">
        <f>'Day avg Portion'!N2</f>
        <v>0</v>
      </c>
      <c r="O3" s="59">
        <f>'Day avg Portion'!O2</f>
        <v>0</v>
      </c>
      <c r="P3" s="59">
        <f>'Day avg Portion'!P2</f>
        <v>0</v>
      </c>
      <c r="Q3" s="59">
        <f>'Day avg Portion'!Q2</f>
        <v>0</v>
      </c>
      <c r="R3" s="60">
        <f>'Day avg Portion'!R2</f>
        <v>0</v>
      </c>
      <c r="S3" s="54">
        <f>SUM(L3:R3)</f>
        <v>0</v>
      </c>
    </row>
    <row r="4" spans="2:19" x14ac:dyDescent="0.2">
      <c r="C4" s="51">
        <f>SUMIFS(canon!B:B,canon!A:A,D4,canon!C:C,"Sun")</f>
        <v>42925</v>
      </c>
      <c r="D4" s="48">
        <f>C2-5</f>
        <v>1728</v>
      </c>
      <c r="J4" s="42">
        <v>29</v>
      </c>
      <c r="K4" s="67">
        <f>'fix '!D3</f>
        <v>0</v>
      </c>
      <c r="L4" s="61">
        <f>'Day avg Portion'!L3</f>
        <v>0</v>
      </c>
      <c r="M4" s="52">
        <f>'Day avg Portion'!M3</f>
        <v>0</v>
      </c>
      <c r="N4" s="52">
        <f>'Day avg Portion'!N3</f>
        <v>0</v>
      </c>
      <c r="O4" s="52">
        <f>'Day avg Portion'!O3</f>
        <v>0</v>
      </c>
      <c r="P4" s="52">
        <f>'Day avg Portion'!P3</f>
        <v>0</v>
      </c>
      <c r="Q4" s="52">
        <f>'Day avg Portion'!Q3</f>
        <v>0</v>
      </c>
      <c r="R4" s="62">
        <f>'Day avg Portion'!R3</f>
        <v>0</v>
      </c>
      <c r="S4" s="54">
        <f t="shared" ref="S4:S20" si="0">SUM(L4:R4)</f>
        <v>0</v>
      </c>
    </row>
    <row r="5" spans="2:19" x14ac:dyDescent="0.2">
      <c r="C5" s="51">
        <f>SUMIFS(canon!B:B,canon!A:A,D5,canon!C:C,"SAT")</f>
        <v>42952</v>
      </c>
      <c r="D5" s="48">
        <f>C2-2</f>
        <v>1731</v>
      </c>
      <c r="J5" s="42">
        <v>35</v>
      </c>
      <c r="K5" s="67">
        <f>'fix '!D4</f>
        <v>0.17216531442124683</v>
      </c>
      <c r="L5" s="61">
        <f>'Day avg Portion'!L4</f>
        <v>9.9637819083562659E-2</v>
      </c>
      <c r="M5" s="52">
        <f>'Day avg Portion'!M4</f>
        <v>0.10343872471712549</v>
      </c>
      <c r="N5" s="52">
        <f>'Day avg Portion'!N4</f>
        <v>0.11424517847410291</v>
      </c>
      <c r="O5" s="52">
        <f>'Day avg Portion'!O4</f>
        <v>0.1078726312316689</v>
      </c>
      <c r="P5" s="52">
        <f>'Day avg Portion'!P4</f>
        <v>0.23309997619297948</v>
      </c>
      <c r="Q5" s="52">
        <f>'Day avg Portion'!Q4</f>
        <v>0.17031397472105297</v>
      </c>
      <c r="R5" s="62">
        <f>'Day avg Portion'!R4</f>
        <v>0.17139169557950762</v>
      </c>
      <c r="S5" s="54">
        <f t="shared" si="0"/>
        <v>1</v>
      </c>
    </row>
    <row r="6" spans="2:19" x14ac:dyDescent="0.2">
      <c r="J6" s="42">
        <v>37</v>
      </c>
      <c r="K6" s="67">
        <f>'fix '!D5</f>
        <v>0.13255913831019514</v>
      </c>
      <c r="L6" s="61">
        <f>'Day avg Portion'!L5</f>
        <v>0.11039138581423009</v>
      </c>
      <c r="M6" s="52">
        <f>'Day avg Portion'!M5</f>
        <v>8.5429910388183941E-2</v>
      </c>
      <c r="N6" s="52">
        <f>'Day avg Portion'!N5</f>
        <v>9.8238997698727612E-2</v>
      </c>
      <c r="O6" s="52">
        <f>'Day avg Portion'!O5</f>
        <v>0.14686079264095095</v>
      </c>
      <c r="P6" s="52">
        <f>'Day avg Portion'!P5</f>
        <v>0.19997024135578875</v>
      </c>
      <c r="Q6" s="52">
        <f>'Day avg Portion'!Q5</f>
        <v>0.16843298450635652</v>
      </c>
      <c r="R6" s="62">
        <f>'Day avg Portion'!R5</f>
        <v>0.19067568759576206</v>
      </c>
      <c r="S6" s="54">
        <f t="shared" si="0"/>
        <v>1</v>
      </c>
    </row>
    <row r="7" spans="2:19" x14ac:dyDescent="0.2">
      <c r="C7" s="48">
        <f>INT("20"&amp;C2)</f>
        <v>201733</v>
      </c>
      <c r="J7" s="42">
        <v>38</v>
      </c>
      <c r="K7" s="67">
        <f>'fix '!D6</f>
        <v>0</v>
      </c>
      <c r="L7" s="61">
        <f>'Day avg Portion'!L6</f>
        <v>0</v>
      </c>
      <c r="M7" s="52">
        <f>'Day avg Portion'!M6</f>
        <v>0</v>
      </c>
      <c r="N7" s="52">
        <f>'Day avg Portion'!N6</f>
        <v>0</v>
      </c>
      <c r="O7" s="52">
        <f>'Day avg Portion'!O6</f>
        <v>0</v>
      </c>
      <c r="P7" s="52">
        <f>'Day avg Portion'!P6</f>
        <v>0</v>
      </c>
      <c r="Q7" s="52">
        <f>'Day avg Portion'!Q6</f>
        <v>0</v>
      </c>
      <c r="R7" s="62">
        <f>'Day avg Portion'!R6</f>
        <v>0</v>
      </c>
      <c r="S7" s="54">
        <f t="shared" si="0"/>
        <v>0</v>
      </c>
    </row>
    <row r="8" spans="2:19" x14ac:dyDescent="0.2">
      <c r="J8" s="42">
        <v>41</v>
      </c>
      <c r="K8" s="67">
        <f>'fix '!D7</f>
        <v>0.12221528371812349</v>
      </c>
      <c r="L8" s="61">
        <f>'Day avg Portion'!L7</f>
        <v>6.821168738134345E-2</v>
      </c>
      <c r="M8" s="52">
        <f>'Day avg Portion'!M7</f>
        <v>9.9247611887854734E-2</v>
      </c>
      <c r="N8" s="52">
        <f>'Day avg Portion'!N7</f>
        <v>0.12067048274321694</v>
      </c>
      <c r="O8" s="52">
        <f>'Day avg Portion'!O7</f>
        <v>0.13923333905336241</v>
      </c>
      <c r="P8" s="52">
        <f>'Day avg Portion'!P7</f>
        <v>0.22516077367479181</v>
      </c>
      <c r="Q8" s="52">
        <f>'Day avg Portion'!Q7</f>
        <v>0.18776574301815968</v>
      </c>
      <c r="R8" s="62">
        <f>'Day avg Portion'!R7</f>
        <v>0.1597103622412708</v>
      </c>
      <c r="S8" s="54">
        <f t="shared" si="0"/>
        <v>0.99999999999999978</v>
      </c>
    </row>
    <row r="9" spans="2:19" x14ac:dyDescent="0.2">
      <c r="J9" s="42">
        <v>42</v>
      </c>
      <c r="K9" s="67">
        <f>'fix '!D8</f>
        <v>0</v>
      </c>
      <c r="L9" s="61">
        <f>'Day avg Portion'!L8</f>
        <v>0</v>
      </c>
      <c r="M9" s="52">
        <f>'Day avg Portion'!M8</f>
        <v>0</v>
      </c>
      <c r="N9" s="52">
        <f>'Day avg Portion'!N8</f>
        <v>0</v>
      </c>
      <c r="O9" s="52">
        <f>'Day avg Portion'!O8</f>
        <v>0</v>
      </c>
      <c r="P9" s="52">
        <f>'Day avg Portion'!P8</f>
        <v>0</v>
      </c>
      <c r="Q9" s="52">
        <f>'Day avg Portion'!Q8</f>
        <v>0</v>
      </c>
      <c r="R9" s="62">
        <f>'Day avg Portion'!R8</f>
        <v>0</v>
      </c>
      <c r="S9" s="54">
        <f t="shared" si="0"/>
        <v>0</v>
      </c>
    </row>
    <row r="10" spans="2:19" x14ac:dyDescent="0.2">
      <c r="G10" s="48" t="s">
        <v>75</v>
      </c>
      <c r="H10" s="57">
        <f>'fix '!A21</f>
        <v>111066.31740046374</v>
      </c>
      <c r="J10" s="42">
        <v>43</v>
      </c>
      <c r="K10" s="67">
        <f>'fix '!D9</f>
        <v>0.15655626011864218</v>
      </c>
      <c r="L10" s="61">
        <f>'Day avg Portion'!L9</f>
        <v>7.8982341224382191E-2</v>
      </c>
      <c r="M10" s="52">
        <f>'Day avg Portion'!M9</f>
        <v>0.10220204437578707</v>
      </c>
      <c r="N10" s="52">
        <f>'Day avg Portion'!N9</f>
        <v>0.1233264989014763</v>
      </c>
      <c r="O10" s="52">
        <f>'Day avg Portion'!O9</f>
        <v>0.12147551432333543</v>
      </c>
      <c r="P10" s="52">
        <f>'Day avg Portion'!P9</f>
        <v>0.22300270949695428</v>
      </c>
      <c r="Q10" s="52">
        <f>'Day avg Portion'!Q9</f>
        <v>0.17873430291187192</v>
      </c>
      <c r="R10" s="62">
        <f>'Day avg Portion'!R9</f>
        <v>0.17227658876619273</v>
      </c>
      <c r="S10" s="54">
        <f t="shared" si="0"/>
        <v>1</v>
      </c>
    </row>
    <row r="11" spans="2:19" x14ac:dyDescent="0.2">
      <c r="G11" s="48" t="s">
        <v>77</v>
      </c>
      <c r="H11" s="56">
        <f>'fix '!E21</f>
        <v>7190</v>
      </c>
      <c r="J11" s="42">
        <v>44</v>
      </c>
      <c r="K11" s="67">
        <f>'fix '!D10</f>
        <v>8.1727690572104245E-2</v>
      </c>
      <c r="L11" s="61">
        <f>'Day avg Portion'!L10</f>
        <v>7.7283789700925629E-2</v>
      </c>
      <c r="M11" s="52">
        <f>'Day avg Portion'!M10</f>
        <v>9.8255144954838447E-2</v>
      </c>
      <c r="N11" s="52">
        <f>'Day avg Portion'!N10</f>
        <v>0.11284685803896014</v>
      </c>
      <c r="O11" s="52">
        <f>'Day avg Portion'!O10</f>
        <v>0.13465678237935702</v>
      </c>
      <c r="P11" s="52">
        <f>'Day avg Portion'!P10</f>
        <v>0.19561520523812911</v>
      </c>
      <c r="Q11" s="52">
        <f>'Day avg Portion'!Q10</f>
        <v>0.17631487836420473</v>
      </c>
      <c r="R11" s="62">
        <f>'Day avg Portion'!R10</f>
        <v>0.20502734132358477</v>
      </c>
      <c r="S11" s="54">
        <f t="shared" si="0"/>
        <v>0.99999999999999978</v>
      </c>
    </row>
    <row r="12" spans="2:19" x14ac:dyDescent="0.2">
      <c r="J12" s="42">
        <v>45</v>
      </c>
      <c r="K12" s="67">
        <f>'fix '!D11</f>
        <v>0</v>
      </c>
      <c r="L12" s="61">
        <f>'Day avg Portion'!L11</f>
        <v>0</v>
      </c>
      <c r="M12" s="52">
        <f>'Day avg Portion'!M11</f>
        <v>0</v>
      </c>
      <c r="N12" s="52">
        <f>'Day avg Portion'!N11</f>
        <v>0</v>
      </c>
      <c r="O12" s="52">
        <f>'Day avg Portion'!O11</f>
        <v>0</v>
      </c>
      <c r="P12" s="52">
        <f>'Day avg Portion'!P11</f>
        <v>0</v>
      </c>
      <c r="Q12" s="52">
        <f>'Day avg Portion'!Q11</f>
        <v>0</v>
      </c>
      <c r="R12" s="62">
        <f>'Day avg Portion'!R11</f>
        <v>0</v>
      </c>
      <c r="S12" s="54">
        <f t="shared" si="0"/>
        <v>0</v>
      </c>
    </row>
    <row r="13" spans="2:19" x14ac:dyDescent="0.2">
      <c r="J13" s="42">
        <v>101</v>
      </c>
      <c r="K13" s="67">
        <f>'fix '!D12</f>
        <v>0</v>
      </c>
      <c r="L13" s="61">
        <f>'Day avg Portion'!L12</f>
        <v>0</v>
      </c>
      <c r="M13" s="52">
        <f>'Day avg Portion'!M12</f>
        <v>0</v>
      </c>
      <c r="N13" s="52">
        <f>'Day avg Portion'!N12</f>
        <v>0</v>
      </c>
      <c r="O13" s="52">
        <f>'Day avg Portion'!O12</f>
        <v>0</v>
      </c>
      <c r="P13" s="52">
        <f>'Day avg Portion'!P12</f>
        <v>0</v>
      </c>
      <c r="Q13" s="52">
        <f>'Day avg Portion'!Q12</f>
        <v>0</v>
      </c>
      <c r="R13" s="62">
        <f>'Day avg Portion'!R12</f>
        <v>0</v>
      </c>
      <c r="S13" s="54">
        <f t="shared" si="0"/>
        <v>0</v>
      </c>
    </row>
    <row r="14" spans="2:19" x14ac:dyDescent="0.2">
      <c r="J14" s="42">
        <v>102</v>
      </c>
      <c r="K14" s="67">
        <f>'fix '!D13</f>
        <v>0</v>
      </c>
      <c r="L14" s="61">
        <f>'Day avg Portion'!L13</f>
        <v>0</v>
      </c>
      <c r="M14" s="52">
        <f>'Day avg Portion'!M13</f>
        <v>0</v>
      </c>
      <c r="N14" s="52">
        <f>'Day avg Portion'!N13</f>
        <v>0</v>
      </c>
      <c r="O14" s="52">
        <f>'Day avg Portion'!O13</f>
        <v>0</v>
      </c>
      <c r="P14" s="52">
        <f>'Day avg Portion'!P13</f>
        <v>0</v>
      </c>
      <c r="Q14" s="52">
        <f>'Day avg Portion'!Q13</f>
        <v>0</v>
      </c>
      <c r="R14" s="62">
        <f>'Day avg Portion'!R13</f>
        <v>0</v>
      </c>
      <c r="S14" s="54">
        <f t="shared" si="0"/>
        <v>0</v>
      </c>
    </row>
    <row r="15" spans="2:19" x14ac:dyDescent="0.2">
      <c r="J15" s="42">
        <v>103</v>
      </c>
      <c r="K15" s="67">
        <f>'fix '!D14</f>
        <v>0.19968689763299449</v>
      </c>
      <c r="L15" s="61">
        <f>'Day avg Portion'!L14</f>
        <v>5.7128960889817462E-2</v>
      </c>
      <c r="M15" s="52">
        <f>'Day avg Portion'!M14</f>
        <v>0.12375899360406205</v>
      </c>
      <c r="N15" s="52">
        <f>'Day avg Portion'!N14</f>
        <v>0.16720752800632324</v>
      </c>
      <c r="O15" s="52">
        <f>'Day avg Portion'!O14</f>
        <v>0.12501867643905476</v>
      </c>
      <c r="P15" s="52">
        <f>'Day avg Portion'!P14</f>
        <v>0.22176606908313221</v>
      </c>
      <c r="Q15" s="52">
        <f>'Day avg Portion'!Q14</f>
        <v>0.14394851075064802</v>
      </c>
      <c r="R15" s="62">
        <f>'Day avg Portion'!R14</f>
        <v>0.16117126122696238</v>
      </c>
      <c r="S15" s="54">
        <f t="shared" si="0"/>
        <v>1.0000000000000002</v>
      </c>
    </row>
    <row r="16" spans="2:19" x14ac:dyDescent="0.2">
      <c r="J16" s="42">
        <v>104</v>
      </c>
      <c r="K16" s="67">
        <f>'fix '!D15</f>
        <v>0</v>
      </c>
      <c r="L16" s="61">
        <f>'Day avg Portion'!L15</f>
        <v>0</v>
      </c>
      <c r="M16" s="52">
        <f>'Day avg Portion'!M15</f>
        <v>0</v>
      </c>
      <c r="N16" s="52">
        <f>'Day avg Portion'!N15</f>
        <v>0</v>
      </c>
      <c r="O16" s="52">
        <f>'Day avg Portion'!O15</f>
        <v>0</v>
      </c>
      <c r="P16" s="52">
        <f>'Day avg Portion'!P15</f>
        <v>0</v>
      </c>
      <c r="Q16" s="52">
        <f>'Day avg Portion'!Q15</f>
        <v>0</v>
      </c>
      <c r="R16" s="62">
        <f>'Day avg Portion'!R15</f>
        <v>0</v>
      </c>
      <c r="S16" s="54">
        <f t="shared" si="0"/>
        <v>0</v>
      </c>
    </row>
    <row r="17" spans="10:19" x14ac:dyDescent="0.2">
      <c r="J17" s="42">
        <v>201</v>
      </c>
      <c r="K17" s="67">
        <f>'fix '!D16</f>
        <v>0.13508941522669357</v>
      </c>
      <c r="L17" s="61">
        <f>'Day avg Portion'!L16</f>
        <v>7.6984422301871983E-2</v>
      </c>
      <c r="M17" s="52">
        <f>'Day avg Portion'!M16</f>
        <v>0.10028443499271199</v>
      </c>
      <c r="N17" s="52">
        <f>'Day avg Portion'!N16</f>
        <v>0.13256906958892767</v>
      </c>
      <c r="O17" s="52">
        <f>'Day avg Portion'!O16</f>
        <v>0.12119906260280501</v>
      </c>
      <c r="P17" s="52">
        <f>'Day avg Portion'!P16</f>
        <v>0.18023641926099884</v>
      </c>
      <c r="Q17" s="52">
        <f>'Day avg Portion'!Q16</f>
        <v>0.22421018002511062</v>
      </c>
      <c r="R17" s="62">
        <f>'Day avg Portion'!R16</f>
        <v>0.16451641122757393</v>
      </c>
      <c r="S17" s="54">
        <f t="shared" si="0"/>
        <v>1</v>
      </c>
    </row>
    <row r="18" spans="10:19" x14ac:dyDescent="0.2">
      <c r="J18" s="42">
        <v>401</v>
      </c>
      <c r="K18" s="67">
        <f>'fix '!D17</f>
        <v>0</v>
      </c>
      <c r="L18" s="61">
        <f>'Day avg Portion'!L17</f>
        <v>0</v>
      </c>
      <c r="M18" s="52">
        <f>'Day avg Portion'!M17</f>
        <v>0</v>
      </c>
      <c r="N18" s="52">
        <f>'Day avg Portion'!N17</f>
        <v>0</v>
      </c>
      <c r="O18" s="52">
        <f>'Day avg Portion'!O17</f>
        <v>0</v>
      </c>
      <c r="P18" s="52">
        <f>'Day avg Portion'!P17</f>
        <v>0</v>
      </c>
      <c r="Q18" s="52">
        <f>'Day avg Portion'!Q17</f>
        <v>0</v>
      </c>
      <c r="R18" s="62">
        <f>'Day avg Portion'!R17</f>
        <v>0</v>
      </c>
      <c r="S18" s="54">
        <f t="shared" si="0"/>
        <v>0</v>
      </c>
    </row>
    <row r="19" spans="10:19" x14ac:dyDescent="0.2">
      <c r="J19" s="42">
        <v>501</v>
      </c>
      <c r="K19" s="67">
        <f>'fix '!D18</f>
        <v>0</v>
      </c>
      <c r="L19" s="61">
        <f>'Day avg Portion'!L18</f>
        <v>0</v>
      </c>
      <c r="M19" s="52">
        <f>'Day avg Portion'!M18</f>
        <v>0</v>
      </c>
      <c r="N19" s="52">
        <f>'Day avg Portion'!N18</f>
        <v>0</v>
      </c>
      <c r="O19" s="52">
        <f>'Day avg Portion'!O18</f>
        <v>0</v>
      </c>
      <c r="P19" s="52">
        <f>'Day avg Portion'!P18</f>
        <v>0</v>
      </c>
      <c r="Q19" s="52">
        <f>'Day avg Portion'!Q18</f>
        <v>0</v>
      </c>
      <c r="R19" s="62">
        <f>'Day avg Portion'!R18</f>
        <v>0</v>
      </c>
      <c r="S19" s="54">
        <f t="shared" si="0"/>
        <v>0</v>
      </c>
    </row>
    <row r="20" spans="10:19" x14ac:dyDescent="0.2">
      <c r="J20" s="42">
        <v>304</v>
      </c>
      <c r="K20" s="68">
        <f>'fix '!D19</f>
        <v>0</v>
      </c>
      <c r="L20" s="63">
        <f>'Day avg Portion'!L19</f>
        <v>0</v>
      </c>
      <c r="M20" s="64">
        <f>'Day avg Portion'!M19</f>
        <v>0</v>
      </c>
      <c r="N20" s="64">
        <f>'Day avg Portion'!N19</f>
        <v>0</v>
      </c>
      <c r="O20" s="64">
        <f>'Day avg Portion'!O19</f>
        <v>0</v>
      </c>
      <c r="P20" s="64">
        <f>'Day avg Portion'!P19</f>
        <v>0</v>
      </c>
      <c r="Q20" s="64">
        <f>'Day avg Portion'!Q19</f>
        <v>0</v>
      </c>
      <c r="R20" s="65">
        <f>'Day avg Portion'!R19</f>
        <v>0</v>
      </c>
      <c r="S20" s="54">
        <f t="shared" si="0"/>
        <v>0</v>
      </c>
    </row>
    <row r="21" spans="10:19" x14ac:dyDescent="0.2">
      <c r="J21" s="42" t="s">
        <v>71</v>
      </c>
      <c r="K21" s="53">
        <f>SUM(K3:K20)</f>
        <v>1</v>
      </c>
      <c r="L21" s="53"/>
      <c r="M21" s="53"/>
      <c r="N21" s="53"/>
      <c r="O21" s="53"/>
      <c r="P21" s="53"/>
      <c r="Q21" s="53"/>
      <c r="R21" s="53"/>
      <c r="S21" s="42"/>
    </row>
    <row r="22" spans="10:19" x14ac:dyDescent="0.2">
      <c r="J22" s="42"/>
      <c r="K22" s="53"/>
      <c r="L22" s="42"/>
      <c r="M22" s="42"/>
      <c r="N22" s="42"/>
      <c r="O22" s="42"/>
      <c r="P22" s="42"/>
      <c r="Q22" s="42"/>
      <c r="R22" s="42"/>
      <c r="S22" s="42"/>
    </row>
    <row r="23" spans="10:19" x14ac:dyDescent="0.2">
      <c r="J23" s="42" t="s">
        <v>50</v>
      </c>
      <c r="K23" s="53"/>
      <c r="L23" s="50">
        <v>1</v>
      </c>
      <c r="M23" s="50">
        <v>2</v>
      </c>
      <c r="N23" s="50">
        <v>3</v>
      </c>
      <c r="O23" s="50">
        <v>4</v>
      </c>
      <c r="P23" s="50">
        <v>5</v>
      </c>
      <c r="Q23" s="50">
        <v>6</v>
      </c>
      <c r="R23" s="50">
        <v>7</v>
      </c>
      <c r="S23" s="42"/>
    </row>
    <row r="24" spans="10:19" x14ac:dyDescent="0.2">
      <c r="J24" s="42">
        <v>16</v>
      </c>
      <c r="K24" s="66">
        <f>'fix '!H2</f>
        <v>0</v>
      </c>
      <c r="L24" s="58">
        <f>'Day avg Portion'!L23</f>
        <v>0</v>
      </c>
      <c r="M24" s="59">
        <f>'Day avg Portion'!M23</f>
        <v>0</v>
      </c>
      <c r="N24" s="59">
        <f>'Day avg Portion'!N23</f>
        <v>0</v>
      </c>
      <c r="O24" s="59">
        <f>'Day avg Portion'!O23</f>
        <v>0</v>
      </c>
      <c r="P24" s="59">
        <f>'Day avg Portion'!P23</f>
        <v>0</v>
      </c>
      <c r="Q24" s="59">
        <f>'Day avg Portion'!Q23</f>
        <v>0</v>
      </c>
      <c r="R24" s="60">
        <f>'Day avg Portion'!R23</f>
        <v>0</v>
      </c>
      <c r="S24" s="54">
        <f>SUM(L24:R24)</f>
        <v>0</v>
      </c>
    </row>
    <row r="25" spans="10:19" x14ac:dyDescent="0.2">
      <c r="J25" s="42">
        <v>29</v>
      </c>
      <c r="K25" s="67">
        <f>'fix '!H3</f>
        <v>0</v>
      </c>
      <c r="L25" s="61">
        <f>'Day avg Portion'!L24</f>
        <v>0</v>
      </c>
      <c r="M25" s="52">
        <f>'Day avg Portion'!M24</f>
        <v>0</v>
      </c>
      <c r="N25" s="52">
        <f>'Day avg Portion'!N24</f>
        <v>0</v>
      </c>
      <c r="O25" s="52">
        <f>'Day avg Portion'!O24</f>
        <v>0</v>
      </c>
      <c r="P25" s="52">
        <f>'Day avg Portion'!P24</f>
        <v>0</v>
      </c>
      <c r="Q25" s="52">
        <f>'Day avg Portion'!Q24</f>
        <v>0</v>
      </c>
      <c r="R25" s="62">
        <f>'Day avg Portion'!R24</f>
        <v>0</v>
      </c>
      <c r="S25" s="54">
        <f t="shared" ref="S25:S41" si="1">SUM(L25:R25)</f>
        <v>0</v>
      </c>
    </row>
    <row r="26" spans="10:19" x14ac:dyDescent="0.2">
      <c r="J26" s="42">
        <v>35</v>
      </c>
      <c r="K26" s="67">
        <f>'fix '!H4</f>
        <v>0.14829700836993454</v>
      </c>
      <c r="L26" s="61">
        <f>'Day avg Portion'!L25</f>
        <v>9.5278010617490916E-2</v>
      </c>
      <c r="M26" s="52">
        <f>'Day avg Portion'!M25</f>
        <v>0.10561609388097234</v>
      </c>
      <c r="N26" s="52">
        <f>'Day avg Portion'!N25</f>
        <v>0.11483654652137469</v>
      </c>
      <c r="O26" s="52">
        <f>'Day avg Portion'!O25</f>
        <v>0.10477787091366303</v>
      </c>
      <c r="P26" s="52">
        <f>'Day avg Portion'!P25</f>
        <v>0.22995250069851914</v>
      </c>
      <c r="Q26" s="52">
        <f>'Day avg Portion'!Q25</f>
        <v>0.1785414920368818</v>
      </c>
      <c r="R26" s="62">
        <f>'Day avg Portion'!R25</f>
        <v>0.17099748533109807</v>
      </c>
      <c r="S26" s="54">
        <f t="shared" si="1"/>
        <v>1</v>
      </c>
    </row>
    <row r="27" spans="10:19" x14ac:dyDescent="0.2">
      <c r="J27" s="42">
        <v>37</v>
      </c>
      <c r="K27" s="67">
        <f>'fix '!H5</f>
        <v>0.14556227728515786</v>
      </c>
      <c r="L27" s="61">
        <f>'Day avg Portion'!L26</f>
        <v>0.10845431255337319</v>
      </c>
      <c r="M27" s="52">
        <f>'Day avg Portion'!M26</f>
        <v>8.4258468545402795E-2</v>
      </c>
      <c r="N27" s="52">
        <f>'Day avg Portion'!N26</f>
        <v>0.10646171363506975</v>
      </c>
      <c r="O27" s="52">
        <f>'Day avg Portion'!O26</f>
        <v>0.14773697694278395</v>
      </c>
      <c r="P27" s="52">
        <f>'Day avg Portion'!P26</f>
        <v>0.19783660688869911</v>
      </c>
      <c r="Q27" s="52">
        <f>'Day avg Portion'!Q26</f>
        <v>0.16965556504412183</v>
      </c>
      <c r="R27" s="62">
        <f>'Day avg Portion'!R26</f>
        <v>0.18559635639054939</v>
      </c>
      <c r="S27" s="54">
        <f t="shared" si="1"/>
        <v>1</v>
      </c>
    </row>
    <row r="28" spans="10:19" x14ac:dyDescent="0.2">
      <c r="J28" s="42">
        <v>38</v>
      </c>
      <c r="K28" s="67">
        <f>'fix '!H6</f>
        <v>0</v>
      </c>
      <c r="L28" s="61">
        <f>'Day avg Portion'!L27</f>
        <v>0</v>
      </c>
      <c r="M28" s="52">
        <f>'Day avg Portion'!M27</f>
        <v>0</v>
      </c>
      <c r="N28" s="52">
        <f>'Day avg Portion'!N27</f>
        <v>0</v>
      </c>
      <c r="O28" s="52">
        <f>'Day avg Portion'!O27</f>
        <v>0</v>
      </c>
      <c r="P28" s="52">
        <f>'Day avg Portion'!P27</f>
        <v>0</v>
      </c>
      <c r="Q28" s="52">
        <f>'Day avg Portion'!Q27</f>
        <v>0</v>
      </c>
      <c r="R28" s="62">
        <f>'Day avg Portion'!R27</f>
        <v>0</v>
      </c>
      <c r="S28" s="54">
        <f t="shared" si="1"/>
        <v>0</v>
      </c>
    </row>
    <row r="29" spans="10:19" x14ac:dyDescent="0.2">
      <c r="J29" s="42">
        <v>41</v>
      </c>
      <c r="K29" s="67">
        <f>'fix '!H7</f>
        <v>0.12273141625921936</v>
      </c>
      <c r="L29" s="61">
        <f>'Day avg Portion'!L28</f>
        <v>6.7859554355165427E-2</v>
      </c>
      <c r="M29" s="52">
        <f>'Day avg Portion'!M28</f>
        <v>0.10364618501012829</v>
      </c>
      <c r="N29" s="52">
        <f>'Day avg Portion'!N28</f>
        <v>0.13166779203241052</v>
      </c>
      <c r="O29" s="52">
        <f>'Day avg Portion'!O28</f>
        <v>0.14213369345037138</v>
      </c>
      <c r="P29" s="52">
        <f>'Day avg Portion'!P28</f>
        <v>0.21674544226873735</v>
      </c>
      <c r="Q29" s="52">
        <f>'Day avg Portion'!Q28</f>
        <v>0.17589466576637408</v>
      </c>
      <c r="R29" s="62">
        <f>'Day avg Portion'!R28</f>
        <v>0.16205266711681296</v>
      </c>
      <c r="S29" s="54">
        <f t="shared" si="1"/>
        <v>1</v>
      </c>
    </row>
    <row r="30" spans="10:19" x14ac:dyDescent="0.2">
      <c r="J30" s="42">
        <v>42</v>
      </c>
      <c r="K30" s="67">
        <f>'fix '!H8</f>
        <v>0</v>
      </c>
      <c r="L30" s="61">
        <f>'Day avg Portion'!L29</f>
        <v>0</v>
      </c>
      <c r="M30" s="52">
        <f>'Day avg Portion'!M29</f>
        <v>0</v>
      </c>
      <c r="N30" s="52">
        <f>'Day avg Portion'!N29</f>
        <v>0</v>
      </c>
      <c r="O30" s="52">
        <f>'Day avg Portion'!O29</f>
        <v>0</v>
      </c>
      <c r="P30" s="52">
        <f>'Day avg Portion'!P29</f>
        <v>0</v>
      </c>
      <c r="Q30" s="52">
        <f>'Day avg Portion'!Q29</f>
        <v>0</v>
      </c>
      <c r="R30" s="62">
        <f>'Day avg Portion'!R29</f>
        <v>0</v>
      </c>
      <c r="S30" s="54">
        <f t="shared" si="1"/>
        <v>0</v>
      </c>
    </row>
    <row r="31" spans="10:19" x14ac:dyDescent="0.2">
      <c r="J31" s="42">
        <v>43</v>
      </c>
      <c r="K31" s="67">
        <f>'fix '!H9</f>
        <v>0.15115604541311015</v>
      </c>
      <c r="L31" s="61">
        <f>'Day avg Portion'!L30</f>
        <v>7.4013157894736836E-2</v>
      </c>
      <c r="M31" s="52">
        <f>'Day avg Portion'!M30</f>
        <v>0.10197368421052631</v>
      </c>
      <c r="N31" s="52">
        <f>'Day avg Portion'!N30</f>
        <v>0.12774122807017543</v>
      </c>
      <c r="O31" s="52">
        <f>'Day avg Portion'!O30</f>
        <v>0.12088815789473684</v>
      </c>
      <c r="P31" s="52">
        <f>'Day avg Portion'!P30</f>
        <v>0.23464912280701755</v>
      </c>
      <c r="Q31" s="52">
        <f>'Day avg Portion'!Q30</f>
        <v>0.17023026315789475</v>
      </c>
      <c r="R31" s="62">
        <f>'Day avg Portion'!R30</f>
        <v>0.17050438596491227</v>
      </c>
      <c r="S31" s="54">
        <f t="shared" si="1"/>
        <v>1</v>
      </c>
    </row>
    <row r="32" spans="10:19" x14ac:dyDescent="0.2">
      <c r="J32" s="42">
        <v>44</v>
      </c>
      <c r="K32" s="67">
        <f>'fix '!H10</f>
        <v>8.3823651280351352E-2</v>
      </c>
      <c r="L32" s="61">
        <f>'Day avg Portion'!L31</f>
        <v>7.1675729115175488E-2</v>
      </c>
      <c r="M32" s="52">
        <f>'Day avg Portion'!M31</f>
        <v>9.7380128521997039E-2</v>
      </c>
      <c r="N32" s="52">
        <f>'Day avg Portion'!N31</f>
        <v>0.1166584280771132</v>
      </c>
      <c r="O32" s="52">
        <f>'Day avg Portion'!O31</f>
        <v>0.13544241225902126</v>
      </c>
      <c r="P32" s="52">
        <f>'Day avg Portion'!P31</f>
        <v>0.20711814137419673</v>
      </c>
      <c r="Q32" s="52">
        <f>'Day avg Portion'!Q31</f>
        <v>0.17745921898171033</v>
      </c>
      <c r="R32" s="62">
        <f>'Day avg Portion'!R31</f>
        <v>0.19426594167078595</v>
      </c>
      <c r="S32" s="54">
        <f t="shared" si="1"/>
        <v>1</v>
      </c>
    </row>
    <row r="33" spans="10:19" x14ac:dyDescent="0.2">
      <c r="J33" s="42">
        <v>45</v>
      </c>
      <c r="K33" s="67">
        <f>'fix '!H11</f>
        <v>0</v>
      </c>
      <c r="L33" s="61">
        <f>'Day avg Portion'!L32</f>
        <v>0</v>
      </c>
      <c r="M33" s="52">
        <f>'Day avg Portion'!M32</f>
        <v>0</v>
      </c>
      <c r="N33" s="52">
        <f>'Day avg Portion'!N32</f>
        <v>0</v>
      </c>
      <c r="O33" s="52">
        <f>'Day avg Portion'!O32</f>
        <v>0</v>
      </c>
      <c r="P33" s="52">
        <f>'Day avg Portion'!P32</f>
        <v>0</v>
      </c>
      <c r="Q33" s="52">
        <f>'Day avg Portion'!Q32</f>
        <v>0</v>
      </c>
      <c r="R33" s="62">
        <f>'Day avg Portion'!R32</f>
        <v>0</v>
      </c>
      <c r="S33" s="54">
        <f t="shared" si="1"/>
        <v>0</v>
      </c>
    </row>
    <row r="34" spans="10:19" x14ac:dyDescent="0.2">
      <c r="J34" s="42">
        <v>101</v>
      </c>
      <c r="K34" s="67">
        <f>'fix '!H12</f>
        <v>0</v>
      </c>
      <c r="L34" s="61">
        <f>'Day avg Portion'!L33</f>
        <v>0</v>
      </c>
      <c r="M34" s="52">
        <f>'Day avg Portion'!M33</f>
        <v>0</v>
      </c>
      <c r="N34" s="52">
        <f>'Day avg Portion'!N33</f>
        <v>0</v>
      </c>
      <c r="O34" s="52">
        <f>'Day avg Portion'!O33</f>
        <v>0</v>
      </c>
      <c r="P34" s="52">
        <f>'Day avg Portion'!P33</f>
        <v>0</v>
      </c>
      <c r="Q34" s="52">
        <f>'Day avg Portion'!Q33</f>
        <v>0</v>
      </c>
      <c r="R34" s="62">
        <f>'Day avg Portion'!R33</f>
        <v>0</v>
      </c>
      <c r="S34" s="54">
        <f t="shared" si="1"/>
        <v>0</v>
      </c>
    </row>
    <row r="35" spans="10:19" x14ac:dyDescent="0.2">
      <c r="J35" s="42">
        <v>102</v>
      </c>
      <c r="K35" s="67">
        <f>'fix '!H13</f>
        <v>0</v>
      </c>
      <c r="L35" s="61">
        <f>'Day avg Portion'!L34</f>
        <v>0</v>
      </c>
      <c r="M35" s="52">
        <f>'Day avg Portion'!M34</f>
        <v>0</v>
      </c>
      <c r="N35" s="52">
        <f>'Day avg Portion'!N34</f>
        <v>0</v>
      </c>
      <c r="O35" s="52">
        <f>'Day avg Portion'!O34</f>
        <v>0</v>
      </c>
      <c r="P35" s="52">
        <f>'Day avg Portion'!P34</f>
        <v>0</v>
      </c>
      <c r="Q35" s="52">
        <f>'Day avg Portion'!Q34</f>
        <v>0</v>
      </c>
      <c r="R35" s="62">
        <f>'Day avg Portion'!R34</f>
        <v>0</v>
      </c>
      <c r="S35" s="54">
        <f t="shared" si="1"/>
        <v>0</v>
      </c>
    </row>
    <row r="36" spans="10:19" x14ac:dyDescent="0.2">
      <c r="J36" s="42">
        <v>103</v>
      </c>
      <c r="K36" s="67">
        <f>'fix '!H14</f>
        <v>0.21301897737631556</v>
      </c>
      <c r="L36" s="61">
        <f>'Day avg Portion'!L35</f>
        <v>5.9521493872787393E-2</v>
      </c>
      <c r="M36" s="52">
        <f>'Day avg Portion'!M35</f>
        <v>0.12079361991830383</v>
      </c>
      <c r="N36" s="52">
        <f>'Day avg Portion'!N35</f>
        <v>0.16592102703754133</v>
      </c>
      <c r="O36" s="52">
        <f>'Day avg Portion'!O35</f>
        <v>0.12390585489204435</v>
      </c>
      <c r="P36" s="52">
        <f>'Day avg Portion'!P35</f>
        <v>0.22855475588406926</v>
      </c>
      <c r="Q36" s="52">
        <f>'Day avg Portion'!Q35</f>
        <v>0.14160669130519354</v>
      </c>
      <c r="R36" s="62">
        <f>'Day avg Portion'!R35</f>
        <v>0.15969655709006031</v>
      </c>
      <c r="S36" s="54">
        <f t="shared" si="1"/>
        <v>1</v>
      </c>
    </row>
    <row r="37" spans="10:19" x14ac:dyDescent="0.2">
      <c r="J37" s="42">
        <v>104</v>
      </c>
      <c r="K37" s="67">
        <f>'fix '!H15</f>
        <v>0</v>
      </c>
      <c r="L37" s="61">
        <f>'Day avg Portion'!L36</f>
        <v>0</v>
      </c>
      <c r="M37" s="52">
        <f>'Day avg Portion'!M36</f>
        <v>0</v>
      </c>
      <c r="N37" s="52">
        <f>'Day avg Portion'!N36</f>
        <v>0</v>
      </c>
      <c r="O37" s="52">
        <f>'Day avg Portion'!O36</f>
        <v>0</v>
      </c>
      <c r="P37" s="52">
        <f>'Day avg Portion'!P36</f>
        <v>0</v>
      </c>
      <c r="Q37" s="52">
        <f>'Day avg Portion'!Q36</f>
        <v>0</v>
      </c>
      <c r="R37" s="62">
        <f>'Day avg Portion'!R36</f>
        <v>0</v>
      </c>
      <c r="S37" s="54">
        <f t="shared" si="1"/>
        <v>0</v>
      </c>
    </row>
    <row r="38" spans="10:19" x14ac:dyDescent="0.2">
      <c r="J38" s="42">
        <v>201</v>
      </c>
      <c r="K38" s="67">
        <f>'fix '!H16</f>
        <v>0.13541062401591117</v>
      </c>
      <c r="L38" s="61">
        <f>'Day avg Portion'!L37</f>
        <v>7.3439412484700123E-2</v>
      </c>
      <c r="M38" s="52">
        <f>'Day avg Portion'!M37</f>
        <v>9.8837209302325577E-2</v>
      </c>
      <c r="N38" s="52">
        <f>'Day avg Portion'!N37</f>
        <v>0.13739290085679315</v>
      </c>
      <c r="O38" s="52">
        <f>'Day avg Portion'!O37</f>
        <v>0.12729498164014688</v>
      </c>
      <c r="P38" s="52">
        <f>'Day avg Portion'!P37</f>
        <v>0.18206854345165238</v>
      </c>
      <c r="Q38" s="52">
        <f>'Day avg Portion'!Q37</f>
        <v>0.22429620563035496</v>
      </c>
      <c r="R38" s="62">
        <f>'Day avg Portion'!R37</f>
        <v>0.15667074663402691</v>
      </c>
      <c r="S38" s="54">
        <f t="shared" si="1"/>
        <v>1</v>
      </c>
    </row>
    <row r="39" spans="10:19" x14ac:dyDescent="0.2">
      <c r="J39" s="42">
        <v>401</v>
      </c>
      <c r="K39" s="67">
        <f>'fix '!H17</f>
        <v>0</v>
      </c>
      <c r="L39" s="61">
        <f>'Day avg Portion'!L38</f>
        <v>0</v>
      </c>
      <c r="M39" s="52">
        <f>'Day avg Portion'!M38</f>
        <v>0</v>
      </c>
      <c r="N39" s="52">
        <f>'Day avg Portion'!N38</f>
        <v>0</v>
      </c>
      <c r="O39" s="52">
        <f>'Day avg Portion'!O38</f>
        <v>0</v>
      </c>
      <c r="P39" s="52">
        <f>'Day avg Portion'!P38</f>
        <v>0</v>
      </c>
      <c r="Q39" s="52">
        <f>'Day avg Portion'!Q38</f>
        <v>0</v>
      </c>
      <c r="R39" s="62">
        <f>'Day avg Portion'!R38</f>
        <v>0</v>
      </c>
      <c r="S39" s="54">
        <f t="shared" si="1"/>
        <v>0</v>
      </c>
    </row>
    <row r="40" spans="10:19" x14ac:dyDescent="0.2">
      <c r="J40" s="42">
        <v>501</v>
      </c>
      <c r="K40" s="67">
        <f>'fix '!H18</f>
        <v>0</v>
      </c>
      <c r="L40" s="61">
        <f>'Day avg Portion'!L39</f>
        <v>0</v>
      </c>
      <c r="M40" s="52">
        <f>'Day avg Portion'!M39</f>
        <v>0</v>
      </c>
      <c r="N40" s="52">
        <f>'Day avg Portion'!N39</f>
        <v>0</v>
      </c>
      <c r="O40" s="52">
        <f>'Day avg Portion'!O39</f>
        <v>0</v>
      </c>
      <c r="P40" s="52">
        <f>'Day avg Portion'!P39</f>
        <v>0</v>
      </c>
      <c r="Q40" s="52">
        <f>'Day avg Portion'!Q39</f>
        <v>0</v>
      </c>
      <c r="R40" s="62">
        <f>'Day avg Portion'!R39</f>
        <v>0</v>
      </c>
      <c r="S40" s="54">
        <f t="shared" si="1"/>
        <v>0</v>
      </c>
    </row>
    <row r="41" spans="10:19" x14ac:dyDescent="0.2">
      <c r="J41" s="42">
        <v>304</v>
      </c>
      <c r="K41" s="68">
        <f>'fix '!H19</f>
        <v>0</v>
      </c>
      <c r="L41" s="63">
        <f>'Day avg Portion'!L40</f>
        <v>0</v>
      </c>
      <c r="M41" s="64">
        <f>'Day avg Portion'!M40</f>
        <v>0</v>
      </c>
      <c r="N41" s="64">
        <f>'Day avg Portion'!N40</f>
        <v>0</v>
      </c>
      <c r="O41" s="64">
        <v>0</v>
      </c>
      <c r="P41" s="64">
        <f>'Day avg Portion'!P40</f>
        <v>0</v>
      </c>
      <c r="Q41" s="64">
        <f>'Day avg Portion'!Q40</f>
        <v>0</v>
      </c>
      <c r="R41" s="65">
        <f>'Day avg Portion'!R40</f>
        <v>0</v>
      </c>
      <c r="S41" s="54">
        <f t="shared" si="1"/>
        <v>0</v>
      </c>
    </row>
    <row r="42" spans="10:19" x14ac:dyDescent="0.2">
      <c r="J42" s="42" t="s">
        <v>71</v>
      </c>
      <c r="K42" s="53">
        <f>SUM(K24:K41)</f>
        <v>1</v>
      </c>
      <c r="L42" s="42"/>
      <c r="M42" s="42"/>
      <c r="N42" s="42"/>
      <c r="O42" s="42"/>
      <c r="P42" s="42"/>
      <c r="Q42" s="42"/>
      <c r="R42" s="42"/>
      <c r="S42" s="4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74"/>
  <sheetViews>
    <sheetView zoomScaleNormal="100" workbookViewId="0">
      <pane xSplit="1" ySplit="1" topLeftCell="B2" activePane="bottomRight" state="frozen"/>
      <selection activeCell="J23" sqref="J23:J39"/>
      <selection pane="topRight" activeCell="J23" sqref="J23:J39"/>
      <selection pane="bottomLeft" activeCell="J23" sqref="J23:J39"/>
      <selection pane="bottomRight" activeCell="P34" sqref="P34"/>
    </sheetView>
  </sheetViews>
  <sheetFormatPr defaultRowHeight="11.25" x14ac:dyDescent="0.2"/>
  <cols>
    <col min="1" max="1" width="14.6640625" style="2" bestFit="1" customWidth="1"/>
    <col min="2" max="5" width="9.5" style="2" bestFit="1" customWidth="1"/>
    <col min="6" max="6" width="10.1640625" style="2" bestFit="1" customWidth="1"/>
    <col min="7" max="8" width="9.5" style="2" bestFit="1" customWidth="1"/>
    <col min="9" max="9" width="10.1640625" style="2" bestFit="1" customWidth="1"/>
    <col min="10" max="16384" width="9.33203125" style="2"/>
  </cols>
  <sheetData>
    <row r="1" spans="1:29" x14ac:dyDescent="0.2">
      <c r="A1" s="2" t="s">
        <v>47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2" t="s">
        <v>48</v>
      </c>
      <c r="K1" s="2" t="s">
        <v>49</v>
      </c>
      <c r="L1" s="3">
        <v>1</v>
      </c>
      <c r="M1" s="3">
        <v>2</v>
      </c>
      <c r="N1" s="3">
        <v>3</v>
      </c>
      <c r="O1" s="3">
        <v>4</v>
      </c>
      <c r="P1" s="3">
        <v>5</v>
      </c>
      <c r="Q1" s="3">
        <v>6</v>
      </c>
      <c r="R1" s="3">
        <v>7</v>
      </c>
      <c r="S1" s="2" t="s">
        <v>48</v>
      </c>
      <c r="U1" s="6" t="s">
        <v>51</v>
      </c>
      <c r="V1" s="2" t="s">
        <v>52</v>
      </c>
      <c r="X1" s="2" t="s">
        <v>47</v>
      </c>
      <c r="Y1" s="2" t="s">
        <v>53</v>
      </c>
      <c r="AB1" s="2" t="s">
        <v>50</v>
      </c>
      <c r="AC1" s="2" t="s">
        <v>53</v>
      </c>
    </row>
    <row r="2" spans="1:29" x14ac:dyDescent="0.2">
      <c r="A2" s="2">
        <v>16</v>
      </c>
      <c r="B2" s="4">
        <f>SUMIFS(Data!$E:$E,Data!$K:$K,'Day avg Portion'!$A2,Data!$J:$J,'Day avg Portion'!B$1)</f>
        <v>0</v>
      </c>
      <c r="C2" s="4">
        <f>SUMIFS(Data!$E:$E,Data!$K:$K,'Day avg Portion'!$A2,Data!$J:$J,'Day avg Portion'!C$1)</f>
        <v>0</v>
      </c>
      <c r="D2" s="4">
        <f>SUMIFS(Data!$E:$E,Data!$K:$K,'Day avg Portion'!$A2,Data!$J:$J,'Day avg Portion'!D$1)</f>
        <v>0</v>
      </c>
      <c r="E2" s="4">
        <f>SUMIFS(Data!$E:$E,Data!$K:$K,'Day avg Portion'!$A2,Data!$J:$J,'Day avg Portion'!E$1)</f>
        <v>0</v>
      </c>
      <c r="F2" s="4">
        <f>SUMIFS(Data!$E:$E,Data!$K:$K,'Day avg Portion'!$A2,Data!$J:$J,'Day avg Portion'!F$1)</f>
        <v>0</v>
      </c>
      <c r="G2" s="4">
        <f>SUMIFS(Data!$E:$E,Data!$K:$K,'Day avg Portion'!$A2,Data!$J:$J,'Day avg Portion'!G$1)</f>
        <v>0</v>
      </c>
      <c r="H2" s="4">
        <f>SUMIFS(Data!$E:$E,Data!$K:$K,'Day avg Portion'!$A2,Data!$J:$J,'Day avg Portion'!H$1)</f>
        <v>0</v>
      </c>
      <c r="I2" s="4"/>
      <c r="J2" s="15">
        <f>I2/$I$20</f>
        <v>0</v>
      </c>
      <c r="K2" s="2">
        <f t="shared" ref="K2:K11" si="0">A2</f>
        <v>16</v>
      </c>
      <c r="L2" s="14">
        <f>IFERROR(B2/$I2,0)</f>
        <v>0</v>
      </c>
      <c r="M2" s="14">
        <f t="shared" ref="M2:M18" si="1">IFERROR(C2/$I2,0)</f>
        <v>0</v>
      </c>
      <c r="N2" s="14">
        <f t="shared" ref="N2:N18" si="2">IFERROR(D2/$I2,0)</f>
        <v>0</v>
      </c>
      <c r="O2" s="14">
        <f t="shared" ref="O2:O18" si="3">IFERROR(E2/$I2,0)</f>
        <v>0</v>
      </c>
      <c r="P2" s="14">
        <f t="shared" ref="P2:P19" si="4">IFERROR(F2/$I2,0)</f>
        <v>0</v>
      </c>
      <c r="Q2" s="14">
        <f t="shared" ref="Q2:Q18" si="5">IFERROR(G2/$I2,0)</f>
        <v>0</v>
      </c>
      <c r="R2" s="14">
        <f t="shared" ref="R2:R19" si="6">IFERROR(H2/$I2,0)</f>
        <v>0</v>
      </c>
      <c r="S2" s="5">
        <f t="shared" ref="S2:S20" si="7">IFERROR(I2/$I2,0)</f>
        <v>0</v>
      </c>
      <c r="U2" s="2" t="s">
        <v>54</v>
      </c>
      <c r="V2" s="2">
        <v>46</v>
      </c>
      <c r="W2" s="2">
        <f t="shared" ref="W2:W11" si="8">A2</f>
        <v>16</v>
      </c>
      <c r="X2" s="4" t="e">
        <f>SUMIFS(#REF!,#REF!,'Day avg Portion'!$V$1,#REF!,'Day avg Portion'!$V$2,#REF!,'Day avg Portion'!$W2)+SUMIFS(#REF!,#REF!,'Day avg Portion'!$V$1,#REF!,'Day avg Portion'!$V$3,#REF!,'Day avg Portion'!$W2)+SUMIFS(#REF!,#REF!,'Day avg Portion'!$V$1,#REF!,'Day avg Portion'!$V$4,#REF!,'Day avg Portion'!$W2)+SUMIFS(#REF!,#REF!,'Day avg Portion'!$V$1,#REF!,'Day avg Portion'!#REF!,#REF!,'Day avg Portion'!$W2)</f>
        <v>#REF!</v>
      </c>
      <c r="Y2" s="5" t="e">
        <f>X2/X$20</f>
        <v>#REF!</v>
      </c>
      <c r="AA2" s="2">
        <v>16</v>
      </c>
      <c r="AB2" s="4" t="e">
        <f>SUMIFS(#REF!,#REF!,'Day avg Portion'!$V$1,#REF!,'Day avg Portion'!$V$2,#REF!,'Day avg Portion'!$W2)+SUMIFS(#REF!,#REF!,'Day avg Portion'!$V$1,#REF!,'Day avg Portion'!$V$3,#REF!,'Day avg Portion'!$W2)+SUMIFS(#REF!,#REF!,'Day avg Portion'!$V$1,#REF!,'Day avg Portion'!$V$4,#REF!,'Day avg Portion'!$W2)+SUMIFS(#REF!,#REF!,'Day avg Portion'!$V$1,#REF!,'Day avg Portion'!#REF!,#REF!,'Day avg Portion'!$W2)</f>
        <v>#REF!</v>
      </c>
      <c r="AC2" s="5" t="e">
        <f>AB2/AB$20</f>
        <v>#REF!</v>
      </c>
    </row>
    <row r="3" spans="1:29" x14ac:dyDescent="0.2">
      <c r="A3" s="2">
        <v>29</v>
      </c>
      <c r="B3" s="4">
        <f>SUMIFS(Data!$E:$E,Data!$K:$K,'Day avg Portion'!$A3,Data!$J:$J,'Day avg Portion'!B$1)</f>
        <v>0</v>
      </c>
      <c r="C3" s="4">
        <f>SUMIFS(Data!$E:$E,Data!$K:$K,'Day avg Portion'!$A3,Data!$J:$J,'Day avg Portion'!C$1)</f>
        <v>0</v>
      </c>
      <c r="D3" s="4">
        <f>SUMIFS(Data!$E:$E,Data!$K:$K,'Day avg Portion'!$A3,Data!$J:$J,'Day avg Portion'!D$1)</f>
        <v>0</v>
      </c>
      <c r="E3" s="4">
        <f>SUMIFS(Data!$E:$E,Data!$K:$K,'Day avg Portion'!$A3,Data!$J:$J,'Day avg Portion'!E$1)</f>
        <v>0</v>
      </c>
      <c r="F3" s="4">
        <f>SUMIFS(Data!$E:$E,Data!$K:$K,'Day avg Portion'!$A3,Data!$J:$J,'Day avg Portion'!F$1)</f>
        <v>0</v>
      </c>
      <c r="G3" s="4">
        <f>SUMIFS(Data!$E:$E,Data!$K:$K,'Day avg Portion'!$A3,Data!$J:$J,'Day avg Portion'!G$1)</f>
        <v>0</v>
      </c>
      <c r="H3" s="4">
        <f>SUMIFS(Data!$E:$E,Data!$K:$K,'Day avg Portion'!$A3,Data!$J:$J,'Day avg Portion'!H$1)</f>
        <v>0</v>
      </c>
      <c r="I3" s="4"/>
      <c r="J3" s="15">
        <f>I3/$I$20</f>
        <v>0</v>
      </c>
      <c r="K3" s="2">
        <f t="shared" si="0"/>
        <v>29</v>
      </c>
      <c r="L3" s="14">
        <f t="shared" ref="L3:L19" si="9">IFERROR(B3/$I3,0)</f>
        <v>0</v>
      </c>
      <c r="M3" s="14">
        <f t="shared" si="1"/>
        <v>0</v>
      </c>
      <c r="N3" s="14">
        <f t="shared" si="2"/>
        <v>0</v>
      </c>
      <c r="O3" s="14">
        <f t="shared" si="3"/>
        <v>0</v>
      </c>
      <c r="P3" s="14">
        <f t="shared" si="4"/>
        <v>0</v>
      </c>
      <c r="Q3" s="14">
        <f t="shared" si="5"/>
        <v>0</v>
      </c>
      <c r="R3" s="14">
        <f t="shared" si="6"/>
        <v>0</v>
      </c>
      <c r="S3" s="5">
        <f t="shared" si="7"/>
        <v>0</v>
      </c>
      <c r="V3" s="2">
        <v>45</v>
      </c>
      <c r="W3" s="2">
        <f t="shared" si="8"/>
        <v>29</v>
      </c>
      <c r="X3" s="4" t="e">
        <f>SUMIFS(#REF!,#REF!,'Day avg Portion'!$V$1,#REF!,'Day avg Portion'!$V$2,#REF!,'Day avg Portion'!$W3)+SUMIFS(#REF!,#REF!,'Day avg Portion'!$V$1,#REF!,'Day avg Portion'!$V$3,#REF!,'Day avg Portion'!$W3)+SUMIFS(#REF!,#REF!,'Day avg Portion'!$V$1,#REF!,'Day avg Portion'!$V$4,#REF!,'Day avg Portion'!$W3)+SUMIFS(#REF!,#REF!,'Day avg Portion'!$V$1,#REF!,'Day avg Portion'!#REF!,#REF!,'Day avg Portion'!$W3)</f>
        <v>#REF!</v>
      </c>
      <c r="Y3" s="5" t="e">
        <f>X3/X$20</f>
        <v>#REF!</v>
      </c>
      <c r="AA3" s="2">
        <v>29</v>
      </c>
      <c r="AB3" s="4" t="e">
        <f>SUMIFS(#REF!,#REF!,'Day avg Portion'!$V$1,#REF!,'Day avg Portion'!$V$2,#REF!,'Day avg Portion'!$W3)+SUMIFS(#REF!,#REF!,'Day avg Portion'!$V$1,#REF!,'Day avg Portion'!$V$3,#REF!,'Day avg Portion'!$W3)+SUMIFS(#REF!,#REF!,'Day avg Portion'!$V$1,#REF!,'Day avg Portion'!$V$4,#REF!,'Day avg Portion'!$W3)+SUMIFS(#REF!,#REF!,'Day avg Portion'!$V$1,#REF!,'Day avg Portion'!#REF!,#REF!,'Day avg Portion'!$W3)</f>
        <v>#REF!</v>
      </c>
      <c r="AC3" s="5" t="e">
        <f>AB3/AB$20</f>
        <v>#REF!</v>
      </c>
    </row>
    <row r="4" spans="1:29" x14ac:dyDescent="0.2">
      <c r="A4" s="2">
        <v>35</v>
      </c>
      <c r="B4" s="4">
        <f>SUMIFS(Data!$E:$E,Data!$K:$K,'Day avg Portion'!$A4,Data!$J:$J,'Day avg Portion'!B$1)</f>
        <v>4122.4500000000007</v>
      </c>
      <c r="C4" s="4">
        <f>SUMIFS(Data!$E:$E,Data!$K:$K,'Day avg Portion'!$A4,Data!$J:$J,'Day avg Portion'!C$1)</f>
        <v>4279.7100000000009</v>
      </c>
      <c r="D4" s="4">
        <f>SUMIFS(Data!$E:$E,Data!$K:$K,'Day avg Portion'!$A4,Data!$J:$J,'Day avg Portion'!D$1)</f>
        <v>4726.82</v>
      </c>
      <c r="E4" s="4">
        <f>SUMIFS(Data!$E:$E,Data!$K:$K,'Day avg Portion'!$A4,Data!$J:$J,'Day avg Portion'!E$1)</f>
        <v>4463.16</v>
      </c>
      <c r="F4" s="4">
        <f>SUMIFS(Data!$E:$E,Data!$K:$K,'Day avg Portion'!$A4,Data!$J:$J,'Day avg Portion'!F$1)</f>
        <v>9644.36</v>
      </c>
      <c r="G4" s="4">
        <f>SUMIFS(Data!$E:$E,Data!$K:$K,'Day avg Portion'!$A4,Data!$J:$J,'Day avg Portion'!G$1)</f>
        <v>7046.6299999999983</v>
      </c>
      <c r="H4" s="4">
        <f>SUMIFS(Data!$E:$E,Data!$K:$K,'Day avg Portion'!$A4,Data!$J:$J,'Day avg Portion'!H$1)</f>
        <v>7091.22</v>
      </c>
      <c r="I4" s="4">
        <f t="shared" ref="I4:I16" si="10">SUM(B4:H4)</f>
        <v>41374.35</v>
      </c>
      <c r="J4" s="15">
        <f>I4/$I$20</f>
        <v>0.17216531442124683</v>
      </c>
      <c r="K4" s="2">
        <f t="shared" si="0"/>
        <v>35</v>
      </c>
      <c r="L4" s="14">
        <f t="shared" si="9"/>
        <v>9.9637819083562659E-2</v>
      </c>
      <c r="M4" s="14">
        <f t="shared" si="1"/>
        <v>0.10343872471712549</v>
      </c>
      <c r="N4" s="14">
        <f t="shared" si="2"/>
        <v>0.11424517847410291</v>
      </c>
      <c r="O4" s="14">
        <f t="shared" si="3"/>
        <v>0.1078726312316689</v>
      </c>
      <c r="P4" s="14">
        <f t="shared" si="4"/>
        <v>0.23309997619297948</v>
      </c>
      <c r="Q4" s="14">
        <f t="shared" si="5"/>
        <v>0.17031397472105297</v>
      </c>
      <c r="R4" s="14">
        <f t="shared" si="6"/>
        <v>0.17139169557950762</v>
      </c>
      <c r="S4" s="5">
        <f t="shared" si="7"/>
        <v>1</v>
      </c>
      <c r="W4" s="2">
        <f t="shared" si="8"/>
        <v>35</v>
      </c>
      <c r="X4" s="4" t="e">
        <f>SUMIFS(#REF!,#REF!,'Day avg Portion'!$V$1,#REF!,'Day avg Portion'!$V$2,#REF!,'Day avg Portion'!$W4)+SUMIFS(#REF!,#REF!,'Day avg Portion'!$V$1,#REF!,'Day avg Portion'!$V$3,#REF!,'Day avg Portion'!$W4)+SUMIFS(#REF!,#REF!,'Day avg Portion'!$V$1,#REF!,'Day avg Portion'!$V$4,#REF!,'Day avg Portion'!$W4)+SUMIFS(#REF!,#REF!,'Day avg Portion'!$V$1,#REF!,'Day avg Portion'!#REF!,#REF!,'Day avg Portion'!$W4)</f>
        <v>#REF!</v>
      </c>
      <c r="Y4" s="5" t="e">
        <f>X4/X$20</f>
        <v>#REF!</v>
      </c>
      <c r="AA4" s="2">
        <v>35</v>
      </c>
      <c r="AB4" s="4" t="e">
        <f>SUMIFS(#REF!,#REF!,'Day avg Portion'!$V$1,#REF!,'Day avg Portion'!$V$2,#REF!,'Day avg Portion'!$W4)+SUMIFS(#REF!,#REF!,'Day avg Portion'!$V$1,#REF!,'Day avg Portion'!$V$3,#REF!,'Day avg Portion'!$W4)+SUMIFS(#REF!,#REF!,'Day avg Portion'!$V$1,#REF!,'Day avg Portion'!$V$4,#REF!,'Day avg Portion'!$W4)+SUMIFS(#REF!,#REF!,'Day avg Portion'!$V$1,#REF!,'Day avg Portion'!#REF!,#REF!,'Day avg Portion'!$W4)</f>
        <v>#REF!</v>
      </c>
      <c r="AC4" s="5" t="e">
        <f>AB4/AB$20</f>
        <v>#REF!</v>
      </c>
    </row>
    <row r="5" spans="1:29" x14ac:dyDescent="0.2">
      <c r="A5" s="2">
        <v>37</v>
      </c>
      <c r="B5" s="4">
        <f>SUMIFS(Data!$E:$E,Data!$K:$K,'Day avg Portion'!$A5,Data!$J:$J,'Day avg Portion'!B$1)</f>
        <v>3516.6600000000003</v>
      </c>
      <c r="C5" s="4">
        <f>SUMIFS(Data!$E:$E,Data!$K:$K,'Day avg Portion'!$A5,Data!$J:$J,'Day avg Portion'!C$1)</f>
        <v>2721.4800000000005</v>
      </c>
      <c r="D5" s="4">
        <f>SUMIFS(Data!$E:$E,Data!$K:$K,'Day avg Portion'!$A5,Data!$J:$J,'Day avg Portion'!D$1)</f>
        <v>3129.5299999999997</v>
      </c>
      <c r="E5" s="4">
        <f>SUMIFS(Data!$E:$E,Data!$K:$K,'Day avg Portion'!$A5,Data!$J:$J,'Day avg Portion'!E$1)</f>
        <v>4678.4399999999996</v>
      </c>
      <c r="F5" s="4">
        <f>SUMIFS(Data!$E:$E,Data!$K:$K,'Day avg Portion'!$A5,Data!$J:$J,'Day avg Portion'!F$1)</f>
        <v>6370.31</v>
      </c>
      <c r="G5" s="4">
        <f>SUMIFS(Data!$E:$E,Data!$K:$K,'Day avg Portion'!$A5,Data!$J:$J,'Day avg Portion'!G$1)</f>
        <v>5365.6500000000005</v>
      </c>
      <c r="H5" s="4">
        <f>SUMIFS(Data!$E:$E,Data!$K:$K,'Day avg Portion'!$A5,Data!$J:$J,'Day avg Portion'!H$1)</f>
        <v>6074.22</v>
      </c>
      <c r="I5" s="4">
        <f t="shared" si="10"/>
        <v>31856.290000000005</v>
      </c>
      <c r="J5" s="15">
        <f>I5/$I$20</f>
        <v>0.13255913831019514</v>
      </c>
      <c r="K5" s="2">
        <f t="shared" si="0"/>
        <v>37</v>
      </c>
      <c r="L5" s="14">
        <f t="shared" si="9"/>
        <v>0.11039138581423009</v>
      </c>
      <c r="M5" s="14">
        <f t="shared" si="1"/>
        <v>8.5429910388183941E-2</v>
      </c>
      <c r="N5" s="14">
        <f t="shared" si="2"/>
        <v>9.8238997698727612E-2</v>
      </c>
      <c r="O5" s="14">
        <f t="shared" si="3"/>
        <v>0.14686079264095095</v>
      </c>
      <c r="P5" s="14">
        <f t="shared" si="4"/>
        <v>0.19997024135578875</v>
      </c>
      <c r="Q5" s="14">
        <f t="shared" si="5"/>
        <v>0.16843298450635652</v>
      </c>
      <c r="R5" s="14">
        <f t="shared" si="6"/>
        <v>0.19067568759576206</v>
      </c>
      <c r="S5" s="5">
        <f t="shared" si="7"/>
        <v>1</v>
      </c>
      <c r="W5" s="2">
        <f t="shared" si="8"/>
        <v>37</v>
      </c>
      <c r="X5" s="4" t="e">
        <f>SUMIFS(#REF!,#REF!,'Day avg Portion'!$V$1,#REF!,'Day avg Portion'!$V$2,#REF!,'Day avg Portion'!$W5)+SUMIFS(#REF!,#REF!,'Day avg Portion'!$V$1,#REF!,'Day avg Portion'!$V$3,#REF!,'Day avg Portion'!$W5)+SUMIFS(#REF!,#REF!,'Day avg Portion'!$V$1,#REF!,'Day avg Portion'!$V$4,#REF!,'Day avg Portion'!$W5)+SUMIFS(#REF!,#REF!,'Day avg Portion'!$V$1,#REF!,'Day avg Portion'!#REF!,#REF!,'Day avg Portion'!$W5)</f>
        <v>#REF!</v>
      </c>
      <c r="Y5" s="5" t="e">
        <f>X5/X$20</f>
        <v>#REF!</v>
      </c>
      <c r="AA5" s="2">
        <v>37</v>
      </c>
      <c r="AB5" s="4" t="e">
        <f>SUMIFS(#REF!,#REF!,'Day avg Portion'!$V$1,#REF!,'Day avg Portion'!$V$2,#REF!,'Day avg Portion'!$W5)+SUMIFS(#REF!,#REF!,'Day avg Portion'!$V$1,#REF!,'Day avg Portion'!$V$3,#REF!,'Day avg Portion'!$W5)+SUMIFS(#REF!,#REF!,'Day avg Portion'!$V$1,#REF!,'Day avg Portion'!$V$4,#REF!,'Day avg Portion'!$W5)+SUMIFS(#REF!,#REF!,'Day avg Portion'!$V$1,#REF!,'Day avg Portion'!#REF!,#REF!,'Day avg Portion'!$W5)</f>
        <v>#REF!</v>
      </c>
      <c r="AC5" s="5" t="e">
        <f>AB5/AB$20</f>
        <v>#REF!</v>
      </c>
    </row>
    <row r="6" spans="1:29" x14ac:dyDescent="0.2">
      <c r="A6" s="2">
        <v>38</v>
      </c>
      <c r="B6" s="4">
        <f>SUMIFS(Data!$E:$E,Data!$K:$K,'Day avg Portion'!$A6,Data!$J:$J,'Day avg Portion'!B$1)</f>
        <v>0</v>
      </c>
      <c r="C6" s="4">
        <f>SUMIFS(Data!$E:$E,Data!$K:$K,'Day avg Portion'!$A6,Data!$J:$J,'Day avg Portion'!C$1)</f>
        <v>0</v>
      </c>
      <c r="D6" s="4">
        <f>SUMIFS(Data!$E:$E,Data!$K:$K,'Day avg Portion'!$A6,Data!$J:$J,'Day avg Portion'!D$1)</f>
        <v>0</v>
      </c>
      <c r="E6" s="4">
        <f>SUMIFS(Data!$E:$E,Data!$K:$K,'Day avg Portion'!$A6,Data!$J:$J,'Day avg Portion'!E$1)</f>
        <v>0</v>
      </c>
      <c r="F6" s="4">
        <f>SUMIFS(Data!$E:$E,Data!$K:$K,'Day avg Portion'!$A6,Data!$J:$J,'Day avg Portion'!F$1)</f>
        <v>0</v>
      </c>
      <c r="G6" s="4">
        <f>SUMIFS(Data!$E:$E,Data!$K:$K,'Day avg Portion'!$A6,Data!$J:$J,'Day avg Portion'!G$1)</f>
        <v>0</v>
      </c>
      <c r="H6" s="4">
        <f>SUMIFS(Data!$E:$E,Data!$K:$K,'Day avg Portion'!$A6,Data!$J:$J,'Day avg Portion'!H$1)</f>
        <v>0</v>
      </c>
      <c r="I6" s="4"/>
      <c r="J6" s="15">
        <f>I6/$I$20</f>
        <v>0</v>
      </c>
      <c r="K6" s="2">
        <f t="shared" si="0"/>
        <v>38</v>
      </c>
      <c r="L6" s="14">
        <f t="shared" si="9"/>
        <v>0</v>
      </c>
      <c r="M6" s="14">
        <f t="shared" si="1"/>
        <v>0</v>
      </c>
      <c r="N6" s="14">
        <f t="shared" si="2"/>
        <v>0</v>
      </c>
      <c r="O6" s="14">
        <f t="shared" si="3"/>
        <v>0</v>
      </c>
      <c r="P6" s="14">
        <f t="shared" si="4"/>
        <v>0</v>
      </c>
      <c r="Q6" s="14">
        <f t="shared" si="5"/>
        <v>0</v>
      </c>
      <c r="R6" s="14">
        <f t="shared" si="6"/>
        <v>0</v>
      </c>
      <c r="S6" s="5">
        <f t="shared" si="7"/>
        <v>0</v>
      </c>
      <c r="W6" s="2">
        <f t="shared" si="8"/>
        <v>38</v>
      </c>
      <c r="X6" s="4" t="e">
        <f>SUMIFS(#REF!,#REF!,'Day avg Portion'!$V$1,#REF!,'Day avg Portion'!$V$2,#REF!,'Day avg Portion'!$W6)+SUMIFS(#REF!,#REF!,'Day avg Portion'!$V$1,#REF!,'Day avg Portion'!$V$3,#REF!,'Day avg Portion'!$W6)+SUMIFS(#REF!,#REF!,'Day avg Portion'!$V$1,#REF!,'Day avg Portion'!$V$4,#REF!,'Day avg Portion'!$W6)+SUMIFS(#REF!,#REF!,'Day avg Portion'!$V$1,#REF!,'Day avg Portion'!#REF!,#REF!,'Day avg Portion'!$W6)</f>
        <v>#REF!</v>
      </c>
      <c r="Y6" s="5" t="e">
        <f>X6/X$20</f>
        <v>#REF!</v>
      </c>
      <c r="AA6" s="2">
        <v>38</v>
      </c>
      <c r="AB6" s="4" t="e">
        <f>SUMIFS(#REF!,#REF!,'Day avg Portion'!$V$1,#REF!,'Day avg Portion'!$V$2,#REF!,'Day avg Portion'!$W6)+SUMIFS(#REF!,#REF!,'Day avg Portion'!$V$1,#REF!,'Day avg Portion'!$V$3,#REF!,'Day avg Portion'!$W6)+SUMIFS(#REF!,#REF!,'Day avg Portion'!$V$1,#REF!,'Day avg Portion'!$V$4,#REF!,'Day avg Portion'!$W6)+SUMIFS(#REF!,#REF!,'Day avg Portion'!$V$1,#REF!,'Day avg Portion'!#REF!,#REF!,'Day avg Portion'!$W6)</f>
        <v>#REF!</v>
      </c>
      <c r="AC6" s="5" t="e">
        <f>AB6/AB$20</f>
        <v>#REF!</v>
      </c>
    </row>
    <row r="7" spans="1:29" x14ac:dyDescent="0.2">
      <c r="A7" s="2">
        <v>41</v>
      </c>
      <c r="B7" s="4">
        <f>SUMIFS(Data!$E:$E,Data!$K:$K,'Day avg Portion'!$A7,Data!$J:$J,'Day avg Portion'!B$1)</f>
        <v>2003.41</v>
      </c>
      <c r="C7" s="4">
        <f>SUMIFS(Data!$E:$E,Data!$K:$K,'Day avg Portion'!$A7,Data!$J:$J,'Day avg Portion'!C$1)</f>
        <v>2914.95</v>
      </c>
      <c r="D7" s="4">
        <f>SUMIFS(Data!$E:$E,Data!$K:$K,'Day avg Portion'!$A7,Data!$J:$J,'Day avg Portion'!D$1)</f>
        <v>3544.1499999999983</v>
      </c>
      <c r="E7" s="4">
        <f>SUMIFS(Data!$E:$E,Data!$K:$K,'Day avg Portion'!$A7,Data!$J:$J,'Day avg Portion'!E$1)</f>
        <v>4089.35</v>
      </c>
      <c r="F7" s="4">
        <f>SUMIFS(Data!$E:$E,Data!$K:$K,'Day avg Portion'!$A7,Data!$J:$J,'Day avg Portion'!F$1)</f>
        <v>6613.079999999999</v>
      </c>
      <c r="G7" s="4">
        <f>SUMIFS(Data!$E:$E,Data!$K:$K,'Day avg Portion'!$A7,Data!$J:$J,'Day avg Portion'!G$1)</f>
        <v>5514.7699999999986</v>
      </c>
      <c r="H7" s="4">
        <f>SUMIFS(Data!$E:$E,Data!$K:$K,'Day avg Portion'!$A7,Data!$J:$J,'Day avg Portion'!H$1)</f>
        <v>4690.7699999999995</v>
      </c>
      <c r="I7" s="4">
        <f t="shared" si="10"/>
        <v>29370.48</v>
      </c>
      <c r="J7" s="15">
        <f t="shared" ref="J7:J14" si="11">I7/$I$20</f>
        <v>0.12221528371812347</v>
      </c>
      <c r="K7" s="2">
        <f t="shared" si="0"/>
        <v>41</v>
      </c>
      <c r="L7" s="14">
        <f t="shared" si="9"/>
        <v>6.821168738134345E-2</v>
      </c>
      <c r="M7" s="14">
        <f t="shared" si="1"/>
        <v>9.9247611887854734E-2</v>
      </c>
      <c r="N7" s="14">
        <f t="shared" si="2"/>
        <v>0.12067048274321694</v>
      </c>
      <c r="O7" s="14">
        <f t="shared" si="3"/>
        <v>0.13923333905336241</v>
      </c>
      <c r="P7" s="14">
        <f t="shared" si="4"/>
        <v>0.22516077367479181</v>
      </c>
      <c r="Q7" s="14">
        <f t="shared" si="5"/>
        <v>0.18776574301815968</v>
      </c>
      <c r="R7" s="14">
        <f t="shared" si="6"/>
        <v>0.1597103622412708</v>
      </c>
      <c r="S7" s="5">
        <f t="shared" si="7"/>
        <v>1</v>
      </c>
      <c r="W7" s="2">
        <f t="shared" si="8"/>
        <v>41</v>
      </c>
      <c r="X7" s="4" t="e">
        <f>SUMIFS(#REF!,#REF!,'Day avg Portion'!$V$1,#REF!,'Day avg Portion'!$V$2,#REF!,'Day avg Portion'!$W7)+SUMIFS(#REF!,#REF!,'Day avg Portion'!$V$1,#REF!,'Day avg Portion'!$V$3,#REF!,'Day avg Portion'!$W7)+SUMIFS(#REF!,#REF!,'Day avg Portion'!$V$1,#REF!,'Day avg Portion'!$V$4,#REF!,'Day avg Portion'!$W7)+SUMIFS(#REF!,#REF!,'Day avg Portion'!$V$1,#REF!,'Day avg Portion'!#REF!,#REF!,'Day avg Portion'!$W7)</f>
        <v>#REF!</v>
      </c>
      <c r="Y7" s="5" t="e">
        <f t="shared" ref="Y7:Y14" si="12">X7/X$20</f>
        <v>#REF!</v>
      </c>
      <c r="AA7" s="2">
        <v>41</v>
      </c>
      <c r="AB7" s="4" t="e">
        <f>SUMIFS(#REF!,#REF!,'Day avg Portion'!$V$1,#REF!,'Day avg Portion'!$V$2,#REF!,'Day avg Portion'!$W7)+SUMIFS(#REF!,#REF!,'Day avg Portion'!$V$1,#REF!,'Day avg Portion'!$V$3,#REF!,'Day avg Portion'!$W7)+SUMIFS(#REF!,#REF!,'Day avg Portion'!$V$1,#REF!,'Day avg Portion'!$V$4,#REF!,'Day avg Portion'!$W7)+SUMIFS(#REF!,#REF!,'Day avg Portion'!$V$1,#REF!,'Day avg Portion'!#REF!,#REF!,'Day avg Portion'!$W7)</f>
        <v>#REF!</v>
      </c>
      <c r="AC7" s="5" t="e">
        <f t="shared" ref="AC7:AC14" si="13">AB7/AB$20</f>
        <v>#REF!</v>
      </c>
    </row>
    <row r="8" spans="1:29" x14ac:dyDescent="0.2">
      <c r="A8" s="2">
        <v>42</v>
      </c>
      <c r="B8" s="4">
        <f>SUMIFS(Data!$E:$E,Data!$K:$K,'Day avg Portion'!$A8,Data!$J:$J,'Day avg Portion'!B$1)</f>
        <v>0</v>
      </c>
      <c r="C8" s="4">
        <f>SUMIFS(Data!$E:$E,Data!$K:$K,'Day avg Portion'!$A8,Data!$J:$J,'Day avg Portion'!C$1)</f>
        <v>0</v>
      </c>
      <c r="D8" s="4">
        <f>SUMIFS(Data!$E:$E,Data!$K:$K,'Day avg Portion'!$A8,Data!$J:$J,'Day avg Portion'!D$1)</f>
        <v>0</v>
      </c>
      <c r="E8" s="4">
        <f>SUMIFS(Data!$E:$E,Data!$K:$K,'Day avg Portion'!$A8,Data!$J:$J,'Day avg Portion'!E$1)</f>
        <v>0</v>
      </c>
      <c r="F8" s="4">
        <f>SUMIFS(Data!$E:$E,Data!$K:$K,'Day avg Portion'!$A8,Data!$J:$J,'Day avg Portion'!F$1)</f>
        <v>0</v>
      </c>
      <c r="G8" s="4">
        <f>SUMIFS(Data!$E:$E,Data!$K:$K,'Day avg Portion'!$A8,Data!$J:$J,'Day avg Portion'!G$1)</f>
        <v>0</v>
      </c>
      <c r="H8" s="4">
        <f>SUMIFS(Data!$E:$E,Data!$K:$K,'Day avg Portion'!$A8,Data!$J:$J,'Day avg Portion'!H$1)</f>
        <v>0</v>
      </c>
      <c r="I8" s="4"/>
      <c r="J8" s="15">
        <f t="shared" si="11"/>
        <v>0</v>
      </c>
      <c r="K8" s="2">
        <f t="shared" si="0"/>
        <v>42</v>
      </c>
      <c r="L8" s="14">
        <f t="shared" si="9"/>
        <v>0</v>
      </c>
      <c r="M8" s="14">
        <f t="shared" si="1"/>
        <v>0</v>
      </c>
      <c r="N8" s="14">
        <f t="shared" si="2"/>
        <v>0</v>
      </c>
      <c r="O8" s="14">
        <f t="shared" si="3"/>
        <v>0</v>
      </c>
      <c r="P8" s="14">
        <f t="shared" si="4"/>
        <v>0</v>
      </c>
      <c r="Q8" s="14">
        <f t="shared" si="5"/>
        <v>0</v>
      </c>
      <c r="R8" s="14">
        <f t="shared" si="6"/>
        <v>0</v>
      </c>
      <c r="S8" s="5">
        <f t="shared" si="7"/>
        <v>0</v>
      </c>
      <c r="W8" s="2">
        <f t="shared" si="8"/>
        <v>42</v>
      </c>
      <c r="X8" s="4" t="e">
        <f>SUMIFS(#REF!,#REF!,'Day avg Portion'!$V$1,#REF!,'Day avg Portion'!$V$2,#REF!,'Day avg Portion'!$W8)+SUMIFS(#REF!,#REF!,'Day avg Portion'!$V$1,#REF!,'Day avg Portion'!$V$3,#REF!,'Day avg Portion'!$W8)+SUMIFS(#REF!,#REF!,'Day avg Portion'!$V$1,#REF!,'Day avg Portion'!$V$4,#REF!,'Day avg Portion'!$W8)+SUMIFS(#REF!,#REF!,'Day avg Portion'!$V$1,#REF!,'Day avg Portion'!#REF!,#REF!,'Day avg Portion'!$W8)</f>
        <v>#REF!</v>
      </c>
      <c r="Y8" s="5" t="e">
        <f t="shared" si="12"/>
        <v>#REF!</v>
      </c>
      <c r="AA8" s="2">
        <v>42</v>
      </c>
      <c r="AB8" s="4" t="e">
        <f>SUMIFS(#REF!,#REF!,'Day avg Portion'!$V$1,#REF!,'Day avg Portion'!$V$2,#REF!,'Day avg Portion'!$W8)+SUMIFS(#REF!,#REF!,'Day avg Portion'!$V$1,#REF!,'Day avg Portion'!$V$3,#REF!,'Day avg Portion'!$W8)+SUMIFS(#REF!,#REF!,'Day avg Portion'!$V$1,#REF!,'Day avg Portion'!$V$4,#REF!,'Day avg Portion'!$W8)+SUMIFS(#REF!,#REF!,'Day avg Portion'!$V$1,#REF!,'Day avg Portion'!#REF!,#REF!,'Day avg Portion'!$W8)</f>
        <v>#REF!</v>
      </c>
      <c r="AC8" s="5" t="e">
        <f t="shared" si="13"/>
        <v>#REF!</v>
      </c>
    </row>
    <row r="9" spans="1:29" x14ac:dyDescent="0.2">
      <c r="A9" s="2">
        <v>43</v>
      </c>
      <c r="B9" s="4">
        <f>SUMIFS(Data!$E:$E,Data!$K:$K,'Day avg Portion'!$A9,Data!$J:$J,'Day avg Portion'!B$1)</f>
        <v>2971.5700000000006</v>
      </c>
      <c r="C9" s="4">
        <f>SUMIFS(Data!$E:$E,Data!$K:$K,'Day avg Portion'!$A9,Data!$J:$J,'Day avg Portion'!C$1)</f>
        <v>3845.17</v>
      </c>
      <c r="D9" s="4">
        <f>SUMIFS(Data!$E:$E,Data!$K:$K,'Day avg Portion'!$A9,Data!$J:$J,'Day avg Portion'!D$1)</f>
        <v>4639.9400000000014</v>
      </c>
      <c r="E9" s="4">
        <f>SUMIFS(Data!$E:$E,Data!$K:$K,'Day avg Portion'!$A9,Data!$J:$J,'Day avg Portion'!E$1)</f>
        <v>4570.3</v>
      </c>
      <c r="F9" s="4">
        <f>SUMIFS(Data!$E:$E,Data!$K:$K,'Day avg Portion'!$A9,Data!$J:$J,'Day avg Portion'!F$1)</f>
        <v>8390.08</v>
      </c>
      <c r="G9" s="4">
        <f>SUMIFS(Data!$E:$E,Data!$K:$K,'Day avg Portion'!$A9,Data!$J:$J,'Day avg Portion'!G$1)</f>
        <v>6724.5599999999986</v>
      </c>
      <c r="H9" s="4">
        <f>SUMIFS(Data!$E:$E,Data!$K:$K,'Day avg Portion'!$A9,Data!$J:$J,'Day avg Portion'!H$1)</f>
        <v>6481.5999999999976</v>
      </c>
      <c r="I9" s="4">
        <f t="shared" si="10"/>
        <v>37623.22</v>
      </c>
      <c r="J9" s="15">
        <f t="shared" si="11"/>
        <v>0.15655626011864218</v>
      </c>
      <c r="K9" s="2">
        <f t="shared" si="0"/>
        <v>43</v>
      </c>
      <c r="L9" s="14">
        <f t="shared" si="9"/>
        <v>7.8982341224382191E-2</v>
      </c>
      <c r="M9" s="14">
        <f t="shared" si="1"/>
        <v>0.10220204437578707</v>
      </c>
      <c r="N9" s="14">
        <f t="shared" si="2"/>
        <v>0.1233264989014763</v>
      </c>
      <c r="O9" s="14">
        <f t="shared" si="3"/>
        <v>0.12147551432333543</v>
      </c>
      <c r="P9" s="14">
        <f t="shared" si="4"/>
        <v>0.22300270949695428</v>
      </c>
      <c r="Q9" s="14">
        <f t="shared" si="5"/>
        <v>0.17873430291187192</v>
      </c>
      <c r="R9" s="14">
        <f t="shared" si="6"/>
        <v>0.17227658876619273</v>
      </c>
      <c r="S9" s="5">
        <f t="shared" si="7"/>
        <v>1</v>
      </c>
      <c r="W9" s="2">
        <f t="shared" si="8"/>
        <v>43</v>
      </c>
      <c r="X9" s="4" t="e">
        <f>SUMIFS(#REF!,#REF!,'Day avg Portion'!$V$1,#REF!,'Day avg Portion'!$V$2,#REF!,'Day avg Portion'!$W9)+SUMIFS(#REF!,#REF!,'Day avg Portion'!$V$1,#REF!,'Day avg Portion'!$V$3,#REF!,'Day avg Portion'!$W9)+SUMIFS(#REF!,#REF!,'Day avg Portion'!$V$1,#REF!,'Day avg Portion'!$V$4,#REF!,'Day avg Portion'!$W9)+SUMIFS(#REF!,#REF!,'Day avg Portion'!$V$1,#REF!,'Day avg Portion'!#REF!,#REF!,'Day avg Portion'!$W9)</f>
        <v>#REF!</v>
      </c>
      <c r="Y9" s="5" t="e">
        <f t="shared" si="12"/>
        <v>#REF!</v>
      </c>
      <c r="AA9" s="2">
        <v>43</v>
      </c>
      <c r="AB9" s="4" t="e">
        <f>SUMIFS(#REF!,#REF!,'Day avg Portion'!$V$1,#REF!,'Day avg Portion'!$V$2,#REF!,'Day avg Portion'!$W9)+SUMIFS(#REF!,#REF!,'Day avg Portion'!$V$1,#REF!,'Day avg Portion'!$V$3,#REF!,'Day avg Portion'!$W9)+SUMIFS(#REF!,#REF!,'Day avg Portion'!$V$1,#REF!,'Day avg Portion'!$V$4,#REF!,'Day avg Portion'!$W9)+SUMIFS(#REF!,#REF!,'Day avg Portion'!$V$1,#REF!,'Day avg Portion'!#REF!,#REF!,'Day avg Portion'!$W9)</f>
        <v>#REF!</v>
      </c>
      <c r="AC9" s="5" t="e">
        <f t="shared" si="13"/>
        <v>#REF!</v>
      </c>
    </row>
    <row r="10" spans="1:29" x14ac:dyDescent="0.2">
      <c r="A10" s="2">
        <v>44</v>
      </c>
      <c r="B10" s="4">
        <f>SUMIFS(Data!$E:$E,Data!$K:$K,'Day avg Portion'!$A10,Data!$J:$J,'Day avg Portion'!B$1)</f>
        <v>1517.9</v>
      </c>
      <c r="C10" s="4">
        <f>SUMIFS(Data!$E:$E,Data!$K:$K,'Day avg Portion'!$A10,Data!$J:$J,'Day avg Portion'!C$1)</f>
        <v>1929.7900000000002</v>
      </c>
      <c r="D10" s="4">
        <f>SUMIFS(Data!$E:$E,Data!$K:$K,'Day avg Portion'!$A10,Data!$J:$J,'Day avg Portion'!D$1)</f>
        <v>2216.3800000000006</v>
      </c>
      <c r="E10" s="4">
        <f>SUMIFS(Data!$E:$E,Data!$K:$K,'Day avg Portion'!$A10,Data!$J:$J,'Day avg Portion'!E$1)</f>
        <v>2644.74</v>
      </c>
      <c r="F10" s="4">
        <f>SUMIFS(Data!$E:$E,Data!$K:$K,'Day avg Portion'!$A10,Data!$J:$J,'Day avg Portion'!F$1)</f>
        <v>3841.9999999999991</v>
      </c>
      <c r="G10" s="4">
        <f>SUMIFS(Data!$E:$E,Data!$K:$K,'Day avg Portion'!$A10,Data!$J:$J,'Day avg Portion'!G$1)</f>
        <v>3462.93</v>
      </c>
      <c r="H10" s="4">
        <f>SUMIFS(Data!$E:$E,Data!$K:$K,'Day avg Portion'!$A10,Data!$J:$J,'Day avg Portion'!H$1)</f>
        <v>4026.8599999999997</v>
      </c>
      <c r="I10" s="4">
        <f t="shared" si="10"/>
        <v>19640.600000000002</v>
      </c>
      <c r="J10" s="15">
        <f t="shared" si="11"/>
        <v>8.1727690572104245E-2</v>
      </c>
      <c r="K10" s="2">
        <f t="shared" si="0"/>
        <v>44</v>
      </c>
      <c r="L10" s="14">
        <f t="shared" si="9"/>
        <v>7.7283789700925629E-2</v>
      </c>
      <c r="M10" s="14">
        <f t="shared" si="1"/>
        <v>9.8255144954838447E-2</v>
      </c>
      <c r="N10" s="14">
        <f t="shared" si="2"/>
        <v>0.11284685803896014</v>
      </c>
      <c r="O10" s="14">
        <f t="shared" si="3"/>
        <v>0.13465678237935702</v>
      </c>
      <c r="P10" s="14">
        <f t="shared" si="4"/>
        <v>0.19561520523812911</v>
      </c>
      <c r="Q10" s="14">
        <f t="shared" si="5"/>
        <v>0.17631487836420473</v>
      </c>
      <c r="R10" s="14">
        <f t="shared" si="6"/>
        <v>0.20502734132358477</v>
      </c>
      <c r="S10" s="5">
        <f t="shared" si="7"/>
        <v>1</v>
      </c>
      <c r="W10" s="2">
        <f t="shared" si="8"/>
        <v>44</v>
      </c>
      <c r="X10" s="4" t="e">
        <f>SUMIFS(#REF!,#REF!,'Day avg Portion'!$V$1,#REF!,'Day avg Portion'!$V$2,#REF!,'Day avg Portion'!$W10)+SUMIFS(#REF!,#REF!,'Day avg Portion'!$V$1,#REF!,'Day avg Portion'!$V$3,#REF!,'Day avg Portion'!$W10)+SUMIFS(#REF!,#REF!,'Day avg Portion'!$V$1,#REF!,'Day avg Portion'!$V$4,#REF!,'Day avg Portion'!$W10)+SUMIFS(#REF!,#REF!,'Day avg Portion'!$V$1,#REF!,'Day avg Portion'!#REF!,#REF!,'Day avg Portion'!$W10)</f>
        <v>#REF!</v>
      </c>
      <c r="Y10" s="5" t="e">
        <f t="shared" si="12"/>
        <v>#REF!</v>
      </c>
      <c r="AA10" s="2">
        <v>44</v>
      </c>
      <c r="AB10" s="4" t="e">
        <f>SUMIFS(#REF!,#REF!,'Day avg Portion'!$V$1,#REF!,'Day avg Portion'!$V$2,#REF!,'Day avg Portion'!$W10)+SUMIFS(#REF!,#REF!,'Day avg Portion'!$V$1,#REF!,'Day avg Portion'!$V$3,#REF!,'Day avg Portion'!$W10)+SUMIFS(#REF!,#REF!,'Day avg Portion'!$V$1,#REF!,'Day avg Portion'!$V$4,#REF!,'Day avg Portion'!$W10)+SUMIFS(#REF!,#REF!,'Day avg Portion'!$V$1,#REF!,'Day avg Portion'!#REF!,#REF!,'Day avg Portion'!$W10)</f>
        <v>#REF!</v>
      </c>
      <c r="AC10" s="5" t="e">
        <f t="shared" si="13"/>
        <v>#REF!</v>
      </c>
    </row>
    <row r="11" spans="1:29" x14ac:dyDescent="0.2">
      <c r="A11" s="2">
        <v>45</v>
      </c>
      <c r="B11" s="4">
        <f>SUMIFS(Data!$E:$E,Data!$K:$K,'Day avg Portion'!$A11,Data!$J:$J,'Day avg Portion'!B$1)</f>
        <v>0</v>
      </c>
      <c r="C11" s="4">
        <f>SUMIFS(Data!$E:$E,Data!$K:$K,'Day avg Portion'!$A11,Data!$J:$J,'Day avg Portion'!C$1)</f>
        <v>0</v>
      </c>
      <c r="D11" s="4">
        <f>SUMIFS(Data!$E:$E,Data!$K:$K,'Day avg Portion'!$A11,Data!$J:$J,'Day avg Portion'!D$1)</f>
        <v>0</v>
      </c>
      <c r="E11" s="4">
        <f>SUMIFS(Data!$E:$E,Data!$K:$K,'Day avg Portion'!$A11,Data!$J:$J,'Day avg Portion'!E$1)</f>
        <v>0</v>
      </c>
      <c r="F11" s="4">
        <f>SUMIFS(Data!$E:$E,Data!$K:$K,'Day avg Portion'!$A11,Data!$J:$J,'Day avg Portion'!F$1)</f>
        <v>0</v>
      </c>
      <c r="G11" s="4">
        <f>SUMIFS(Data!$E:$E,Data!$K:$K,'Day avg Portion'!$A11,Data!$J:$J,'Day avg Portion'!G$1)</f>
        <v>0</v>
      </c>
      <c r="H11" s="4">
        <f>SUMIFS(Data!$E:$E,Data!$K:$K,'Day avg Portion'!$A11,Data!$J:$J,'Day avg Portion'!H$1)</f>
        <v>0</v>
      </c>
      <c r="I11" s="4">
        <f t="shared" si="10"/>
        <v>0</v>
      </c>
      <c r="J11" s="15">
        <f t="shared" si="11"/>
        <v>0</v>
      </c>
      <c r="K11" s="2">
        <f t="shared" si="0"/>
        <v>45</v>
      </c>
      <c r="L11" s="14">
        <f t="shared" si="9"/>
        <v>0</v>
      </c>
      <c r="M11" s="14">
        <f t="shared" si="1"/>
        <v>0</v>
      </c>
      <c r="N11" s="14">
        <f t="shared" si="2"/>
        <v>0</v>
      </c>
      <c r="O11" s="14">
        <f t="shared" si="3"/>
        <v>0</v>
      </c>
      <c r="P11" s="14">
        <f t="shared" si="4"/>
        <v>0</v>
      </c>
      <c r="Q11" s="14">
        <f t="shared" si="5"/>
        <v>0</v>
      </c>
      <c r="R11" s="14">
        <f t="shared" si="6"/>
        <v>0</v>
      </c>
      <c r="S11" s="5">
        <f t="shared" si="7"/>
        <v>0</v>
      </c>
      <c r="W11" s="2">
        <f t="shared" si="8"/>
        <v>45</v>
      </c>
      <c r="X11" s="4" t="e">
        <f>SUMIFS(#REF!,#REF!,'Day avg Portion'!$V$1,#REF!,'Day avg Portion'!$V$2,#REF!,'Day avg Portion'!$W11)+SUMIFS(#REF!,#REF!,'Day avg Portion'!$V$1,#REF!,'Day avg Portion'!$V$3,#REF!,'Day avg Portion'!$W11)+SUMIFS(#REF!,#REF!,'Day avg Portion'!$V$1,#REF!,'Day avg Portion'!$V$4,#REF!,'Day avg Portion'!$W11)+SUMIFS(#REF!,#REF!,'Day avg Portion'!$V$1,#REF!,'Day avg Portion'!#REF!,#REF!,'Day avg Portion'!$W11)</f>
        <v>#REF!</v>
      </c>
      <c r="Y11" s="5" t="e">
        <f t="shared" si="12"/>
        <v>#REF!</v>
      </c>
      <c r="AA11" s="2">
        <v>45</v>
      </c>
      <c r="AB11" s="4" t="e">
        <f>SUMIFS(#REF!,#REF!,'Day avg Portion'!$V$1,#REF!,'Day avg Portion'!$V$2,#REF!,'Day avg Portion'!$W11)+SUMIFS(#REF!,#REF!,'Day avg Portion'!$V$1,#REF!,'Day avg Portion'!$V$3,#REF!,'Day avg Portion'!$W11)+SUMIFS(#REF!,#REF!,'Day avg Portion'!$V$1,#REF!,'Day avg Portion'!$V$4,#REF!,'Day avg Portion'!$W11)+SUMIFS(#REF!,#REF!,'Day avg Portion'!$V$1,#REF!,'Day avg Portion'!#REF!,#REF!,'Day avg Portion'!$W11)</f>
        <v>#REF!</v>
      </c>
      <c r="AC11" s="5" t="e">
        <f t="shared" si="13"/>
        <v>#REF!</v>
      </c>
    </row>
    <row r="12" spans="1:29" x14ac:dyDescent="0.2">
      <c r="A12" s="2">
        <v>101</v>
      </c>
      <c r="B12" s="4">
        <f>SUMIFS(Data!$E:$E,Data!$K:$K,'Day avg Portion'!$A12,Data!$J:$J,'Day avg Portion'!B$1)</f>
        <v>0</v>
      </c>
      <c r="C12" s="4">
        <f>SUMIFS(Data!$E:$E,Data!$K:$K,'Day avg Portion'!$A12,Data!$J:$J,'Day avg Portion'!C$1)</f>
        <v>0</v>
      </c>
      <c r="D12" s="4">
        <f>SUMIFS(Data!$E:$E,Data!$K:$K,'Day avg Portion'!$A12,Data!$J:$J,'Day avg Portion'!D$1)</f>
        <v>0</v>
      </c>
      <c r="E12" s="4">
        <f>SUMIFS(Data!$E:$E,Data!$K:$K,'Day avg Portion'!$A12,Data!$J:$J,'Day avg Portion'!E$1)</f>
        <v>0</v>
      </c>
      <c r="F12" s="4">
        <f>SUMIFS(Data!$E:$E,Data!$K:$K,'Day avg Portion'!$A12,Data!$J:$J,'Day avg Portion'!F$1)</f>
        <v>0</v>
      </c>
      <c r="G12" s="4">
        <f>SUMIFS(Data!$E:$E,Data!$K:$K,'Day avg Portion'!$A12,Data!$J:$J,'Day avg Portion'!G$1)</f>
        <v>0</v>
      </c>
      <c r="H12" s="4">
        <f>SUMIFS(Data!$E:$E,Data!$K:$K,'Day avg Portion'!$A12,Data!$J:$J,'Day avg Portion'!H$1)</f>
        <v>0</v>
      </c>
      <c r="I12" s="4"/>
      <c r="J12" s="15">
        <f t="shared" si="11"/>
        <v>0</v>
      </c>
      <c r="K12" s="2">
        <f>A12</f>
        <v>101</v>
      </c>
      <c r="L12" s="14">
        <f t="shared" ref="L12:L13" si="14">IFERROR(B12/$I12,0)</f>
        <v>0</v>
      </c>
      <c r="M12" s="14">
        <f t="shared" ref="M12:M13" si="15">IFERROR(C12/$I12,0)</f>
        <v>0</v>
      </c>
      <c r="N12" s="14">
        <f t="shared" ref="N12:N13" si="16">IFERROR(D12/$I12,0)</f>
        <v>0</v>
      </c>
      <c r="O12" s="14">
        <f t="shared" ref="O12:O13" si="17">IFERROR(E12/$I12,0)</f>
        <v>0</v>
      </c>
      <c r="P12" s="14">
        <f t="shared" ref="P12:P13" si="18">IFERROR(F12/$I12,0)</f>
        <v>0</v>
      </c>
      <c r="Q12" s="14">
        <f t="shared" ref="Q12:Q13" si="19">IFERROR(G12/$I12,0)</f>
        <v>0</v>
      </c>
      <c r="R12" s="14">
        <f t="shared" ref="R12:R13" si="20">IFERROR(H12/$I12,0)</f>
        <v>0</v>
      </c>
      <c r="S12" s="5">
        <f t="shared" ref="S12:S13" si="21">IFERROR(I12/$I12,0)</f>
        <v>0</v>
      </c>
      <c r="W12" s="2">
        <f>A12</f>
        <v>101</v>
      </c>
      <c r="X12" s="4" t="e">
        <f>SUMIFS(#REF!,#REF!,'Day avg Portion'!$V$1,#REF!,'Day avg Portion'!$V$2,#REF!,'Day avg Portion'!$W12)+SUMIFS(#REF!,#REF!,'Day avg Portion'!$V$1,#REF!,'Day avg Portion'!$V$3,#REF!,'Day avg Portion'!$W12)+SUMIFS(#REF!,#REF!,'Day avg Portion'!$V$1,#REF!,'Day avg Portion'!$V$4,#REF!,'Day avg Portion'!$W12)+SUMIFS(#REF!,#REF!,'Day avg Portion'!$V$1,#REF!,'Day avg Portion'!#REF!,#REF!,'Day avg Portion'!$W12)</f>
        <v>#REF!</v>
      </c>
      <c r="Y12" s="5" t="e">
        <f t="shared" si="12"/>
        <v>#REF!</v>
      </c>
      <c r="AA12" s="2">
        <v>201</v>
      </c>
      <c r="AB12" s="4" t="e">
        <f>SUMIFS(#REF!,#REF!,'Day avg Portion'!$V$1,#REF!,'Day avg Portion'!$V$2,#REF!,'Day avg Portion'!$W12)+SUMIFS(#REF!,#REF!,'Day avg Portion'!$V$1,#REF!,'Day avg Portion'!$V$3,#REF!,'Day avg Portion'!$W12)+SUMIFS(#REF!,#REF!,'Day avg Portion'!$V$1,#REF!,'Day avg Portion'!$V$4,#REF!,'Day avg Portion'!$W12)+SUMIFS(#REF!,#REF!,'Day avg Portion'!$V$1,#REF!,'Day avg Portion'!#REF!,#REF!,'Day avg Portion'!$W12)</f>
        <v>#REF!</v>
      </c>
      <c r="AC12" s="5" t="e">
        <f t="shared" si="13"/>
        <v>#REF!</v>
      </c>
    </row>
    <row r="13" spans="1:29" x14ac:dyDescent="0.2">
      <c r="A13" s="2">
        <v>102</v>
      </c>
      <c r="B13" s="4">
        <f>SUMIFS(Data!$E:$E,Data!$K:$K,'Day avg Portion'!$A13,Data!$J:$J,'Day avg Portion'!B$1)</f>
        <v>0</v>
      </c>
      <c r="C13" s="4">
        <f>SUMIFS(Data!$E:$E,Data!$K:$K,'Day avg Portion'!$A13,Data!$J:$J,'Day avg Portion'!C$1)</f>
        <v>0</v>
      </c>
      <c r="D13" s="4">
        <f>SUMIFS(Data!$E:$E,Data!$K:$K,'Day avg Portion'!$A13,Data!$J:$J,'Day avg Portion'!D$1)</f>
        <v>0</v>
      </c>
      <c r="E13" s="4">
        <f>SUMIFS(Data!$E:$E,Data!$K:$K,'Day avg Portion'!$A13,Data!$J:$J,'Day avg Portion'!E$1)</f>
        <v>0</v>
      </c>
      <c r="F13" s="4">
        <f>SUMIFS(Data!$E:$E,Data!$K:$K,'Day avg Portion'!$A13,Data!$J:$J,'Day avg Portion'!F$1)</f>
        <v>0</v>
      </c>
      <c r="G13" s="4">
        <f>SUMIFS(Data!$E:$E,Data!$K:$K,'Day avg Portion'!$A13,Data!$J:$J,'Day avg Portion'!G$1)</f>
        <v>0</v>
      </c>
      <c r="H13" s="4">
        <f>SUMIFS(Data!$E:$E,Data!$K:$K,'Day avg Portion'!$A13,Data!$J:$J,'Day avg Portion'!H$1)</f>
        <v>0</v>
      </c>
      <c r="I13" s="4"/>
      <c r="J13" s="15">
        <f t="shared" si="11"/>
        <v>0</v>
      </c>
      <c r="K13" s="2">
        <f t="shared" ref="K13" si="22">A13</f>
        <v>102</v>
      </c>
      <c r="L13" s="14">
        <f t="shared" si="14"/>
        <v>0</v>
      </c>
      <c r="M13" s="14">
        <f t="shared" si="15"/>
        <v>0</v>
      </c>
      <c r="N13" s="14">
        <f t="shared" si="16"/>
        <v>0</v>
      </c>
      <c r="O13" s="14">
        <f t="shared" si="17"/>
        <v>0</v>
      </c>
      <c r="P13" s="14">
        <f t="shared" si="18"/>
        <v>0</v>
      </c>
      <c r="Q13" s="14">
        <f t="shared" si="19"/>
        <v>0</v>
      </c>
      <c r="R13" s="14">
        <f t="shared" si="20"/>
        <v>0</v>
      </c>
      <c r="S13" s="5">
        <f t="shared" si="21"/>
        <v>0</v>
      </c>
      <c r="W13" s="2">
        <f t="shared" ref="W13" si="23">A13</f>
        <v>102</v>
      </c>
      <c r="X13" s="4" t="e">
        <f>SUMIFS(#REF!,#REF!,'Day avg Portion'!$V$1,#REF!,'Day avg Portion'!$V$2,#REF!,'Day avg Portion'!$W13)+SUMIFS(#REF!,#REF!,'Day avg Portion'!$V$1,#REF!,'Day avg Portion'!$V$3,#REF!,'Day avg Portion'!$W13)+SUMIFS(#REF!,#REF!,'Day avg Portion'!$V$1,#REF!,'Day avg Portion'!$V$4,#REF!,'Day avg Portion'!$W13)+SUMIFS(#REF!,#REF!,'Day avg Portion'!$V$1,#REF!,'Day avg Portion'!#REF!,#REF!,'Day avg Portion'!$W13)</f>
        <v>#REF!</v>
      </c>
      <c r="Y13" s="5" t="e">
        <f t="shared" si="12"/>
        <v>#REF!</v>
      </c>
      <c r="AA13" s="2">
        <v>201</v>
      </c>
      <c r="AB13" s="4" t="e">
        <f>SUMIFS(#REF!,#REF!,'Day avg Portion'!$V$1,#REF!,'Day avg Portion'!$V$2,#REF!,'Day avg Portion'!$W13)+SUMIFS(#REF!,#REF!,'Day avg Portion'!$V$1,#REF!,'Day avg Portion'!$V$3,#REF!,'Day avg Portion'!$W13)+SUMIFS(#REF!,#REF!,'Day avg Portion'!$V$1,#REF!,'Day avg Portion'!$V$4,#REF!,'Day avg Portion'!$W13)+SUMIFS(#REF!,#REF!,'Day avg Portion'!$V$1,#REF!,'Day avg Portion'!#REF!,#REF!,'Day avg Portion'!$W13)</f>
        <v>#REF!</v>
      </c>
      <c r="AC13" s="5" t="e">
        <f t="shared" si="13"/>
        <v>#REF!</v>
      </c>
    </row>
    <row r="14" spans="1:29" x14ac:dyDescent="0.2">
      <c r="A14" s="2">
        <v>103</v>
      </c>
      <c r="B14" s="4">
        <f>SUMIFS(Data!$E:$E,Data!$K:$K,'Day avg Portion'!$A14,Data!$J:$J,'Day avg Portion'!B$1)</f>
        <v>2741.52</v>
      </c>
      <c r="C14" s="4">
        <f>SUMIFS(Data!$E:$E,Data!$K:$K,'Day avg Portion'!$A14,Data!$J:$J,'Day avg Portion'!C$1)</f>
        <v>5938.9800000000014</v>
      </c>
      <c r="D14" s="4">
        <f>SUMIFS(Data!$E:$E,Data!$K:$K,'Day avg Portion'!$A14,Data!$J:$J,'Day avg Portion'!D$1)</f>
        <v>8023.9999999999991</v>
      </c>
      <c r="E14" s="4">
        <f>SUMIFS(Data!$E:$E,Data!$K:$K,'Day avg Portion'!$A14,Data!$J:$J,'Day avg Portion'!E$1)</f>
        <v>5999.4299999999976</v>
      </c>
      <c r="F14" s="4">
        <f>SUMIFS(Data!$E:$E,Data!$K:$K,'Day avg Portion'!$A14,Data!$J:$J,'Day avg Portion'!F$1)</f>
        <v>10642.169999999998</v>
      </c>
      <c r="G14" s="4">
        <f>SUMIFS(Data!$E:$E,Data!$K:$K,'Day avg Portion'!$A14,Data!$J:$J,'Day avg Portion'!G$1)</f>
        <v>6907.8399999999983</v>
      </c>
      <c r="H14" s="4">
        <f>SUMIFS(Data!$E:$E,Data!$K:$K,'Day avg Portion'!$A14,Data!$J:$J,'Day avg Portion'!H$1)</f>
        <v>7734.33</v>
      </c>
      <c r="I14" s="4">
        <f t="shared" ref="I14" si="24">SUM(B14:H14)</f>
        <v>47988.26999999999</v>
      </c>
      <c r="J14" s="15">
        <f t="shared" si="11"/>
        <v>0.19968689763299449</v>
      </c>
      <c r="K14" s="2">
        <f t="shared" ref="K14:K15" si="25">A14</f>
        <v>103</v>
      </c>
      <c r="L14" s="14">
        <f t="shared" ref="L14" si="26">IFERROR(B14/$I14,0)</f>
        <v>5.7128960889817462E-2</v>
      </c>
      <c r="M14" s="14">
        <f t="shared" ref="M14" si="27">IFERROR(C14/$I14,0)</f>
        <v>0.12375899360406205</v>
      </c>
      <c r="N14" s="14">
        <f t="shared" ref="N14" si="28">IFERROR(D14/$I14,0)</f>
        <v>0.16720752800632324</v>
      </c>
      <c r="O14" s="14">
        <f t="shared" ref="O14" si="29">IFERROR(E14/$I14,0)</f>
        <v>0.12501867643905476</v>
      </c>
      <c r="P14" s="14">
        <f t="shared" ref="P14" si="30">IFERROR(F14/$I14,0)</f>
        <v>0.22176606908313221</v>
      </c>
      <c r="Q14" s="14">
        <f t="shared" ref="Q14" si="31">IFERROR(G14/$I14,0)</f>
        <v>0.14394851075064802</v>
      </c>
      <c r="R14" s="14">
        <f t="shared" ref="R14" si="32">IFERROR(H14/$I14,0)</f>
        <v>0.16117126122696238</v>
      </c>
      <c r="S14" s="5">
        <f t="shared" ref="S14" si="33">IFERROR(I14/$I14,0)</f>
        <v>1</v>
      </c>
      <c r="W14" s="2">
        <f t="shared" ref="W14:W15" si="34">A14</f>
        <v>103</v>
      </c>
      <c r="X14" s="4" t="e">
        <f>SUMIFS(#REF!,#REF!,'Day avg Portion'!$V$1,#REF!,'Day avg Portion'!$V$2,#REF!,'Day avg Portion'!$W14)+SUMIFS(#REF!,#REF!,'Day avg Portion'!$V$1,#REF!,'Day avg Portion'!$V$3,#REF!,'Day avg Portion'!$W14)+SUMIFS(#REF!,#REF!,'Day avg Portion'!$V$1,#REF!,'Day avg Portion'!$V$4,#REF!,'Day avg Portion'!$W14)+SUMIFS(#REF!,#REF!,'Day avg Portion'!$V$1,#REF!,'Day avg Portion'!#REF!,#REF!,'Day avg Portion'!$W14)</f>
        <v>#REF!</v>
      </c>
      <c r="Y14" s="5" t="e">
        <f t="shared" si="12"/>
        <v>#REF!</v>
      </c>
      <c r="AA14" s="2">
        <v>201</v>
      </c>
      <c r="AB14" s="4" t="e">
        <f>SUMIFS(#REF!,#REF!,'Day avg Portion'!$V$1,#REF!,'Day avg Portion'!$V$2,#REF!,'Day avg Portion'!$W14)+SUMIFS(#REF!,#REF!,'Day avg Portion'!$V$1,#REF!,'Day avg Portion'!$V$3,#REF!,'Day avg Portion'!$W14)+SUMIFS(#REF!,#REF!,'Day avg Portion'!$V$1,#REF!,'Day avg Portion'!$V$4,#REF!,'Day avg Portion'!$W14)+SUMIFS(#REF!,#REF!,'Day avg Portion'!$V$1,#REF!,'Day avg Portion'!#REF!,#REF!,'Day avg Portion'!$W14)</f>
        <v>#REF!</v>
      </c>
      <c r="AC14" s="5" t="e">
        <f t="shared" si="13"/>
        <v>#REF!</v>
      </c>
    </row>
    <row r="15" spans="1:29" x14ac:dyDescent="0.2">
      <c r="A15" s="2">
        <v>104</v>
      </c>
      <c r="B15" s="4">
        <f>SUMIFS(Data!$E:$E,Data!$K:$K,'Day avg Portion'!$A15,Data!$J:$J,'Day avg Portion'!B$1)</f>
        <v>0</v>
      </c>
      <c r="C15" s="4">
        <f>SUMIFS(Data!$E:$E,Data!$K:$K,'Day avg Portion'!$A15,Data!$J:$J,'Day avg Portion'!C$1)</f>
        <v>0</v>
      </c>
      <c r="D15" s="4">
        <f>SUMIFS(Data!$E:$E,Data!$K:$K,'Day avg Portion'!$A15,Data!$J:$J,'Day avg Portion'!D$1)</f>
        <v>0</v>
      </c>
      <c r="E15" s="4">
        <f>SUMIFS(Data!$E:$E,Data!$K:$K,'Day avg Portion'!$A15,Data!$J:$J,'Day avg Portion'!E$1)</f>
        <v>0</v>
      </c>
      <c r="F15" s="4">
        <f>SUMIFS(Data!$E:$E,Data!$K:$K,'Day avg Portion'!$A15,Data!$J:$J,'Day avg Portion'!F$1)</f>
        <v>0</v>
      </c>
      <c r="G15" s="4">
        <f>SUMIFS(Data!$E:$E,Data!$K:$K,'Day avg Portion'!$A15,Data!$J:$J,'Day avg Portion'!G$1)</f>
        <v>0</v>
      </c>
      <c r="H15" s="4">
        <f>SUMIFS(Data!$E:$E,Data!$K:$K,'Day avg Portion'!$A15,Data!$J:$J,'Day avg Portion'!H$1)</f>
        <v>0</v>
      </c>
      <c r="I15" s="4"/>
      <c r="J15" s="15">
        <f t="shared" ref="J15" si="35">I15/$I$20</f>
        <v>0</v>
      </c>
      <c r="K15" s="2">
        <f t="shared" si="25"/>
        <v>104</v>
      </c>
      <c r="L15" s="14">
        <f t="shared" ref="L15" si="36">IFERROR(B15/$I15,0)</f>
        <v>0</v>
      </c>
      <c r="M15" s="14">
        <f t="shared" ref="M15" si="37">IFERROR(C15/$I15,0)</f>
        <v>0</v>
      </c>
      <c r="N15" s="14">
        <f t="shared" ref="N15" si="38">IFERROR(D15/$I15,0)</f>
        <v>0</v>
      </c>
      <c r="O15" s="14">
        <f t="shared" ref="O15" si="39">IFERROR(E15/$I15,0)</f>
        <v>0</v>
      </c>
      <c r="P15" s="14">
        <f t="shared" ref="P15" si="40">IFERROR(F15/$I15,0)</f>
        <v>0</v>
      </c>
      <c r="Q15" s="14">
        <f t="shared" ref="Q15" si="41">IFERROR(G15/$I15,0)</f>
        <v>0</v>
      </c>
      <c r="R15" s="14">
        <f t="shared" ref="R15" si="42">IFERROR(H15/$I15,0)</f>
        <v>0</v>
      </c>
      <c r="S15" s="5">
        <f t="shared" ref="S15" si="43">IFERROR(I15/$I15,0)</f>
        <v>0</v>
      </c>
      <c r="W15" s="2">
        <f t="shared" si="34"/>
        <v>104</v>
      </c>
      <c r="X15" s="4" t="e">
        <f>SUMIFS(#REF!,#REF!,'Day avg Portion'!$V$1,#REF!,'Day avg Portion'!$V$2,#REF!,'Day avg Portion'!$W15)+SUMIFS(#REF!,#REF!,'Day avg Portion'!$V$1,#REF!,'Day avg Portion'!$V$3,#REF!,'Day avg Portion'!$W15)+SUMIFS(#REF!,#REF!,'Day avg Portion'!$V$1,#REF!,'Day avg Portion'!$V$4,#REF!,'Day avg Portion'!$W15)+SUMIFS(#REF!,#REF!,'Day avg Portion'!$V$1,#REF!,'Day avg Portion'!#REF!,#REF!,'Day avg Portion'!$W15)</f>
        <v>#REF!</v>
      </c>
      <c r="Y15" s="5" t="e">
        <f t="shared" ref="Y15" si="44">X15/X$20</f>
        <v>#REF!</v>
      </c>
      <c r="AA15" s="2">
        <v>201</v>
      </c>
      <c r="AB15" s="4" t="e">
        <f>SUMIFS(#REF!,#REF!,'Day avg Portion'!$V$1,#REF!,'Day avg Portion'!$V$2,#REF!,'Day avg Portion'!$W15)+SUMIFS(#REF!,#REF!,'Day avg Portion'!$V$1,#REF!,'Day avg Portion'!$V$3,#REF!,'Day avg Portion'!$W15)+SUMIFS(#REF!,#REF!,'Day avg Portion'!$V$1,#REF!,'Day avg Portion'!$V$4,#REF!,'Day avg Portion'!$W15)+SUMIFS(#REF!,#REF!,'Day avg Portion'!$V$1,#REF!,'Day avg Portion'!#REF!,#REF!,'Day avg Portion'!$W15)</f>
        <v>#REF!</v>
      </c>
      <c r="AC15" s="5" t="e">
        <f t="shared" ref="AC15" si="45">AB15/AB$20</f>
        <v>#REF!</v>
      </c>
    </row>
    <row r="16" spans="1:29" x14ac:dyDescent="0.2">
      <c r="A16" s="2">
        <v>201</v>
      </c>
      <c r="B16" s="4">
        <f>SUMIFS(Data!$E:$E,Data!$K:$K,'Day avg Portion'!$A16,Data!$J:$J,'Day avg Portion'!B$1)</f>
        <v>2499.2500000000009</v>
      </c>
      <c r="C16" s="4">
        <f>SUMIFS(Data!$E:$E,Data!$K:$K,'Day avg Portion'!$A16,Data!$J:$J,'Day avg Portion'!C$1)</f>
        <v>3255.6699999999996</v>
      </c>
      <c r="D16" s="4">
        <f>SUMIFS(Data!$E:$E,Data!$K:$K,'Day avg Portion'!$A16,Data!$J:$J,'Day avg Portion'!D$1)</f>
        <v>4303.7699999999995</v>
      </c>
      <c r="E16" s="4">
        <f>SUMIFS(Data!$E:$E,Data!$K:$K,'Day avg Portion'!$A16,Data!$J:$J,'Day avg Portion'!E$1)</f>
        <v>3934.6499999999987</v>
      </c>
      <c r="F16" s="4">
        <f>SUMIFS(Data!$E:$E,Data!$K:$K,'Day avg Portion'!$A16,Data!$J:$J,'Day avg Portion'!F$1)</f>
        <v>5851.26</v>
      </c>
      <c r="G16" s="4">
        <f>SUMIFS(Data!$E:$E,Data!$K:$K,'Day avg Portion'!$A16,Data!$J:$J,'Day avg Portion'!G$1)</f>
        <v>7278.84</v>
      </c>
      <c r="H16" s="4">
        <f>SUMIFS(Data!$E:$E,Data!$K:$K,'Day avg Portion'!$A16,Data!$J:$J,'Day avg Portion'!H$1)</f>
        <v>5340.9200000000019</v>
      </c>
      <c r="I16" s="4">
        <f t="shared" si="10"/>
        <v>32464.36</v>
      </c>
      <c r="J16" s="15">
        <f>I16/$I$20</f>
        <v>0.13508941522669357</v>
      </c>
      <c r="K16" s="2">
        <f t="shared" ref="K16:K19" si="46">A16</f>
        <v>201</v>
      </c>
      <c r="L16" s="14">
        <f t="shared" si="9"/>
        <v>7.6984422301871983E-2</v>
      </c>
      <c r="M16" s="14">
        <f t="shared" si="1"/>
        <v>0.10028443499271199</v>
      </c>
      <c r="N16" s="14">
        <f t="shared" si="2"/>
        <v>0.13256906958892767</v>
      </c>
      <c r="O16" s="14">
        <f t="shared" si="3"/>
        <v>0.12119906260280501</v>
      </c>
      <c r="P16" s="14">
        <f t="shared" si="4"/>
        <v>0.18023641926099884</v>
      </c>
      <c r="Q16" s="14">
        <f t="shared" si="5"/>
        <v>0.22421018002511062</v>
      </c>
      <c r="R16" s="14">
        <f t="shared" si="6"/>
        <v>0.16451641122757393</v>
      </c>
      <c r="S16" s="5">
        <f t="shared" si="7"/>
        <v>1</v>
      </c>
      <c r="W16" s="2">
        <f t="shared" ref="W16:W19" si="47">A16</f>
        <v>201</v>
      </c>
      <c r="X16" s="4" t="e">
        <f>SUMIFS(#REF!,#REF!,'Day avg Portion'!$V$1,#REF!,'Day avg Portion'!$V$2,#REF!,'Day avg Portion'!$W16)+SUMIFS(#REF!,#REF!,'Day avg Portion'!$V$1,#REF!,'Day avg Portion'!$V$3,#REF!,'Day avg Portion'!$W16)+SUMIFS(#REF!,#REF!,'Day avg Portion'!$V$1,#REF!,'Day avg Portion'!$V$4,#REF!,'Day avg Portion'!$W16)+SUMIFS(#REF!,#REF!,'Day avg Portion'!$V$1,#REF!,'Day avg Portion'!#REF!,#REF!,'Day avg Portion'!$W16)</f>
        <v>#REF!</v>
      </c>
      <c r="Y16" s="5" t="e">
        <f>X16/X$20</f>
        <v>#REF!</v>
      </c>
      <c r="AA16" s="2">
        <v>201</v>
      </c>
      <c r="AB16" s="4" t="e">
        <f>SUMIFS(#REF!,#REF!,'Day avg Portion'!$V$1,#REF!,'Day avg Portion'!$V$2,#REF!,'Day avg Portion'!$W16)+SUMIFS(#REF!,#REF!,'Day avg Portion'!$V$1,#REF!,'Day avg Portion'!$V$3,#REF!,'Day avg Portion'!$W16)+SUMIFS(#REF!,#REF!,'Day avg Portion'!$V$1,#REF!,'Day avg Portion'!$V$4,#REF!,'Day avg Portion'!$W16)+SUMIFS(#REF!,#REF!,'Day avg Portion'!$V$1,#REF!,'Day avg Portion'!#REF!,#REF!,'Day avg Portion'!$W16)</f>
        <v>#REF!</v>
      </c>
      <c r="AC16" s="5" t="e">
        <f>AB16/AB$20</f>
        <v>#REF!</v>
      </c>
    </row>
    <row r="17" spans="1:29" x14ac:dyDescent="0.2">
      <c r="A17" s="2">
        <v>401</v>
      </c>
      <c r="B17" s="4">
        <f>SUMIFS(Data!$E:$E,Data!$K:$K,'Day avg Portion'!$A17,Data!$J:$J,'Day avg Portion'!B$1)</f>
        <v>0</v>
      </c>
      <c r="C17" s="4">
        <f>SUMIFS(Data!$E:$E,Data!$K:$K,'Day avg Portion'!$A17,Data!$J:$J,'Day avg Portion'!C$1)</f>
        <v>0</v>
      </c>
      <c r="D17" s="4">
        <f>SUMIFS(Data!$E:$E,Data!$K:$K,'Day avg Portion'!$A17,Data!$J:$J,'Day avg Portion'!D$1)</f>
        <v>0</v>
      </c>
      <c r="E17" s="4">
        <f>SUMIFS(Data!$E:$E,Data!$K:$K,'Day avg Portion'!$A17,Data!$J:$J,'Day avg Portion'!E$1)</f>
        <v>0</v>
      </c>
      <c r="F17" s="4">
        <f>SUMIFS(Data!$E:$E,Data!$K:$K,'Day avg Portion'!$A17,Data!$J:$J,'Day avg Portion'!F$1)</f>
        <v>0</v>
      </c>
      <c r="G17" s="4">
        <f>SUMIFS(Data!$E:$E,Data!$K:$K,'Day avg Portion'!$A17,Data!$J:$J,'Day avg Portion'!G$1)</f>
        <v>0</v>
      </c>
      <c r="H17" s="4">
        <f>SUMIFS(Data!$E:$E,Data!$K:$K,'Day avg Portion'!$A17,Data!$J:$J,'Day avg Portion'!H$1)</f>
        <v>0</v>
      </c>
      <c r="I17" s="4"/>
      <c r="J17" s="15">
        <f>I17/$I$20</f>
        <v>0</v>
      </c>
      <c r="K17" s="2">
        <f t="shared" si="46"/>
        <v>401</v>
      </c>
      <c r="L17" s="14">
        <f t="shared" ref="L17" si="48">IFERROR(B17/$I17,0)</f>
        <v>0</v>
      </c>
      <c r="M17" s="14">
        <f t="shared" ref="M17" si="49">IFERROR(C17/$I17,0)</f>
        <v>0</v>
      </c>
      <c r="N17" s="14">
        <f t="shared" ref="N17" si="50">IFERROR(D17/$I17,0)</f>
        <v>0</v>
      </c>
      <c r="O17" s="14">
        <f t="shared" ref="O17" si="51">IFERROR(E17/$I17,0)</f>
        <v>0</v>
      </c>
      <c r="P17" s="14">
        <f t="shared" ref="P17" si="52">IFERROR(F17/$I17,0)</f>
        <v>0</v>
      </c>
      <c r="Q17" s="14">
        <f t="shared" ref="Q17" si="53">IFERROR(G17/$I17,0)</f>
        <v>0</v>
      </c>
      <c r="R17" s="14">
        <f t="shared" ref="R17" si="54">IFERROR(H17/$I17,0)</f>
        <v>0</v>
      </c>
      <c r="S17" s="5">
        <f t="shared" ref="S17" si="55">IFERROR(I17/$I17,0)</f>
        <v>0</v>
      </c>
      <c r="W17" s="2">
        <f t="shared" si="47"/>
        <v>401</v>
      </c>
      <c r="X17" s="4"/>
      <c r="Y17" s="5"/>
      <c r="AB17" s="4"/>
      <c r="AC17" s="5"/>
    </row>
    <row r="18" spans="1:29" x14ac:dyDescent="0.2">
      <c r="A18" s="2">
        <v>501</v>
      </c>
      <c r="B18" s="4">
        <f>SUMIFS(Data!$E:$E,Data!$K:$K,'Day avg Portion'!$A18,Data!$J:$J,'Day avg Portion'!B$1)</f>
        <v>0</v>
      </c>
      <c r="C18" s="4">
        <f>SUMIFS(Data!$E:$E,Data!$K:$K,'Day avg Portion'!$A18,Data!$J:$J,'Day avg Portion'!C$1)</f>
        <v>0</v>
      </c>
      <c r="D18" s="4">
        <f>SUMIFS(Data!$E:$E,Data!$K:$K,'Day avg Portion'!$A18,Data!$J:$J,'Day avg Portion'!D$1)</f>
        <v>0</v>
      </c>
      <c r="E18" s="4">
        <f>SUMIFS(Data!$E:$E,Data!$K:$K,'Day avg Portion'!$A18,Data!$J:$J,'Day avg Portion'!E$1)</f>
        <v>0</v>
      </c>
      <c r="F18" s="4">
        <f>SUMIFS(Data!$E:$E,Data!$K:$K,'Day avg Portion'!$A18,Data!$J:$J,'Day avg Portion'!F$1)</f>
        <v>0</v>
      </c>
      <c r="G18" s="4">
        <f>SUMIFS(Data!$E:$E,Data!$K:$K,'Day avg Portion'!$A18,Data!$J:$J,'Day avg Portion'!G$1)</f>
        <v>0</v>
      </c>
      <c r="H18" s="4">
        <f>SUMIFS(Data!$E:$E,Data!$K:$K,'Day avg Portion'!$A18,Data!$J:$J,'Day avg Portion'!H$1)</f>
        <v>0</v>
      </c>
      <c r="I18" s="4"/>
      <c r="J18" s="15"/>
      <c r="K18" s="2">
        <f t="shared" si="46"/>
        <v>501</v>
      </c>
      <c r="L18" s="14">
        <f t="shared" si="9"/>
        <v>0</v>
      </c>
      <c r="M18" s="14">
        <f t="shared" si="1"/>
        <v>0</v>
      </c>
      <c r="N18" s="14">
        <f t="shared" si="2"/>
        <v>0</v>
      </c>
      <c r="O18" s="14">
        <f t="shared" si="3"/>
        <v>0</v>
      </c>
      <c r="P18" s="14">
        <f t="shared" si="4"/>
        <v>0</v>
      </c>
      <c r="Q18" s="14">
        <f t="shared" si="5"/>
        <v>0</v>
      </c>
      <c r="R18" s="14">
        <f t="shared" si="6"/>
        <v>0</v>
      </c>
      <c r="S18" s="5">
        <f t="shared" si="7"/>
        <v>0</v>
      </c>
      <c r="W18" s="2">
        <f t="shared" si="47"/>
        <v>501</v>
      </c>
      <c r="X18" s="4" t="e">
        <f>SUMIFS(#REF!,#REF!,'Day avg Portion'!$V$1,#REF!,'Day avg Portion'!$V$2,#REF!,'Day avg Portion'!$W18)+SUMIFS(#REF!,#REF!,'Day avg Portion'!$V$1,#REF!,'Day avg Portion'!$V$3,#REF!,'Day avg Portion'!$W18)+SUMIFS(#REF!,#REF!,'Day avg Portion'!$V$1,#REF!,'Day avg Portion'!$V$4,#REF!,'Day avg Portion'!$W18)+SUMIFS(#REF!,#REF!,'Day avg Portion'!$V$1,#REF!,'Day avg Portion'!#REF!,#REF!,'Day avg Portion'!$W18)</f>
        <v>#REF!</v>
      </c>
      <c r="Y18" s="5" t="e">
        <f>X18/X$20</f>
        <v>#REF!</v>
      </c>
      <c r="AA18" s="2">
        <v>501</v>
      </c>
      <c r="AB18" s="4" t="e">
        <f>SUMIFS(#REF!,#REF!,'Day avg Portion'!$V$1,#REF!,'Day avg Portion'!$V$2,#REF!,'Day avg Portion'!$W18)+SUMIFS(#REF!,#REF!,'Day avg Portion'!$V$1,#REF!,'Day avg Portion'!$V$3,#REF!,'Day avg Portion'!$W18)+SUMIFS(#REF!,#REF!,'Day avg Portion'!$V$1,#REF!,'Day avg Portion'!$V$4,#REF!,'Day avg Portion'!$W18)+SUMIFS(#REF!,#REF!,'Day avg Portion'!$V$1,#REF!,'Day avg Portion'!#REF!,#REF!,'Day avg Portion'!$W18)</f>
        <v>#REF!</v>
      </c>
      <c r="AC18" s="5" t="e">
        <f>AB18/AB$20</f>
        <v>#REF!</v>
      </c>
    </row>
    <row r="19" spans="1:29" x14ac:dyDescent="0.2">
      <c r="A19" s="2">
        <v>304</v>
      </c>
      <c r="B19" s="4">
        <f>SUMIFS(Data!$E:$E,Data!$K:$K,'Day avg Portion'!$A19,Data!$J:$J,'Day avg Portion'!B$1)</f>
        <v>0</v>
      </c>
      <c r="C19" s="4">
        <f>SUMIFS(Data!$E:$E,Data!$K:$K,'Day avg Portion'!$A19,Data!$J:$J,'Day avg Portion'!C$1)</f>
        <v>0</v>
      </c>
      <c r="D19" s="4">
        <f>SUMIFS(Data!$E:$E,Data!$K:$K,'Day avg Portion'!$A19,Data!$J:$J,'Day avg Portion'!D$1)</f>
        <v>0</v>
      </c>
      <c r="E19" s="4">
        <f>SUMIFS(Data!$E:$E,Data!$K:$K,'Day avg Portion'!$A19,Data!$J:$J,'Day avg Portion'!E$1)</f>
        <v>0</v>
      </c>
      <c r="F19" s="4">
        <f>SUMIFS(Data!$E:$E,Data!$K:$K,'Day avg Portion'!$A19,Data!$J:$J,'Day avg Portion'!F$1)</f>
        <v>0</v>
      </c>
      <c r="G19" s="4">
        <f>SUMIFS(Data!$E:$E,Data!$K:$K,'Day avg Portion'!$A19,Data!$J:$J,'Day avg Portion'!G$1)</f>
        <v>0</v>
      </c>
      <c r="H19" s="4">
        <f>SUMIFS(Data!$E:$E,Data!$K:$K,'Day avg Portion'!$A19,Data!$J:$J,'Day avg Portion'!H$1)</f>
        <v>0</v>
      </c>
      <c r="I19" s="4">
        <f t="shared" ref="I19" si="56">SUM(B19:H19)</f>
        <v>0</v>
      </c>
      <c r="J19" s="15">
        <f>I19/$I$20</f>
        <v>0</v>
      </c>
      <c r="K19" s="2">
        <f t="shared" si="46"/>
        <v>304</v>
      </c>
      <c r="L19" s="14">
        <f t="shared" si="9"/>
        <v>0</v>
      </c>
      <c r="M19" s="14">
        <v>0</v>
      </c>
      <c r="N19" s="14">
        <v>0</v>
      </c>
      <c r="O19" s="14"/>
      <c r="P19" s="14">
        <f t="shared" si="4"/>
        <v>0</v>
      </c>
      <c r="Q19" s="14">
        <v>0</v>
      </c>
      <c r="R19" s="14">
        <f t="shared" si="6"/>
        <v>0</v>
      </c>
      <c r="S19" s="5">
        <f t="shared" si="7"/>
        <v>0</v>
      </c>
      <c r="W19" s="2">
        <f t="shared" si="47"/>
        <v>304</v>
      </c>
      <c r="X19" s="4" t="e">
        <f>SUMIFS(#REF!,#REF!,'Day avg Portion'!$V$1,#REF!,'Day avg Portion'!$V$2,#REF!,'Day avg Portion'!$W19)+SUMIFS(#REF!,#REF!,'Day avg Portion'!$V$1,#REF!,'Day avg Portion'!$V$3,#REF!,'Day avg Portion'!$W19)+SUMIFS(#REF!,#REF!,'Day avg Portion'!$V$1,#REF!,'Day avg Portion'!$V$4,#REF!,'Day avg Portion'!$W19)+SUMIFS(#REF!,#REF!,'Day avg Portion'!$V$1,#REF!,'Day avg Portion'!#REF!,#REF!,'Day avg Portion'!$W19)</f>
        <v>#REF!</v>
      </c>
      <c r="Y19" s="5" t="e">
        <f>X19/X$20</f>
        <v>#REF!</v>
      </c>
      <c r="AA19" s="2">
        <v>304</v>
      </c>
      <c r="AB19" s="4" t="e">
        <f>SUMIFS(#REF!,#REF!,'Day avg Portion'!$V$1,#REF!,'Day avg Portion'!$V$2,#REF!,'Day avg Portion'!$W19)+SUMIFS(#REF!,#REF!,'Day avg Portion'!$V$1,#REF!,'Day avg Portion'!$V$3,#REF!,'Day avg Portion'!$W19)+SUMIFS(#REF!,#REF!,'Day avg Portion'!$V$1,#REF!,'Day avg Portion'!$V$4,#REF!,'Day avg Portion'!$W19)+SUMIFS(#REF!,#REF!,'Day avg Portion'!$V$1,#REF!,'Day avg Portion'!#REF!,#REF!,'Day avg Portion'!$W19)</f>
        <v>#REF!</v>
      </c>
      <c r="AC19" s="5" t="e">
        <f>AB19/AB$20</f>
        <v>#REF!</v>
      </c>
    </row>
    <row r="20" spans="1:29" x14ac:dyDescent="0.2">
      <c r="I20" s="9">
        <f>SUM(I2:I17)</f>
        <v>240317.57</v>
      </c>
      <c r="J20" s="21">
        <f>SUM(J2:J17)</f>
        <v>1</v>
      </c>
      <c r="L20" s="8"/>
      <c r="S20" s="2">
        <f t="shared" si="7"/>
        <v>1</v>
      </c>
      <c r="W20" s="2" t="s">
        <v>48</v>
      </c>
      <c r="X20" s="4" t="e">
        <f>SUM(X2:X19)</f>
        <v>#REF!</v>
      </c>
      <c r="Y20" s="5" t="e">
        <f>X20/X$20</f>
        <v>#REF!</v>
      </c>
      <c r="AA20" s="2" t="s">
        <v>48</v>
      </c>
      <c r="AB20" s="4" t="e">
        <f>SUM(AB2:AB19)</f>
        <v>#REF!</v>
      </c>
      <c r="AC20" s="5" t="e">
        <f>AB20/AB$20</f>
        <v>#REF!</v>
      </c>
    </row>
    <row r="22" spans="1:29" x14ac:dyDescent="0.2">
      <c r="A22" s="2" t="s">
        <v>50</v>
      </c>
      <c r="B22" s="3">
        <v>1</v>
      </c>
      <c r="C22" s="3">
        <v>2</v>
      </c>
      <c r="D22" s="3">
        <v>3</v>
      </c>
      <c r="E22" s="3">
        <v>4</v>
      </c>
      <c r="F22" s="3">
        <v>5</v>
      </c>
      <c r="G22" s="3">
        <v>6</v>
      </c>
      <c r="H22" s="3">
        <v>7</v>
      </c>
      <c r="I22" s="2" t="s">
        <v>48</v>
      </c>
      <c r="K22" s="2" t="s">
        <v>70</v>
      </c>
      <c r="L22" s="3">
        <v>1</v>
      </c>
      <c r="M22" s="3">
        <v>2</v>
      </c>
      <c r="N22" s="3">
        <v>3</v>
      </c>
      <c r="O22" s="3">
        <v>4</v>
      </c>
      <c r="P22" s="3">
        <v>5</v>
      </c>
      <c r="Q22" s="3">
        <v>6</v>
      </c>
      <c r="R22" s="3">
        <v>7</v>
      </c>
      <c r="S22" s="2" t="s">
        <v>48</v>
      </c>
    </row>
    <row r="23" spans="1:29" x14ac:dyDescent="0.2">
      <c r="A23" s="2">
        <v>16</v>
      </c>
      <c r="B23" s="4">
        <f>SUMIFS(Data!$D:$D,Data!$K:$K,'Day avg Portion'!$A23,Data!$J:$J,'Day avg Portion'!B$1)</f>
        <v>0</v>
      </c>
      <c r="C23" s="4">
        <f>SUMIFS(Data!$D:$D,Data!$K:$K,'Day avg Portion'!$A23,Data!$J:$J,'Day avg Portion'!C$1)</f>
        <v>0</v>
      </c>
      <c r="D23" s="4">
        <f>SUMIFS(Data!$D:$D,Data!$K:$K,'Day avg Portion'!$A23,Data!$J:$J,'Day avg Portion'!D$1)</f>
        <v>0</v>
      </c>
      <c r="E23" s="4">
        <f>SUMIFS(Data!$D:$D,Data!$K:$K,'Day avg Portion'!$A23,Data!$J:$J,'Day avg Portion'!E$1)</f>
        <v>0</v>
      </c>
      <c r="F23" s="4">
        <f>SUMIFS(Data!$D:$D,Data!$K:$K,'Day avg Portion'!$A23,Data!$J:$J,'Day avg Portion'!F$1)</f>
        <v>0</v>
      </c>
      <c r="G23" s="4">
        <f>SUMIFS(Data!$D:$D,Data!$K:$K,'Day avg Portion'!$A23,Data!$J:$J,'Day avg Portion'!G$1)</f>
        <v>0</v>
      </c>
      <c r="H23" s="4">
        <f>SUMIFS(Data!$D:$D,Data!$K:$K,'Day avg Portion'!$A23,Data!$J:$J,'Day avg Portion'!H$1)</f>
        <v>0</v>
      </c>
      <c r="I23" s="4"/>
      <c r="J23" s="15">
        <f>I23/$I$41</f>
        <v>0</v>
      </c>
      <c r="K23" s="2">
        <f t="shared" ref="K23:K32" si="57">A23</f>
        <v>16</v>
      </c>
      <c r="L23" s="14">
        <f>IFERROR(B23/$I23,0)</f>
        <v>0</v>
      </c>
      <c r="M23" s="14">
        <f t="shared" ref="M23:M39" si="58">IFERROR(C23/$I23,0)</f>
        <v>0</v>
      </c>
      <c r="N23" s="14">
        <f t="shared" ref="N23:N40" si="59">IFERROR(D23/$I23,0)</f>
        <v>0</v>
      </c>
      <c r="O23" s="14">
        <f t="shared" ref="O23:O39" si="60">IFERROR(E23/$I23,0)</f>
        <v>0</v>
      </c>
      <c r="P23" s="14">
        <f t="shared" ref="P23:P40" si="61">IFERROR(F23/$I23,0)</f>
        <v>0</v>
      </c>
      <c r="Q23" s="14">
        <f t="shared" ref="Q23:Q40" si="62">IFERROR(G23/$I23,0)</f>
        <v>0</v>
      </c>
      <c r="R23" s="14">
        <f t="shared" ref="R23:R40" si="63">IFERROR(H23/$I23,0)</f>
        <v>0</v>
      </c>
      <c r="S23" s="5">
        <f t="shared" ref="S23:S41" si="64">IFERROR(I23/$I23,0)</f>
        <v>0</v>
      </c>
    </row>
    <row r="24" spans="1:29" x14ac:dyDescent="0.2">
      <c r="A24" s="2">
        <v>29</v>
      </c>
      <c r="B24" s="4">
        <f>SUMIFS(Data!$D:$D,Data!$K:$K,'Day avg Portion'!$A24,Data!$J:$J,'Day avg Portion'!B$1)</f>
        <v>0</v>
      </c>
      <c r="C24" s="4">
        <f>SUMIFS(Data!$D:$D,Data!$K:$K,'Day avg Portion'!$A24,Data!$J:$J,'Day avg Portion'!C$1)</f>
        <v>0</v>
      </c>
      <c r="D24" s="4">
        <f>SUMIFS(Data!$D:$D,Data!$K:$K,'Day avg Portion'!$A24,Data!$J:$J,'Day avg Portion'!D$1)</f>
        <v>0</v>
      </c>
      <c r="E24" s="4">
        <f>SUMIFS(Data!$D:$D,Data!$K:$K,'Day avg Portion'!$A24,Data!$J:$J,'Day avg Portion'!E$1)</f>
        <v>0</v>
      </c>
      <c r="F24" s="4">
        <f>SUMIFS(Data!$D:$D,Data!$K:$K,'Day avg Portion'!$A24,Data!$J:$J,'Day avg Portion'!F$1)</f>
        <v>0</v>
      </c>
      <c r="G24" s="4">
        <f>SUMIFS(Data!$D:$D,Data!$K:$K,'Day avg Portion'!$A24,Data!$J:$J,'Day avg Portion'!G$1)</f>
        <v>0</v>
      </c>
      <c r="H24" s="4">
        <f>SUMIFS(Data!$D:$D,Data!$K:$K,'Day avg Portion'!$A24,Data!$J:$J,'Day avg Portion'!H$1)</f>
        <v>0</v>
      </c>
      <c r="I24" s="4"/>
      <c r="J24" s="15">
        <f>I24/$I$41</f>
        <v>0</v>
      </c>
      <c r="K24" s="2">
        <f t="shared" si="57"/>
        <v>29</v>
      </c>
      <c r="L24" s="14">
        <f t="shared" ref="L24:L40" si="65">IFERROR(B24/$I24,0)</f>
        <v>0</v>
      </c>
      <c r="M24" s="14">
        <f t="shared" si="58"/>
        <v>0</v>
      </c>
      <c r="N24" s="14">
        <f t="shared" si="59"/>
        <v>0</v>
      </c>
      <c r="O24" s="14">
        <f t="shared" si="60"/>
        <v>0</v>
      </c>
      <c r="P24" s="14">
        <f t="shared" si="61"/>
        <v>0</v>
      </c>
      <c r="Q24" s="14">
        <f t="shared" si="62"/>
        <v>0</v>
      </c>
      <c r="R24" s="14">
        <f t="shared" si="63"/>
        <v>0</v>
      </c>
      <c r="S24" s="5">
        <f t="shared" si="64"/>
        <v>0</v>
      </c>
    </row>
    <row r="25" spans="1:29" x14ac:dyDescent="0.2">
      <c r="A25" s="2">
        <v>35</v>
      </c>
      <c r="B25" s="4">
        <f>SUMIFS(Data!$D:$D,Data!$K:$K,'Day avg Portion'!$A25,Data!$J:$J,'Day avg Portion'!B$1)</f>
        <v>341</v>
      </c>
      <c r="C25" s="4">
        <f>SUMIFS(Data!$D:$D,Data!$K:$K,'Day avg Portion'!$A25,Data!$J:$J,'Day avg Portion'!C$1)</f>
        <v>378</v>
      </c>
      <c r="D25" s="4">
        <f>SUMIFS(Data!$D:$D,Data!$K:$K,'Day avg Portion'!$A25,Data!$J:$J,'Day avg Portion'!D$1)</f>
        <v>411</v>
      </c>
      <c r="E25" s="4">
        <f>SUMIFS(Data!$D:$D,Data!$K:$K,'Day avg Portion'!$A25,Data!$J:$J,'Day avg Portion'!E$1)</f>
        <v>375</v>
      </c>
      <c r="F25" s="4">
        <f>SUMIFS(Data!$D:$D,Data!$K:$K,'Day avg Portion'!$A25,Data!$J:$J,'Day avg Portion'!F$1)</f>
        <v>823</v>
      </c>
      <c r="G25" s="4">
        <f>SUMIFS(Data!$D:$D,Data!$K:$K,'Day avg Portion'!$A25,Data!$J:$J,'Day avg Portion'!G$1)</f>
        <v>639</v>
      </c>
      <c r="H25" s="4">
        <f>SUMIFS(Data!$D:$D,Data!$K:$K,'Day avg Portion'!$A25,Data!$J:$J,'Day avg Portion'!H$1)</f>
        <v>612</v>
      </c>
      <c r="I25" s="4">
        <f t="shared" ref="I25:I37" si="66">SUM(B25:H25)</f>
        <v>3579</v>
      </c>
      <c r="J25" s="15">
        <f>I25/$I$41</f>
        <v>0.14829700836993454</v>
      </c>
      <c r="K25" s="2">
        <f t="shared" si="57"/>
        <v>35</v>
      </c>
      <c r="L25" s="14">
        <f t="shared" si="65"/>
        <v>9.5278010617490916E-2</v>
      </c>
      <c r="M25" s="14">
        <f t="shared" si="58"/>
        <v>0.10561609388097234</v>
      </c>
      <c r="N25" s="14">
        <f t="shared" si="59"/>
        <v>0.11483654652137469</v>
      </c>
      <c r="O25" s="14">
        <f t="shared" si="60"/>
        <v>0.10477787091366303</v>
      </c>
      <c r="P25" s="14">
        <f t="shared" si="61"/>
        <v>0.22995250069851914</v>
      </c>
      <c r="Q25" s="14">
        <f t="shared" si="62"/>
        <v>0.1785414920368818</v>
      </c>
      <c r="R25" s="14">
        <f t="shared" si="63"/>
        <v>0.17099748533109807</v>
      </c>
      <c r="S25" s="5">
        <f t="shared" si="64"/>
        <v>1</v>
      </c>
    </row>
    <row r="26" spans="1:29" x14ac:dyDescent="0.2">
      <c r="A26" s="2">
        <v>37</v>
      </c>
      <c r="B26" s="4">
        <f>SUMIFS(Data!$D:$D,Data!$K:$K,'Day avg Portion'!$A26,Data!$J:$J,'Day avg Portion'!B$1)</f>
        <v>381</v>
      </c>
      <c r="C26" s="4">
        <f>SUMIFS(Data!$D:$D,Data!$K:$K,'Day avg Portion'!$A26,Data!$J:$J,'Day avg Portion'!C$1)</f>
        <v>296</v>
      </c>
      <c r="D26" s="4">
        <f>SUMIFS(Data!$D:$D,Data!$K:$K,'Day avg Portion'!$A26,Data!$J:$J,'Day avg Portion'!D$1)</f>
        <v>374</v>
      </c>
      <c r="E26" s="4">
        <f>SUMIFS(Data!$D:$D,Data!$K:$K,'Day avg Portion'!$A26,Data!$J:$J,'Day avg Portion'!E$1)</f>
        <v>519</v>
      </c>
      <c r="F26" s="4">
        <f>SUMIFS(Data!$D:$D,Data!$K:$K,'Day avg Portion'!$A26,Data!$J:$J,'Day avg Portion'!F$1)</f>
        <v>695</v>
      </c>
      <c r="G26" s="4">
        <f>SUMIFS(Data!$D:$D,Data!$K:$K,'Day avg Portion'!$A26,Data!$J:$J,'Day avg Portion'!G$1)</f>
        <v>596</v>
      </c>
      <c r="H26" s="4">
        <f>SUMIFS(Data!$D:$D,Data!$K:$K,'Day avg Portion'!$A26,Data!$J:$J,'Day avg Portion'!H$1)</f>
        <v>652</v>
      </c>
      <c r="I26" s="4">
        <f t="shared" si="66"/>
        <v>3513</v>
      </c>
      <c r="J26" s="15">
        <f>I26/$I$41</f>
        <v>0.14556227728515786</v>
      </c>
      <c r="K26" s="2">
        <f t="shared" si="57"/>
        <v>37</v>
      </c>
      <c r="L26" s="14">
        <f t="shared" si="65"/>
        <v>0.10845431255337319</v>
      </c>
      <c r="M26" s="14">
        <f t="shared" si="58"/>
        <v>8.4258468545402795E-2</v>
      </c>
      <c r="N26" s="14">
        <f t="shared" si="59"/>
        <v>0.10646171363506975</v>
      </c>
      <c r="O26" s="14">
        <f t="shared" si="60"/>
        <v>0.14773697694278395</v>
      </c>
      <c r="P26" s="14">
        <f t="shared" si="61"/>
        <v>0.19783660688869911</v>
      </c>
      <c r="Q26" s="14">
        <f t="shared" si="62"/>
        <v>0.16965556504412183</v>
      </c>
      <c r="R26" s="14">
        <f t="shared" si="63"/>
        <v>0.18559635639054939</v>
      </c>
      <c r="S26" s="5">
        <f t="shared" si="64"/>
        <v>1</v>
      </c>
    </row>
    <row r="27" spans="1:29" x14ac:dyDescent="0.2">
      <c r="A27" s="2">
        <v>38</v>
      </c>
      <c r="B27" s="4">
        <f>SUMIFS(Data!$D:$D,Data!$K:$K,'Day avg Portion'!$A27,Data!$J:$J,'Day avg Portion'!B$1)</f>
        <v>0</v>
      </c>
      <c r="C27" s="4">
        <f>SUMIFS(Data!$D:$D,Data!$K:$K,'Day avg Portion'!$A27,Data!$J:$J,'Day avg Portion'!C$1)</f>
        <v>0</v>
      </c>
      <c r="D27" s="4">
        <f>SUMIFS(Data!$D:$D,Data!$K:$K,'Day avg Portion'!$A27,Data!$J:$J,'Day avg Portion'!D$1)</f>
        <v>0</v>
      </c>
      <c r="E27" s="4">
        <f>SUMIFS(Data!$D:$D,Data!$K:$K,'Day avg Portion'!$A27,Data!$J:$J,'Day avg Portion'!E$1)</f>
        <v>0</v>
      </c>
      <c r="F27" s="4">
        <f>SUMIFS(Data!$D:$D,Data!$K:$K,'Day avg Portion'!$A27,Data!$J:$J,'Day avg Portion'!F$1)</f>
        <v>0</v>
      </c>
      <c r="G27" s="4">
        <f>SUMIFS(Data!$D:$D,Data!$K:$K,'Day avg Portion'!$A27,Data!$J:$J,'Day avg Portion'!G$1)</f>
        <v>0</v>
      </c>
      <c r="H27" s="4">
        <f>SUMIFS(Data!$D:$D,Data!$K:$K,'Day avg Portion'!$A27,Data!$J:$J,'Day avg Portion'!H$1)</f>
        <v>0</v>
      </c>
      <c r="I27" s="4"/>
      <c r="J27" s="15">
        <f>I27/$I$41</f>
        <v>0</v>
      </c>
      <c r="K27" s="2">
        <f t="shared" si="57"/>
        <v>38</v>
      </c>
      <c r="L27" s="14">
        <f t="shared" si="65"/>
        <v>0</v>
      </c>
      <c r="M27" s="14">
        <f t="shared" si="58"/>
        <v>0</v>
      </c>
      <c r="N27" s="14">
        <f t="shared" si="59"/>
        <v>0</v>
      </c>
      <c r="O27" s="14">
        <f t="shared" si="60"/>
        <v>0</v>
      </c>
      <c r="P27" s="14">
        <f t="shared" si="61"/>
        <v>0</v>
      </c>
      <c r="Q27" s="14">
        <f t="shared" si="62"/>
        <v>0</v>
      </c>
      <c r="R27" s="14">
        <f t="shared" si="63"/>
        <v>0</v>
      </c>
      <c r="S27" s="5">
        <f t="shared" si="64"/>
        <v>0</v>
      </c>
    </row>
    <row r="28" spans="1:29" x14ac:dyDescent="0.2">
      <c r="A28" s="2">
        <v>41</v>
      </c>
      <c r="B28" s="4">
        <f>SUMIFS(Data!$D:$D,Data!$K:$K,'Day avg Portion'!$A28,Data!$J:$J,'Day avg Portion'!B$1)</f>
        <v>201</v>
      </c>
      <c r="C28" s="4">
        <f>SUMIFS(Data!$D:$D,Data!$K:$K,'Day avg Portion'!$A28,Data!$J:$J,'Day avg Portion'!C$1)</f>
        <v>307</v>
      </c>
      <c r="D28" s="4">
        <f>SUMIFS(Data!$D:$D,Data!$K:$K,'Day avg Portion'!$A28,Data!$J:$J,'Day avg Portion'!D$1)</f>
        <v>390</v>
      </c>
      <c r="E28" s="4">
        <f>SUMIFS(Data!$D:$D,Data!$K:$K,'Day avg Portion'!$A28,Data!$J:$J,'Day avg Portion'!E$1)</f>
        <v>421</v>
      </c>
      <c r="F28" s="4">
        <f>SUMIFS(Data!$D:$D,Data!$K:$K,'Day avg Portion'!$A28,Data!$J:$J,'Day avg Portion'!F$1)</f>
        <v>642</v>
      </c>
      <c r="G28" s="4">
        <f>SUMIFS(Data!$D:$D,Data!$K:$K,'Day avg Portion'!$A28,Data!$J:$J,'Day avg Portion'!G$1)</f>
        <v>521</v>
      </c>
      <c r="H28" s="4">
        <f>SUMIFS(Data!$D:$D,Data!$K:$K,'Day avg Portion'!$A28,Data!$J:$J,'Day avg Portion'!H$1)</f>
        <v>480</v>
      </c>
      <c r="I28" s="4">
        <f t="shared" si="66"/>
        <v>2962</v>
      </c>
      <c r="J28" s="15">
        <f t="shared" ref="J28:J35" si="67">I28/$I$41</f>
        <v>0.12273141625921936</v>
      </c>
      <c r="K28" s="2">
        <f t="shared" si="57"/>
        <v>41</v>
      </c>
      <c r="L28" s="14">
        <f t="shared" si="65"/>
        <v>6.7859554355165427E-2</v>
      </c>
      <c r="M28" s="14">
        <f t="shared" si="58"/>
        <v>0.10364618501012829</v>
      </c>
      <c r="N28" s="14">
        <f t="shared" si="59"/>
        <v>0.13166779203241052</v>
      </c>
      <c r="O28" s="14">
        <f t="shared" si="60"/>
        <v>0.14213369345037138</v>
      </c>
      <c r="P28" s="14">
        <f t="shared" si="61"/>
        <v>0.21674544226873735</v>
      </c>
      <c r="Q28" s="14">
        <f t="shared" si="62"/>
        <v>0.17589466576637408</v>
      </c>
      <c r="R28" s="14">
        <f t="shared" si="63"/>
        <v>0.16205266711681296</v>
      </c>
      <c r="S28" s="5">
        <f t="shared" si="64"/>
        <v>1</v>
      </c>
    </row>
    <row r="29" spans="1:29" x14ac:dyDescent="0.2">
      <c r="A29" s="2">
        <v>42</v>
      </c>
      <c r="B29" s="4">
        <f>SUMIFS(Data!$D:$D,Data!$K:$K,'Day avg Portion'!$A29,Data!$J:$J,'Day avg Portion'!B$1)</f>
        <v>0</v>
      </c>
      <c r="C29" s="4">
        <f>SUMIFS(Data!$D:$D,Data!$K:$K,'Day avg Portion'!$A29,Data!$J:$J,'Day avg Portion'!C$1)</f>
        <v>0</v>
      </c>
      <c r="D29" s="4">
        <f>SUMIFS(Data!$D:$D,Data!$K:$K,'Day avg Portion'!$A29,Data!$J:$J,'Day avg Portion'!D$1)</f>
        <v>0</v>
      </c>
      <c r="E29" s="4">
        <f>SUMIFS(Data!$D:$D,Data!$K:$K,'Day avg Portion'!$A29,Data!$J:$J,'Day avg Portion'!E$1)</f>
        <v>0</v>
      </c>
      <c r="F29" s="4">
        <f>SUMIFS(Data!$D:$D,Data!$K:$K,'Day avg Portion'!$A29,Data!$J:$J,'Day avg Portion'!F$1)</f>
        <v>0</v>
      </c>
      <c r="G29" s="4">
        <f>SUMIFS(Data!$D:$D,Data!$K:$K,'Day avg Portion'!$A29,Data!$J:$J,'Day avg Portion'!G$1)</f>
        <v>0</v>
      </c>
      <c r="H29" s="4">
        <f>SUMIFS(Data!$D:$D,Data!$K:$K,'Day avg Portion'!$A29,Data!$J:$J,'Day avg Portion'!H$1)</f>
        <v>0</v>
      </c>
      <c r="I29" s="4"/>
      <c r="J29" s="15">
        <f t="shared" si="67"/>
        <v>0</v>
      </c>
      <c r="K29" s="2">
        <f t="shared" si="57"/>
        <v>42</v>
      </c>
      <c r="L29" s="14">
        <f t="shared" si="65"/>
        <v>0</v>
      </c>
      <c r="M29" s="14">
        <f t="shared" si="58"/>
        <v>0</v>
      </c>
      <c r="N29" s="14">
        <f t="shared" si="59"/>
        <v>0</v>
      </c>
      <c r="O29" s="14">
        <f t="shared" si="60"/>
        <v>0</v>
      </c>
      <c r="P29" s="14">
        <f t="shared" si="61"/>
        <v>0</v>
      </c>
      <c r="Q29" s="14">
        <f t="shared" si="62"/>
        <v>0</v>
      </c>
      <c r="R29" s="14">
        <f t="shared" si="63"/>
        <v>0</v>
      </c>
      <c r="S29" s="5">
        <f t="shared" si="64"/>
        <v>0</v>
      </c>
    </row>
    <row r="30" spans="1:29" x14ac:dyDescent="0.2">
      <c r="A30" s="2">
        <v>43</v>
      </c>
      <c r="B30" s="4">
        <f>SUMIFS(Data!$D:$D,Data!$K:$K,'Day avg Portion'!$A30,Data!$J:$J,'Day avg Portion'!B$1)</f>
        <v>270</v>
      </c>
      <c r="C30" s="4">
        <f>SUMIFS(Data!$D:$D,Data!$K:$K,'Day avg Portion'!$A30,Data!$J:$J,'Day avg Portion'!C$1)</f>
        <v>372</v>
      </c>
      <c r="D30" s="4">
        <f>SUMIFS(Data!$D:$D,Data!$K:$K,'Day avg Portion'!$A30,Data!$J:$J,'Day avg Portion'!D$1)</f>
        <v>466</v>
      </c>
      <c r="E30" s="4">
        <f>SUMIFS(Data!$D:$D,Data!$K:$K,'Day avg Portion'!$A30,Data!$J:$J,'Day avg Portion'!E$1)</f>
        <v>441</v>
      </c>
      <c r="F30" s="4">
        <f>SUMIFS(Data!$D:$D,Data!$K:$K,'Day avg Portion'!$A30,Data!$J:$J,'Day avg Portion'!F$1)</f>
        <v>856</v>
      </c>
      <c r="G30" s="4">
        <f>SUMIFS(Data!$D:$D,Data!$K:$K,'Day avg Portion'!$A30,Data!$J:$J,'Day avg Portion'!G$1)</f>
        <v>621</v>
      </c>
      <c r="H30" s="4">
        <f>SUMIFS(Data!$D:$D,Data!$K:$K,'Day avg Portion'!$A30,Data!$J:$J,'Day avg Portion'!H$1)</f>
        <v>622</v>
      </c>
      <c r="I30" s="4">
        <f t="shared" si="66"/>
        <v>3648</v>
      </c>
      <c r="J30" s="15">
        <f t="shared" si="67"/>
        <v>0.15115604541311015</v>
      </c>
      <c r="K30" s="2">
        <f t="shared" si="57"/>
        <v>43</v>
      </c>
      <c r="L30" s="14">
        <f t="shared" si="65"/>
        <v>7.4013157894736836E-2</v>
      </c>
      <c r="M30" s="14">
        <f t="shared" si="58"/>
        <v>0.10197368421052631</v>
      </c>
      <c r="N30" s="14">
        <f t="shared" si="59"/>
        <v>0.12774122807017543</v>
      </c>
      <c r="O30" s="14">
        <f t="shared" si="60"/>
        <v>0.12088815789473684</v>
      </c>
      <c r="P30" s="14">
        <f t="shared" si="61"/>
        <v>0.23464912280701755</v>
      </c>
      <c r="Q30" s="14">
        <f t="shared" si="62"/>
        <v>0.17023026315789475</v>
      </c>
      <c r="R30" s="14">
        <f t="shared" si="63"/>
        <v>0.17050438596491227</v>
      </c>
      <c r="S30" s="5">
        <f t="shared" si="64"/>
        <v>1</v>
      </c>
    </row>
    <row r="31" spans="1:29" x14ac:dyDescent="0.2">
      <c r="A31" s="2">
        <v>44</v>
      </c>
      <c r="B31" s="4">
        <f>SUMIFS(Data!$D:$D,Data!$K:$K,'Day avg Portion'!$A31,Data!$J:$J,'Day avg Portion'!B$1)</f>
        <v>145</v>
      </c>
      <c r="C31" s="4">
        <f>SUMIFS(Data!$D:$D,Data!$K:$K,'Day avg Portion'!$A31,Data!$J:$J,'Day avg Portion'!C$1)</f>
        <v>197</v>
      </c>
      <c r="D31" s="4">
        <f>SUMIFS(Data!$D:$D,Data!$K:$K,'Day avg Portion'!$A31,Data!$J:$J,'Day avg Portion'!D$1)</f>
        <v>236</v>
      </c>
      <c r="E31" s="4">
        <f>SUMIFS(Data!$D:$D,Data!$K:$K,'Day avg Portion'!$A31,Data!$J:$J,'Day avg Portion'!E$1)</f>
        <v>274</v>
      </c>
      <c r="F31" s="4">
        <f>SUMIFS(Data!$D:$D,Data!$K:$K,'Day avg Portion'!$A31,Data!$J:$J,'Day avg Portion'!F$1)</f>
        <v>419</v>
      </c>
      <c r="G31" s="4">
        <f>SUMIFS(Data!$D:$D,Data!$K:$K,'Day avg Portion'!$A31,Data!$J:$J,'Day avg Portion'!G$1)</f>
        <v>359</v>
      </c>
      <c r="H31" s="4">
        <f>SUMIFS(Data!$D:$D,Data!$K:$K,'Day avg Portion'!$A31,Data!$J:$J,'Day avg Portion'!H$1)</f>
        <v>393</v>
      </c>
      <c r="I31" s="4">
        <f t="shared" si="66"/>
        <v>2023</v>
      </c>
      <c r="J31" s="15">
        <f t="shared" si="67"/>
        <v>8.3823651280351366E-2</v>
      </c>
      <c r="K31" s="2">
        <f t="shared" si="57"/>
        <v>44</v>
      </c>
      <c r="L31" s="14">
        <f t="shared" si="65"/>
        <v>7.1675729115175488E-2</v>
      </c>
      <c r="M31" s="14">
        <f t="shared" si="58"/>
        <v>9.7380128521997039E-2</v>
      </c>
      <c r="N31" s="14">
        <f t="shared" si="59"/>
        <v>0.1166584280771132</v>
      </c>
      <c r="O31" s="14">
        <f t="shared" si="60"/>
        <v>0.13544241225902126</v>
      </c>
      <c r="P31" s="14">
        <f t="shared" si="61"/>
        <v>0.20711814137419673</v>
      </c>
      <c r="Q31" s="14">
        <f t="shared" si="62"/>
        <v>0.17745921898171033</v>
      </c>
      <c r="R31" s="14">
        <f t="shared" si="63"/>
        <v>0.19426594167078595</v>
      </c>
      <c r="S31" s="5">
        <f t="shared" si="64"/>
        <v>1</v>
      </c>
    </row>
    <row r="32" spans="1:29" x14ac:dyDescent="0.2">
      <c r="A32" s="2">
        <v>45</v>
      </c>
      <c r="B32" s="4">
        <f>SUMIFS(Data!$D:$D,Data!$K:$K,'Day avg Portion'!$A32,Data!$J:$J,'Day avg Portion'!B$1)</f>
        <v>0</v>
      </c>
      <c r="C32" s="4">
        <f>SUMIFS(Data!$D:$D,Data!$K:$K,'Day avg Portion'!$A32,Data!$J:$J,'Day avg Portion'!C$1)</f>
        <v>0</v>
      </c>
      <c r="D32" s="4">
        <f>SUMIFS(Data!$D:$D,Data!$K:$K,'Day avg Portion'!$A32,Data!$J:$J,'Day avg Portion'!D$1)</f>
        <v>0</v>
      </c>
      <c r="E32" s="4">
        <f>SUMIFS(Data!$D:$D,Data!$K:$K,'Day avg Portion'!$A32,Data!$J:$J,'Day avg Portion'!E$1)</f>
        <v>0</v>
      </c>
      <c r="F32" s="4">
        <f>SUMIFS(Data!$D:$D,Data!$K:$K,'Day avg Portion'!$A32,Data!$J:$J,'Day avg Portion'!F$1)</f>
        <v>0</v>
      </c>
      <c r="G32" s="4">
        <f>SUMIFS(Data!$D:$D,Data!$K:$K,'Day avg Portion'!$A32,Data!$J:$J,'Day avg Portion'!G$1)</f>
        <v>0</v>
      </c>
      <c r="H32" s="4">
        <f>SUMIFS(Data!$D:$D,Data!$K:$K,'Day avg Portion'!$A32,Data!$J:$J,'Day avg Portion'!H$1)</f>
        <v>0</v>
      </c>
      <c r="I32" s="4">
        <f t="shared" si="66"/>
        <v>0</v>
      </c>
      <c r="J32" s="15">
        <f t="shared" si="67"/>
        <v>0</v>
      </c>
      <c r="K32" s="2">
        <f t="shared" si="57"/>
        <v>45</v>
      </c>
      <c r="L32" s="14">
        <f t="shared" si="65"/>
        <v>0</v>
      </c>
      <c r="M32" s="14">
        <f t="shared" si="58"/>
        <v>0</v>
      </c>
      <c r="N32" s="14">
        <f t="shared" si="59"/>
        <v>0</v>
      </c>
      <c r="O32" s="14">
        <f t="shared" si="60"/>
        <v>0</v>
      </c>
      <c r="P32" s="14">
        <f t="shared" si="61"/>
        <v>0</v>
      </c>
      <c r="Q32" s="14">
        <f t="shared" si="62"/>
        <v>0</v>
      </c>
      <c r="R32" s="14">
        <f t="shared" si="63"/>
        <v>0</v>
      </c>
      <c r="S32" s="5">
        <f t="shared" si="64"/>
        <v>0</v>
      </c>
    </row>
    <row r="33" spans="1:19" x14ac:dyDescent="0.2">
      <c r="A33" s="2">
        <v>101</v>
      </c>
      <c r="B33" s="4">
        <f>SUMIFS(Data!$D:$D,Data!$K:$K,'Day avg Portion'!$A33,Data!$J:$J,'Day avg Portion'!B$1)</f>
        <v>0</v>
      </c>
      <c r="C33" s="4">
        <f>SUMIFS(Data!$D:$D,Data!$K:$K,'Day avg Portion'!$A33,Data!$J:$J,'Day avg Portion'!C$1)</f>
        <v>0</v>
      </c>
      <c r="D33" s="4">
        <f>SUMIFS(Data!$D:$D,Data!$K:$K,'Day avg Portion'!$A33,Data!$J:$J,'Day avg Portion'!D$1)</f>
        <v>0</v>
      </c>
      <c r="E33" s="4">
        <f>SUMIFS(Data!$D:$D,Data!$K:$K,'Day avg Portion'!$A33,Data!$J:$J,'Day avg Portion'!E$1)</f>
        <v>0</v>
      </c>
      <c r="F33" s="4">
        <f>SUMIFS(Data!$D:$D,Data!$K:$K,'Day avg Portion'!$A33,Data!$J:$J,'Day avg Portion'!F$1)</f>
        <v>0</v>
      </c>
      <c r="G33" s="4">
        <f>SUMIFS(Data!$D:$D,Data!$K:$K,'Day avg Portion'!$A33,Data!$J:$J,'Day avg Portion'!G$1)</f>
        <v>0</v>
      </c>
      <c r="H33" s="4">
        <f>SUMIFS(Data!$D:$D,Data!$K:$K,'Day avg Portion'!$A33,Data!$J:$J,'Day avg Portion'!H$1)</f>
        <v>0</v>
      </c>
      <c r="I33" s="4"/>
      <c r="J33" s="15">
        <f t="shared" si="67"/>
        <v>0</v>
      </c>
      <c r="K33" s="2">
        <f>A33</f>
        <v>101</v>
      </c>
      <c r="L33" s="14">
        <f t="shared" ref="L33:L34" si="68">IFERROR(B33/$I33,0)</f>
        <v>0</v>
      </c>
      <c r="M33" s="14">
        <f t="shared" ref="M33:M34" si="69">IFERROR(C33/$I33,0)</f>
        <v>0</v>
      </c>
      <c r="N33" s="14">
        <f t="shared" ref="N33:N34" si="70">IFERROR(D33/$I33,0)</f>
        <v>0</v>
      </c>
      <c r="O33" s="14">
        <f t="shared" ref="O33:O34" si="71">IFERROR(E33/$I33,0)</f>
        <v>0</v>
      </c>
      <c r="P33" s="14">
        <f t="shared" ref="P33:P34" si="72">IFERROR(F33/$I33,0)</f>
        <v>0</v>
      </c>
      <c r="Q33" s="14">
        <f t="shared" ref="Q33:Q34" si="73">IFERROR(G33/$I33,0)</f>
        <v>0</v>
      </c>
      <c r="R33" s="14">
        <f t="shared" ref="R33:R34" si="74">IFERROR(H33/$I33,0)</f>
        <v>0</v>
      </c>
      <c r="S33" s="5">
        <f t="shared" ref="S33:S34" si="75">IFERROR(I33/$I33,0)</f>
        <v>0</v>
      </c>
    </row>
    <row r="34" spans="1:19" x14ac:dyDescent="0.2">
      <c r="A34" s="2">
        <v>102</v>
      </c>
      <c r="B34" s="4">
        <f>SUMIFS(Data!$D:$D,Data!$K:$K,'Day avg Portion'!$A34,Data!$J:$J,'Day avg Portion'!B$1)</f>
        <v>0</v>
      </c>
      <c r="C34" s="4">
        <f>SUMIFS(Data!$D:$D,Data!$K:$K,'Day avg Portion'!$A34,Data!$J:$J,'Day avg Portion'!C$1)</f>
        <v>0</v>
      </c>
      <c r="D34" s="4">
        <f>SUMIFS(Data!$D:$D,Data!$K:$K,'Day avg Portion'!$A34,Data!$J:$J,'Day avg Portion'!D$1)</f>
        <v>0</v>
      </c>
      <c r="E34" s="4">
        <f>SUMIFS(Data!$D:$D,Data!$K:$K,'Day avg Portion'!$A34,Data!$J:$J,'Day avg Portion'!E$1)</f>
        <v>0</v>
      </c>
      <c r="F34" s="4">
        <f>SUMIFS(Data!$D:$D,Data!$K:$K,'Day avg Portion'!$A34,Data!$J:$J,'Day avg Portion'!F$1)</f>
        <v>0</v>
      </c>
      <c r="G34" s="4">
        <f>SUMIFS(Data!$D:$D,Data!$K:$K,'Day avg Portion'!$A34,Data!$J:$J,'Day avg Portion'!G$1)</f>
        <v>0</v>
      </c>
      <c r="H34" s="4">
        <f>SUMIFS(Data!$D:$D,Data!$K:$K,'Day avg Portion'!$A34,Data!$J:$J,'Day avg Portion'!H$1)</f>
        <v>0</v>
      </c>
      <c r="I34" s="4"/>
      <c r="J34" s="15">
        <f t="shared" si="67"/>
        <v>0</v>
      </c>
      <c r="K34" s="2">
        <f t="shared" ref="K34" si="76">A34</f>
        <v>102</v>
      </c>
      <c r="L34" s="14">
        <f t="shared" si="68"/>
        <v>0</v>
      </c>
      <c r="M34" s="14">
        <f t="shared" si="69"/>
        <v>0</v>
      </c>
      <c r="N34" s="14">
        <f t="shared" si="70"/>
        <v>0</v>
      </c>
      <c r="O34" s="14">
        <f t="shared" si="71"/>
        <v>0</v>
      </c>
      <c r="P34" s="14">
        <f t="shared" si="72"/>
        <v>0</v>
      </c>
      <c r="Q34" s="14">
        <f t="shared" si="73"/>
        <v>0</v>
      </c>
      <c r="R34" s="14">
        <f t="shared" si="74"/>
        <v>0</v>
      </c>
      <c r="S34" s="5">
        <f t="shared" si="75"/>
        <v>0</v>
      </c>
    </row>
    <row r="35" spans="1:19" x14ac:dyDescent="0.2">
      <c r="A35" s="2">
        <v>103</v>
      </c>
      <c r="B35" s="4">
        <f>SUMIFS(Data!$D:$D,Data!$K:$K,'Day avg Portion'!$A35,Data!$J:$J,'Day avg Portion'!B$1)</f>
        <v>306</v>
      </c>
      <c r="C35" s="4">
        <f>SUMIFS(Data!$D:$D,Data!$K:$K,'Day avg Portion'!$A35,Data!$J:$J,'Day avg Portion'!C$1)</f>
        <v>621</v>
      </c>
      <c r="D35" s="4">
        <f>SUMIFS(Data!$D:$D,Data!$K:$K,'Day avg Portion'!$A35,Data!$J:$J,'Day avg Portion'!D$1)</f>
        <v>853</v>
      </c>
      <c r="E35" s="4">
        <f>SUMIFS(Data!$D:$D,Data!$K:$K,'Day avg Portion'!$A35,Data!$J:$J,'Day avg Portion'!E$1)</f>
        <v>637</v>
      </c>
      <c r="F35" s="4">
        <f>SUMIFS(Data!$D:$D,Data!$K:$K,'Day avg Portion'!$A35,Data!$J:$J,'Day avg Portion'!F$1)</f>
        <v>1175</v>
      </c>
      <c r="G35" s="4">
        <f>SUMIFS(Data!$D:$D,Data!$K:$K,'Day avg Portion'!$A35,Data!$J:$J,'Day avg Portion'!G$1)</f>
        <v>728</v>
      </c>
      <c r="H35" s="4">
        <f>SUMIFS(Data!$D:$D,Data!$K:$K,'Day avg Portion'!$A35,Data!$J:$J,'Day avg Portion'!H$1)</f>
        <v>821</v>
      </c>
      <c r="I35" s="4">
        <f t="shared" ref="I35" si="77">SUM(B35:H35)</f>
        <v>5141</v>
      </c>
      <c r="J35" s="15">
        <f t="shared" si="67"/>
        <v>0.21301897737631556</v>
      </c>
      <c r="K35" s="2">
        <f t="shared" ref="K35" si="78">A35</f>
        <v>103</v>
      </c>
      <c r="L35" s="14">
        <f t="shared" ref="L35" si="79">IFERROR(B35/$I35,0)</f>
        <v>5.9521493872787393E-2</v>
      </c>
      <c r="M35" s="14">
        <f t="shared" ref="M35" si="80">IFERROR(C35/$I35,0)</f>
        <v>0.12079361991830383</v>
      </c>
      <c r="N35" s="14">
        <f t="shared" ref="N35" si="81">IFERROR(D35/$I35,0)</f>
        <v>0.16592102703754133</v>
      </c>
      <c r="O35" s="14">
        <f t="shared" ref="O35" si="82">IFERROR(E35/$I35,0)</f>
        <v>0.12390585489204435</v>
      </c>
      <c r="P35" s="14">
        <f t="shared" ref="P35" si="83">IFERROR(F35/$I35,0)</f>
        <v>0.22855475588406926</v>
      </c>
      <c r="Q35" s="14">
        <f t="shared" ref="Q35" si="84">IFERROR(G35/$I35,0)</f>
        <v>0.14160669130519354</v>
      </c>
      <c r="R35" s="14">
        <f t="shared" ref="R35" si="85">IFERROR(H35/$I35,0)</f>
        <v>0.15969655709006031</v>
      </c>
      <c r="S35" s="5">
        <f t="shared" ref="S35" si="86">IFERROR(I35/$I35,0)</f>
        <v>1</v>
      </c>
    </row>
    <row r="36" spans="1:19" x14ac:dyDescent="0.2">
      <c r="A36" s="2">
        <v>104</v>
      </c>
      <c r="B36" s="4">
        <f>SUMIFS(Data!$D:$D,Data!$K:$K,'Day avg Portion'!$A36,Data!$J:$J,'Day avg Portion'!B$1)</f>
        <v>0</v>
      </c>
      <c r="C36" s="4">
        <f>SUMIFS(Data!$D:$D,Data!$K:$K,'Day avg Portion'!$A36,Data!$J:$J,'Day avg Portion'!C$1)</f>
        <v>0</v>
      </c>
      <c r="D36" s="4">
        <f>SUMIFS(Data!$D:$D,Data!$K:$K,'Day avg Portion'!$A36,Data!$J:$J,'Day avg Portion'!D$1)</f>
        <v>0</v>
      </c>
      <c r="E36" s="4">
        <f>SUMIFS(Data!$D:$D,Data!$K:$K,'Day avg Portion'!$A36,Data!$J:$J,'Day avg Portion'!E$1)</f>
        <v>0</v>
      </c>
      <c r="F36" s="4">
        <f>SUMIFS(Data!$D:$D,Data!$K:$K,'Day avg Portion'!$A36,Data!$J:$J,'Day avg Portion'!F$1)</f>
        <v>0</v>
      </c>
      <c r="G36" s="4">
        <f>SUMIFS(Data!$D:$D,Data!$K:$K,'Day avg Portion'!$A36,Data!$J:$J,'Day avg Portion'!G$1)</f>
        <v>0</v>
      </c>
      <c r="H36" s="4">
        <f>SUMIFS(Data!$D:$D,Data!$K:$K,'Day avg Portion'!$A36,Data!$J:$J,'Day avg Portion'!H$1)</f>
        <v>0</v>
      </c>
      <c r="I36" s="4">
        <f t="shared" ref="I36" si="87">SUM(B36:H36)</f>
        <v>0</v>
      </c>
      <c r="J36" s="15">
        <f t="shared" ref="J36" si="88">I36/$I$41</f>
        <v>0</v>
      </c>
      <c r="K36" s="2">
        <f t="shared" ref="K36" si="89">A36</f>
        <v>104</v>
      </c>
      <c r="L36" s="14">
        <f t="shared" ref="L36" si="90">IFERROR(B36/$I36,0)</f>
        <v>0</v>
      </c>
      <c r="M36" s="14">
        <f t="shared" ref="M36" si="91">IFERROR(C36/$I36,0)</f>
        <v>0</v>
      </c>
      <c r="N36" s="14">
        <f t="shared" ref="N36" si="92">IFERROR(D36/$I36,0)</f>
        <v>0</v>
      </c>
      <c r="O36" s="14">
        <f t="shared" ref="O36" si="93">IFERROR(E36/$I36,0)</f>
        <v>0</v>
      </c>
      <c r="P36" s="14">
        <f t="shared" ref="P36" si="94">IFERROR(F36/$I36,0)</f>
        <v>0</v>
      </c>
      <c r="Q36" s="14">
        <f t="shared" ref="Q36" si="95">IFERROR(G36/$I36,0)</f>
        <v>0</v>
      </c>
      <c r="R36" s="14">
        <f t="shared" ref="R36" si="96">IFERROR(H36/$I36,0)</f>
        <v>0</v>
      </c>
      <c r="S36" s="5">
        <f t="shared" ref="S36" si="97">IFERROR(I36/$I36,0)</f>
        <v>0</v>
      </c>
    </row>
    <row r="37" spans="1:19" x14ac:dyDescent="0.2">
      <c r="A37" s="2">
        <v>201</v>
      </c>
      <c r="B37" s="4">
        <f>SUMIFS(Data!$D:$D,Data!$K:$K,'Day avg Portion'!$A37,Data!$J:$J,'Day avg Portion'!B$1)</f>
        <v>240</v>
      </c>
      <c r="C37" s="4">
        <f>SUMIFS(Data!$D:$D,Data!$K:$K,'Day avg Portion'!$A37,Data!$J:$J,'Day avg Portion'!C$1)</f>
        <v>323</v>
      </c>
      <c r="D37" s="4">
        <f>SUMIFS(Data!$D:$D,Data!$K:$K,'Day avg Portion'!$A37,Data!$J:$J,'Day avg Portion'!D$1)</f>
        <v>449</v>
      </c>
      <c r="E37" s="4">
        <f>SUMIFS(Data!$D:$D,Data!$K:$K,'Day avg Portion'!$A37,Data!$J:$J,'Day avg Portion'!E$1)</f>
        <v>416</v>
      </c>
      <c r="F37" s="4">
        <f>SUMIFS(Data!$D:$D,Data!$K:$K,'Day avg Portion'!$A37,Data!$J:$J,'Day avg Portion'!F$1)</f>
        <v>595</v>
      </c>
      <c r="G37" s="4">
        <f>SUMIFS(Data!$D:$D,Data!$K:$K,'Day avg Portion'!$A37,Data!$J:$J,'Day avg Portion'!G$1)</f>
        <v>733</v>
      </c>
      <c r="H37" s="4">
        <f>SUMIFS(Data!$D:$D,Data!$K:$K,'Day avg Portion'!$A37,Data!$J:$J,'Day avg Portion'!H$1)</f>
        <v>512</v>
      </c>
      <c r="I37" s="4">
        <f t="shared" si="66"/>
        <v>3268</v>
      </c>
      <c r="J37" s="15">
        <f>I37/$I$41</f>
        <v>0.13541062401591117</v>
      </c>
      <c r="K37" s="2">
        <f t="shared" ref="K37:K40" si="98">A37</f>
        <v>201</v>
      </c>
      <c r="L37" s="14">
        <f t="shared" si="65"/>
        <v>7.3439412484700123E-2</v>
      </c>
      <c r="M37" s="14">
        <f t="shared" si="58"/>
        <v>9.8837209302325577E-2</v>
      </c>
      <c r="N37" s="14">
        <f t="shared" si="59"/>
        <v>0.13739290085679315</v>
      </c>
      <c r="O37" s="14">
        <f t="shared" si="60"/>
        <v>0.12729498164014688</v>
      </c>
      <c r="P37" s="14">
        <f t="shared" si="61"/>
        <v>0.18206854345165238</v>
      </c>
      <c r="Q37" s="14">
        <f t="shared" si="62"/>
        <v>0.22429620563035496</v>
      </c>
      <c r="R37" s="14">
        <f t="shared" si="63"/>
        <v>0.15667074663402691</v>
      </c>
      <c r="S37" s="5">
        <f t="shared" si="64"/>
        <v>1</v>
      </c>
    </row>
    <row r="38" spans="1:19" x14ac:dyDescent="0.2">
      <c r="A38" s="2">
        <v>401</v>
      </c>
      <c r="B38" s="4">
        <f>SUMIFS(Data!$D:$D,Data!$K:$K,'Day avg Portion'!$A38,Data!$J:$J,'Day avg Portion'!B$1)</f>
        <v>0</v>
      </c>
      <c r="C38" s="4">
        <f>SUMIFS(Data!$D:$D,Data!$K:$K,'Day avg Portion'!$A38,Data!$J:$J,'Day avg Portion'!C$1)</f>
        <v>0</v>
      </c>
      <c r="D38" s="4">
        <f>SUMIFS(Data!$D:$D,Data!$K:$K,'Day avg Portion'!$A38,Data!$J:$J,'Day avg Portion'!D$1)</f>
        <v>0</v>
      </c>
      <c r="E38" s="4">
        <f>SUMIFS(Data!$D:$D,Data!$K:$K,'Day avg Portion'!$A38,Data!$J:$J,'Day avg Portion'!E$1)</f>
        <v>0</v>
      </c>
      <c r="F38" s="4">
        <f>SUMIFS(Data!$D:$D,Data!$K:$K,'Day avg Portion'!$A38,Data!$J:$J,'Day avg Portion'!F$1)</f>
        <v>0</v>
      </c>
      <c r="G38" s="4">
        <f>SUMIFS(Data!$D:$D,Data!$K:$K,'Day avg Portion'!$A38,Data!$J:$J,'Day avg Portion'!G$1)</f>
        <v>0</v>
      </c>
      <c r="H38" s="4">
        <f>SUMIFS(Data!$D:$D,Data!$K:$K,'Day avg Portion'!$A38,Data!$J:$J,'Day avg Portion'!H$1)</f>
        <v>0</v>
      </c>
      <c r="I38" s="4"/>
      <c r="J38" s="15">
        <f t="shared" ref="J38" si="99">I38/$I$41</f>
        <v>0</v>
      </c>
      <c r="K38" s="2">
        <f t="shared" ref="K38" si="100">A38</f>
        <v>401</v>
      </c>
      <c r="L38" s="14">
        <f t="shared" ref="L38" si="101">IFERROR(B38/$I38,0)</f>
        <v>0</v>
      </c>
      <c r="M38" s="14">
        <f t="shared" ref="M38" si="102">IFERROR(C38/$I38,0)</f>
        <v>0</v>
      </c>
      <c r="N38" s="14">
        <f t="shared" ref="N38" si="103">IFERROR(D38/$I38,0)</f>
        <v>0</v>
      </c>
      <c r="O38" s="14">
        <f t="shared" ref="O38" si="104">IFERROR(E38/$I38,0)</f>
        <v>0</v>
      </c>
      <c r="P38" s="14">
        <f t="shared" ref="P38" si="105">IFERROR(F38/$I38,0)</f>
        <v>0</v>
      </c>
      <c r="Q38" s="14">
        <f t="shared" ref="Q38" si="106">IFERROR(G38/$I38,0)</f>
        <v>0</v>
      </c>
      <c r="R38" s="14">
        <f t="shared" ref="R38" si="107">IFERROR(H38/$I38,0)</f>
        <v>0</v>
      </c>
      <c r="S38" s="5">
        <f t="shared" ref="S38" si="108">IFERROR(I38/$I38,0)</f>
        <v>0</v>
      </c>
    </row>
    <row r="39" spans="1:19" x14ac:dyDescent="0.2">
      <c r="A39" s="2">
        <v>501</v>
      </c>
      <c r="B39" s="4">
        <f>SUMIFS(Data!$D:$D,Data!$K:$K,'Day avg Portion'!$A39,Data!$J:$J,'Day avg Portion'!B$1)</f>
        <v>0</v>
      </c>
      <c r="C39" s="4">
        <f>SUMIFS(Data!$D:$D,Data!$K:$K,'Day avg Portion'!$A39,Data!$J:$J,'Day avg Portion'!C$1)</f>
        <v>0</v>
      </c>
      <c r="D39" s="4">
        <f>SUMIFS(Data!$D:$D,Data!$K:$K,'Day avg Portion'!$A39,Data!$J:$J,'Day avg Portion'!D$1)</f>
        <v>0</v>
      </c>
      <c r="E39" s="4">
        <f>SUMIFS(Data!$D:$D,Data!$K:$K,'Day avg Portion'!$A39,Data!$J:$J,'Day avg Portion'!E$1)</f>
        <v>0</v>
      </c>
      <c r="F39" s="4">
        <f>SUMIFS(Data!$D:$D,Data!$K:$K,'Day avg Portion'!$A39,Data!$J:$J,'Day avg Portion'!F$1)</f>
        <v>0</v>
      </c>
      <c r="G39" s="4">
        <f>SUMIFS(Data!$D:$D,Data!$K:$K,'Day avg Portion'!$A39,Data!$J:$J,'Day avg Portion'!G$1)</f>
        <v>0</v>
      </c>
      <c r="H39" s="4">
        <f>SUMIFS(Data!$D:$D,Data!$K:$K,'Day avg Portion'!$A39,Data!$J:$J,'Day avg Portion'!H$1)</f>
        <v>0</v>
      </c>
      <c r="I39" s="4"/>
      <c r="J39" s="15"/>
      <c r="K39" s="2">
        <f t="shared" si="98"/>
        <v>501</v>
      </c>
      <c r="L39" s="14">
        <f t="shared" si="65"/>
        <v>0</v>
      </c>
      <c r="M39" s="14">
        <f t="shared" si="58"/>
        <v>0</v>
      </c>
      <c r="N39" s="14">
        <f t="shared" si="59"/>
        <v>0</v>
      </c>
      <c r="O39" s="14">
        <f t="shared" si="60"/>
        <v>0</v>
      </c>
      <c r="P39" s="14">
        <f t="shared" si="61"/>
        <v>0</v>
      </c>
      <c r="Q39" s="14">
        <f t="shared" si="62"/>
        <v>0</v>
      </c>
      <c r="R39" s="14">
        <f t="shared" si="63"/>
        <v>0</v>
      </c>
      <c r="S39" s="5">
        <f t="shared" si="64"/>
        <v>0</v>
      </c>
    </row>
    <row r="40" spans="1:19" x14ac:dyDescent="0.2">
      <c r="A40" s="2">
        <v>304</v>
      </c>
      <c r="B40" s="4">
        <f>SUMIFS(Data!$D:$D,Data!$K:$K,'Day avg Portion'!$A40,Data!$J:$J,'Day avg Portion'!B$1)</f>
        <v>0</v>
      </c>
      <c r="C40" s="4">
        <f>SUMIFS(Data!$D:$D,Data!$K:$K,'Day avg Portion'!$A40,Data!$J:$J,'Day avg Portion'!C$1)</f>
        <v>0</v>
      </c>
      <c r="D40" s="4">
        <f>SUMIFS(Data!$D:$D,Data!$K:$K,'Day avg Portion'!$A40,Data!$J:$J,'Day avg Portion'!D$1)</f>
        <v>0</v>
      </c>
      <c r="E40" s="4">
        <f>SUMIFS(Data!$D:$D,Data!$K:$K,'Day avg Portion'!$A40,Data!$J:$J,'Day avg Portion'!E$1)</f>
        <v>0</v>
      </c>
      <c r="F40" s="4">
        <f>SUMIFS(Data!$D:$D,Data!$K:$K,'Day avg Portion'!$A40,Data!$J:$J,'Day avg Portion'!F$1)</f>
        <v>0</v>
      </c>
      <c r="G40" s="4">
        <f>SUMIFS(Data!$D:$D,Data!$K:$K,'Day avg Portion'!$A40,Data!$J:$J,'Day avg Portion'!G$1)</f>
        <v>0</v>
      </c>
      <c r="H40" s="4">
        <f>SUMIFS(Data!$D:$D,Data!$K:$K,'Day avg Portion'!$A40,Data!$J:$J,'Day avg Portion'!H$1)</f>
        <v>0</v>
      </c>
      <c r="I40" s="4">
        <f t="shared" ref="I40" si="109">SUM(B40:H40)</f>
        <v>0</v>
      </c>
      <c r="J40" s="15">
        <f>I40/$I$41</f>
        <v>0</v>
      </c>
      <c r="K40" s="2">
        <f t="shared" si="98"/>
        <v>304</v>
      </c>
      <c r="L40" s="14">
        <f t="shared" si="65"/>
        <v>0</v>
      </c>
      <c r="M40" s="14">
        <v>0</v>
      </c>
      <c r="N40" s="14">
        <f t="shared" si="59"/>
        <v>0</v>
      </c>
      <c r="O40" s="14">
        <v>0</v>
      </c>
      <c r="P40" s="14">
        <f t="shared" si="61"/>
        <v>0</v>
      </c>
      <c r="Q40" s="14">
        <f t="shared" si="62"/>
        <v>0</v>
      </c>
      <c r="R40" s="14">
        <f t="shared" si="63"/>
        <v>0</v>
      </c>
      <c r="S40" s="5">
        <f t="shared" si="64"/>
        <v>0</v>
      </c>
    </row>
    <row r="41" spans="1:19" x14ac:dyDescent="0.2">
      <c r="I41" s="9">
        <f>SUM(I23:I38)</f>
        <v>24134</v>
      </c>
      <c r="J41" s="21">
        <f>SUM(J23:J38)</f>
        <v>1</v>
      </c>
      <c r="S41" s="2">
        <f t="shared" si="64"/>
        <v>1</v>
      </c>
    </row>
    <row r="44" spans="1:19" x14ac:dyDescent="0.2">
      <c r="A44" s="11" t="s">
        <v>47</v>
      </c>
      <c r="B44" s="11" t="s">
        <v>71</v>
      </c>
      <c r="C44" s="12" t="s">
        <v>53</v>
      </c>
      <c r="D44" s="10"/>
      <c r="E44" s="10"/>
      <c r="F44" s="10"/>
    </row>
    <row r="45" spans="1:19" x14ac:dyDescent="0.2">
      <c r="A45" s="2" t="s">
        <v>26</v>
      </c>
      <c r="B45" s="2">
        <f>SUMIF(Data!$H:$H,'Day avg Portion'!$A45,Data!$E:$E)</f>
        <v>37741.979999999996</v>
      </c>
      <c r="C45" s="15">
        <f>B45/$B$53</f>
        <v>0.16474850652662756</v>
      </c>
    </row>
    <row r="46" spans="1:19" x14ac:dyDescent="0.2">
      <c r="A46" s="2" t="s">
        <v>20</v>
      </c>
      <c r="B46" s="2">
        <f>SUMIF(Data!$H:$H,'Day avg Portion'!$A46,Data!$E:$E)</f>
        <v>5726.1500000000033</v>
      </c>
      <c r="C46" s="15">
        <f t="shared" ref="C46:C52" si="110">B46/$B$53</f>
        <v>2.4995367509798083E-2</v>
      </c>
    </row>
    <row r="47" spans="1:19" x14ac:dyDescent="0.2">
      <c r="A47" s="2" t="s">
        <v>36</v>
      </c>
      <c r="B47" s="2">
        <f>SUMIF(Data!$H:$H,'Day avg Portion'!$A47,Data!$E:$E)</f>
        <v>18498.250000000015</v>
      </c>
      <c r="C47" s="15">
        <f t="shared" si="110"/>
        <v>8.0747196115736136E-2</v>
      </c>
    </row>
    <row r="48" spans="1:19" x14ac:dyDescent="0.2">
      <c r="A48" s="2" t="s">
        <v>33</v>
      </c>
      <c r="B48" s="2">
        <f>SUMIF(Data!$H:$H,'Day avg Portion'!$A48,Data!$E:$E)</f>
        <v>7118.6999999999971</v>
      </c>
      <c r="C48" s="15">
        <f t="shared" si="110"/>
        <v>3.1074024028710293E-2</v>
      </c>
    </row>
    <row r="49" spans="1:5" x14ac:dyDescent="0.2">
      <c r="A49" s="2" t="s">
        <v>18</v>
      </c>
      <c r="B49" s="2">
        <f>SUMIF(Data!$H:$H,'Day avg Portion'!$A49,Data!$E:$E)</f>
        <v>34102.21</v>
      </c>
      <c r="C49" s="15">
        <f t="shared" si="110"/>
        <v>0.14886045106158777</v>
      </c>
    </row>
    <row r="50" spans="1:5" x14ac:dyDescent="0.2">
      <c r="A50" s="2" t="s">
        <v>12</v>
      </c>
      <c r="B50" s="2">
        <f>SUMIF(Data!$H:$H,'Day avg Portion'!$A50,Data!$E:$E)</f>
        <v>112655.69</v>
      </c>
      <c r="C50" s="15">
        <f t="shared" si="110"/>
        <v>0.49175630635241541</v>
      </c>
    </row>
    <row r="51" spans="1:5" x14ac:dyDescent="0.2">
      <c r="A51" s="2" t="s">
        <v>24</v>
      </c>
      <c r="B51" s="2">
        <f>SUMIF(Data!$H:$H,'Day avg Portion'!$A51,Data!$E:$E)</f>
        <v>5157.0400000000036</v>
      </c>
      <c r="C51" s="15">
        <f t="shared" si="110"/>
        <v>2.2511130526222528E-2</v>
      </c>
    </row>
    <row r="52" spans="1:5" x14ac:dyDescent="0.2">
      <c r="A52" s="2" t="s">
        <v>15</v>
      </c>
      <c r="B52" s="2">
        <f>SUMIF(Data!$H:$H,'Day avg Portion'!$A52,Data!$E:$E)</f>
        <v>8088.4300000000021</v>
      </c>
      <c r="C52" s="15">
        <f t="shared" si="110"/>
        <v>3.5307017878902239E-2</v>
      </c>
    </row>
    <row r="53" spans="1:5" x14ac:dyDescent="0.2">
      <c r="A53" s="2" t="s">
        <v>67</v>
      </c>
      <c r="B53" s="2">
        <f>SUM(B45:B52)</f>
        <v>229088.45</v>
      </c>
      <c r="C53" s="15">
        <f>B53/B58</f>
        <v>0.9532738284595671</v>
      </c>
    </row>
    <row r="54" spans="1:5" x14ac:dyDescent="0.2">
      <c r="A54" s="2" t="s">
        <v>30</v>
      </c>
      <c r="B54" s="2">
        <f>SUMIF(Data!$H:$H,'Day avg Portion'!$A54,Data!$E:$E)</f>
        <v>22.75</v>
      </c>
      <c r="C54" s="15">
        <f>B54/$B$57</f>
        <v>2.0259824456413333E-3</v>
      </c>
    </row>
    <row r="55" spans="1:5" x14ac:dyDescent="0.2">
      <c r="A55" s="2" t="s">
        <v>22</v>
      </c>
      <c r="B55" s="2">
        <f>SUMIF(Data!$H:$H,'Day avg Portion'!$A55,Data!$E:$E)</f>
        <v>11034.569999999996</v>
      </c>
      <c r="C55" s="15">
        <f t="shared" ref="C55:C56" si="111">B55/$B$57</f>
        <v>0.98267451055826283</v>
      </c>
    </row>
    <row r="56" spans="1:5" x14ac:dyDescent="0.2">
      <c r="A56" s="2" t="s">
        <v>8</v>
      </c>
      <c r="B56" s="2">
        <f>SUMIF(Data!$H:$H,'Day avg Portion'!$A56,Data!$E:$E)</f>
        <v>171.79999999999995</v>
      </c>
      <c r="C56" s="15">
        <f t="shared" si="111"/>
        <v>1.5299506996095868E-2</v>
      </c>
    </row>
    <row r="57" spans="1:5" x14ac:dyDescent="0.2">
      <c r="A57" s="2" t="s">
        <v>68</v>
      </c>
      <c r="B57" s="2">
        <f>SUM(B54:B56)</f>
        <v>11229.119999999995</v>
      </c>
      <c r="C57" s="15">
        <f>B57/B58</f>
        <v>4.6726171540432918E-2</v>
      </c>
    </row>
    <row r="58" spans="1:5" x14ac:dyDescent="0.2">
      <c r="A58" s="2" t="s">
        <v>69</v>
      </c>
      <c r="B58" s="2">
        <f>B53+B57</f>
        <v>240317.57</v>
      </c>
      <c r="C58" s="15"/>
    </row>
    <row r="60" spans="1:5" x14ac:dyDescent="0.2">
      <c r="A60" s="11" t="s">
        <v>50</v>
      </c>
      <c r="B60" s="11" t="s">
        <v>71</v>
      </c>
      <c r="C60" s="12" t="s">
        <v>53</v>
      </c>
      <c r="D60" s="10"/>
      <c r="E60" s="10"/>
    </row>
    <row r="61" spans="1:5" x14ac:dyDescent="0.2">
      <c r="A61" s="2" t="s">
        <v>26</v>
      </c>
      <c r="B61" s="2">
        <f>SUMIF(Data!$H:$H,'Day avg Portion'!$A61,Data!$D:$D)</f>
        <v>5173</v>
      </c>
      <c r="C61" s="15">
        <f>B61/$B$69</f>
        <v>0.23478418735533063</v>
      </c>
    </row>
    <row r="62" spans="1:5" x14ac:dyDescent="0.2">
      <c r="A62" s="2" t="s">
        <v>20</v>
      </c>
      <c r="B62" s="2">
        <f>SUMIF(Data!$H:$H,'Day avg Portion'!$A62,Data!$D:$D)</f>
        <v>559</v>
      </c>
      <c r="C62" s="15">
        <f t="shared" ref="C62:C68" si="112">B62/$B$69</f>
        <v>2.5371034357554577E-2</v>
      </c>
    </row>
    <row r="63" spans="1:5" x14ac:dyDescent="0.2">
      <c r="A63" s="2" t="s">
        <v>36</v>
      </c>
      <c r="B63" s="2">
        <f>SUMIF(Data!$H:$H,'Day avg Portion'!$A63,Data!$D:$D)</f>
        <v>1291</v>
      </c>
      <c r="C63" s="15">
        <f t="shared" si="112"/>
        <v>5.8593927290881857E-2</v>
      </c>
    </row>
    <row r="64" spans="1:5" x14ac:dyDescent="0.2">
      <c r="A64" s="2" t="s">
        <v>33</v>
      </c>
      <c r="B64" s="2">
        <f>SUMIF(Data!$H:$H,'Day avg Portion'!$A64,Data!$D:$D)</f>
        <v>608</v>
      </c>
      <c r="C64" s="15">
        <f t="shared" si="112"/>
        <v>2.7594971179594245E-2</v>
      </c>
    </row>
    <row r="65" spans="1:3" x14ac:dyDescent="0.2">
      <c r="A65" s="2" t="s">
        <v>18</v>
      </c>
      <c r="B65" s="2">
        <f>SUMIF(Data!$H:$H,'Day avg Portion'!$A65,Data!$D:$D)</f>
        <v>2233</v>
      </c>
      <c r="C65" s="15">
        <f t="shared" si="112"/>
        <v>0.10134797803295058</v>
      </c>
    </row>
    <row r="66" spans="1:3" x14ac:dyDescent="0.2">
      <c r="A66" s="2" t="s">
        <v>12</v>
      </c>
      <c r="B66" s="2">
        <f>SUMIF(Data!$H:$H,'Day avg Portion'!$A66,Data!$D:$D)</f>
        <v>11005</v>
      </c>
      <c r="C66" s="15">
        <f t="shared" si="112"/>
        <v>0.49947805564380704</v>
      </c>
    </row>
    <row r="67" spans="1:3" x14ac:dyDescent="0.2">
      <c r="A67" s="2" t="s">
        <v>24</v>
      </c>
      <c r="B67" s="2">
        <f>SUMIF(Data!$H:$H,'Day avg Portion'!$A67,Data!$D:$D)</f>
        <v>475</v>
      </c>
      <c r="C67" s="15">
        <f t="shared" si="112"/>
        <v>2.1558571234058004E-2</v>
      </c>
    </row>
    <row r="68" spans="1:3" x14ac:dyDescent="0.2">
      <c r="A68" s="2" t="s">
        <v>15</v>
      </c>
      <c r="B68" s="2">
        <f>SUMIF(Data!$H:$H,'Day avg Portion'!$A68,Data!$D:$D)</f>
        <v>689</v>
      </c>
      <c r="C68" s="15">
        <f t="shared" si="112"/>
        <v>3.1271274905823085E-2</v>
      </c>
    </row>
    <row r="69" spans="1:3" x14ac:dyDescent="0.2">
      <c r="A69" s="2" t="s">
        <v>67</v>
      </c>
      <c r="B69" s="2">
        <f>SUM(B61:B68)</f>
        <v>22033</v>
      </c>
      <c r="C69" s="15">
        <f>B69/B74</f>
        <v>0.91294439380127623</v>
      </c>
    </row>
    <row r="70" spans="1:3" x14ac:dyDescent="0.2">
      <c r="A70" s="2" t="s">
        <v>30</v>
      </c>
      <c r="B70" s="2">
        <f>SUMIF(Data!$H:$H,'Day avg Portion'!$A70,Data!$D:$D)</f>
        <v>5</v>
      </c>
      <c r="C70" s="15">
        <f>B70/$B$73</f>
        <v>2.3798191337458352E-3</v>
      </c>
    </row>
    <row r="71" spans="1:3" x14ac:dyDescent="0.2">
      <c r="A71" s="2" t="s">
        <v>22</v>
      </c>
      <c r="B71" s="2">
        <f>SUMIF(Data!$H:$H,'Day avg Portion'!$A71,Data!$D:$D)</f>
        <v>2059</v>
      </c>
      <c r="C71" s="15">
        <f t="shared" ref="C71:C72" si="113">B71/$B$73</f>
        <v>0.98000951927653501</v>
      </c>
    </row>
    <row r="72" spans="1:3" x14ac:dyDescent="0.2">
      <c r="A72" s="2" t="s">
        <v>8</v>
      </c>
      <c r="B72" s="2">
        <f>SUMIF(Data!$H:$H,'Day avg Portion'!$A72,Data!$D:$D)</f>
        <v>37</v>
      </c>
      <c r="C72" s="15">
        <f t="shared" si="113"/>
        <v>1.7610661589719183E-2</v>
      </c>
    </row>
    <row r="73" spans="1:3" x14ac:dyDescent="0.2">
      <c r="A73" s="2" t="s">
        <v>68</v>
      </c>
      <c r="B73" s="2">
        <f>SUM(B70:B72)</f>
        <v>2101</v>
      </c>
      <c r="C73" s="15">
        <f>B73/B74</f>
        <v>8.7055606198723795E-2</v>
      </c>
    </row>
    <row r="74" spans="1:3" x14ac:dyDescent="0.2">
      <c r="A74" s="2" t="s">
        <v>69</v>
      </c>
      <c r="B74" s="2">
        <f>SUM(B73,B69)</f>
        <v>24134</v>
      </c>
      <c r="C74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2"/>
  <sheetViews>
    <sheetView workbookViewId="0">
      <selection activeCell="C29" sqref="C29"/>
    </sheetView>
  </sheetViews>
  <sheetFormatPr defaultRowHeight="11.25" x14ac:dyDescent="0.2"/>
  <sheetData>
    <row r="1" spans="1:8" x14ac:dyDescent="0.2">
      <c r="A1" s="22" t="s">
        <v>74</v>
      </c>
      <c r="B1" s="22"/>
      <c r="C1" s="22"/>
      <c r="D1" s="22"/>
      <c r="E1" s="22" t="s">
        <v>73</v>
      </c>
      <c r="F1" s="22"/>
      <c r="G1" s="22"/>
      <c r="H1" s="22"/>
    </row>
    <row r="2" spans="1:8" x14ac:dyDescent="0.2">
      <c r="A2" s="22">
        <v>16</v>
      </c>
      <c r="B2" s="7">
        <f>'Day avg Portion'!J2</f>
        <v>0</v>
      </c>
      <c r="C2" s="22">
        <f t="shared" ref="C2:C18" si="0">B2*$A$20</f>
        <v>0</v>
      </c>
      <c r="D2" s="23">
        <f t="shared" ref="D2:D19" si="1">C2/$C$20</f>
        <v>0</v>
      </c>
      <c r="E2" s="22"/>
      <c r="F2" s="7">
        <f>'Day avg Portion'!J23</f>
        <v>0</v>
      </c>
      <c r="G2" s="22">
        <f t="shared" ref="G2:G18" si="2">F2*$E$20</f>
        <v>0</v>
      </c>
      <c r="H2" s="23">
        <f t="shared" ref="H2:H19" si="3">G2/$G$20</f>
        <v>0</v>
      </c>
    </row>
    <row r="3" spans="1:8" x14ac:dyDescent="0.2">
      <c r="A3" s="22">
        <v>29</v>
      </c>
      <c r="B3" s="7">
        <f>'Day avg Portion'!J3</f>
        <v>0</v>
      </c>
      <c r="C3" s="22">
        <f t="shared" si="0"/>
        <v>0</v>
      </c>
      <c r="D3" s="23">
        <f t="shared" si="1"/>
        <v>0</v>
      </c>
      <c r="E3" s="22"/>
      <c r="F3" s="7">
        <f>'Day avg Portion'!J24</f>
        <v>0</v>
      </c>
      <c r="G3" s="22">
        <f t="shared" si="2"/>
        <v>0</v>
      </c>
      <c r="H3" s="23">
        <f t="shared" si="3"/>
        <v>0</v>
      </c>
    </row>
    <row r="4" spans="1:8" x14ac:dyDescent="0.2">
      <c r="A4" s="22">
        <v>35</v>
      </c>
      <c r="B4" s="7">
        <f>'Day avg Portion'!J4</f>
        <v>0.17216531442124683</v>
      </c>
      <c r="C4" s="22">
        <f t="shared" si="0"/>
        <v>18777.436828018344</v>
      </c>
      <c r="D4" s="23">
        <f t="shared" si="1"/>
        <v>0.17216531442124683</v>
      </c>
      <c r="E4" s="22"/>
      <c r="F4" s="7">
        <f>'Day avg Portion'!J25</f>
        <v>0.14829700836993454</v>
      </c>
      <c r="G4" s="22">
        <f t="shared" si="2"/>
        <v>1066.2554901798294</v>
      </c>
      <c r="H4" s="23">
        <f t="shared" si="3"/>
        <v>0.14829700836993454</v>
      </c>
    </row>
    <row r="5" spans="1:8" x14ac:dyDescent="0.2">
      <c r="A5" s="22">
        <v>37</v>
      </c>
      <c r="B5" s="7">
        <f>'Day avg Portion'!J5</f>
        <v>0.13255913831019514</v>
      </c>
      <c r="C5" s="22">
        <f t="shared" si="0"/>
        <v>14457.737053271716</v>
      </c>
      <c r="D5" s="23">
        <f t="shared" si="1"/>
        <v>0.13255913831019514</v>
      </c>
      <c r="E5" s="22"/>
      <c r="F5" s="7">
        <f>'Day avg Portion'!J26</f>
        <v>0.14556227728515786</v>
      </c>
      <c r="G5" s="22">
        <f t="shared" si="2"/>
        <v>1046.5927736802851</v>
      </c>
      <c r="H5" s="23">
        <f t="shared" si="3"/>
        <v>0.14556227728515786</v>
      </c>
    </row>
    <row r="6" spans="1:8" x14ac:dyDescent="0.2">
      <c r="A6" s="22">
        <v>38</v>
      </c>
      <c r="B6" s="7">
        <f>'Day avg Portion'!J6</f>
        <v>0</v>
      </c>
      <c r="C6" s="22">
        <f t="shared" si="0"/>
        <v>0</v>
      </c>
      <c r="D6" s="23">
        <f t="shared" si="1"/>
        <v>0</v>
      </c>
      <c r="E6" s="22"/>
      <c r="F6" s="7">
        <f>'Day avg Portion'!J27</f>
        <v>0</v>
      </c>
      <c r="G6" s="22">
        <f t="shared" si="2"/>
        <v>0</v>
      </c>
      <c r="H6" s="23">
        <f t="shared" si="3"/>
        <v>0</v>
      </c>
    </row>
    <row r="7" spans="1:8" x14ac:dyDescent="0.2">
      <c r="A7" s="22">
        <v>41</v>
      </c>
      <c r="B7" s="7">
        <f>'Day avg Portion'!J7</f>
        <v>0.12221528371812347</v>
      </c>
      <c r="C7" s="22">
        <f t="shared" si="0"/>
        <v>13329.570925188584</v>
      </c>
      <c r="D7" s="23">
        <f t="shared" si="1"/>
        <v>0.12221528371812349</v>
      </c>
      <c r="E7" s="22"/>
      <c r="F7" s="7">
        <f>'Day avg Portion'!J28</f>
        <v>0.12273141625921936</v>
      </c>
      <c r="G7" s="22">
        <f t="shared" si="2"/>
        <v>882.4388829037872</v>
      </c>
      <c r="H7" s="23">
        <f t="shared" si="3"/>
        <v>0.12273141625921936</v>
      </c>
    </row>
    <row r="8" spans="1:8" x14ac:dyDescent="0.2">
      <c r="A8" s="22">
        <v>42</v>
      </c>
      <c r="B8" s="7">
        <f>'Day avg Portion'!J8</f>
        <v>0</v>
      </c>
      <c r="C8" s="22">
        <f t="shared" si="0"/>
        <v>0</v>
      </c>
      <c r="D8" s="23">
        <f t="shared" si="1"/>
        <v>0</v>
      </c>
      <c r="E8" s="22"/>
      <c r="F8" s="7">
        <f>'Day avg Portion'!J29</f>
        <v>0</v>
      </c>
      <c r="G8" s="22">
        <f t="shared" si="2"/>
        <v>0</v>
      </c>
      <c r="H8" s="23">
        <f t="shared" si="3"/>
        <v>0</v>
      </c>
    </row>
    <row r="9" spans="1:8" x14ac:dyDescent="0.2">
      <c r="A9" s="22">
        <v>43</v>
      </c>
      <c r="B9" s="7">
        <f>'Day avg Portion'!J9</f>
        <v>0.15655626011864218</v>
      </c>
      <c r="C9" s="22">
        <f t="shared" si="0"/>
        <v>17075.014757129393</v>
      </c>
      <c r="D9" s="23">
        <f t="shared" si="1"/>
        <v>0.15655626011864218</v>
      </c>
      <c r="E9" s="22"/>
      <c r="F9" s="7">
        <f>'Day avg Portion'!J30</f>
        <v>0.15115604541311015</v>
      </c>
      <c r="G9" s="22">
        <f t="shared" si="2"/>
        <v>1086.8119665202619</v>
      </c>
      <c r="H9" s="23">
        <f t="shared" si="3"/>
        <v>0.15115604541311015</v>
      </c>
    </row>
    <row r="10" spans="1:8" x14ac:dyDescent="0.2">
      <c r="A10" s="22">
        <v>44</v>
      </c>
      <c r="B10" s="7">
        <f>'Day avg Portion'!J10</f>
        <v>8.1727690572104245E-2</v>
      </c>
      <c r="C10" s="22">
        <f t="shared" si="0"/>
        <v>8913.7382403440097</v>
      </c>
      <c r="D10" s="23">
        <f t="shared" si="1"/>
        <v>8.1727690572104245E-2</v>
      </c>
      <c r="E10" s="22"/>
      <c r="F10" s="7">
        <f>'Day avg Portion'!J31</f>
        <v>8.3823651280351366E-2</v>
      </c>
      <c r="G10" s="22">
        <f t="shared" si="2"/>
        <v>602.69205270572627</v>
      </c>
      <c r="H10" s="23">
        <f t="shared" si="3"/>
        <v>8.3823651280351352E-2</v>
      </c>
    </row>
    <row r="11" spans="1:8" x14ac:dyDescent="0.2">
      <c r="A11" s="22">
        <v>45</v>
      </c>
      <c r="B11" s="7">
        <f>'Day avg Portion'!J11</f>
        <v>0</v>
      </c>
      <c r="C11" s="22">
        <f t="shared" si="0"/>
        <v>0</v>
      </c>
      <c r="D11" s="23">
        <f t="shared" si="1"/>
        <v>0</v>
      </c>
      <c r="E11" s="22"/>
      <c r="F11" s="7">
        <f>'Day avg Portion'!J32</f>
        <v>0</v>
      </c>
      <c r="G11" s="22">
        <f t="shared" si="2"/>
        <v>0</v>
      </c>
      <c r="H11" s="23">
        <f t="shared" si="3"/>
        <v>0</v>
      </c>
    </row>
    <row r="12" spans="1:8" x14ac:dyDescent="0.2">
      <c r="A12" s="22">
        <v>101</v>
      </c>
      <c r="B12" s="7">
        <f>'Day avg Portion'!J12</f>
        <v>0</v>
      </c>
      <c r="C12" s="22">
        <f t="shared" si="0"/>
        <v>0</v>
      </c>
      <c r="D12" s="23">
        <f t="shared" si="1"/>
        <v>0</v>
      </c>
      <c r="E12" s="22"/>
      <c r="F12" s="7">
        <f>'Day avg Portion'!J33</f>
        <v>0</v>
      </c>
      <c r="G12" s="22">
        <f t="shared" si="2"/>
        <v>0</v>
      </c>
      <c r="H12" s="23">
        <f t="shared" si="3"/>
        <v>0</v>
      </c>
    </row>
    <row r="13" spans="1:8" x14ac:dyDescent="0.2">
      <c r="A13" s="22">
        <v>102</v>
      </c>
      <c r="B13" s="7">
        <f>'Day avg Portion'!J13</f>
        <v>0</v>
      </c>
      <c r="C13" s="22">
        <f t="shared" si="0"/>
        <v>0</v>
      </c>
      <c r="D13" s="23">
        <f t="shared" si="1"/>
        <v>0</v>
      </c>
      <c r="E13" s="22"/>
      <c r="F13" s="7">
        <f>'Day avg Portion'!J34</f>
        <v>0</v>
      </c>
      <c r="G13" s="22">
        <f t="shared" si="2"/>
        <v>0</v>
      </c>
      <c r="H13" s="23">
        <f t="shared" si="3"/>
        <v>0</v>
      </c>
    </row>
    <row r="14" spans="1:8" x14ac:dyDescent="0.2">
      <c r="A14" s="22">
        <v>103</v>
      </c>
      <c r="B14" s="7">
        <f>'Day avg Portion'!J14</f>
        <v>0.19968689763299449</v>
      </c>
      <c r="C14" s="22">
        <f t="shared" si="0"/>
        <v>21779.11455795409</v>
      </c>
      <c r="D14" s="23">
        <f t="shared" si="1"/>
        <v>0.19968689763299449</v>
      </c>
      <c r="E14" s="22"/>
      <c r="F14" s="7">
        <f>'Day avg Portion'!J35</f>
        <v>0.21301897737631556</v>
      </c>
      <c r="G14" s="22">
        <f t="shared" si="2"/>
        <v>1531.6064473357089</v>
      </c>
      <c r="H14" s="23">
        <f t="shared" si="3"/>
        <v>0.21301897737631556</v>
      </c>
    </row>
    <row r="15" spans="1:8" x14ac:dyDescent="0.2">
      <c r="A15" s="22">
        <v>104</v>
      </c>
      <c r="B15" s="7">
        <f>'Day avg Portion'!J15</f>
        <v>0</v>
      </c>
      <c r="C15" s="22">
        <f t="shared" si="0"/>
        <v>0</v>
      </c>
      <c r="D15" s="23">
        <f t="shared" si="1"/>
        <v>0</v>
      </c>
      <c r="E15" s="22"/>
      <c r="F15" s="7">
        <f>'Day avg Portion'!J36</f>
        <v>0</v>
      </c>
      <c r="G15" s="22">
        <f t="shared" si="2"/>
        <v>0</v>
      </c>
      <c r="H15" s="23">
        <f t="shared" si="3"/>
        <v>0</v>
      </c>
    </row>
    <row r="16" spans="1:8" x14ac:dyDescent="0.2">
      <c r="A16" s="22">
        <v>201</v>
      </c>
      <c r="B16" s="7">
        <f>'Day avg Portion'!J16</f>
        <v>0.13508941522669357</v>
      </c>
      <c r="C16" s="22">
        <f t="shared" si="0"/>
        <v>14733.7050385576</v>
      </c>
      <c r="D16" s="23">
        <f t="shared" si="1"/>
        <v>0.13508941522669357</v>
      </c>
      <c r="E16" s="22"/>
      <c r="F16" s="7">
        <f>'Day avg Portion'!J37</f>
        <v>0.13541062401591117</v>
      </c>
      <c r="G16" s="22">
        <f t="shared" si="2"/>
        <v>973.60238667440126</v>
      </c>
      <c r="H16" s="23">
        <f t="shared" si="3"/>
        <v>0.13541062401591117</v>
      </c>
    </row>
    <row r="17" spans="1:8" x14ac:dyDescent="0.2">
      <c r="A17" s="22">
        <v>401</v>
      </c>
      <c r="B17" s="7">
        <f>'Day avg Portion'!J17</f>
        <v>0</v>
      </c>
      <c r="C17" s="22">
        <f t="shared" si="0"/>
        <v>0</v>
      </c>
      <c r="D17" s="23">
        <f t="shared" si="1"/>
        <v>0</v>
      </c>
      <c r="E17" s="22"/>
      <c r="F17" s="7">
        <f>'Day avg Portion'!J38</f>
        <v>0</v>
      </c>
      <c r="G17" s="22">
        <f t="shared" si="2"/>
        <v>0</v>
      </c>
      <c r="H17" s="23">
        <f t="shared" si="3"/>
        <v>0</v>
      </c>
    </row>
    <row r="18" spans="1:8" x14ac:dyDescent="0.2">
      <c r="A18" s="22">
        <v>501</v>
      </c>
      <c r="B18" s="7">
        <f>'Day avg Portion'!J18</f>
        <v>0</v>
      </c>
      <c r="C18" s="22">
        <f t="shared" si="0"/>
        <v>0</v>
      </c>
      <c r="D18" s="23">
        <f t="shared" si="1"/>
        <v>0</v>
      </c>
      <c r="E18" s="22"/>
      <c r="F18" s="7">
        <f>'Day avg Portion'!J39</f>
        <v>0</v>
      </c>
      <c r="G18" s="22">
        <f t="shared" si="2"/>
        <v>0</v>
      </c>
      <c r="H18" s="23">
        <f t="shared" si="3"/>
        <v>0</v>
      </c>
    </row>
    <row r="19" spans="1:8" x14ac:dyDescent="0.2">
      <c r="A19" s="22">
        <v>304</v>
      </c>
      <c r="B19" s="7"/>
      <c r="C19" s="22"/>
      <c r="D19" s="23">
        <f t="shared" si="1"/>
        <v>0</v>
      </c>
      <c r="E19" s="22"/>
      <c r="F19" s="7"/>
      <c r="G19" s="22">
        <f>D20</f>
        <v>0</v>
      </c>
      <c r="H19" s="23">
        <f t="shared" si="3"/>
        <v>0</v>
      </c>
    </row>
    <row r="20" spans="1:8" x14ac:dyDescent="0.2">
      <c r="A20" s="22">
        <f>A21-2000</f>
        <v>109066.31740046374</v>
      </c>
      <c r="B20" s="22"/>
      <c r="C20" s="22">
        <f>SUM(C2:C19)</f>
        <v>109066.31740046374</v>
      </c>
      <c r="D20" s="22">
        <f>C19/D21</f>
        <v>0</v>
      </c>
      <c r="E20" s="22">
        <f>E21-D20</f>
        <v>7190</v>
      </c>
      <c r="F20" s="22"/>
      <c r="G20" s="22">
        <f>SUM(G2:G19)</f>
        <v>7190</v>
      </c>
      <c r="H20" s="22"/>
    </row>
    <row r="21" spans="1:8" x14ac:dyDescent="0.2">
      <c r="A21" s="1">
        <f>HLOOKUP(Main!C7,'[1]Category Total'!$416:$430,15,FALSE)</f>
        <v>111066.31740046374</v>
      </c>
      <c r="B21" s="22"/>
      <c r="C21" s="22"/>
      <c r="D21" s="7">
        <f>A21/E21</f>
        <v>15.447332044570757</v>
      </c>
      <c r="E21" s="1">
        <f>HLOOKUP(Main!C7,'[1]Category Total'!$446:$460,15,FALSE)</f>
        <v>7190</v>
      </c>
      <c r="F21" s="22"/>
      <c r="G21" s="22"/>
      <c r="H21" s="22"/>
    </row>
    <row r="22" spans="1:8" x14ac:dyDescent="0.2">
      <c r="A22" s="24" t="s">
        <v>75</v>
      </c>
      <c r="B22" s="25"/>
      <c r="C22" s="25"/>
      <c r="D22" s="24" t="s">
        <v>76</v>
      </c>
      <c r="E22" s="24" t="s">
        <v>77</v>
      </c>
      <c r="F22" s="22"/>
      <c r="G22" s="22"/>
      <c r="H22" s="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3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5" sqref="D15"/>
    </sheetView>
  </sheetViews>
  <sheetFormatPr defaultRowHeight="11.25" x14ac:dyDescent="0.2"/>
  <cols>
    <col min="1" max="1" width="9.33203125" style="2"/>
    <col min="2" max="5" width="9.5" style="2" bestFit="1" customWidth="1"/>
    <col min="6" max="6" width="10.1640625" style="2" bestFit="1" customWidth="1"/>
    <col min="7" max="8" width="9.5" style="2" bestFit="1" customWidth="1"/>
    <col min="9" max="9" width="10.1640625" style="2" bestFit="1" customWidth="1"/>
    <col min="10" max="16384" width="9.33203125" style="2"/>
  </cols>
  <sheetData>
    <row r="1" spans="1:29" x14ac:dyDescent="0.2">
      <c r="A1" s="2" t="s">
        <v>47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2" t="s">
        <v>48</v>
      </c>
      <c r="K1" s="2" t="s">
        <v>49</v>
      </c>
      <c r="L1" s="3">
        <v>1</v>
      </c>
      <c r="M1" s="3">
        <v>2</v>
      </c>
      <c r="N1" s="3">
        <v>3</v>
      </c>
      <c r="O1" s="3">
        <v>4</v>
      </c>
      <c r="P1" s="3">
        <v>5</v>
      </c>
      <c r="Q1" s="3">
        <v>6</v>
      </c>
      <c r="R1" s="3">
        <v>7</v>
      </c>
      <c r="S1" s="2" t="s">
        <v>48</v>
      </c>
      <c r="U1" s="6" t="s">
        <v>51</v>
      </c>
      <c r="V1" s="2" t="s">
        <v>11</v>
      </c>
      <c r="X1" s="2" t="s">
        <v>47</v>
      </c>
      <c r="Y1" s="2" t="s">
        <v>53</v>
      </c>
      <c r="AB1" s="2" t="s">
        <v>50</v>
      </c>
      <c r="AC1" s="2" t="s">
        <v>53</v>
      </c>
    </row>
    <row r="2" spans="1:29" x14ac:dyDescent="0.2">
      <c r="A2" s="2">
        <v>16</v>
      </c>
      <c r="B2" s="4" t="e">
        <f>SUMIFS(#REF!,#REF!,'Portion_value adjust tool'!$A2,#REF!,'Portion_value adjust tool'!B$1)</f>
        <v>#REF!</v>
      </c>
      <c r="C2" s="4" t="e">
        <f>SUMIFS(#REF!,#REF!,'Portion_value adjust tool'!$A2,#REF!,'Portion_value adjust tool'!C$1)</f>
        <v>#REF!</v>
      </c>
      <c r="D2" s="4" t="e">
        <f>SUMIFS(#REF!,#REF!,'Portion_value adjust tool'!$A2,#REF!,'Portion_value adjust tool'!D$1)</f>
        <v>#REF!</v>
      </c>
      <c r="E2" s="4" t="e">
        <f>SUMIFS(#REF!,#REF!,'Portion_value adjust tool'!$A2,#REF!,'Portion_value adjust tool'!E$1)</f>
        <v>#REF!</v>
      </c>
      <c r="F2" s="4" t="e">
        <f>SUMIFS(#REF!,#REF!,'Portion_value adjust tool'!$A2,#REF!,'Portion_value adjust tool'!F$1)</f>
        <v>#REF!</v>
      </c>
      <c r="G2" s="4" t="e">
        <f>SUMIFS(#REF!,#REF!,'Portion_value adjust tool'!$A2,#REF!,'Portion_value adjust tool'!G$1)</f>
        <v>#REF!</v>
      </c>
      <c r="H2" s="4" t="e">
        <f>SUMIFS(#REF!,#REF!,'Portion_value adjust tool'!$A2,#REF!,'Portion_value adjust tool'!H$1)</f>
        <v>#REF!</v>
      </c>
      <c r="I2" s="4" t="e">
        <f>SUM(B2:H2)</f>
        <v>#REF!</v>
      </c>
      <c r="K2" s="2">
        <f t="shared" ref="K2:K12" si="0">A2</f>
        <v>16</v>
      </c>
      <c r="L2" s="5">
        <f>IFERROR(B2/$I2,0)</f>
        <v>0</v>
      </c>
      <c r="M2" s="5">
        <f t="shared" ref="M2:S17" si="1">IFERROR(C2/$I2,0)</f>
        <v>0</v>
      </c>
      <c r="N2" s="5">
        <f t="shared" si="1"/>
        <v>0</v>
      </c>
      <c r="O2" s="5">
        <f t="shared" si="1"/>
        <v>0</v>
      </c>
      <c r="P2" s="5">
        <f t="shared" si="1"/>
        <v>0</v>
      </c>
      <c r="Q2" s="5">
        <f t="shared" si="1"/>
        <v>0</v>
      </c>
      <c r="R2" s="5">
        <f t="shared" si="1"/>
        <v>0</v>
      </c>
      <c r="S2" s="5">
        <f t="shared" si="1"/>
        <v>0</v>
      </c>
      <c r="U2" s="2" t="s">
        <v>54</v>
      </c>
      <c r="V2" s="2">
        <v>46</v>
      </c>
      <c r="W2" s="2">
        <f t="shared" ref="W2:W12" si="2">A2</f>
        <v>16</v>
      </c>
      <c r="X2" s="4" t="e">
        <f>SUMIFS(#REF!,#REF!,'Portion_value adjust tool'!$V$1,#REF!,'Portion_value adjust tool'!$V$2,#REF!,'Portion_value adjust tool'!$W2)+SUMIFS(#REF!,#REF!,'Portion_value adjust tool'!$V$1,#REF!,'Portion_value adjust tool'!$V$3,#REF!,'Portion_value adjust tool'!$W2)+SUMIFS(#REF!,#REF!,'Portion_value adjust tool'!$V$1,#REF!,'Portion_value adjust tool'!$V$4,#REF!,'Portion_value adjust tool'!$W2)+SUMIFS(#REF!,#REF!,'Portion_value adjust tool'!$V$1,#REF!,'Portion_value adjust tool'!$V$5,#REF!,'Portion_value adjust tool'!$W2)</f>
        <v>#REF!</v>
      </c>
      <c r="Y2" s="5" t="e">
        <f t="shared" ref="Y2:Y18" si="3">X2/X$18</f>
        <v>#REF!</v>
      </c>
      <c r="AA2" s="2">
        <f>W2</f>
        <v>16</v>
      </c>
      <c r="AB2" s="4" t="e">
        <f>SUMIFS(#REF!,#REF!,'Portion_value adjust tool'!$V$1,#REF!,'Portion_value adjust tool'!$V$2,#REF!,'Portion_value adjust tool'!$W2)+SUMIFS(#REF!,#REF!,'Portion_value adjust tool'!$V$1,#REF!,'Portion_value adjust tool'!$V$3,#REF!,'Portion_value adjust tool'!$W2)+SUMIFS(#REF!,#REF!,'Portion_value adjust tool'!$V$1,#REF!,'Portion_value adjust tool'!$V$4,#REF!,'Portion_value adjust tool'!$W2)+SUMIFS(#REF!,#REF!,'Portion_value adjust tool'!$V$1,#REF!,'Portion_value adjust tool'!$V$5,#REF!,'Portion_value adjust tool'!$W2)</f>
        <v>#REF!</v>
      </c>
      <c r="AC2" s="5" t="e">
        <f t="shared" ref="AC2:AC18" si="4">AB2/AB$18</f>
        <v>#REF!</v>
      </c>
    </row>
    <row r="3" spans="1:29" x14ac:dyDescent="0.2">
      <c r="A3" s="2">
        <v>29</v>
      </c>
      <c r="B3" s="4" t="e">
        <f>SUMIFS(#REF!,#REF!,'Portion_value adjust tool'!$A3,#REF!,'Portion_value adjust tool'!B$1)</f>
        <v>#REF!</v>
      </c>
      <c r="C3" s="4" t="e">
        <f>SUMIFS(#REF!,#REF!,'Portion_value adjust tool'!$A3,#REF!,'Portion_value adjust tool'!C$1)</f>
        <v>#REF!</v>
      </c>
      <c r="D3" s="4" t="e">
        <f>SUMIFS(#REF!,#REF!,'Portion_value adjust tool'!$A3,#REF!,'Portion_value adjust tool'!D$1)</f>
        <v>#REF!</v>
      </c>
      <c r="E3" s="4" t="e">
        <f>SUMIFS(#REF!,#REF!,'Portion_value adjust tool'!$A3,#REF!,'Portion_value adjust tool'!E$1)</f>
        <v>#REF!</v>
      </c>
      <c r="F3" s="4" t="e">
        <f>SUMIFS(#REF!,#REF!,'Portion_value adjust tool'!$A3,#REF!,'Portion_value adjust tool'!F$1)</f>
        <v>#REF!</v>
      </c>
      <c r="G3" s="4" t="e">
        <f>SUMIFS(#REF!,#REF!,'Portion_value adjust tool'!$A3,#REF!,'Portion_value adjust tool'!G$1)</f>
        <v>#REF!</v>
      </c>
      <c r="H3" s="4" t="e">
        <f>SUMIFS(#REF!,#REF!,'Portion_value adjust tool'!$A3,#REF!,'Portion_value adjust tool'!H$1)</f>
        <v>#REF!</v>
      </c>
      <c r="I3" s="4" t="e">
        <f t="shared" ref="I3:I17" si="5">SUM(B3:H3)</f>
        <v>#REF!</v>
      </c>
      <c r="K3" s="2">
        <f t="shared" si="0"/>
        <v>29</v>
      </c>
      <c r="L3" s="5">
        <f t="shared" ref="L3:L17" si="6">IFERROR(B3/$I3,0)</f>
        <v>0</v>
      </c>
      <c r="M3" s="5">
        <f t="shared" si="1"/>
        <v>0</v>
      </c>
      <c r="N3" s="5">
        <f t="shared" si="1"/>
        <v>0</v>
      </c>
      <c r="O3" s="5">
        <f t="shared" si="1"/>
        <v>0</v>
      </c>
      <c r="P3" s="5">
        <f t="shared" si="1"/>
        <v>0</v>
      </c>
      <c r="Q3" s="5">
        <f t="shared" si="1"/>
        <v>0</v>
      </c>
      <c r="R3" s="5">
        <f t="shared" si="1"/>
        <v>0</v>
      </c>
      <c r="S3" s="5">
        <f t="shared" si="1"/>
        <v>0</v>
      </c>
      <c r="W3" s="2">
        <f t="shared" si="2"/>
        <v>29</v>
      </c>
      <c r="X3" s="4" t="e">
        <f>SUMIFS(#REF!,#REF!,'Portion_value adjust tool'!$V$1,#REF!,'Portion_value adjust tool'!$V$2,#REF!,'Portion_value adjust tool'!$W3)+SUMIFS(#REF!,#REF!,'Portion_value adjust tool'!$V$1,#REF!,'Portion_value adjust tool'!$V$3,#REF!,'Portion_value adjust tool'!$W3)+SUMIFS(#REF!,#REF!,'Portion_value adjust tool'!$V$1,#REF!,'Portion_value adjust tool'!$V$4,#REF!,'Portion_value adjust tool'!$W3)+SUMIFS(#REF!,#REF!,'Portion_value adjust tool'!$V$1,#REF!,'Portion_value adjust tool'!$V$5,#REF!,'Portion_value adjust tool'!$W3)</f>
        <v>#REF!</v>
      </c>
      <c r="Y3" s="5" t="e">
        <f t="shared" si="3"/>
        <v>#REF!</v>
      </c>
      <c r="AA3" s="2">
        <f t="shared" ref="AA3:AA18" si="7">W3</f>
        <v>29</v>
      </c>
      <c r="AB3" s="4" t="e">
        <f>SUMIFS(#REF!,#REF!,'Portion_value adjust tool'!$V$1,#REF!,'Portion_value adjust tool'!$V$2,#REF!,'Portion_value adjust tool'!$W3)+SUMIFS(#REF!,#REF!,'Portion_value adjust tool'!$V$1,#REF!,'Portion_value adjust tool'!$V$3,#REF!,'Portion_value adjust tool'!$W3)+SUMIFS(#REF!,#REF!,'Portion_value adjust tool'!$V$1,#REF!,'Portion_value adjust tool'!$V$4,#REF!,'Portion_value adjust tool'!$W3)+SUMIFS(#REF!,#REF!,'Portion_value adjust tool'!$V$1,#REF!,'Portion_value adjust tool'!$V$5,#REF!,'Portion_value adjust tool'!$W3)</f>
        <v>#REF!</v>
      </c>
      <c r="AC3" s="5" t="e">
        <f t="shared" si="4"/>
        <v>#REF!</v>
      </c>
    </row>
    <row r="4" spans="1:29" x14ac:dyDescent="0.2">
      <c r="A4" s="2">
        <v>35</v>
      </c>
      <c r="B4" s="4" t="e">
        <f>SUMIFS(#REF!,#REF!,'Portion_value adjust tool'!$A4,#REF!,'Portion_value adjust tool'!B$1)</f>
        <v>#REF!</v>
      </c>
      <c r="C4" s="4" t="e">
        <f>SUMIFS(#REF!,#REF!,'Portion_value adjust tool'!$A4,#REF!,'Portion_value adjust tool'!C$1)</f>
        <v>#REF!</v>
      </c>
      <c r="D4" s="4" t="e">
        <f>SUMIFS(#REF!,#REF!,'Portion_value adjust tool'!$A4,#REF!,'Portion_value adjust tool'!D$1)</f>
        <v>#REF!</v>
      </c>
      <c r="E4" s="4" t="e">
        <f>SUMIFS(#REF!,#REF!,'Portion_value adjust tool'!$A4,#REF!,'Portion_value adjust tool'!E$1)</f>
        <v>#REF!</v>
      </c>
      <c r="F4" s="4" t="e">
        <f>SUMIFS(#REF!,#REF!,'Portion_value adjust tool'!$A4,#REF!,'Portion_value adjust tool'!F$1)</f>
        <v>#REF!</v>
      </c>
      <c r="G4" s="4" t="e">
        <f>SUMIFS(#REF!,#REF!,'Portion_value adjust tool'!$A4,#REF!,'Portion_value adjust tool'!G$1)</f>
        <v>#REF!</v>
      </c>
      <c r="H4" s="4" t="e">
        <f>SUMIFS(#REF!,#REF!,'Portion_value adjust tool'!$A4,#REF!,'Portion_value adjust tool'!H$1)</f>
        <v>#REF!</v>
      </c>
      <c r="I4" s="4" t="e">
        <f t="shared" si="5"/>
        <v>#REF!</v>
      </c>
      <c r="K4" s="2">
        <f t="shared" si="0"/>
        <v>35</v>
      </c>
      <c r="L4" s="5">
        <f t="shared" si="6"/>
        <v>0</v>
      </c>
      <c r="M4" s="5">
        <f t="shared" si="1"/>
        <v>0</v>
      </c>
      <c r="N4" s="5">
        <f t="shared" si="1"/>
        <v>0</v>
      </c>
      <c r="O4" s="5">
        <f t="shared" si="1"/>
        <v>0</v>
      </c>
      <c r="P4" s="5">
        <f t="shared" si="1"/>
        <v>0</v>
      </c>
      <c r="Q4" s="5">
        <f t="shared" si="1"/>
        <v>0</v>
      </c>
      <c r="R4" s="5">
        <f t="shared" si="1"/>
        <v>0</v>
      </c>
      <c r="S4" s="5">
        <f t="shared" si="1"/>
        <v>0</v>
      </c>
      <c r="W4" s="2">
        <f t="shared" si="2"/>
        <v>35</v>
      </c>
      <c r="X4" s="4" t="e">
        <f>SUMIFS(#REF!,#REF!,'Portion_value adjust tool'!$V$1,#REF!,'Portion_value adjust tool'!$V$2,#REF!,'Portion_value adjust tool'!$W4)+SUMIFS(#REF!,#REF!,'Portion_value adjust tool'!$V$1,#REF!,'Portion_value adjust tool'!$V$3,#REF!,'Portion_value adjust tool'!$W4)+SUMIFS(#REF!,#REF!,'Portion_value adjust tool'!$V$1,#REF!,'Portion_value adjust tool'!$V$4,#REF!,'Portion_value adjust tool'!$W4)+SUMIFS(#REF!,#REF!,'Portion_value adjust tool'!$V$1,#REF!,'Portion_value adjust tool'!$V$5,#REF!,'Portion_value adjust tool'!$W4)</f>
        <v>#REF!</v>
      </c>
      <c r="Y4" s="5" t="e">
        <f t="shared" si="3"/>
        <v>#REF!</v>
      </c>
      <c r="AA4" s="2">
        <f t="shared" si="7"/>
        <v>35</v>
      </c>
      <c r="AB4" s="4" t="e">
        <f>SUMIFS(#REF!,#REF!,'Portion_value adjust tool'!$V$1,#REF!,'Portion_value adjust tool'!$V$2,#REF!,'Portion_value adjust tool'!$W4)+SUMIFS(#REF!,#REF!,'Portion_value adjust tool'!$V$1,#REF!,'Portion_value adjust tool'!$V$3,#REF!,'Portion_value adjust tool'!$W4)+SUMIFS(#REF!,#REF!,'Portion_value adjust tool'!$V$1,#REF!,'Portion_value adjust tool'!$V$4,#REF!,'Portion_value adjust tool'!$W4)+SUMIFS(#REF!,#REF!,'Portion_value adjust tool'!$V$1,#REF!,'Portion_value adjust tool'!$V$5,#REF!,'Portion_value adjust tool'!$W4)</f>
        <v>#REF!</v>
      </c>
      <c r="AC4" s="5" t="e">
        <f t="shared" si="4"/>
        <v>#REF!</v>
      </c>
    </row>
    <row r="5" spans="1:29" x14ac:dyDescent="0.2">
      <c r="A5" s="2">
        <v>36</v>
      </c>
      <c r="B5" s="4" t="e">
        <f>SUMIFS(#REF!,#REF!,'Portion_value adjust tool'!$A5,#REF!,'Portion_value adjust tool'!B$1)</f>
        <v>#REF!</v>
      </c>
      <c r="C5" s="4" t="e">
        <f>SUMIFS(#REF!,#REF!,'Portion_value adjust tool'!$A5,#REF!,'Portion_value adjust tool'!C$1)</f>
        <v>#REF!</v>
      </c>
      <c r="D5" s="4" t="e">
        <f>SUMIFS(#REF!,#REF!,'Portion_value adjust tool'!$A5,#REF!,'Portion_value adjust tool'!D$1)</f>
        <v>#REF!</v>
      </c>
      <c r="E5" s="4" t="e">
        <f>SUMIFS(#REF!,#REF!,'Portion_value adjust tool'!$A5,#REF!,'Portion_value adjust tool'!E$1)</f>
        <v>#REF!</v>
      </c>
      <c r="F5" s="4" t="e">
        <f>SUMIFS(#REF!,#REF!,'Portion_value adjust tool'!$A5,#REF!,'Portion_value adjust tool'!F$1)</f>
        <v>#REF!</v>
      </c>
      <c r="G5" s="4" t="e">
        <f>SUMIFS(#REF!,#REF!,'Portion_value adjust tool'!$A5,#REF!,'Portion_value adjust tool'!G$1)</f>
        <v>#REF!</v>
      </c>
      <c r="H5" s="4" t="e">
        <f>SUMIFS(#REF!,#REF!,'Portion_value adjust tool'!$A5,#REF!,'Portion_value adjust tool'!H$1)</f>
        <v>#REF!</v>
      </c>
      <c r="I5" s="4" t="e">
        <f t="shared" si="5"/>
        <v>#REF!</v>
      </c>
      <c r="K5" s="2">
        <f t="shared" si="0"/>
        <v>36</v>
      </c>
      <c r="L5" s="5">
        <f t="shared" si="6"/>
        <v>0</v>
      </c>
      <c r="M5" s="5">
        <f t="shared" si="1"/>
        <v>0</v>
      </c>
      <c r="N5" s="5">
        <f t="shared" si="1"/>
        <v>0</v>
      </c>
      <c r="O5" s="5">
        <f t="shared" si="1"/>
        <v>0</v>
      </c>
      <c r="P5" s="5">
        <f t="shared" si="1"/>
        <v>0</v>
      </c>
      <c r="Q5" s="5">
        <f t="shared" si="1"/>
        <v>0</v>
      </c>
      <c r="R5" s="5">
        <f t="shared" si="1"/>
        <v>0</v>
      </c>
      <c r="S5" s="5">
        <f t="shared" si="1"/>
        <v>0</v>
      </c>
      <c r="W5" s="2">
        <f t="shared" si="2"/>
        <v>36</v>
      </c>
      <c r="X5" s="4" t="e">
        <f>SUMIFS(#REF!,#REF!,'Portion_value adjust tool'!$V$1,#REF!,'Portion_value adjust tool'!$V$2,#REF!,'Portion_value adjust tool'!$W5)+SUMIFS(#REF!,#REF!,'Portion_value adjust tool'!$V$1,#REF!,'Portion_value adjust tool'!$V$3,#REF!,'Portion_value adjust tool'!$W5)+SUMIFS(#REF!,#REF!,'Portion_value adjust tool'!$V$1,#REF!,'Portion_value adjust tool'!$V$4,#REF!,'Portion_value adjust tool'!$W5)+SUMIFS(#REF!,#REF!,'Portion_value adjust tool'!$V$1,#REF!,'Portion_value adjust tool'!$V$5,#REF!,'Portion_value adjust tool'!$W5)</f>
        <v>#REF!</v>
      </c>
      <c r="Y5" s="5" t="e">
        <f t="shared" si="3"/>
        <v>#REF!</v>
      </c>
      <c r="AA5" s="2">
        <f t="shared" si="7"/>
        <v>36</v>
      </c>
      <c r="AB5" s="4" t="e">
        <f>SUMIFS(#REF!,#REF!,'Portion_value adjust tool'!$V$1,#REF!,'Portion_value adjust tool'!$V$2,#REF!,'Portion_value adjust tool'!$W5)+SUMIFS(#REF!,#REF!,'Portion_value adjust tool'!$V$1,#REF!,'Portion_value adjust tool'!$V$3,#REF!,'Portion_value adjust tool'!$W5)+SUMIFS(#REF!,#REF!,'Portion_value adjust tool'!$V$1,#REF!,'Portion_value adjust tool'!$V$4,#REF!,'Portion_value adjust tool'!$W5)+SUMIFS(#REF!,#REF!,'Portion_value adjust tool'!$V$1,#REF!,'Portion_value adjust tool'!$V$5,#REF!,'Portion_value adjust tool'!$W5)</f>
        <v>#REF!</v>
      </c>
      <c r="AC5" s="5" t="e">
        <f t="shared" si="4"/>
        <v>#REF!</v>
      </c>
    </row>
    <row r="6" spans="1:29" x14ac:dyDescent="0.2">
      <c r="A6" s="2">
        <v>37</v>
      </c>
      <c r="B6" s="4" t="e">
        <f>SUMIFS(#REF!,#REF!,'Portion_value adjust tool'!$A6,#REF!,'Portion_value adjust tool'!B$1)</f>
        <v>#REF!</v>
      </c>
      <c r="C6" s="4" t="e">
        <f>SUMIFS(#REF!,#REF!,'Portion_value adjust tool'!$A6,#REF!,'Portion_value adjust tool'!C$1)</f>
        <v>#REF!</v>
      </c>
      <c r="D6" s="4" t="e">
        <f>SUMIFS(#REF!,#REF!,'Portion_value adjust tool'!$A6,#REF!,'Portion_value adjust tool'!D$1)</f>
        <v>#REF!</v>
      </c>
      <c r="E6" s="4" t="e">
        <f>SUMIFS(#REF!,#REF!,'Portion_value adjust tool'!$A6,#REF!,'Portion_value adjust tool'!E$1)</f>
        <v>#REF!</v>
      </c>
      <c r="F6" s="4" t="e">
        <f>SUMIFS(#REF!,#REF!,'Portion_value adjust tool'!$A6,#REF!,'Portion_value adjust tool'!F$1)</f>
        <v>#REF!</v>
      </c>
      <c r="G6" s="4" t="e">
        <f>SUMIFS(#REF!,#REF!,'Portion_value adjust tool'!$A6,#REF!,'Portion_value adjust tool'!G$1)</f>
        <v>#REF!</v>
      </c>
      <c r="H6" s="4" t="e">
        <f>SUMIFS(#REF!,#REF!,'Portion_value adjust tool'!$A6,#REF!,'Portion_value adjust tool'!H$1)</f>
        <v>#REF!</v>
      </c>
      <c r="I6" s="4" t="e">
        <f t="shared" si="5"/>
        <v>#REF!</v>
      </c>
      <c r="K6" s="2">
        <f t="shared" si="0"/>
        <v>37</v>
      </c>
      <c r="L6" s="5">
        <f t="shared" si="6"/>
        <v>0</v>
      </c>
      <c r="M6" s="5">
        <f t="shared" si="1"/>
        <v>0</v>
      </c>
      <c r="N6" s="5">
        <f t="shared" si="1"/>
        <v>0</v>
      </c>
      <c r="O6" s="5">
        <f t="shared" si="1"/>
        <v>0</v>
      </c>
      <c r="P6" s="5">
        <f t="shared" si="1"/>
        <v>0</v>
      </c>
      <c r="Q6" s="5">
        <f t="shared" si="1"/>
        <v>0</v>
      </c>
      <c r="R6" s="5">
        <f t="shared" si="1"/>
        <v>0</v>
      </c>
      <c r="S6" s="5">
        <f t="shared" si="1"/>
        <v>0</v>
      </c>
      <c r="W6" s="2">
        <f t="shared" si="2"/>
        <v>37</v>
      </c>
      <c r="X6" s="4" t="e">
        <f>SUMIFS(#REF!,#REF!,'Portion_value adjust tool'!$V$1,#REF!,'Portion_value adjust tool'!$V$2,#REF!,'Portion_value adjust tool'!$W6)+SUMIFS(#REF!,#REF!,'Portion_value adjust tool'!$V$1,#REF!,'Portion_value adjust tool'!$V$3,#REF!,'Portion_value adjust tool'!$W6)+SUMIFS(#REF!,#REF!,'Portion_value adjust tool'!$V$1,#REF!,'Portion_value adjust tool'!$V$4,#REF!,'Portion_value adjust tool'!$W6)+SUMIFS(#REF!,#REF!,'Portion_value adjust tool'!$V$1,#REF!,'Portion_value adjust tool'!$V$5,#REF!,'Portion_value adjust tool'!$W6)</f>
        <v>#REF!</v>
      </c>
      <c r="Y6" s="5" t="e">
        <f t="shared" si="3"/>
        <v>#REF!</v>
      </c>
      <c r="AA6" s="2">
        <f t="shared" si="7"/>
        <v>37</v>
      </c>
      <c r="AB6" s="4" t="e">
        <f>SUMIFS(#REF!,#REF!,'Portion_value adjust tool'!$V$1,#REF!,'Portion_value adjust tool'!$V$2,#REF!,'Portion_value adjust tool'!$W6)+SUMIFS(#REF!,#REF!,'Portion_value adjust tool'!$V$1,#REF!,'Portion_value adjust tool'!$V$3,#REF!,'Portion_value adjust tool'!$W6)+SUMIFS(#REF!,#REF!,'Portion_value adjust tool'!$V$1,#REF!,'Portion_value adjust tool'!$V$4,#REF!,'Portion_value adjust tool'!$W6)+SUMIFS(#REF!,#REF!,'Portion_value adjust tool'!$V$1,#REF!,'Portion_value adjust tool'!$V$5,#REF!,'Portion_value adjust tool'!$W6)</f>
        <v>#REF!</v>
      </c>
      <c r="AC6" s="5" t="e">
        <f t="shared" si="4"/>
        <v>#REF!</v>
      </c>
    </row>
    <row r="7" spans="1:29" x14ac:dyDescent="0.2">
      <c r="A7" s="2">
        <v>38</v>
      </c>
      <c r="B7" s="4" t="e">
        <f>SUMIFS(#REF!,#REF!,'Portion_value adjust tool'!$A7,#REF!,'Portion_value adjust tool'!B$1)</f>
        <v>#REF!</v>
      </c>
      <c r="C7" s="4" t="e">
        <f>SUMIFS(#REF!,#REF!,'Portion_value adjust tool'!$A7,#REF!,'Portion_value adjust tool'!C$1)</f>
        <v>#REF!</v>
      </c>
      <c r="D7" s="4" t="e">
        <f>SUMIFS(#REF!,#REF!,'Portion_value adjust tool'!$A7,#REF!,'Portion_value adjust tool'!D$1)</f>
        <v>#REF!</v>
      </c>
      <c r="E7" s="4" t="e">
        <f>SUMIFS(#REF!,#REF!,'Portion_value adjust tool'!$A7,#REF!,'Portion_value adjust tool'!E$1)</f>
        <v>#REF!</v>
      </c>
      <c r="F7" s="4" t="e">
        <f>SUMIFS(#REF!,#REF!,'Portion_value adjust tool'!$A7,#REF!,'Portion_value adjust tool'!F$1)</f>
        <v>#REF!</v>
      </c>
      <c r="G7" s="4" t="e">
        <f>SUMIFS(#REF!,#REF!,'Portion_value adjust tool'!$A7,#REF!,'Portion_value adjust tool'!G$1)</f>
        <v>#REF!</v>
      </c>
      <c r="H7" s="4" t="e">
        <f>SUMIFS(#REF!,#REF!,'Portion_value adjust tool'!$A7,#REF!,'Portion_value adjust tool'!H$1)</f>
        <v>#REF!</v>
      </c>
      <c r="I7" s="4" t="e">
        <f t="shared" si="5"/>
        <v>#REF!</v>
      </c>
      <c r="K7" s="2">
        <f t="shared" si="0"/>
        <v>38</v>
      </c>
      <c r="L7" s="5">
        <f t="shared" si="6"/>
        <v>0</v>
      </c>
      <c r="M7" s="5">
        <f t="shared" si="1"/>
        <v>0</v>
      </c>
      <c r="N7" s="5">
        <f t="shared" si="1"/>
        <v>0</v>
      </c>
      <c r="O7" s="5">
        <f t="shared" si="1"/>
        <v>0</v>
      </c>
      <c r="P7" s="5">
        <f t="shared" si="1"/>
        <v>0</v>
      </c>
      <c r="Q7" s="5">
        <f t="shared" si="1"/>
        <v>0</v>
      </c>
      <c r="R7" s="5">
        <f t="shared" si="1"/>
        <v>0</v>
      </c>
      <c r="S7" s="5">
        <f t="shared" si="1"/>
        <v>0</v>
      </c>
      <c r="W7" s="2">
        <f t="shared" si="2"/>
        <v>38</v>
      </c>
      <c r="X7" s="4" t="e">
        <f>SUMIFS(#REF!,#REF!,'Portion_value adjust tool'!$V$1,#REF!,'Portion_value adjust tool'!$V$2,#REF!,'Portion_value adjust tool'!$W7)+SUMIFS(#REF!,#REF!,'Portion_value adjust tool'!$V$1,#REF!,'Portion_value adjust tool'!$V$3,#REF!,'Portion_value adjust tool'!$W7)+SUMIFS(#REF!,#REF!,'Portion_value adjust tool'!$V$1,#REF!,'Portion_value adjust tool'!$V$4,#REF!,'Portion_value adjust tool'!$W7)+SUMIFS(#REF!,#REF!,'Portion_value adjust tool'!$V$1,#REF!,'Portion_value adjust tool'!$V$5,#REF!,'Portion_value adjust tool'!$W7)</f>
        <v>#REF!</v>
      </c>
      <c r="Y7" s="5" t="e">
        <f t="shared" si="3"/>
        <v>#REF!</v>
      </c>
      <c r="AA7" s="2">
        <f t="shared" si="7"/>
        <v>38</v>
      </c>
      <c r="AB7" s="4" t="e">
        <f>SUMIFS(#REF!,#REF!,'Portion_value adjust tool'!$V$1,#REF!,'Portion_value adjust tool'!$V$2,#REF!,'Portion_value adjust tool'!$W7)+SUMIFS(#REF!,#REF!,'Portion_value adjust tool'!$V$1,#REF!,'Portion_value adjust tool'!$V$3,#REF!,'Portion_value adjust tool'!$W7)+SUMIFS(#REF!,#REF!,'Portion_value adjust tool'!$V$1,#REF!,'Portion_value adjust tool'!$V$4,#REF!,'Portion_value adjust tool'!$W7)+SUMIFS(#REF!,#REF!,'Portion_value adjust tool'!$V$1,#REF!,'Portion_value adjust tool'!$V$5,#REF!,'Portion_value adjust tool'!$W7)</f>
        <v>#REF!</v>
      </c>
      <c r="AC7" s="5" t="e">
        <f t="shared" si="4"/>
        <v>#REF!</v>
      </c>
    </row>
    <row r="8" spans="1:29" x14ac:dyDescent="0.2">
      <c r="A8" s="2">
        <v>41</v>
      </c>
      <c r="B8" s="4" t="e">
        <f>SUMIFS(#REF!,#REF!,'Portion_value adjust tool'!$A8,#REF!,'Portion_value adjust tool'!B$1)</f>
        <v>#REF!</v>
      </c>
      <c r="C8" s="4" t="e">
        <f>SUMIFS(#REF!,#REF!,'Portion_value adjust tool'!$A8,#REF!,'Portion_value adjust tool'!C$1)</f>
        <v>#REF!</v>
      </c>
      <c r="D8" s="4" t="e">
        <f>SUMIFS(#REF!,#REF!,'Portion_value adjust tool'!$A8,#REF!,'Portion_value adjust tool'!D$1)</f>
        <v>#REF!</v>
      </c>
      <c r="E8" s="4" t="e">
        <f>SUMIFS(#REF!,#REF!,'Portion_value adjust tool'!$A8,#REF!,'Portion_value adjust tool'!E$1)</f>
        <v>#REF!</v>
      </c>
      <c r="F8" s="4" t="e">
        <f>SUMIFS(#REF!,#REF!,'Portion_value adjust tool'!$A8,#REF!,'Portion_value adjust tool'!F$1)</f>
        <v>#REF!</v>
      </c>
      <c r="G8" s="4" t="e">
        <f>SUMIFS(#REF!,#REF!,'Portion_value adjust tool'!$A8,#REF!,'Portion_value adjust tool'!G$1)</f>
        <v>#REF!</v>
      </c>
      <c r="H8" s="4" t="e">
        <f>SUMIFS(#REF!,#REF!,'Portion_value adjust tool'!$A8,#REF!,'Portion_value adjust tool'!H$1)</f>
        <v>#REF!</v>
      </c>
      <c r="I8" s="4" t="e">
        <f t="shared" si="5"/>
        <v>#REF!</v>
      </c>
      <c r="K8" s="2">
        <f t="shared" si="0"/>
        <v>41</v>
      </c>
      <c r="L8" s="5">
        <f t="shared" si="6"/>
        <v>0</v>
      </c>
      <c r="M8" s="5">
        <f t="shared" si="1"/>
        <v>0</v>
      </c>
      <c r="N8" s="5">
        <f t="shared" si="1"/>
        <v>0</v>
      </c>
      <c r="O8" s="5">
        <f t="shared" si="1"/>
        <v>0</v>
      </c>
      <c r="P8" s="5">
        <f t="shared" si="1"/>
        <v>0</v>
      </c>
      <c r="Q8" s="5">
        <f t="shared" si="1"/>
        <v>0</v>
      </c>
      <c r="R8" s="5">
        <f t="shared" si="1"/>
        <v>0</v>
      </c>
      <c r="S8" s="5">
        <f t="shared" si="1"/>
        <v>0</v>
      </c>
      <c r="W8" s="2">
        <f t="shared" si="2"/>
        <v>41</v>
      </c>
      <c r="X8" s="4" t="e">
        <f>SUMIFS(#REF!,#REF!,'Portion_value adjust tool'!$V$1,#REF!,'Portion_value adjust tool'!$V$2,#REF!,'Portion_value adjust tool'!$W8)+SUMIFS(#REF!,#REF!,'Portion_value adjust tool'!$V$1,#REF!,'Portion_value adjust tool'!$V$3,#REF!,'Portion_value adjust tool'!$W8)+SUMIFS(#REF!,#REF!,'Portion_value adjust tool'!$V$1,#REF!,'Portion_value adjust tool'!$V$4,#REF!,'Portion_value adjust tool'!$W8)+SUMIFS(#REF!,#REF!,'Portion_value adjust tool'!$V$1,#REF!,'Portion_value adjust tool'!$V$5,#REF!,'Portion_value adjust tool'!$W8)</f>
        <v>#REF!</v>
      </c>
      <c r="Y8" s="5" t="e">
        <f t="shared" si="3"/>
        <v>#REF!</v>
      </c>
      <c r="AA8" s="2">
        <f t="shared" si="7"/>
        <v>41</v>
      </c>
      <c r="AB8" s="4" t="e">
        <f>SUMIFS(#REF!,#REF!,'Portion_value adjust tool'!$V$1,#REF!,'Portion_value adjust tool'!$V$2,#REF!,'Portion_value adjust tool'!$W8)+SUMIFS(#REF!,#REF!,'Portion_value adjust tool'!$V$1,#REF!,'Portion_value adjust tool'!$V$3,#REF!,'Portion_value adjust tool'!$W8)+SUMIFS(#REF!,#REF!,'Portion_value adjust tool'!$V$1,#REF!,'Portion_value adjust tool'!$V$4,#REF!,'Portion_value adjust tool'!$W8)+SUMIFS(#REF!,#REF!,'Portion_value adjust tool'!$V$1,#REF!,'Portion_value adjust tool'!$V$5,#REF!,'Portion_value adjust tool'!$W8)</f>
        <v>#REF!</v>
      </c>
      <c r="AC8" s="5" t="e">
        <f t="shared" si="4"/>
        <v>#REF!</v>
      </c>
    </row>
    <row r="9" spans="1:29" x14ac:dyDescent="0.2">
      <c r="A9" s="2">
        <v>42</v>
      </c>
      <c r="B9" s="4" t="e">
        <f>SUMIFS(#REF!,#REF!,'Portion_value adjust tool'!$A9,#REF!,'Portion_value adjust tool'!B$1)</f>
        <v>#REF!</v>
      </c>
      <c r="C9" s="4" t="e">
        <f>SUMIFS(#REF!,#REF!,'Portion_value adjust tool'!$A9,#REF!,'Portion_value adjust tool'!C$1)</f>
        <v>#REF!</v>
      </c>
      <c r="D9" s="4" t="e">
        <f>SUMIFS(#REF!,#REF!,'Portion_value adjust tool'!$A9,#REF!,'Portion_value adjust tool'!D$1)</f>
        <v>#REF!</v>
      </c>
      <c r="E9" s="4" t="e">
        <f>SUMIFS(#REF!,#REF!,'Portion_value adjust tool'!$A9,#REF!,'Portion_value adjust tool'!E$1)</f>
        <v>#REF!</v>
      </c>
      <c r="F9" s="4" t="e">
        <f>SUMIFS(#REF!,#REF!,'Portion_value adjust tool'!$A9,#REF!,'Portion_value adjust tool'!F$1)</f>
        <v>#REF!</v>
      </c>
      <c r="G9" s="4" t="e">
        <f>SUMIFS(#REF!,#REF!,'Portion_value adjust tool'!$A9,#REF!,'Portion_value adjust tool'!G$1)</f>
        <v>#REF!</v>
      </c>
      <c r="H9" s="4" t="e">
        <f>SUMIFS(#REF!,#REF!,'Portion_value adjust tool'!$A9,#REF!,'Portion_value adjust tool'!H$1)</f>
        <v>#REF!</v>
      </c>
      <c r="I9" s="4" t="e">
        <f t="shared" si="5"/>
        <v>#REF!</v>
      </c>
      <c r="K9" s="2">
        <f t="shared" si="0"/>
        <v>42</v>
      </c>
      <c r="L9" s="5">
        <f t="shared" si="6"/>
        <v>0</v>
      </c>
      <c r="M9" s="5">
        <f t="shared" si="1"/>
        <v>0</v>
      </c>
      <c r="N9" s="5">
        <f t="shared" si="1"/>
        <v>0</v>
      </c>
      <c r="O9" s="5">
        <f t="shared" si="1"/>
        <v>0</v>
      </c>
      <c r="P9" s="5">
        <f t="shared" si="1"/>
        <v>0</v>
      </c>
      <c r="Q9" s="5">
        <f t="shared" si="1"/>
        <v>0</v>
      </c>
      <c r="R9" s="5">
        <f t="shared" si="1"/>
        <v>0</v>
      </c>
      <c r="S9" s="5">
        <f t="shared" si="1"/>
        <v>0</v>
      </c>
      <c r="W9" s="2">
        <f t="shared" si="2"/>
        <v>42</v>
      </c>
      <c r="X9" s="4" t="e">
        <f>SUMIFS(#REF!,#REF!,'Portion_value adjust tool'!$V$1,#REF!,'Portion_value adjust tool'!$V$2,#REF!,'Portion_value adjust tool'!$W9)+SUMIFS(#REF!,#REF!,'Portion_value adjust tool'!$V$1,#REF!,'Portion_value adjust tool'!$V$3,#REF!,'Portion_value adjust tool'!$W9)+SUMIFS(#REF!,#REF!,'Portion_value adjust tool'!$V$1,#REF!,'Portion_value adjust tool'!$V$4,#REF!,'Portion_value adjust tool'!$W9)+SUMIFS(#REF!,#REF!,'Portion_value adjust tool'!$V$1,#REF!,'Portion_value adjust tool'!$V$5,#REF!,'Portion_value adjust tool'!$W9)</f>
        <v>#REF!</v>
      </c>
      <c r="Y9" s="5" t="e">
        <f t="shared" si="3"/>
        <v>#REF!</v>
      </c>
      <c r="AA9" s="2">
        <f t="shared" si="7"/>
        <v>42</v>
      </c>
      <c r="AB9" s="4" t="e">
        <f>SUMIFS(#REF!,#REF!,'Portion_value adjust tool'!$V$1,#REF!,'Portion_value adjust tool'!$V$2,#REF!,'Portion_value adjust tool'!$W9)+SUMIFS(#REF!,#REF!,'Portion_value adjust tool'!$V$1,#REF!,'Portion_value adjust tool'!$V$3,#REF!,'Portion_value adjust tool'!$W9)+SUMIFS(#REF!,#REF!,'Portion_value adjust tool'!$V$1,#REF!,'Portion_value adjust tool'!$V$4,#REF!,'Portion_value adjust tool'!$W9)+SUMIFS(#REF!,#REF!,'Portion_value adjust tool'!$V$1,#REF!,'Portion_value adjust tool'!$V$5,#REF!,'Portion_value adjust tool'!$W9)</f>
        <v>#REF!</v>
      </c>
      <c r="AC9" s="5" t="e">
        <f t="shared" si="4"/>
        <v>#REF!</v>
      </c>
    </row>
    <row r="10" spans="1:29" x14ac:dyDescent="0.2">
      <c r="A10" s="2">
        <v>43</v>
      </c>
      <c r="B10" s="4" t="e">
        <f>SUMIFS(#REF!,#REF!,'Portion_value adjust tool'!$A10,#REF!,'Portion_value adjust tool'!B$1)</f>
        <v>#REF!</v>
      </c>
      <c r="C10" s="4" t="e">
        <f>SUMIFS(#REF!,#REF!,'Portion_value adjust tool'!$A10,#REF!,'Portion_value adjust tool'!C$1)</f>
        <v>#REF!</v>
      </c>
      <c r="D10" s="4" t="e">
        <f>SUMIFS(#REF!,#REF!,'Portion_value adjust tool'!$A10,#REF!,'Portion_value adjust tool'!D$1)</f>
        <v>#REF!</v>
      </c>
      <c r="E10" s="4" t="e">
        <f>SUMIFS(#REF!,#REF!,'Portion_value adjust tool'!$A10,#REF!,'Portion_value adjust tool'!E$1)</f>
        <v>#REF!</v>
      </c>
      <c r="F10" s="4" t="e">
        <f>SUMIFS(#REF!,#REF!,'Portion_value adjust tool'!$A10,#REF!,'Portion_value adjust tool'!F$1)</f>
        <v>#REF!</v>
      </c>
      <c r="G10" s="4" t="e">
        <f>SUMIFS(#REF!,#REF!,'Portion_value adjust tool'!$A10,#REF!,'Portion_value adjust tool'!G$1)</f>
        <v>#REF!</v>
      </c>
      <c r="H10" s="4" t="e">
        <f>SUMIFS(#REF!,#REF!,'Portion_value adjust tool'!$A10,#REF!,'Portion_value adjust tool'!H$1)</f>
        <v>#REF!</v>
      </c>
      <c r="I10" s="4" t="e">
        <f t="shared" si="5"/>
        <v>#REF!</v>
      </c>
      <c r="K10" s="2">
        <f t="shared" si="0"/>
        <v>43</v>
      </c>
      <c r="L10" s="5">
        <f t="shared" si="6"/>
        <v>0</v>
      </c>
      <c r="M10" s="5">
        <f t="shared" si="1"/>
        <v>0</v>
      </c>
      <c r="N10" s="5">
        <f t="shared" si="1"/>
        <v>0</v>
      </c>
      <c r="O10" s="5">
        <f t="shared" si="1"/>
        <v>0</v>
      </c>
      <c r="P10" s="5">
        <f t="shared" si="1"/>
        <v>0</v>
      </c>
      <c r="Q10" s="5">
        <f t="shared" si="1"/>
        <v>0</v>
      </c>
      <c r="R10" s="5">
        <f t="shared" si="1"/>
        <v>0</v>
      </c>
      <c r="S10" s="5">
        <f t="shared" si="1"/>
        <v>0</v>
      </c>
      <c r="W10" s="2">
        <f t="shared" si="2"/>
        <v>43</v>
      </c>
      <c r="X10" s="4" t="e">
        <f>SUMIFS(#REF!,#REF!,'Portion_value adjust tool'!$V$1,#REF!,'Portion_value adjust tool'!$V$2,#REF!,'Portion_value adjust tool'!$W10)+SUMIFS(#REF!,#REF!,'Portion_value adjust tool'!$V$1,#REF!,'Portion_value adjust tool'!$V$3,#REF!,'Portion_value adjust tool'!$W10)+SUMIFS(#REF!,#REF!,'Portion_value adjust tool'!$V$1,#REF!,'Portion_value adjust tool'!$V$4,#REF!,'Portion_value adjust tool'!$W10)+SUMIFS(#REF!,#REF!,'Portion_value adjust tool'!$V$1,#REF!,'Portion_value adjust tool'!$V$5,#REF!,'Portion_value adjust tool'!$W10)</f>
        <v>#REF!</v>
      </c>
      <c r="Y10" s="5" t="e">
        <f t="shared" si="3"/>
        <v>#REF!</v>
      </c>
      <c r="AA10" s="2">
        <f t="shared" si="7"/>
        <v>43</v>
      </c>
      <c r="AB10" s="4" t="e">
        <f>SUMIFS(#REF!,#REF!,'Portion_value adjust tool'!$V$1,#REF!,'Portion_value adjust tool'!$V$2,#REF!,'Portion_value adjust tool'!$W10)+SUMIFS(#REF!,#REF!,'Portion_value adjust tool'!$V$1,#REF!,'Portion_value adjust tool'!$V$3,#REF!,'Portion_value adjust tool'!$W10)+SUMIFS(#REF!,#REF!,'Portion_value adjust tool'!$V$1,#REF!,'Portion_value adjust tool'!$V$4,#REF!,'Portion_value adjust tool'!$W10)+SUMIFS(#REF!,#REF!,'Portion_value adjust tool'!$V$1,#REF!,'Portion_value adjust tool'!$V$5,#REF!,'Portion_value adjust tool'!$W10)</f>
        <v>#REF!</v>
      </c>
      <c r="AC10" s="5" t="e">
        <f t="shared" si="4"/>
        <v>#REF!</v>
      </c>
    </row>
    <row r="11" spans="1:29" x14ac:dyDescent="0.2">
      <c r="A11" s="2">
        <v>44</v>
      </c>
      <c r="B11" s="4" t="e">
        <f>SUMIFS(#REF!,#REF!,'Portion_value adjust tool'!$A11,#REF!,'Portion_value adjust tool'!B$1)</f>
        <v>#REF!</v>
      </c>
      <c r="C11" s="4" t="e">
        <f>SUMIFS(#REF!,#REF!,'Portion_value adjust tool'!$A11,#REF!,'Portion_value adjust tool'!C$1)</f>
        <v>#REF!</v>
      </c>
      <c r="D11" s="4" t="e">
        <f>SUMIFS(#REF!,#REF!,'Portion_value adjust tool'!$A11,#REF!,'Portion_value adjust tool'!D$1)</f>
        <v>#REF!</v>
      </c>
      <c r="E11" s="4" t="e">
        <f>SUMIFS(#REF!,#REF!,'Portion_value adjust tool'!$A11,#REF!,'Portion_value adjust tool'!E$1)</f>
        <v>#REF!</v>
      </c>
      <c r="F11" s="4" t="e">
        <f>SUMIFS(#REF!,#REF!,'Portion_value adjust tool'!$A11,#REF!,'Portion_value adjust tool'!F$1)</f>
        <v>#REF!</v>
      </c>
      <c r="G11" s="4" t="e">
        <f>SUMIFS(#REF!,#REF!,'Portion_value adjust tool'!$A11,#REF!,'Portion_value adjust tool'!G$1)</f>
        <v>#REF!</v>
      </c>
      <c r="H11" s="4" t="e">
        <f>SUMIFS(#REF!,#REF!,'Portion_value adjust tool'!$A11,#REF!,'Portion_value adjust tool'!H$1)</f>
        <v>#REF!</v>
      </c>
      <c r="I11" s="4" t="e">
        <f t="shared" si="5"/>
        <v>#REF!</v>
      </c>
      <c r="K11" s="2">
        <f t="shared" si="0"/>
        <v>44</v>
      </c>
      <c r="L11" s="5">
        <f t="shared" si="6"/>
        <v>0</v>
      </c>
      <c r="M11" s="5">
        <f t="shared" si="1"/>
        <v>0</v>
      </c>
      <c r="N11" s="5">
        <f t="shared" si="1"/>
        <v>0</v>
      </c>
      <c r="O11" s="5">
        <f t="shared" si="1"/>
        <v>0</v>
      </c>
      <c r="P11" s="5">
        <f t="shared" si="1"/>
        <v>0</v>
      </c>
      <c r="Q11" s="5">
        <f t="shared" si="1"/>
        <v>0</v>
      </c>
      <c r="R11" s="5">
        <f t="shared" si="1"/>
        <v>0</v>
      </c>
      <c r="S11" s="5">
        <f t="shared" si="1"/>
        <v>0</v>
      </c>
      <c r="W11" s="2">
        <f t="shared" si="2"/>
        <v>44</v>
      </c>
      <c r="X11" s="4" t="e">
        <f>SUMIFS(#REF!,#REF!,'Portion_value adjust tool'!$V$1,#REF!,'Portion_value adjust tool'!$V$2,#REF!,'Portion_value adjust tool'!$W11)+SUMIFS(#REF!,#REF!,'Portion_value adjust tool'!$V$1,#REF!,'Portion_value adjust tool'!$V$3,#REF!,'Portion_value adjust tool'!$W11)+SUMIFS(#REF!,#REF!,'Portion_value adjust tool'!$V$1,#REF!,'Portion_value adjust tool'!$V$4,#REF!,'Portion_value adjust tool'!$W11)+SUMIFS(#REF!,#REF!,'Portion_value adjust tool'!$V$1,#REF!,'Portion_value adjust tool'!$V$5,#REF!,'Portion_value adjust tool'!$W11)</f>
        <v>#REF!</v>
      </c>
      <c r="Y11" s="5" t="e">
        <f t="shared" si="3"/>
        <v>#REF!</v>
      </c>
      <c r="AA11" s="2">
        <f t="shared" si="7"/>
        <v>44</v>
      </c>
      <c r="AB11" s="4" t="e">
        <f>SUMIFS(#REF!,#REF!,'Portion_value adjust tool'!$V$1,#REF!,'Portion_value adjust tool'!$V$2,#REF!,'Portion_value adjust tool'!$W11)+SUMIFS(#REF!,#REF!,'Portion_value adjust tool'!$V$1,#REF!,'Portion_value adjust tool'!$V$3,#REF!,'Portion_value adjust tool'!$W11)+SUMIFS(#REF!,#REF!,'Portion_value adjust tool'!$V$1,#REF!,'Portion_value adjust tool'!$V$4,#REF!,'Portion_value adjust tool'!$W11)+SUMIFS(#REF!,#REF!,'Portion_value adjust tool'!$V$1,#REF!,'Portion_value adjust tool'!$V$5,#REF!,'Portion_value adjust tool'!$W11)</f>
        <v>#REF!</v>
      </c>
      <c r="AC11" s="5" t="e">
        <f t="shared" si="4"/>
        <v>#REF!</v>
      </c>
    </row>
    <row r="12" spans="1:29" x14ac:dyDescent="0.2">
      <c r="A12" s="2">
        <v>45</v>
      </c>
      <c r="B12" s="4" t="e">
        <f>SUMIFS(#REF!,#REF!,'Portion_value adjust tool'!$A12,#REF!,'Portion_value adjust tool'!B$1)</f>
        <v>#REF!</v>
      </c>
      <c r="C12" s="4" t="e">
        <f>SUMIFS(#REF!,#REF!,'Portion_value adjust tool'!$A12,#REF!,'Portion_value adjust tool'!C$1)</f>
        <v>#REF!</v>
      </c>
      <c r="D12" s="4" t="e">
        <f>SUMIFS(#REF!,#REF!,'Portion_value adjust tool'!$A12,#REF!,'Portion_value adjust tool'!D$1)</f>
        <v>#REF!</v>
      </c>
      <c r="E12" s="4" t="e">
        <f>SUMIFS(#REF!,#REF!,'Portion_value adjust tool'!$A12,#REF!,'Portion_value adjust tool'!E$1)</f>
        <v>#REF!</v>
      </c>
      <c r="F12" s="4" t="e">
        <f>SUMIFS(#REF!,#REF!,'Portion_value adjust tool'!$A12,#REF!,'Portion_value adjust tool'!F$1)</f>
        <v>#REF!</v>
      </c>
      <c r="G12" s="4" t="e">
        <f>SUMIFS(#REF!,#REF!,'Portion_value adjust tool'!$A12,#REF!,'Portion_value adjust tool'!G$1)</f>
        <v>#REF!</v>
      </c>
      <c r="H12" s="4" t="e">
        <f>SUMIFS(#REF!,#REF!,'Portion_value adjust tool'!$A12,#REF!,'Portion_value adjust tool'!H$1)</f>
        <v>#REF!</v>
      </c>
      <c r="I12" s="4" t="e">
        <f t="shared" si="5"/>
        <v>#REF!</v>
      </c>
      <c r="K12" s="2">
        <f t="shared" si="0"/>
        <v>45</v>
      </c>
      <c r="L12" s="5">
        <f t="shared" si="6"/>
        <v>0</v>
      </c>
      <c r="M12" s="5">
        <f t="shared" si="1"/>
        <v>0</v>
      </c>
      <c r="N12" s="5">
        <f t="shared" si="1"/>
        <v>0</v>
      </c>
      <c r="O12" s="5">
        <f t="shared" si="1"/>
        <v>0</v>
      </c>
      <c r="P12" s="5">
        <f t="shared" si="1"/>
        <v>0</v>
      </c>
      <c r="Q12" s="5">
        <f t="shared" si="1"/>
        <v>0</v>
      </c>
      <c r="R12" s="5">
        <f t="shared" si="1"/>
        <v>0</v>
      </c>
      <c r="S12" s="5">
        <f t="shared" si="1"/>
        <v>0</v>
      </c>
      <c r="W12" s="2">
        <f t="shared" si="2"/>
        <v>45</v>
      </c>
      <c r="X12" s="4" t="e">
        <f>SUMIFS(#REF!,#REF!,'Portion_value adjust tool'!$V$1,#REF!,'Portion_value adjust tool'!$V$2,#REF!,'Portion_value adjust tool'!$W12)+SUMIFS(#REF!,#REF!,'Portion_value adjust tool'!$V$1,#REF!,'Portion_value adjust tool'!$V$3,#REF!,'Portion_value adjust tool'!$W12)+SUMIFS(#REF!,#REF!,'Portion_value adjust tool'!$V$1,#REF!,'Portion_value adjust tool'!$V$4,#REF!,'Portion_value adjust tool'!$W12)+SUMIFS(#REF!,#REF!,'Portion_value adjust tool'!$V$1,#REF!,'Portion_value adjust tool'!$V$5,#REF!,'Portion_value adjust tool'!$W12)</f>
        <v>#REF!</v>
      </c>
      <c r="Y12" s="5" t="e">
        <f t="shared" si="3"/>
        <v>#REF!</v>
      </c>
      <c r="AA12" s="2">
        <f t="shared" si="7"/>
        <v>45</v>
      </c>
      <c r="AB12" s="4" t="e">
        <f>SUMIFS(#REF!,#REF!,'Portion_value adjust tool'!$V$1,#REF!,'Portion_value adjust tool'!$V$2,#REF!,'Portion_value adjust tool'!$W12)+SUMIFS(#REF!,#REF!,'Portion_value adjust tool'!$V$1,#REF!,'Portion_value adjust tool'!$V$3,#REF!,'Portion_value adjust tool'!$W12)+SUMIFS(#REF!,#REF!,'Portion_value adjust tool'!$V$1,#REF!,'Portion_value adjust tool'!$V$4,#REF!,'Portion_value adjust tool'!$W12)+SUMIFS(#REF!,#REF!,'Portion_value adjust tool'!$V$1,#REF!,'Portion_value adjust tool'!$V$5,#REF!,'Portion_value adjust tool'!$W12)</f>
        <v>#REF!</v>
      </c>
      <c r="AC12" s="5" t="e">
        <f t="shared" si="4"/>
        <v>#REF!</v>
      </c>
    </row>
    <row r="13" spans="1:29" x14ac:dyDescent="0.2">
      <c r="A13" s="2">
        <v>101</v>
      </c>
      <c r="B13" s="4">
        <f>919*4</f>
        <v>3676</v>
      </c>
      <c r="C13" s="4">
        <v>4000</v>
      </c>
      <c r="D13" s="4">
        <v>4400</v>
      </c>
      <c r="E13" s="4">
        <v>4400</v>
      </c>
      <c r="F13" s="4">
        <f>1735*4</f>
        <v>6940</v>
      </c>
      <c r="G13" s="4">
        <f>2176*4</f>
        <v>8704</v>
      </c>
      <c r="H13" s="4">
        <f>1515*4</f>
        <v>6060</v>
      </c>
      <c r="I13" s="4">
        <f t="shared" si="5"/>
        <v>38180</v>
      </c>
      <c r="K13" s="2">
        <f>A13</f>
        <v>101</v>
      </c>
      <c r="L13" s="5">
        <f t="shared" si="6"/>
        <v>9.6280775275013095E-2</v>
      </c>
      <c r="M13" s="5">
        <f t="shared" si="1"/>
        <v>0.10476689366160294</v>
      </c>
      <c r="N13" s="5">
        <f t="shared" si="1"/>
        <v>0.11524358302776323</v>
      </c>
      <c r="O13" s="5">
        <f t="shared" si="1"/>
        <v>0.11524358302776323</v>
      </c>
      <c r="P13" s="5">
        <f t="shared" si="1"/>
        <v>0.1817705605028811</v>
      </c>
      <c r="Q13" s="5">
        <f t="shared" si="1"/>
        <v>0.22797276060764798</v>
      </c>
      <c r="R13" s="5">
        <f t="shared" si="1"/>
        <v>0.15872184389732844</v>
      </c>
      <c r="S13" s="5">
        <f t="shared" si="1"/>
        <v>1</v>
      </c>
      <c r="W13" s="2">
        <f>A13</f>
        <v>101</v>
      </c>
      <c r="X13" s="4" t="e">
        <f>SUMIFS(#REF!,#REF!,'Portion_value adjust tool'!$V$1,#REF!,'Portion_value adjust tool'!$V$2,#REF!,'Portion_value adjust tool'!$W13)+SUMIFS(#REF!,#REF!,'Portion_value adjust tool'!$V$1,#REF!,'Portion_value adjust tool'!$V$3,#REF!,'Portion_value adjust tool'!$W13)+SUMIFS(#REF!,#REF!,'Portion_value adjust tool'!$V$1,#REF!,'Portion_value adjust tool'!$V$4,#REF!,'Portion_value adjust tool'!$W13)+SUMIFS(#REF!,#REF!,'Portion_value adjust tool'!$V$1,#REF!,'Portion_value adjust tool'!$V$5,#REF!,'Portion_value adjust tool'!$W13)</f>
        <v>#REF!</v>
      </c>
      <c r="Y13" s="5" t="e">
        <f t="shared" si="3"/>
        <v>#REF!</v>
      </c>
      <c r="AA13" s="2">
        <f t="shared" si="7"/>
        <v>101</v>
      </c>
      <c r="AB13" s="4" t="e">
        <f>SUMIFS(#REF!,#REF!,'Portion_value adjust tool'!$V$1,#REF!,'Portion_value adjust tool'!$V$2,#REF!,'Portion_value adjust tool'!$W13)+SUMIFS(#REF!,#REF!,'Portion_value adjust tool'!$V$1,#REF!,'Portion_value adjust tool'!$V$3,#REF!,'Portion_value adjust tool'!$W13)+SUMIFS(#REF!,#REF!,'Portion_value adjust tool'!$V$1,#REF!,'Portion_value adjust tool'!$V$4,#REF!,'Portion_value adjust tool'!$W13)+SUMIFS(#REF!,#REF!,'Portion_value adjust tool'!$V$1,#REF!,'Portion_value adjust tool'!$V$5,#REF!,'Portion_value adjust tool'!$W13)</f>
        <v>#REF!</v>
      </c>
      <c r="AC13" s="5" t="e">
        <f t="shared" si="4"/>
        <v>#REF!</v>
      </c>
    </row>
    <row r="14" spans="1:29" x14ac:dyDescent="0.2">
      <c r="A14" s="2">
        <v>102</v>
      </c>
      <c r="B14" s="4" t="e">
        <f>SUMIFS(#REF!,#REF!,'Portion_value adjust tool'!$A14,#REF!,'Portion_value adjust tool'!B$1)</f>
        <v>#REF!</v>
      </c>
      <c r="C14" s="4" t="e">
        <f>SUMIFS(#REF!,#REF!,'Portion_value adjust tool'!$A14,#REF!,'Portion_value adjust tool'!C$1)</f>
        <v>#REF!</v>
      </c>
      <c r="D14" s="4" t="e">
        <f>SUMIFS(#REF!,#REF!,'Portion_value adjust tool'!$A14,#REF!,'Portion_value adjust tool'!D$1)</f>
        <v>#REF!</v>
      </c>
      <c r="E14" s="4" t="e">
        <f>SUMIFS(#REF!,#REF!,'Portion_value adjust tool'!$A14,#REF!,'Portion_value adjust tool'!E$1)</f>
        <v>#REF!</v>
      </c>
      <c r="F14" s="4" t="e">
        <f>SUMIFS(#REF!,#REF!,'Portion_value adjust tool'!$A14,#REF!,'Portion_value adjust tool'!F$1)</f>
        <v>#REF!</v>
      </c>
      <c r="G14" s="4" t="e">
        <f>SUMIFS(#REF!,#REF!,'Portion_value adjust tool'!$A14,#REF!,'Portion_value adjust tool'!G$1)</f>
        <v>#REF!</v>
      </c>
      <c r="H14" s="4" t="e">
        <f>SUMIFS(#REF!,#REF!,'Portion_value adjust tool'!$A14,#REF!,'Portion_value adjust tool'!H$1)</f>
        <v>#REF!</v>
      </c>
      <c r="I14" s="4" t="e">
        <f t="shared" ref="I14" si="8">SUM(B14:H14)</f>
        <v>#REF!</v>
      </c>
      <c r="K14" s="2">
        <f t="shared" ref="K14" si="9">A14</f>
        <v>102</v>
      </c>
      <c r="L14" s="5">
        <f t="shared" ref="L14" si="10">IFERROR(B14/$I14,0)</f>
        <v>0</v>
      </c>
      <c r="M14" s="5">
        <f t="shared" ref="M14" si="11">IFERROR(C14/$I14,0)</f>
        <v>0</v>
      </c>
      <c r="N14" s="5">
        <f t="shared" ref="N14" si="12">IFERROR(D14/$I14,0)</f>
        <v>0</v>
      </c>
      <c r="O14" s="5">
        <f t="shared" ref="O14" si="13">IFERROR(E14/$I14,0)</f>
        <v>0</v>
      </c>
      <c r="P14" s="5">
        <f t="shared" ref="P14" si="14">IFERROR(F14/$I14,0)</f>
        <v>0</v>
      </c>
      <c r="Q14" s="5">
        <f t="shared" ref="Q14" si="15">IFERROR(G14/$I14,0)</f>
        <v>0</v>
      </c>
      <c r="R14" s="5">
        <f t="shared" ref="R14" si="16">IFERROR(H14/$I14,0)</f>
        <v>0</v>
      </c>
      <c r="S14" s="5">
        <f t="shared" ref="S14" si="17">IFERROR(I14/$I14,0)</f>
        <v>0</v>
      </c>
      <c r="W14" s="2">
        <f t="shared" ref="W14" si="18">A14</f>
        <v>102</v>
      </c>
      <c r="X14" s="4" t="e">
        <f>SUMIFS(#REF!,#REF!,'Portion_value adjust tool'!$V$1,#REF!,'Portion_value adjust tool'!$V$2,#REF!,'Portion_value adjust tool'!$W14)+SUMIFS(#REF!,#REF!,'Portion_value adjust tool'!$V$1,#REF!,'Portion_value adjust tool'!$V$3,#REF!,'Portion_value adjust tool'!$W14)+SUMIFS(#REF!,#REF!,'Portion_value adjust tool'!$V$1,#REF!,'Portion_value adjust tool'!$V$4,#REF!,'Portion_value adjust tool'!$W14)+SUMIFS(#REF!,#REF!,'Portion_value adjust tool'!$V$1,#REF!,'Portion_value adjust tool'!$V$5,#REF!,'Portion_value adjust tool'!$W14)</f>
        <v>#REF!</v>
      </c>
      <c r="Y14" s="5" t="e">
        <f t="shared" si="3"/>
        <v>#REF!</v>
      </c>
      <c r="AA14" s="2">
        <f t="shared" si="7"/>
        <v>102</v>
      </c>
      <c r="AB14" s="4" t="e">
        <f>SUMIFS(#REF!,#REF!,'Portion_value adjust tool'!$V$1,#REF!,'Portion_value adjust tool'!$V$2,#REF!,'Portion_value adjust tool'!$W14)+SUMIFS(#REF!,#REF!,'Portion_value adjust tool'!$V$1,#REF!,'Portion_value adjust tool'!$V$3,#REF!,'Portion_value adjust tool'!$W14)+SUMIFS(#REF!,#REF!,'Portion_value adjust tool'!$V$1,#REF!,'Portion_value adjust tool'!$V$4,#REF!,'Portion_value adjust tool'!$W14)+SUMIFS(#REF!,#REF!,'Portion_value adjust tool'!$V$1,#REF!,'Portion_value adjust tool'!$V$5,#REF!,'Portion_value adjust tool'!$W14)</f>
        <v>#REF!</v>
      </c>
      <c r="AC14" s="5" t="e">
        <f t="shared" si="4"/>
        <v>#REF!</v>
      </c>
    </row>
    <row r="15" spans="1:29" x14ac:dyDescent="0.2">
      <c r="A15" s="2">
        <v>201</v>
      </c>
      <c r="B15" s="4" t="e">
        <f>SUMIFS(#REF!,#REF!,'Portion_value adjust tool'!$A15,#REF!,'Portion_value adjust tool'!B$1)</f>
        <v>#REF!</v>
      </c>
      <c r="C15" s="4" t="e">
        <f>SUMIFS(#REF!,#REF!,'Portion_value adjust tool'!$A15,#REF!,'Portion_value adjust tool'!C$1)</f>
        <v>#REF!</v>
      </c>
      <c r="D15" s="4" t="e">
        <f>SUMIFS(#REF!,#REF!,'Portion_value adjust tool'!$A15,#REF!,'Portion_value adjust tool'!D$1)</f>
        <v>#REF!</v>
      </c>
      <c r="E15" s="4" t="e">
        <f>SUMIFS(#REF!,#REF!,'Portion_value adjust tool'!$A15,#REF!,'Portion_value adjust tool'!E$1)</f>
        <v>#REF!</v>
      </c>
      <c r="F15" s="4" t="e">
        <f>SUMIFS(#REF!,#REF!,'Portion_value adjust tool'!$A15,#REF!,'Portion_value adjust tool'!F$1)</f>
        <v>#REF!</v>
      </c>
      <c r="G15" s="4" t="e">
        <f>SUMIFS(#REF!,#REF!,'Portion_value adjust tool'!$A15,#REF!,'Portion_value adjust tool'!G$1)</f>
        <v>#REF!</v>
      </c>
      <c r="H15" s="4" t="e">
        <f>SUMIFS(#REF!,#REF!,'Portion_value adjust tool'!$A15,#REF!,'Portion_value adjust tool'!H$1)</f>
        <v>#REF!</v>
      </c>
      <c r="I15" s="4" t="e">
        <f t="shared" si="5"/>
        <v>#REF!</v>
      </c>
      <c r="K15" s="2">
        <f t="shared" ref="K15:K17" si="19">A15</f>
        <v>201</v>
      </c>
      <c r="L15" s="5">
        <f t="shared" si="6"/>
        <v>0</v>
      </c>
      <c r="M15" s="5">
        <f t="shared" si="1"/>
        <v>0</v>
      </c>
      <c r="N15" s="5">
        <f t="shared" si="1"/>
        <v>0</v>
      </c>
      <c r="O15" s="5">
        <f t="shared" si="1"/>
        <v>0</v>
      </c>
      <c r="P15" s="5">
        <f t="shared" si="1"/>
        <v>0</v>
      </c>
      <c r="Q15" s="5">
        <f t="shared" si="1"/>
        <v>0</v>
      </c>
      <c r="R15" s="5">
        <f t="shared" si="1"/>
        <v>0</v>
      </c>
      <c r="S15" s="5">
        <f t="shared" si="1"/>
        <v>0</v>
      </c>
      <c r="W15" s="2">
        <f t="shared" ref="W15:W17" si="20">A15</f>
        <v>201</v>
      </c>
      <c r="X15" s="4" t="e">
        <f>SUMIFS(#REF!,#REF!,'Portion_value adjust tool'!$V$1,#REF!,'Portion_value adjust tool'!$V$2,#REF!,'Portion_value adjust tool'!$W15)+SUMIFS(#REF!,#REF!,'Portion_value adjust tool'!$V$1,#REF!,'Portion_value adjust tool'!$V$3,#REF!,'Portion_value adjust tool'!$W15)+SUMIFS(#REF!,#REF!,'Portion_value adjust tool'!$V$1,#REF!,'Portion_value adjust tool'!$V$4,#REF!,'Portion_value adjust tool'!$W15)+SUMIFS(#REF!,#REF!,'Portion_value adjust tool'!$V$1,#REF!,'Portion_value adjust tool'!$V$5,#REF!,'Portion_value adjust tool'!$W15)</f>
        <v>#REF!</v>
      </c>
      <c r="Y15" s="5" t="e">
        <f t="shared" si="3"/>
        <v>#REF!</v>
      </c>
      <c r="AA15" s="2">
        <f t="shared" si="7"/>
        <v>201</v>
      </c>
      <c r="AB15" s="4" t="e">
        <f>SUMIFS(#REF!,#REF!,'Portion_value adjust tool'!$V$1,#REF!,'Portion_value adjust tool'!$V$2,#REF!,'Portion_value adjust tool'!$W15)+SUMIFS(#REF!,#REF!,'Portion_value adjust tool'!$V$1,#REF!,'Portion_value adjust tool'!$V$3,#REF!,'Portion_value adjust tool'!$W15)+SUMIFS(#REF!,#REF!,'Portion_value adjust tool'!$V$1,#REF!,'Portion_value adjust tool'!$V$4,#REF!,'Portion_value adjust tool'!$W15)+SUMIFS(#REF!,#REF!,'Portion_value adjust tool'!$V$1,#REF!,'Portion_value adjust tool'!$V$5,#REF!,'Portion_value adjust tool'!$W15)</f>
        <v>#REF!</v>
      </c>
      <c r="AC15" s="5" t="e">
        <f t="shared" si="4"/>
        <v>#REF!</v>
      </c>
    </row>
    <row r="16" spans="1:29" x14ac:dyDescent="0.2">
      <c r="A16" s="2">
        <v>304</v>
      </c>
      <c r="B16" s="4" t="e">
        <f>SUMIFS(#REF!,#REF!,'Portion_value adjust tool'!$A16,#REF!,'Portion_value adjust tool'!B$1)</f>
        <v>#REF!</v>
      </c>
      <c r="C16" s="4" t="e">
        <f>SUMIFS(#REF!,#REF!,'Portion_value adjust tool'!$A16,#REF!,'Portion_value adjust tool'!C$1)</f>
        <v>#REF!</v>
      </c>
      <c r="D16" s="4" t="e">
        <f>SUMIFS(#REF!,#REF!,'Portion_value adjust tool'!$A16,#REF!,'Portion_value adjust tool'!D$1)</f>
        <v>#REF!</v>
      </c>
      <c r="E16" s="4" t="e">
        <f>SUMIFS(#REF!,#REF!,'Portion_value adjust tool'!$A16,#REF!,'Portion_value adjust tool'!E$1)</f>
        <v>#REF!</v>
      </c>
      <c r="F16" s="4" t="e">
        <f>SUMIFS(#REF!,#REF!,'Portion_value adjust tool'!$A16,#REF!,'Portion_value adjust tool'!F$1)</f>
        <v>#REF!</v>
      </c>
      <c r="G16" s="4" t="e">
        <f>SUMIFS(#REF!,#REF!,'Portion_value adjust tool'!$A16,#REF!,'Portion_value adjust tool'!G$1)</f>
        <v>#REF!</v>
      </c>
      <c r="H16" s="4" t="e">
        <f>SUMIFS(#REF!,#REF!,'Portion_value adjust tool'!$A16,#REF!,'Portion_value adjust tool'!H$1)</f>
        <v>#REF!</v>
      </c>
      <c r="I16" s="4" t="e">
        <f t="shared" si="5"/>
        <v>#REF!</v>
      </c>
      <c r="K16" s="2">
        <f t="shared" si="19"/>
        <v>304</v>
      </c>
      <c r="L16" s="5">
        <f t="shared" si="6"/>
        <v>0</v>
      </c>
      <c r="M16" s="5">
        <f t="shared" si="1"/>
        <v>0</v>
      </c>
      <c r="N16" s="5">
        <f t="shared" si="1"/>
        <v>0</v>
      </c>
      <c r="O16" s="5">
        <f t="shared" si="1"/>
        <v>0</v>
      </c>
      <c r="P16" s="5">
        <f t="shared" si="1"/>
        <v>0</v>
      </c>
      <c r="Q16" s="5">
        <f t="shared" si="1"/>
        <v>0</v>
      </c>
      <c r="R16" s="5">
        <f t="shared" si="1"/>
        <v>0</v>
      </c>
      <c r="S16" s="5">
        <f t="shared" si="1"/>
        <v>0</v>
      </c>
      <c r="W16" s="2">
        <f t="shared" si="20"/>
        <v>304</v>
      </c>
      <c r="X16" s="4" t="e">
        <f>SUMIFS(#REF!,#REF!,'Portion_value adjust tool'!$V$1,#REF!,'Portion_value adjust tool'!$V$2,#REF!,'Portion_value adjust tool'!$W16)+SUMIFS(#REF!,#REF!,'Portion_value adjust tool'!$V$1,#REF!,'Portion_value adjust tool'!$V$3,#REF!,'Portion_value adjust tool'!$W16)+SUMIFS(#REF!,#REF!,'Portion_value adjust tool'!$V$1,#REF!,'Portion_value adjust tool'!$V$4,#REF!,'Portion_value adjust tool'!$W16)+SUMIFS(#REF!,#REF!,'Portion_value adjust tool'!$V$1,#REF!,'Portion_value adjust tool'!$V$5,#REF!,'Portion_value adjust tool'!$W16)</f>
        <v>#REF!</v>
      </c>
      <c r="Y16" s="5" t="e">
        <f t="shared" si="3"/>
        <v>#REF!</v>
      </c>
      <c r="AA16" s="2">
        <f t="shared" si="7"/>
        <v>304</v>
      </c>
      <c r="AB16" s="4" t="e">
        <f>SUMIFS(#REF!,#REF!,'Portion_value adjust tool'!$V$1,#REF!,'Portion_value adjust tool'!$V$2,#REF!,'Portion_value adjust tool'!$W16)+SUMIFS(#REF!,#REF!,'Portion_value adjust tool'!$V$1,#REF!,'Portion_value adjust tool'!$V$3,#REF!,'Portion_value adjust tool'!$W16)+SUMIFS(#REF!,#REF!,'Portion_value adjust tool'!$V$1,#REF!,'Portion_value adjust tool'!$V$4,#REF!,'Portion_value adjust tool'!$W16)+SUMIFS(#REF!,#REF!,'Portion_value adjust tool'!$V$1,#REF!,'Portion_value adjust tool'!$V$5,#REF!,'Portion_value adjust tool'!$W16)</f>
        <v>#REF!</v>
      </c>
      <c r="AC16" s="5" t="e">
        <f t="shared" si="4"/>
        <v>#REF!</v>
      </c>
    </row>
    <row r="17" spans="1:29" x14ac:dyDescent="0.2">
      <c r="A17" s="2">
        <v>501</v>
      </c>
      <c r="B17" s="4" t="e">
        <f>SUMIFS(#REF!,#REF!,'Portion_value adjust tool'!$A17,#REF!,'Portion_value adjust tool'!B$1)</f>
        <v>#REF!</v>
      </c>
      <c r="C17" s="4" t="e">
        <f>SUMIFS(#REF!,#REF!,'Portion_value adjust tool'!$A17,#REF!,'Portion_value adjust tool'!C$1)</f>
        <v>#REF!</v>
      </c>
      <c r="D17" s="4" t="e">
        <f>SUMIFS(#REF!,#REF!,'Portion_value adjust tool'!$A17,#REF!,'Portion_value adjust tool'!D$1)</f>
        <v>#REF!</v>
      </c>
      <c r="E17" s="4" t="e">
        <f>SUMIFS(#REF!,#REF!,'Portion_value adjust tool'!$A17,#REF!,'Portion_value adjust tool'!E$1)</f>
        <v>#REF!</v>
      </c>
      <c r="F17" s="4" t="e">
        <f>SUMIFS(#REF!,#REF!,'Portion_value adjust tool'!$A17,#REF!,'Portion_value adjust tool'!F$1)</f>
        <v>#REF!</v>
      </c>
      <c r="G17" s="4" t="e">
        <f>SUMIFS(#REF!,#REF!,'Portion_value adjust tool'!$A17,#REF!,'Portion_value adjust tool'!G$1)</f>
        <v>#REF!</v>
      </c>
      <c r="H17" s="4" t="e">
        <f>SUMIFS(#REF!,#REF!,'Portion_value adjust tool'!$A17,#REF!,'Portion_value adjust tool'!H$1)</f>
        <v>#REF!</v>
      </c>
      <c r="I17" s="4" t="e">
        <f t="shared" si="5"/>
        <v>#REF!</v>
      </c>
      <c r="K17" s="2">
        <f t="shared" si="19"/>
        <v>501</v>
      </c>
      <c r="L17" s="5">
        <f t="shared" si="6"/>
        <v>0</v>
      </c>
      <c r="M17" s="5">
        <f t="shared" si="1"/>
        <v>0</v>
      </c>
      <c r="N17" s="5">
        <f t="shared" si="1"/>
        <v>0</v>
      </c>
      <c r="O17" s="5">
        <f t="shared" si="1"/>
        <v>0</v>
      </c>
      <c r="P17" s="5">
        <f t="shared" si="1"/>
        <v>0</v>
      </c>
      <c r="Q17" s="5">
        <f t="shared" si="1"/>
        <v>0</v>
      </c>
      <c r="R17" s="5">
        <f t="shared" si="1"/>
        <v>0</v>
      </c>
      <c r="S17" s="5">
        <f t="shared" si="1"/>
        <v>0</v>
      </c>
      <c r="W17" s="2">
        <f t="shared" si="20"/>
        <v>501</v>
      </c>
      <c r="X17" s="4" t="e">
        <f>SUMIFS(#REF!,#REF!,'Portion_value adjust tool'!$V$1,#REF!,'Portion_value adjust tool'!$V$2,#REF!,'Portion_value adjust tool'!$W17)+SUMIFS(#REF!,#REF!,'Portion_value adjust tool'!$V$1,#REF!,'Portion_value adjust tool'!$V$3,#REF!,'Portion_value adjust tool'!$W17)+SUMIFS(#REF!,#REF!,'Portion_value adjust tool'!$V$1,#REF!,'Portion_value adjust tool'!$V$4,#REF!,'Portion_value adjust tool'!$W17)+SUMIFS(#REF!,#REF!,'Portion_value adjust tool'!$V$1,#REF!,'Portion_value adjust tool'!$V$5,#REF!,'Portion_value adjust tool'!$W17)</f>
        <v>#REF!</v>
      </c>
      <c r="Y17" s="5" t="e">
        <f t="shared" si="3"/>
        <v>#REF!</v>
      </c>
      <c r="AA17" s="2">
        <f t="shared" si="7"/>
        <v>501</v>
      </c>
      <c r="AB17" s="4" t="e">
        <f>SUMIFS(#REF!,#REF!,'Portion_value adjust tool'!$V$1,#REF!,'Portion_value adjust tool'!$V$2,#REF!,'Portion_value adjust tool'!$W17)+SUMIFS(#REF!,#REF!,'Portion_value adjust tool'!$V$1,#REF!,'Portion_value adjust tool'!$V$3,#REF!,'Portion_value adjust tool'!$W17)+SUMIFS(#REF!,#REF!,'Portion_value adjust tool'!$V$1,#REF!,'Portion_value adjust tool'!$V$4,#REF!,'Portion_value adjust tool'!$W17)+SUMIFS(#REF!,#REF!,'Portion_value adjust tool'!$V$1,#REF!,'Portion_value adjust tool'!$V$5,#REF!,'Portion_value adjust tool'!$W17)</f>
        <v>#REF!</v>
      </c>
      <c r="AC17" s="5" t="e">
        <f t="shared" si="4"/>
        <v>#REF!</v>
      </c>
    </row>
    <row r="18" spans="1:29" x14ac:dyDescent="0.2">
      <c r="W18" s="2" t="s">
        <v>48</v>
      </c>
      <c r="X18" s="4" t="e">
        <f>SUM(X2:X17)</f>
        <v>#REF!</v>
      </c>
      <c r="Y18" s="5" t="e">
        <f t="shared" si="3"/>
        <v>#REF!</v>
      </c>
      <c r="AA18" s="2" t="str">
        <f t="shared" si="7"/>
        <v>TOTAL</v>
      </c>
      <c r="AB18" s="4" t="e">
        <f>SUM(AB2:AB17)</f>
        <v>#REF!</v>
      </c>
      <c r="AC18" s="5" t="e">
        <f t="shared" si="4"/>
        <v>#REF!</v>
      </c>
    </row>
    <row r="20" spans="1:29" x14ac:dyDescent="0.2">
      <c r="A20" s="2" t="s">
        <v>50</v>
      </c>
      <c r="B20" s="3">
        <v>1</v>
      </c>
      <c r="C20" s="3">
        <v>2</v>
      </c>
      <c r="D20" s="3">
        <v>3</v>
      </c>
      <c r="E20" s="3">
        <v>4</v>
      </c>
      <c r="F20" s="3">
        <v>5</v>
      </c>
      <c r="G20" s="3">
        <v>6</v>
      </c>
      <c r="H20" s="3">
        <v>7</v>
      </c>
      <c r="I20" s="2" t="s">
        <v>48</v>
      </c>
      <c r="K20" s="2" t="s">
        <v>49</v>
      </c>
      <c r="L20" s="3">
        <v>1</v>
      </c>
      <c r="M20" s="3">
        <v>2</v>
      </c>
      <c r="N20" s="3">
        <v>3</v>
      </c>
      <c r="O20" s="3">
        <v>4</v>
      </c>
      <c r="P20" s="3">
        <v>5</v>
      </c>
      <c r="Q20" s="3">
        <v>6</v>
      </c>
      <c r="R20" s="3">
        <v>7</v>
      </c>
      <c r="S20" s="2" t="s">
        <v>48</v>
      </c>
    </row>
    <row r="21" spans="1:29" x14ac:dyDescent="0.2">
      <c r="A21" s="2">
        <v>16</v>
      </c>
      <c r="B21" s="4" t="e">
        <f>SUMIFS(#REF!,#REF!,'Portion_value adjust tool'!$A21,#REF!,'Portion_value adjust tool'!B$1)</f>
        <v>#REF!</v>
      </c>
      <c r="C21" s="4" t="e">
        <f>SUMIFS(#REF!,#REF!,'Portion_value adjust tool'!$A21,#REF!,'Portion_value adjust tool'!C$1)</f>
        <v>#REF!</v>
      </c>
      <c r="D21" s="4" t="e">
        <f>SUMIFS(#REF!,#REF!,'Portion_value adjust tool'!$A21,#REF!,'Portion_value adjust tool'!D$1)</f>
        <v>#REF!</v>
      </c>
      <c r="E21" s="4" t="e">
        <f>SUMIFS(#REF!,#REF!,'Portion_value adjust tool'!$A21,#REF!,'Portion_value adjust tool'!E$1)</f>
        <v>#REF!</v>
      </c>
      <c r="F21" s="4" t="e">
        <f>SUMIFS(#REF!,#REF!,'Portion_value adjust tool'!$A21,#REF!,'Portion_value adjust tool'!F$1)</f>
        <v>#REF!</v>
      </c>
      <c r="G21" s="4" t="e">
        <f>SUMIFS(#REF!,#REF!,'Portion_value adjust tool'!$A21,#REF!,'Portion_value adjust tool'!G$1)</f>
        <v>#REF!</v>
      </c>
      <c r="H21" s="4" t="e">
        <f>SUMIFS(#REF!,#REF!,'Portion_value adjust tool'!$A21,#REF!,'Portion_value adjust tool'!H$1)</f>
        <v>#REF!</v>
      </c>
      <c r="I21" s="4" t="e">
        <f>SUM(B21:H21)</f>
        <v>#REF!</v>
      </c>
      <c r="K21" s="2">
        <f t="shared" ref="K21:K31" si="21">A21</f>
        <v>16</v>
      </c>
      <c r="L21" s="5">
        <f>IFERROR(B21/$I21,0)</f>
        <v>0</v>
      </c>
      <c r="M21" s="5">
        <f t="shared" ref="M21:S36" si="22">IFERROR(C21/$I21,0)</f>
        <v>0</v>
      </c>
      <c r="N21" s="5">
        <f t="shared" si="22"/>
        <v>0</v>
      </c>
      <c r="O21" s="5">
        <f t="shared" si="22"/>
        <v>0</v>
      </c>
      <c r="P21" s="5">
        <f t="shared" si="22"/>
        <v>0</v>
      </c>
      <c r="Q21" s="5">
        <f t="shared" si="22"/>
        <v>0</v>
      </c>
      <c r="R21" s="5">
        <f t="shared" si="22"/>
        <v>0</v>
      </c>
      <c r="S21" s="5">
        <f t="shared" si="22"/>
        <v>0</v>
      </c>
    </row>
    <row r="22" spans="1:29" x14ac:dyDescent="0.2">
      <c r="A22" s="2">
        <v>29</v>
      </c>
      <c r="B22" s="4" t="e">
        <f>SUMIFS(#REF!,#REF!,'Portion_value adjust tool'!$A22,#REF!,'Portion_value adjust tool'!B$1)</f>
        <v>#REF!</v>
      </c>
      <c r="C22" s="4" t="e">
        <f>SUMIFS(#REF!,#REF!,'Portion_value adjust tool'!$A22,#REF!,'Portion_value adjust tool'!C$1)</f>
        <v>#REF!</v>
      </c>
      <c r="D22" s="4" t="e">
        <f>SUMIFS(#REF!,#REF!,'Portion_value adjust tool'!$A22,#REF!,'Portion_value adjust tool'!D$1)</f>
        <v>#REF!</v>
      </c>
      <c r="E22" s="4" t="e">
        <f>SUMIFS(#REF!,#REF!,'Portion_value adjust tool'!$A22,#REF!,'Portion_value adjust tool'!E$1)</f>
        <v>#REF!</v>
      </c>
      <c r="F22" s="4" t="e">
        <f>SUMIFS(#REF!,#REF!,'Portion_value adjust tool'!$A22,#REF!,'Portion_value adjust tool'!F$1)</f>
        <v>#REF!</v>
      </c>
      <c r="G22" s="4" t="e">
        <f>SUMIFS(#REF!,#REF!,'Portion_value adjust tool'!$A22,#REF!,'Portion_value adjust tool'!G$1)</f>
        <v>#REF!</v>
      </c>
      <c r="H22" s="4" t="e">
        <f>SUMIFS(#REF!,#REF!,'Portion_value adjust tool'!$A22,#REF!,'Portion_value adjust tool'!H$1)</f>
        <v>#REF!</v>
      </c>
      <c r="I22" s="4" t="e">
        <f t="shared" ref="I22:I36" si="23">SUM(B22:H22)</f>
        <v>#REF!</v>
      </c>
      <c r="K22" s="2">
        <f t="shared" si="21"/>
        <v>29</v>
      </c>
      <c r="L22" s="5">
        <f t="shared" ref="L22:L36" si="24">IFERROR(B22/$I22,0)</f>
        <v>0</v>
      </c>
      <c r="M22" s="5">
        <f t="shared" si="22"/>
        <v>0</v>
      </c>
      <c r="N22" s="5">
        <f t="shared" si="22"/>
        <v>0</v>
      </c>
      <c r="O22" s="5">
        <f t="shared" si="22"/>
        <v>0</v>
      </c>
      <c r="P22" s="5">
        <f t="shared" si="22"/>
        <v>0</v>
      </c>
      <c r="Q22" s="5">
        <f t="shared" si="22"/>
        <v>0</v>
      </c>
      <c r="R22" s="5">
        <f t="shared" si="22"/>
        <v>0</v>
      </c>
      <c r="S22" s="5">
        <f t="shared" si="22"/>
        <v>0</v>
      </c>
    </row>
    <row r="23" spans="1:29" x14ac:dyDescent="0.2">
      <c r="A23" s="2">
        <v>35</v>
      </c>
      <c r="B23" s="4" t="e">
        <f>SUMIFS(#REF!,#REF!,'Portion_value adjust tool'!$A23,#REF!,'Portion_value adjust tool'!B$1)</f>
        <v>#REF!</v>
      </c>
      <c r="C23" s="4" t="e">
        <f>SUMIFS(#REF!,#REF!,'Portion_value adjust tool'!$A23,#REF!,'Portion_value adjust tool'!C$1)</f>
        <v>#REF!</v>
      </c>
      <c r="D23" s="4" t="e">
        <f>SUMIFS(#REF!,#REF!,'Portion_value adjust tool'!$A23,#REF!,'Portion_value adjust tool'!D$1)</f>
        <v>#REF!</v>
      </c>
      <c r="E23" s="4" t="e">
        <f>SUMIFS(#REF!,#REF!,'Portion_value adjust tool'!$A23,#REF!,'Portion_value adjust tool'!E$1)</f>
        <v>#REF!</v>
      </c>
      <c r="F23" s="4" t="e">
        <f>SUMIFS(#REF!,#REF!,'Portion_value adjust tool'!$A23,#REF!,'Portion_value adjust tool'!F$1)</f>
        <v>#REF!</v>
      </c>
      <c r="G23" s="4" t="e">
        <f>SUMIFS(#REF!,#REF!,'Portion_value adjust tool'!$A23,#REF!,'Portion_value adjust tool'!G$1)</f>
        <v>#REF!</v>
      </c>
      <c r="H23" s="4" t="e">
        <f>SUMIFS(#REF!,#REF!,'Portion_value adjust tool'!$A23,#REF!,'Portion_value adjust tool'!H$1)</f>
        <v>#REF!</v>
      </c>
      <c r="I23" s="4" t="e">
        <f t="shared" si="23"/>
        <v>#REF!</v>
      </c>
      <c r="K23" s="2">
        <f t="shared" si="21"/>
        <v>35</v>
      </c>
      <c r="L23" s="5">
        <f t="shared" si="24"/>
        <v>0</v>
      </c>
      <c r="M23" s="5">
        <f t="shared" si="22"/>
        <v>0</v>
      </c>
      <c r="N23" s="5">
        <f t="shared" si="22"/>
        <v>0</v>
      </c>
      <c r="O23" s="5">
        <f t="shared" si="22"/>
        <v>0</v>
      </c>
      <c r="P23" s="5">
        <f t="shared" si="22"/>
        <v>0</v>
      </c>
      <c r="Q23" s="5">
        <f t="shared" si="22"/>
        <v>0</v>
      </c>
      <c r="R23" s="5">
        <f t="shared" si="22"/>
        <v>0</v>
      </c>
      <c r="S23" s="5">
        <f t="shared" si="22"/>
        <v>0</v>
      </c>
    </row>
    <row r="24" spans="1:29" x14ac:dyDescent="0.2">
      <c r="A24" s="2">
        <v>36</v>
      </c>
      <c r="B24" s="4" t="e">
        <f>SUMIFS(#REF!,#REF!,'Portion_value adjust tool'!$A24,#REF!,'Portion_value adjust tool'!B$1)</f>
        <v>#REF!</v>
      </c>
      <c r="C24" s="4" t="e">
        <f>SUMIFS(#REF!,#REF!,'Portion_value adjust tool'!$A24,#REF!,'Portion_value adjust tool'!C$1)</f>
        <v>#REF!</v>
      </c>
      <c r="D24" s="4" t="e">
        <f>SUMIFS(#REF!,#REF!,'Portion_value adjust tool'!$A24,#REF!,'Portion_value adjust tool'!D$1)</f>
        <v>#REF!</v>
      </c>
      <c r="E24" s="4" t="e">
        <f>SUMIFS(#REF!,#REF!,'Portion_value adjust tool'!$A24,#REF!,'Portion_value adjust tool'!E$1)</f>
        <v>#REF!</v>
      </c>
      <c r="F24" s="4" t="e">
        <f>SUMIFS(#REF!,#REF!,'Portion_value adjust tool'!$A24,#REF!,'Portion_value adjust tool'!F$1)</f>
        <v>#REF!</v>
      </c>
      <c r="G24" s="4" t="e">
        <f>SUMIFS(#REF!,#REF!,'Portion_value adjust tool'!$A24,#REF!,'Portion_value adjust tool'!G$1)</f>
        <v>#REF!</v>
      </c>
      <c r="H24" s="4" t="e">
        <f>SUMIFS(#REF!,#REF!,'Portion_value adjust tool'!$A24,#REF!,'Portion_value adjust tool'!H$1)</f>
        <v>#REF!</v>
      </c>
      <c r="I24" s="4" t="e">
        <f t="shared" si="23"/>
        <v>#REF!</v>
      </c>
      <c r="K24" s="2">
        <f t="shared" si="21"/>
        <v>36</v>
      </c>
      <c r="L24" s="5">
        <f t="shared" si="24"/>
        <v>0</v>
      </c>
      <c r="M24" s="5">
        <f t="shared" si="22"/>
        <v>0</v>
      </c>
      <c r="N24" s="5">
        <f t="shared" si="22"/>
        <v>0</v>
      </c>
      <c r="O24" s="5">
        <f t="shared" si="22"/>
        <v>0</v>
      </c>
      <c r="P24" s="5">
        <f t="shared" si="22"/>
        <v>0</v>
      </c>
      <c r="Q24" s="5">
        <f t="shared" si="22"/>
        <v>0</v>
      </c>
      <c r="R24" s="5">
        <f t="shared" si="22"/>
        <v>0</v>
      </c>
      <c r="S24" s="5">
        <f t="shared" si="22"/>
        <v>0</v>
      </c>
    </row>
    <row r="25" spans="1:29" x14ac:dyDescent="0.2">
      <c r="A25" s="2">
        <v>37</v>
      </c>
      <c r="B25" s="4" t="e">
        <f>SUMIFS(#REF!,#REF!,'Portion_value adjust tool'!$A25,#REF!,'Portion_value adjust tool'!B$1)</f>
        <v>#REF!</v>
      </c>
      <c r="C25" s="4" t="e">
        <f>SUMIFS(#REF!,#REF!,'Portion_value adjust tool'!$A25,#REF!,'Portion_value adjust tool'!C$1)</f>
        <v>#REF!</v>
      </c>
      <c r="D25" s="4" t="e">
        <f>SUMIFS(#REF!,#REF!,'Portion_value adjust tool'!$A25,#REF!,'Portion_value adjust tool'!D$1)</f>
        <v>#REF!</v>
      </c>
      <c r="E25" s="4" t="e">
        <f>SUMIFS(#REF!,#REF!,'Portion_value adjust tool'!$A25,#REF!,'Portion_value adjust tool'!E$1)</f>
        <v>#REF!</v>
      </c>
      <c r="F25" s="4" t="e">
        <f>SUMIFS(#REF!,#REF!,'Portion_value adjust tool'!$A25,#REF!,'Portion_value adjust tool'!F$1)</f>
        <v>#REF!</v>
      </c>
      <c r="G25" s="4" t="e">
        <f>SUMIFS(#REF!,#REF!,'Portion_value adjust tool'!$A25,#REF!,'Portion_value adjust tool'!G$1)</f>
        <v>#REF!</v>
      </c>
      <c r="H25" s="4" t="e">
        <f>SUMIFS(#REF!,#REF!,'Portion_value adjust tool'!$A25,#REF!,'Portion_value adjust tool'!H$1)</f>
        <v>#REF!</v>
      </c>
      <c r="I25" s="4" t="e">
        <f t="shared" si="23"/>
        <v>#REF!</v>
      </c>
      <c r="K25" s="2">
        <f t="shared" si="21"/>
        <v>37</v>
      </c>
      <c r="L25" s="5">
        <f t="shared" si="24"/>
        <v>0</v>
      </c>
      <c r="M25" s="5">
        <f t="shared" si="22"/>
        <v>0</v>
      </c>
      <c r="N25" s="5">
        <f t="shared" si="22"/>
        <v>0</v>
      </c>
      <c r="O25" s="5">
        <f t="shared" si="22"/>
        <v>0</v>
      </c>
      <c r="P25" s="5">
        <f t="shared" si="22"/>
        <v>0</v>
      </c>
      <c r="Q25" s="5">
        <f t="shared" si="22"/>
        <v>0</v>
      </c>
      <c r="R25" s="5">
        <f t="shared" si="22"/>
        <v>0</v>
      </c>
      <c r="S25" s="5">
        <f t="shared" si="22"/>
        <v>0</v>
      </c>
    </row>
    <row r="26" spans="1:29" x14ac:dyDescent="0.2">
      <c r="A26" s="2">
        <v>38</v>
      </c>
      <c r="B26" s="4" t="e">
        <f>SUMIFS(#REF!,#REF!,'Portion_value adjust tool'!$A26,#REF!,'Portion_value adjust tool'!B$1)</f>
        <v>#REF!</v>
      </c>
      <c r="C26" s="4" t="e">
        <f>SUMIFS(#REF!,#REF!,'Portion_value adjust tool'!$A26,#REF!,'Portion_value adjust tool'!C$1)</f>
        <v>#REF!</v>
      </c>
      <c r="D26" s="4" t="e">
        <f>SUMIFS(#REF!,#REF!,'Portion_value adjust tool'!$A26,#REF!,'Portion_value adjust tool'!D$1)</f>
        <v>#REF!</v>
      </c>
      <c r="E26" s="4" t="e">
        <f>SUMIFS(#REF!,#REF!,'Portion_value adjust tool'!$A26,#REF!,'Portion_value adjust tool'!E$1)</f>
        <v>#REF!</v>
      </c>
      <c r="F26" s="4" t="e">
        <f>SUMIFS(#REF!,#REF!,'Portion_value adjust tool'!$A26,#REF!,'Portion_value adjust tool'!F$1)</f>
        <v>#REF!</v>
      </c>
      <c r="G26" s="4" t="e">
        <f>SUMIFS(#REF!,#REF!,'Portion_value adjust tool'!$A26,#REF!,'Portion_value adjust tool'!G$1)</f>
        <v>#REF!</v>
      </c>
      <c r="H26" s="4" t="e">
        <f>SUMIFS(#REF!,#REF!,'Portion_value adjust tool'!$A26,#REF!,'Portion_value adjust tool'!H$1)</f>
        <v>#REF!</v>
      </c>
      <c r="I26" s="4" t="e">
        <f t="shared" si="23"/>
        <v>#REF!</v>
      </c>
      <c r="K26" s="2">
        <f t="shared" si="21"/>
        <v>38</v>
      </c>
      <c r="L26" s="5">
        <f t="shared" si="24"/>
        <v>0</v>
      </c>
      <c r="M26" s="5">
        <f t="shared" si="22"/>
        <v>0</v>
      </c>
      <c r="N26" s="5">
        <f t="shared" si="22"/>
        <v>0</v>
      </c>
      <c r="O26" s="5">
        <f t="shared" si="22"/>
        <v>0</v>
      </c>
      <c r="P26" s="5">
        <f t="shared" si="22"/>
        <v>0</v>
      </c>
      <c r="Q26" s="5">
        <f t="shared" si="22"/>
        <v>0</v>
      </c>
      <c r="R26" s="5">
        <f t="shared" si="22"/>
        <v>0</v>
      </c>
      <c r="S26" s="5">
        <f t="shared" si="22"/>
        <v>0</v>
      </c>
    </row>
    <row r="27" spans="1:29" x14ac:dyDescent="0.2">
      <c r="A27" s="2">
        <v>41</v>
      </c>
      <c r="B27" s="4" t="e">
        <f>SUMIFS(#REF!,#REF!,'Portion_value adjust tool'!$A27,#REF!,'Portion_value adjust tool'!B$1)</f>
        <v>#REF!</v>
      </c>
      <c r="C27" s="4" t="e">
        <f>SUMIFS(#REF!,#REF!,'Portion_value adjust tool'!$A27,#REF!,'Portion_value adjust tool'!C$1)</f>
        <v>#REF!</v>
      </c>
      <c r="D27" s="4" t="e">
        <f>SUMIFS(#REF!,#REF!,'Portion_value adjust tool'!$A27,#REF!,'Portion_value adjust tool'!D$1)</f>
        <v>#REF!</v>
      </c>
      <c r="E27" s="4" t="e">
        <f>SUMIFS(#REF!,#REF!,'Portion_value adjust tool'!$A27,#REF!,'Portion_value adjust tool'!E$1)</f>
        <v>#REF!</v>
      </c>
      <c r="F27" s="4" t="e">
        <f>SUMIFS(#REF!,#REF!,'Portion_value adjust tool'!$A27,#REF!,'Portion_value adjust tool'!F$1)</f>
        <v>#REF!</v>
      </c>
      <c r="G27" s="4" t="e">
        <f>SUMIFS(#REF!,#REF!,'Portion_value adjust tool'!$A27,#REF!,'Portion_value adjust tool'!G$1)</f>
        <v>#REF!</v>
      </c>
      <c r="H27" s="4" t="e">
        <f>SUMIFS(#REF!,#REF!,'Portion_value adjust tool'!$A27,#REF!,'Portion_value adjust tool'!H$1)</f>
        <v>#REF!</v>
      </c>
      <c r="I27" s="4" t="e">
        <f t="shared" si="23"/>
        <v>#REF!</v>
      </c>
      <c r="K27" s="2">
        <f t="shared" si="21"/>
        <v>41</v>
      </c>
      <c r="L27" s="5">
        <f t="shared" si="24"/>
        <v>0</v>
      </c>
      <c r="M27" s="5">
        <f t="shared" si="22"/>
        <v>0</v>
      </c>
      <c r="N27" s="5">
        <f t="shared" si="22"/>
        <v>0</v>
      </c>
      <c r="O27" s="5">
        <f t="shared" si="22"/>
        <v>0</v>
      </c>
      <c r="P27" s="5">
        <f t="shared" si="22"/>
        <v>0</v>
      </c>
      <c r="Q27" s="5">
        <f t="shared" si="22"/>
        <v>0</v>
      </c>
      <c r="R27" s="5">
        <f t="shared" si="22"/>
        <v>0</v>
      </c>
      <c r="S27" s="5">
        <f t="shared" si="22"/>
        <v>0</v>
      </c>
    </row>
    <row r="28" spans="1:29" x14ac:dyDescent="0.2">
      <c r="A28" s="2">
        <v>42</v>
      </c>
      <c r="B28" s="4" t="e">
        <f>SUMIFS(#REF!,#REF!,'Portion_value adjust tool'!$A28,#REF!,'Portion_value adjust tool'!B$1)</f>
        <v>#REF!</v>
      </c>
      <c r="C28" s="4" t="e">
        <f>SUMIFS(#REF!,#REF!,'Portion_value adjust tool'!$A28,#REF!,'Portion_value adjust tool'!C$1)</f>
        <v>#REF!</v>
      </c>
      <c r="D28" s="4" t="e">
        <f>SUMIFS(#REF!,#REF!,'Portion_value adjust tool'!$A28,#REF!,'Portion_value adjust tool'!D$1)</f>
        <v>#REF!</v>
      </c>
      <c r="E28" s="4" t="e">
        <f>SUMIFS(#REF!,#REF!,'Portion_value adjust tool'!$A28,#REF!,'Portion_value adjust tool'!E$1)</f>
        <v>#REF!</v>
      </c>
      <c r="F28" s="4" t="e">
        <f>SUMIFS(#REF!,#REF!,'Portion_value adjust tool'!$A28,#REF!,'Portion_value adjust tool'!F$1)</f>
        <v>#REF!</v>
      </c>
      <c r="G28" s="4" t="e">
        <f>SUMIFS(#REF!,#REF!,'Portion_value adjust tool'!$A28,#REF!,'Portion_value adjust tool'!G$1)</f>
        <v>#REF!</v>
      </c>
      <c r="H28" s="4" t="e">
        <f>SUMIFS(#REF!,#REF!,'Portion_value adjust tool'!$A28,#REF!,'Portion_value adjust tool'!H$1)</f>
        <v>#REF!</v>
      </c>
      <c r="I28" s="4" t="e">
        <f t="shared" si="23"/>
        <v>#REF!</v>
      </c>
      <c r="K28" s="2">
        <f t="shared" si="21"/>
        <v>42</v>
      </c>
      <c r="L28" s="5">
        <f t="shared" si="24"/>
        <v>0</v>
      </c>
      <c r="M28" s="5">
        <f t="shared" si="22"/>
        <v>0</v>
      </c>
      <c r="N28" s="5">
        <f t="shared" si="22"/>
        <v>0</v>
      </c>
      <c r="O28" s="5">
        <f t="shared" si="22"/>
        <v>0</v>
      </c>
      <c r="P28" s="5">
        <f t="shared" si="22"/>
        <v>0</v>
      </c>
      <c r="Q28" s="5">
        <f t="shared" si="22"/>
        <v>0</v>
      </c>
      <c r="R28" s="5">
        <f t="shared" si="22"/>
        <v>0</v>
      </c>
      <c r="S28" s="5">
        <f t="shared" si="22"/>
        <v>0</v>
      </c>
    </row>
    <row r="29" spans="1:29" x14ac:dyDescent="0.2">
      <c r="A29" s="2">
        <v>43</v>
      </c>
      <c r="B29" s="4" t="e">
        <f>SUMIFS(#REF!,#REF!,'Portion_value adjust tool'!$A29,#REF!,'Portion_value adjust tool'!B$1)</f>
        <v>#REF!</v>
      </c>
      <c r="C29" s="4" t="e">
        <f>SUMIFS(#REF!,#REF!,'Portion_value adjust tool'!$A29,#REF!,'Portion_value adjust tool'!C$1)</f>
        <v>#REF!</v>
      </c>
      <c r="D29" s="4" t="e">
        <f>SUMIFS(#REF!,#REF!,'Portion_value adjust tool'!$A29,#REF!,'Portion_value adjust tool'!D$1)</f>
        <v>#REF!</v>
      </c>
      <c r="E29" s="4" t="e">
        <f>SUMIFS(#REF!,#REF!,'Portion_value adjust tool'!$A29,#REF!,'Portion_value adjust tool'!E$1)</f>
        <v>#REF!</v>
      </c>
      <c r="F29" s="4" t="e">
        <f>SUMIFS(#REF!,#REF!,'Portion_value adjust tool'!$A29,#REF!,'Portion_value adjust tool'!F$1)</f>
        <v>#REF!</v>
      </c>
      <c r="G29" s="4" t="e">
        <f>SUMIFS(#REF!,#REF!,'Portion_value adjust tool'!$A29,#REF!,'Portion_value adjust tool'!G$1)</f>
        <v>#REF!</v>
      </c>
      <c r="H29" s="4" t="e">
        <f>SUMIFS(#REF!,#REF!,'Portion_value adjust tool'!$A29,#REF!,'Portion_value adjust tool'!H$1)</f>
        <v>#REF!</v>
      </c>
      <c r="I29" s="4" t="e">
        <f t="shared" si="23"/>
        <v>#REF!</v>
      </c>
      <c r="K29" s="2">
        <f t="shared" si="21"/>
        <v>43</v>
      </c>
      <c r="L29" s="5">
        <f t="shared" si="24"/>
        <v>0</v>
      </c>
      <c r="M29" s="5">
        <f t="shared" si="22"/>
        <v>0</v>
      </c>
      <c r="N29" s="5">
        <f t="shared" si="22"/>
        <v>0</v>
      </c>
      <c r="O29" s="5">
        <f t="shared" si="22"/>
        <v>0</v>
      </c>
      <c r="P29" s="5">
        <f t="shared" si="22"/>
        <v>0</v>
      </c>
      <c r="Q29" s="5">
        <f t="shared" si="22"/>
        <v>0</v>
      </c>
      <c r="R29" s="5">
        <f t="shared" si="22"/>
        <v>0</v>
      </c>
      <c r="S29" s="5">
        <f t="shared" si="22"/>
        <v>0</v>
      </c>
    </row>
    <row r="30" spans="1:29" x14ac:dyDescent="0.2">
      <c r="A30" s="2">
        <v>44</v>
      </c>
      <c r="B30" s="4" t="e">
        <f>SUMIFS(#REF!,#REF!,'Portion_value adjust tool'!$A30,#REF!,'Portion_value adjust tool'!B$1)</f>
        <v>#REF!</v>
      </c>
      <c r="C30" s="4" t="e">
        <f>SUMIFS(#REF!,#REF!,'Portion_value adjust tool'!$A30,#REF!,'Portion_value adjust tool'!C$1)</f>
        <v>#REF!</v>
      </c>
      <c r="D30" s="4" t="e">
        <f>SUMIFS(#REF!,#REF!,'Portion_value adjust tool'!$A30,#REF!,'Portion_value adjust tool'!D$1)</f>
        <v>#REF!</v>
      </c>
      <c r="E30" s="4" t="e">
        <f>SUMIFS(#REF!,#REF!,'Portion_value adjust tool'!$A30,#REF!,'Portion_value adjust tool'!E$1)</f>
        <v>#REF!</v>
      </c>
      <c r="F30" s="4" t="e">
        <f>SUMIFS(#REF!,#REF!,'Portion_value adjust tool'!$A30,#REF!,'Portion_value adjust tool'!F$1)</f>
        <v>#REF!</v>
      </c>
      <c r="G30" s="4" t="e">
        <f>SUMIFS(#REF!,#REF!,'Portion_value adjust tool'!$A30,#REF!,'Portion_value adjust tool'!G$1)</f>
        <v>#REF!</v>
      </c>
      <c r="H30" s="4" t="e">
        <f>SUMIFS(#REF!,#REF!,'Portion_value adjust tool'!$A30,#REF!,'Portion_value adjust tool'!H$1)</f>
        <v>#REF!</v>
      </c>
      <c r="I30" s="4" t="e">
        <f t="shared" si="23"/>
        <v>#REF!</v>
      </c>
      <c r="K30" s="2">
        <f t="shared" si="21"/>
        <v>44</v>
      </c>
      <c r="L30" s="5">
        <f t="shared" si="24"/>
        <v>0</v>
      </c>
      <c r="M30" s="5">
        <f t="shared" si="22"/>
        <v>0</v>
      </c>
      <c r="N30" s="5">
        <f t="shared" si="22"/>
        <v>0</v>
      </c>
      <c r="O30" s="5">
        <f t="shared" si="22"/>
        <v>0</v>
      </c>
      <c r="P30" s="5">
        <f t="shared" si="22"/>
        <v>0</v>
      </c>
      <c r="Q30" s="5">
        <f t="shared" si="22"/>
        <v>0</v>
      </c>
      <c r="R30" s="5">
        <f t="shared" si="22"/>
        <v>0</v>
      </c>
      <c r="S30" s="5">
        <f t="shared" si="22"/>
        <v>0</v>
      </c>
    </row>
    <row r="31" spans="1:29" x14ac:dyDescent="0.2">
      <c r="A31" s="2">
        <v>45</v>
      </c>
      <c r="B31" s="4" t="e">
        <f>SUMIFS(#REF!,#REF!,'Portion_value adjust tool'!$A31,#REF!,'Portion_value adjust tool'!B$1)</f>
        <v>#REF!</v>
      </c>
      <c r="C31" s="4" t="e">
        <f>SUMIFS(#REF!,#REF!,'Portion_value adjust tool'!$A31,#REF!,'Portion_value adjust tool'!C$1)</f>
        <v>#REF!</v>
      </c>
      <c r="D31" s="4" t="e">
        <f>SUMIFS(#REF!,#REF!,'Portion_value adjust tool'!$A31,#REF!,'Portion_value adjust tool'!D$1)</f>
        <v>#REF!</v>
      </c>
      <c r="E31" s="4" t="e">
        <f>SUMIFS(#REF!,#REF!,'Portion_value adjust tool'!$A31,#REF!,'Portion_value adjust tool'!E$1)</f>
        <v>#REF!</v>
      </c>
      <c r="F31" s="4" t="e">
        <f>SUMIFS(#REF!,#REF!,'Portion_value adjust tool'!$A31,#REF!,'Portion_value adjust tool'!F$1)</f>
        <v>#REF!</v>
      </c>
      <c r="G31" s="4" t="e">
        <f>SUMIFS(#REF!,#REF!,'Portion_value adjust tool'!$A31,#REF!,'Portion_value adjust tool'!G$1)</f>
        <v>#REF!</v>
      </c>
      <c r="H31" s="4" t="e">
        <f>SUMIFS(#REF!,#REF!,'Portion_value adjust tool'!$A31,#REF!,'Portion_value adjust tool'!H$1)</f>
        <v>#REF!</v>
      </c>
      <c r="I31" s="4" t="e">
        <f t="shared" si="23"/>
        <v>#REF!</v>
      </c>
      <c r="K31" s="2">
        <f t="shared" si="21"/>
        <v>45</v>
      </c>
      <c r="L31" s="5">
        <f t="shared" si="24"/>
        <v>0</v>
      </c>
      <c r="M31" s="5">
        <f t="shared" si="22"/>
        <v>0</v>
      </c>
      <c r="N31" s="5">
        <f t="shared" si="22"/>
        <v>0</v>
      </c>
      <c r="O31" s="5">
        <f t="shared" si="22"/>
        <v>0</v>
      </c>
      <c r="P31" s="5">
        <f t="shared" si="22"/>
        <v>0</v>
      </c>
      <c r="Q31" s="5">
        <f t="shared" si="22"/>
        <v>0</v>
      </c>
      <c r="R31" s="5">
        <f t="shared" si="22"/>
        <v>0</v>
      </c>
      <c r="S31" s="5">
        <f t="shared" si="22"/>
        <v>0</v>
      </c>
    </row>
    <row r="32" spans="1:29" x14ac:dyDescent="0.2">
      <c r="A32" s="2">
        <v>101</v>
      </c>
      <c r="B32" s="4">
        <v>296</v>
      </c>
      <c r="C32" s="4">
        <v>300</v>
      </c>
      <c r="D32" s="4">
        <v>300</v>
      </c>
      <c r="E32" s="4">
        <v>310</v>
      </c>
      <c r="F32" s="4">
        <f>134*4</f>
        <v>536</v>
      </c>
      <c r="G32" s="4">
        <f>166*4</f>
        <v>664</v>
      </c>
      <c r="H32" s="4">
        <f>120*4</f>
        <v>480</v>
      </c>
      <c r="I32" s="4">
        <f t="shared" si="23"/>
        <v>2886</v>
      </c>
      <c r="K32" s="2">
        <f>A32</f>
        <v>101</v>
      </c>
      <c r="L32" s="5">
        <f t="shared" si="24"/>
        <v>0.10256410256410256</v>
      </c>
      <c r="M32" s="5">
        <f t="shared" si="22"/>
        <v>0.10395010395010396</v>
      </c>
      <c r="N32" s="5">
        <f t="shared" si="22"/>
        <v>0.10395010395010396</v>
      </c>
      <c r="O32" s="5">
        <f t="shared" si="22"/>
        <v>0.10741510741510742</v>
      </c>
      <c r="P32" s="5">
        <f t="shared" si="22"/>
        <v>0.18572418572418573</v>
      </c>
      <c r="Q32" s="5">
        <f t="shared" si="22"/>
        <v>0.23007623007623007</v>
      </c>
      <c r="R32" s="5">
        <f t="shared" si="22"/>
        <v>0.16632016632016633</v>
      </c>
      <c r="S32" s="5">
        <f t="shared" si="22"/>
        <v>1</v>
      </c>
    </row>
    <row r="33" spans="1:19" x14ac:dyDescent="0.2">
      <c r="A33" s="2">
        <v>102</v>
      </c>
      <c r="B33" s="4" t="e">
        <f>SUMIFS(#REF!,#REF!,'Portion_value adjust tool'!$A33,#REF!,'Portion_value adjust tool'!B$1)</f>
        <v>#REF!</v>
      </c>
      <c r="C33" s="4" t="e">
        <f>SUMIFS(#REF!,#REF!,'Portion_value adjust tool'!$A33,#REF!,'Portion_value adjust tool'!C$1)</f>
        <v>#REF!</v>
      </c>
      <c r="D33" s="4" t="e">
        <f>SUMIFS(#REF!,#REF!,'Portion_value adjust tool'!$A33,#REF!,'Portion_value adjust tool'!D$1)</f>
        <v>#REF!</v>
      </c>
      <c r="E33" s="4" t="e">
        <f>SUMIFS(#REF!,#REF!,'Portion_value adjust tool'!$A33,#REF!,'Portion_value adjust tool'!E$1)</f>
        <v>#REF!</v>
      </c>
      <c r="F33" s="4" t="e">
        <f>SUMIFS(#REF!,#REF!,'Portion_value adjust tool'!$A33,#REF!,'Portion_value adjust tool'!F$1)</f>
        <v>#REF!</v>
      </c>
      <c r="G33" s="4" t="e">
        <f>SUMIFS(#REF!,#REF!,'Portion_value adjust tool'!$A33,#REF!,'Portion_value adjust tool'!G$1)</f>
        <v>#REF!</v>
      </c>
      <c r="H33" s="4" t="e">
        <f>SUMIFS(#REF!,#REF!,'Portion_value adjust tool'!$A33,#REF!,'Portion_value adjust tool'!H$1)</f>
        <v>#REF!</v>
      </c>
      <c r="I33" s="4" t="e">
        <f t="shared" ref="I33" si="25">SUM(B33:H33)</f>
        <v>#REF!</v>
      </c>
      <c r="K33" s="2">
        <f t="shared" ref="K33" si="26">A33</f>
        <v>102</v>
      </c>
      <c r="L33" s="5">
        <f t="shared" ref="L33" si="27">IFERROR(B33/$I33,0)</f>
        <v>0</v>
      </c>
      <c r="M33" s="5">
        <f t="shared" ref="M33" si="28">IFERROR(C33/$I33,0)</f>
        <v>0</v>
      </c>
      <c r="N33" s="5">
        <f t="shared" ref="N33" si="29">IFERROR(D33/$I33,0)</f>
        <v>0</v>
      </c>
      <c r="O33" s="5">
        <f t="shared" ref="O33" si="30">IFERROR(E33/$I33,0)</f>
        <v>0</v>
      </c>
      <c r="P33" s="5">
        <f t="shared" ref="P33" si="31">IFERROR(F33/$I33,0)</f>
        <v>0</v>
      </c>
      <c r="Q33" s="5">
        <f t="shared" ref="Q33" si="32">IFERROR(G33/$I33,0)</f>
        <v>0</v>
      </c>
      <c r="R33" s="5">
        <f t="shared" ref="R33" si="33">IFERROR(H33/$I33,0)</f>
        <v>0</v>
      </c>
      <c r="S33" s="5">
        <f t="shared" ref="S33" si="34">IFERROR(I33/$I33,0)</f>
        <v>0</v>
      </c>
    </row>
    <row r="34" spans="1:19" x14ac:dyDescent="0.2">
      <c r="A34" s="2">
        <v>201</v>
      </c>
      <c r="B34" s="4" t="e">
        <f>SUMIFS(#REF!,#REF!,'Portion_value adjust tool'!$A34,#REF!,'Portion_value adjust tool'!B$1)</f>
        <v>#REF!</v>
      </c>
      <c r="C34" s="4" t="e">
        <f>SUMIFS(#REF!,#REF!,'Portion_value adjust tool'!$A34,#REF!,'Portion_value adjust tool'!C$1)</f>
        <v>#REF!</v>
      </c>
      <c r="D34" s="4" t="e">
        <f>SUMIFS(#REF!,#REF!,'Portion_value adjust tool'!$A34,#REF!,'Portion_value adjust tool'!D$1)</f>
        <v>#REF!</v>
      </c>
      <c r="E34" s="4" t="e">
        <f>SUMIFS(#REF!,#REF!,'Portion_value adjust tool'!$A34,#REF!,'Portion_value adjust tool'!E$1)</f>
        <v>#REF!</v>
      </c>
      <c r="F34" s="4" t="e">
        <f>SUMIFS(#REF!,#REF!,'Portion_value adjust tool'!$A34,#REF!,'Portion_value adjust tool'!F$1)</f>
        <v>#REF!</v>
      </c>
      <c r="G34" s="4" t="e">
        <f>SUMIFS(#REF!,#REF!,'Portion_value adjust tool'!$A34,#REF!,'Portion_value adjust tool'!G$1)</f>
        <v>#REF!</v>
      </c>
      <c r="H34" s="4" t="e">
        <f>SUMIFS(#REF!,#REF!,'Portion_value adjust tool'!$A34,#REF!,'Portion_value adjust tool'!H$1)</f>
        <v>#REF!</v>
      </c>
      <c r="I34" s="4" t="e">
        <f t="shared" si="23"/>
        <v>#REF!</v>
      </c>
      <c r="K34" s="2">
        <f t="shared" ref="K34:K36" si="35">A34</f>
        <v>201</v>
      </c>
      <c r="L34" s="5">
        <f t="shared" si="24"/>
        <v>0</v>
      </c>
      <c r="M34" s="5">
        <f t="shared" si="22"/>
        <v>0</v>
      </c>
      <c r="N34" s="5">
        <f t="shared" si="22"/>
        <v>0</v>
      </c>
      <c r="O34" s="5">
        <f t="shared" si="22"/>
        <v>0</v>
      </c>
      <c r="P34" s="5">
        <f t="shared" si="22"/>
        <v>0</v>
      </c>
      <c r="Q34" s="5">
        <f t="shared" si="22"/>
        <v>0</v>
      </c>
      <c r="R34" s="5">
        <f t="shared" si="22"/>
        <v>0</v>
      </c>
      <c r="S34" s="5">
        <f t="shared" si="22"/>
        <v>0</v>
      </c>
    </row>
    <row r="35" spans="1:19" x14ac:dyDescent="0.2">
      <c r="A35" s="2">
        <v>304</v>
      </c>
      <c r="B35" s="4" t="e">
        <f>SUMIFS(#REF!,#REF!,'Portion_value adjust tool'!$A35,#REF!,'Portion_value adjust tool'!B$1)</f>
        <v>#REF!</v>
      </c>
      <c r="C35" s="4" t="e">
        <f>SUMIFS(#REF!,#REF!,'Portion_value adjust tool'!$A35,#REF!,'Portion_value adjust tool'!C$1)</f>
        <v>#REF!</v>
      </c>
      <c r="D35" s="4" t="e">
        <f>SUMIFS(#REF!,#REF!,'Portion_value adjust tool'!$A35,#REF!,'Portion_value adjust tool'!D$1)</f>
        <v>#REF!</v>
      </c>
      <c r="E35" s="4" t="e">
        <f>SUMIFS(#REF!,#REF!,'Portion_value adjust tool'!$A35,#REF!,'Portion_value adjust tool'!E$1)</f>
        <v>#REF!</v>
      </c>
      <c r="F35" s="4" t="e">
        <f>SUMIFS(#REF!,#REF!,'Portion_value adjust tool'!$A35,#REF!,'Portion_value adjust tool'!F$1)</f>
        <v>#REF!</v>
      </c>
      <c r="G35" s="4" t="e">
        <f>SUMIFS(#REF!,#REF!,'Portion_value adjust tool'!$A35,#REF!,'Portion_value adjust tool'!G$1)</f>
        <v>#REF!</v>
      </c>
      <c r="H35" s="4" t="e">
        <f>SUMIFS(#REF!,#REF!,'Portion_value adjust tool'!$A35,#REF!,'Portion_value adjust tool'!H$1)</f>
        <v>#REF!</v>
      </c>
      <c r="I35" s="4" t="e">
        <f t="shared" si="23"/>
        <v>#REF!</v>
      </c>
      <c r="K35" s="2">
        <f t="shared" si="35"/>
        <v>304</v>
      </c>
      <c r="L35" s="5">
        <f t="shared" si="24"/>
        <v>0</v>
      </c>
      <c r="M35" s="5">
        <f t="shared" si="22"/>
        <v>0</v>
      </c>
      <c r="N35" s="5">
        <f t="shared" si="22"/>
        <v>0</v>
      </c>
      <c r="O35" s="5">
        <f t="shared" si="22"/>
        <v>0</v>
      </c>
      <c r="P35" s="5">
        <f t="shared" si="22"/>
        <v>0</v>
      </c>
      <c r="Q35" s="5">
        <f t="shared" si="22"/>
        <v>0</v>
      </c>
      <c r="R35" s="5">
        <f t="shared" si="22"/>
        <v>0</v>
      </c>
      <c r="S35" s="5">
        <f t="shared" si="22"/>
        <v>0</v>
      </c>
    </row>
    <row r="36" spans="1:19" x14ac:dyDescent="0.2">
      <c r="A36" s="2">
        <v>501</v>
      </c>
      <c r="B36" s="4" t="e">
        <f>SUMIFS(#REF!,#REF!,'Portion_value adjust tool'!$A36,#REF!,'Portion_value adjust tool'!B$1)</f>
        <v>#REF!</v>
      </c>
      <c r="C36" s="4" t="e">
        <f>SUMIFS(#REF!,#REF!,'Portion_value adjust tool'!$A36,#REF!,'Portion_value adjust tool'!C$1)</f>
        <v>#REF!</v>
      </c>
      <c r="D36" s="4" t="e">
        <f>SUMIFS(#REF!,#REF!,'Portion_value adjust tool'!$A36,#REF!,'Portion_value adjust tool'!D$1)</f>
        <v>#REF!</v>
      </c>
      <c r="E36" s="4" t="e">
        <f>SUMIFS(#REF!,#REF!,'Portion_value adjust tool'!$A36,#REF!,'Portion_value adjust tool'!E$1)</f>
        <v>#REF!</v>
      </c>
      <c r="F36" s="4" t="e">
        <f>SUMIFS(#REF!,#REF!,'Portion_value adjust tool'!$A36,#REF!,'Portion_value adjust tool'!F$1)</f>
        <v>#REF!</v>
      </c>
      <c r="G36" s="4" t="e">
        <f>SUMIFS(#REF!,#REF!,'Portion_value adjust tool'!$A36,#REF!,'Portion_value adjust tool'!G$1)</f>
        <v>#REF!</v>
      </c>
      <c r="H36" s="4" t="e">
        <f>SUMIFS(#REF!,#REF!,'Portion_value adjust tool'!$A36,#REF!,'Portion_value adjust tool'!H$1)</f>
        <v>#REF!</v>
      </c>
      <c r="I36" s="4" t="e">
        <f t="shared" si="23"/>
        <v>#REF!</v>
      </c>
      <c r="K36" s="2">
        <f t="shared" si="35"/>
        <v>501</v>
      </c>
      <c r="L36" s="5">
        <f t="shared" si="24"/>
        <v>0</v>
      </c>
      <c r="M36" s="5">
        <f t="shared" si="22"/>
        <v>0</v>
      </c>
      <c r="N36" s="5">
        <f t="shared" si="22"/>
        <v>0</v>
      </c>
      <c r="O36" s="5">
        <f t="shared" si="22"/>
        <v>0</v>
      </c>
      <c r="P36" s="5">
        <f t="shared" si="22"/>
        <v>0</v>
      </c>
      <c r="Q36" s="5">
        <f t="shared" si="22"/>
        <v>0</v>
      </c>
      <c r="R36" s="5">
        <f t="shared" si="22"/>
        <v>0</v>
      </c>
      <c r="S36" s="5">
        <f t="shared" si="22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5"/>
  <sheetViews>
    <sheetView workbookViewId="0">
      <selection activeCell="G33" sqref="G33"/>
    </sheetView>
  </sheetViews>
  <sheetFormatPr defaultRowHeight="11.25" x14ac:dyDescent="0.2"/>
  <cols>
    <col min="1" max="1" width="14.6640625" bestFit="1" customWidth="1"/>
  </cols>
  <sheetData>
    <row r="1" spans="1:8" ht="15" customHeight="1" x14ac:dyDescent="0.2">
      <c r="A1" s="17" t="s">
        <v>47</v>
      </c>
      <c r="B1" s="17" t="s">
        <v>71</v>
      </c>
      <c r="C1" s="17" t="s">
        <v>53</v>
      </c>
      <c r="D1" s="17"/>
      <c r="E1" s="17" t="s">
        <v>72</v>
      </c>
      <c r="F1" s="17"/>
      <c r="G1" s="17" t="s">
        <v>73</v>
      </c>
      <c r="H1" s="17" t="s">
        <v>53</v>
      </c>
    </row>
    <row r="2" spans="1:8" ht="15" customHeight="1" x14ac:dyDescent="0.2">
      <c r="A2" s="20" t="s">
        <v>26</v>
      </c>
      <c r="B2" s="16">
        <f>$B$10*C2</f>
        <v>33764.170059179618</v>
      </c>
      <c r="C2" s="18">
        <v>0.25</v>
      </c>
      <c r="D2" s="16"/>
      <c r="E2" s="18">
        <v>9.7516041275797374</v>
      </c>
      <c r="F2" s="16"/>
      <c r="G2" s="16">
        <f>B2/E2</f>
        <v>3462.4221428028363</v>
      </c>
      <c r="H2" s="16">
        <f>G2/$G$10</f>
        <v>0.26745089773356795</v>
      </c>
    </row>
    <row r="3" spans="1:8" ht="15" customHeight="1" x14ac:dyDescent="0.2">
      <c r="A3" s="20" t="s">
        <v>20</v>
      </c>
      <c r="B3" s="16">
        <f t="shared" ref="B3:B9" si="0">$B$10*C3</f>
        <v>13505.668023671848</v>
      </c>
      <c r="C3" s="18">
        <v>0.1</v>
      </c>
      <c r="D3" s="16"/>
      <c r="E3" s="18">
        <v>7.4927429805615544</v>
      </c>
      <c r="F3" s="16"/>
      <c r="G3" s="16">
        <f t="shared" ref="G3:G13" si="1">B3/E3</f>
        <v>1802.499840006476</v>
      </c>
      <c r="H3" s="16">
        <f t="shared" ref="H3:H9" si="2">G3/$G$10</f>
        <v>0.13923206948535163</v>
      </c>
    </row>
    <row r="4" spans="1:8" ht="15" customHeight="1" x14ac:dyDescent="0.2">
      <c r="A4" s="20" t="s">
        <v>36</v>
      </c>
      <c r="B4" s="16">
        <f t="shared" si="0"/>
        <v>25660.769244976509</v>
      </c>
      <c r="C4" s="18">
        <v>0.19</v>
      </c>
      <c r="D4" s="16"/>
      <c r="E4" s="18">
        <v>9.7794230769230772</v>
      </c>
      <c r="F4" s="16"/>
      <c r="G4" s="16">
        <f t="shared" si="1"/>
        <v>2623.9553236559859</v>
      </c>
      <c r="H4" s="16">
        <f t="shared" si="2"/>
        <v>0.20268447288650857</v>
      </c>
    </row>
    <row r="5" spans="1:8" ht="15" customHeight="1" x14ac:dyDescent="0.2">
      <c r="A5" s="20" t="s">
        <v>33</v>
      </c>
      <c r="B5" s="16">
        <f t="shared" si="0"/>
        <v>8103.400814203108</v>
      </c>
      <c r="C5" s="18">
        <v>0.06</v>
      </c>
      <c r="D5" s="16"/>
      <c r="E5" s="18">
        <v>8.9433557046979857</v>
      </c>
      <c r="F5" s="16"/>
      <c r="G5" s="16">
        <f t="shared" si="1"/>
        <v>906.08056771647296</v>
      </c>
      <c r="H5" s="16">
        <f t="shared" si="2"/>
        <v>6.9989172683185136E-2</v>
      </c>
    </row>
    <row r="6" spans="1:8" ht="15" customHeight="1" x14ac:dyDescent="0.2">
      <c r="A6" s="20" t="s">
        <v>18</v>
      </c>
      <c r="B6" s="16">
        <f t="shared" si="0"/>
        <v>14856.234826039032</v>
      </c>
      <c r="C6" s="18">
        <v>0.11</v>
      </c>
      <c r="D6" s="16"/>
      <c r="E6" s="18">
        <v>10.501549295774648</v>
      </c>
      <c r="F6" s="16"/>
      <c r="G6" s="16">
        <f t="shared" si="1"/>
        <v>1414.6707697707532</v>
      </c>
      <c r="H6" s="16">
        <f t="shared" si="2"/>
        <v>0.10927464987453743</v>
      </c>
    </row>
    <row r="7" spans="1:8" ht="15" customHeight="1" x14ac:dyDescent="0.2">
      <c r="A7" s="20" t="s">
        <v>12</v>
      </c>
      <c r="B7" s="16">
        <f t="shared" si="0"/>
        <v>20258.502035507769</v>
      </c>
      <c r="C7" s="18">
        <v>0.15</v>
      </c>
      <c r="D7" s="16"/>
      <c r="E7" s="18">
        <v>20.512738095238095</v>
      </c>
      <c r="F7" s="16"/>
      <c r="G7" s="16">
        <f t="shared" si="1"/>
        <v>987.60594229059325</v>
      </c>
      <c r="H7" s="16">
        <f t="shared" si="2"/>
        <v>7.6286508397502006E-2</v>
      </c>
    </row>
    <row r="8" spans="1:8" ht="15" customHeight="1" x14ac:dyDescent="0.2">
      <c r="A8" s="20" t="s">
        <v>24</v>
      </c>
      <c r="B8" s="16">
        <f t="shared" si="0"/>
        <v>5057.0124076664451</v>
      </c>
      <c r="C8" s="18">
        <v>3.7443630324711416E-2</v>
      </c>
      <c r="D8" s="16"/>
      <c r="E8" s="18">
        <v>13.751341463414636</v>
      </c>
      <c r="F8" s="16"/>
      <c r="G8" s="16">
        <f t="shared" si="1"/>
        <v>367.74684281679697</v>
      </c>
      <c r="H8" s="16">
        <f t="shared" si="2"/>
        <v>2.8406190578026905E-2</v>
      </c>
    </row>
    <row r="9" spans="1:8" ht="15" customHeight="1" x14ac:dyDescent="0.2">
      <c r="A9" s="20" t="s">
        <v>15</v>
      </c>
      <c r="B9" s="16">
        <f t="shared" si="0"/>
        <v>13505.668023671848</v>
      </c>
      <c r="C9" s="18">
        <v>0.1</v>
      </c>
      <c r="D9" s="16"/>
      <c r="E9" s="18">
        <v>9.7794230769230772</v>
      </c>
      <c r="F9" s="16"/>
      <c r="G9" s="16">
        <f t="shared" si="1"/>
        <v>1381.0291177136767</v>
      </c>
      <c r="H9" s="16">
        <f t="shared" si="2"/>
        <v>0.10667603836132028</v>
      </c>
    </row>
    <row r="10" spans="1:8" ht="15" customHeight="1" x14ac:dyDescent="0.2">
      <c r="A10" s="20" t="s">
        <v>67</v>
      </c>
      <c r="B10" s="16">
        <f>B15*C10</f>
        <v>135056.68023671847</v>
      </c>
      <c r="C10" s="18">
        <v>0.8</v>
      </c>
      <c r="D10" s="16"/>
      <c r="E10" s="19"/>
      <c r="F10" s="16"/>
      <c r="G10" s="16">
        <f>SUM(G2:G9)</f>
        <v>12946.010546773592</v>
      </c>
      <c r="H10" s="16">
        <f>G10/G15</f>
        <v>0.78070305325627709</v>
      </c>
    </row>
    <row r="11" spans="1:8" ht="15" customHeight="1" x14ac:dyDescent="0.2">
      <c r="A11" s="20" t="s">
        <v>30</v>
      </c>
      <c r="B11" s="16">
        <f>$B$14*C11</f>
        <v>27686.619448527286</v>
      </c>
      <c r="C11" s="18">
        <v>0.82</v>
      </c>
      <c r="D11" s="16"/>
      <c r="E11" s="18">
        <v>10.626462196861628</v>
      </c>
      <c r="F11" s="16"/>
      <c r="G11" s="16">
        <f t="shared" si="1"/>
        <v>2605.4409205637726</v>
      </c>
      <c r="H11" s="16">
        <f>G11/$G$14</f>
        <v>0.71647091683994779</v>
      </c>
    </row>
    <row r="12" spans="1:8" ht="15" customHeight="1" x14ac:dyDescent="0.2">
      <c r="A12" s="20" t="s">
        <v>22</v>
      </c>
      <c r="B12" s="16">
        <f t="shared" ref="B12:B13" si="3">$B$14*C12</f>
        <v>4389.34210769335</v>
      </c>
      <c r="C12" s="18">
        <v>0.13</v>
      </c>
      <c r="D12" s="16"/>
      <c r="E12" s="18">
        <v>5.2716562499999995</v>
      </c>
      <c r="F12" s="16"/>
      <c r="G12" s="16">
        <f t="shared" si="1"/>
        <v>832.63056230067173</v>
      </c>
      <c r="H12" s="16">
        <f t="shared" ref="H12:H13" si="4">G12/$G$14</f>
        <v>0.22896530781110139</v>
      </c>
    </row>
    <row r="13" spans="1:8" ht="15" customHeight="1" x14ac:dyDescent="0.2">
      <c r="A13" s="20" t="s">
        <v>8</v>
      </c>
      <c r="B13" s="16">
        <f t="shared" si="3"/>
        <v>1688.2085029589809</v>
      </c>
      <c r="C13" s="18">
        <v>0.05</v>
      </c>
      <c r="D13" s="16"/>
      <c r="E13" s="18">
        <v>8.5082258064516125</v>
      </c>
      <c r="F13" s="16"/>
      <c r="G13" s="16">
        <f t="shared" si="1"/>
        <v>198.42074497821241</v>
      </c>
      <c r="H13" s="16">
        <f t="shared" si="4"/>
        <v>5.4563775348950821E-2</v>
      </c>
    </row>
    <row r="14" spans="1:8" ht="15" customHeight="1" x14ac:dyDescent="0.2">
      <c r="A14" s="20" t="s">
        <v>68</v>
      </c>
      <c r="B14" s="16">
        <f>B15*C14</f>
        <v>33764.170059179618</v>
      </c>
      <c r="C14" s="18">
        <v>0.2</v>
      </c>
      <c r="D14" s="16"/>
      <c r="E14" s="16"/>
      <c r="F14" s="16"/>
      <c r="G14" s="16">
        <f>SUM(G11:G13)</f>
        <v>3636.4922278426566</v>
      </c>
      <c r="H14" s="16">
        <f>G14/G15</f>
        <v>0.21929694674372288</v>
      </c>
    </row>
    <row r="15" spans="1:8" ht="15" customHeight="1" x14ac:dyDescent="0.2">
      <c r="A15" s="20" t="s">
        <v>69</v>
      </c>
      <c r="B15" s="18">
        <v>168820.8502958981</v>
      </c>
      <c r="C15" s="16"/>
      <c r="D15" s="16"/>
      <c r="E15" s="16"/>
      <c r="F15" s="16"/>
      <c r="G15" s="16">
        <f>G14+G10</f>
        <v>16582.502774616249</v>
      </c>
      <c r="H15" s="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521"/>
  <sheetViews>
    <sheetView workbookViewId="0">
      <selection activeCell="U15" sqref="U15"/>
    </sheetView>
  </sheetViews>
  <sheetFormatPr defaultRowHeight="11.25" x14ac:dyDescent="0.2"/>
  <cols>
    <col min="1" max="1" width="7.6640625" style="46" bestFit="1" customWidth="1"/>
    <col min="2" max="2" width="13.1640625" style="46" bestFit="1" customWidth="1"/>
    <col min="3" max="3" width="7.83203125" style="46" bestFit="1" customWidth="1"/>
    <col min="4" max="4" width="12" style="46" bestFit="1" customWidth="1"/>
    <col min="5" max="5" width="11.33203125" style="46" customWidth="1"/>
    <col min="6" max="6" width="7.1640625" style="46" customWidth="1"/>
    <col min="7" max="7" width="18.83203125" style="46" customWidth="1"/>
    <col min="8" max="8" width="9.6640625" style="46" customWidth="1"/>
    <col min="9" max="9" width="9.5" style="46" customWidth="1"/>
    <col min="10" max="10" width="6.6640625" style="46" bestFit="1" customWidth="1"/>
    <col min="11" max="11" width="8.6640625" style="46" bestFit="1" customWidth="1"/>
    <col min="12" max="12" width="8.33203125" style="46" bestFit="1" customWidth="1"/>
    <col min="13" max="16384" width="9.33203125" style="46"/>
  </cols>
  <sheetData>
    <row r="1" spans="1:12" x14ac:dyDescent="0.2">
      <c r="A1" s="45" t="s">
        <v>86</v>
      </c>
      <c r="B1" s="45" t="s">
        <v>0</v>
      </c>
      <c r="C1" s="45" t="s">
        <v>1</v>
      </c>
      <c r="D1" s="45" t="s">
        <v>2</v>
      </c>
      <c r="E1" s="45" t="s">
        <v>3</v>
      </c>
      <c r="F1" s="45" t="s">
        <v>4</v>
      </c>
      <c r="G1" s="45" t="s">
        <v>5</v>
      </c>
      <c r="H1" s="45" t="s">
        <v>87</v>
      </c>
      <c r="I1" s="45" t="s">
        <v>88</v>
      </c>
      <c r="J1" s="45" t="s">
        <v>63</v>
      </c>
      <c r="K1" s="45" t="s">
        <v>89</v>
      </c>
      <c r="L1" s="45" t="s">
        <v>90</v>
      </c>
    </row>
    <row r="2" spans="1:12" x14ac:dyDescent="0.2">
      <c r="A2" s="46" t="s">
        <v>6</v>
      </c>
      <c r="B2" s="47">
        <v>42925</v>
      </c>
      <c r="C2" s="46">
        <v>0</v>
      </c>
      <c r="D2" s="46">
        <v>0</v>
      </c>
      <c r="E2" s="46">
        <v>0</v>
      </c>
      <c r="F2" s="46">
        <v>0</v>
      </c>
      <c r="G2" s="46" t="s">
        <v>27</v>
      </c>
      <c r="H2" s="45" t="str">
        <f>IFERROR(VLOOKUP(Data!$G2,canon!$I$2:$K$27,2,FALSE),"")</f>
        <v>ACCESSORY</v>
      </c>
      <c r="I2" s="45" t="str">
        <f>IFERROR(VLOOKUP(Data!$G2,canon!$I$2:$K$27,3,FALSE),"")</f>
        <v>N.APPAREL</v>
      </c>
      <c r="J2" s="45">
        <f t="shared" ref="J2:J65" si="0">WEEKDAY(B2)</f>
        <v>1</v>
      </c>
      <c r="K2" s="45">
        <f t="shared" ref="K2:K65" si="1">INT(A2)</f>
        <v>1</v>
      </c>
      <c r="L2" s="45">
        <f>VLOOKUP(Table_db1_backend_Daily.accdb[[#This Row],[TradingDate]],canon!B:E,4,0)</f>
        <v>28</v>
      </c>
    </row>
    <row r="3" spans="1:12" x14ac:dyDescent="0.2">
      <c r="A3" s="69" t="s">
        <v>6</v>
      </c>
      <c r="B3" s="70">
        <v>42925</v>
      </c>
      <c r="C3" s="69">
        <v>0</v>
      </c>
      <c r="D3" s="69">
        <v>0</v>
      </c>
      <c r="E3" s="69">
        <v>0</v>
      </c>
      <c r="F3" s="69">
        <v>0</v>
      </c>
      <c r="G3" s="69" t="s">
        <v>7</v>
      </c>
      <c r="H3" s="69" t="str">
        <f>IFERROR(VLOOKUP(Data!$G3,canon!$I$2:$K$27,2,FALSE),"")</f>
        <v>ACCESSORY</v>
      </c>
      <c r="I3" s="69" t="str">
        <f>IFERROR(VLOOKUP(Data!$G3,canon!$I$2:$K$27,3,FALSE),"")</f>
        <v>N.APPAREL</v>
      </c>
      <c r="J3" s="69">
        <f t="shared" si="0"/>
        <v>1</v>
      </c>
      <c r="K3" s="69">
        <f t="shared" si="1"/>
        <v>1</v>
      </c>
      <c r="L3" s="69">
        <f>VLOOKUP(Table_db1_backend_Daily.accdb[[#This Row],[TradingDate]],canon!B:E,4,0)</f>
        <v>28</v>
      </c>
    </row>
    <row r="4" spans="1:12" x14ac:dyDescent="0.2">
      <c r="A4" s="69" t="s">
        <v>6</v>
      </c>
      <c r="B4" s="70">
        <v>42925</v>
      </c>
      <c r="C4" s="69">
        <v>-6</v>
      </c>
      <c r="D4" s="69">
        <v>0</v>
      </c>
      <c r="E4" s="69">
        <v>0</v>
      </c>
      <c r="F4" s="69">
        <v>0</v>
      </c>
      <c r="G4" s="69" t="s">
        <v>34</v>
      </c>
      <c r="H4" s="69" t="str">
        <f>IFERROR(VLOOKUP(Data!$G4,canon!$I$2:$K$27,2,FALSE),"")</f>
        <v>SHOES</v>
      </c>
      <c r="I4" s="69" t="str">
        <f>IFERROR(VLOOKUP(Data!$G4,canon!$I$2:$K$27,3,FALSE),"")</f>
        <v>N.APPAREL</v>
      </c>
      <c r="J4" s="69">
        <f t="shared" si="0"/>
        <v>1</v>
      </c>
      <c r="K4" s="69">
        <f t="shared" si="1"/>
        <v>1</v>
      </c>
      <c r="L4" s="69">
        <f>VLOOKUP(Table_db1_backend_Daily.accdb[[#This Row],[TradingDate]],canon!B:E,4,0)</f>
        <v>28</v>
      </c>
    </row>
    <row r="5" spans="1:12" x14ac:dyDescent="0.2">
      <c r="A5" s="69" t="s">
        <v>6</v>
      </c>
      <c r="B5" s="70">
        <v>42925</v>
      </c>
      <c r="C5" s="69">
        <v>6</v>
      </c>
      <c r="D5" s="69">
        <v>0</v>
      </c>
      <c r="E5" s="69">
        <v>0</v>
      </c>
      <c r="F5" s="69">
        <v>0</v>
      </c>
      <c r="G5" s="69" t="s">
        <v>38</v>
      </c>
      <c r="H5" s="69" t="str">
        <f>IFERROR(VLOOKUP(Data!$G5,canon!$I$2:$K$27,2,FALSE),"")</f>
        <v>SHOES</v>
      </c>
      <c r="I5" s="69" t="str">
        <f>IFERROR(VLOOKUP(Data!$G5,canon!$I$2:$K$27,3,FALSE),"")</f>
        <v>N.APPAREL</v>
      </c>
      <c r="J5" s="69">
        <f t="shared" si="0"/>
        <v>1</v>
      </c>
      <c r="K5" s="69">
        <f t="shared" si="1"/>
        <v>1</v>
      </c>
      <c r="L5" s="69">
        <f>VLOOKUP(Table_db1_backend_Daily.accdb[[#This Row],[TradingDate]],canon!B:E,4,0)</f>
        <v>28</v>
      </c>
    </row>
    <row r="6" spans="1:12" x14ac:dyDescent="0.2">
      <c r="A6" s="69" t="s">
        <v>6</v>
      </c>
      <c r="B6" s="70">
        <v>42925</v>
      </c>
      <c r="C6" s="69">
        <v>4134</v>
      </c>
      <c r="D6" s="69">
        <v>0</v>
      </c>
      <c r="E6" s="69">
        <v>0</v>
      </c>
      <c r="F6" s="69">
        <v>0</v>
      </c>
      <c r="G6" s="69" t="s">
        <v>35</v>
      </c>
      <c r="H6" s="69" t="str">
        <f>IFERROR(VLOOKUP(Data!$G6,canon!$I$2:$K$27,2,FALSE),"")</f>
        <v>DRESS</v>
      </c>
      <c r="I6" s="69" t="str">
        <f>IFERROR(VLOOKUP(Data!$G6,canon!$I$2:$K$27,3,FALSE),"")</f>
        <v>APPAREL</v>
      </c>
      <c r="J6" s="69">
        <f t="shared" si="0"/>
        <v>1</v>
      </c>
      <c r="K6" s="69">
        <f t="shared" si="1"/>
        <v>1</v>
      </c>
      <c r="L6" s="69">
        <f>VLOOKUP(Table_db1_backend_Daily.accdb[[#This Row],[TradingDate]],canon!B:E,4,0)</f>
        <v>28</v>
      </c>
    </row>
    <row r="7" spans="1:12" x14ac:dyDescent="0.2">
      <c r="A7" s="69" t="s">
        <v>6</v>
      </c>
      <c r="B7" s="70">
        <v>42925</v>
      </c>
      <c r="C7" s="69">
        <v>1</v>
      </c>
      <c r="D7" s="69">
        <v>0</v>
      </c>
      <c r="E7" s="69">
        <v>0</v>
      </c>
      <c r="F7" s="69">
        <v>0</v>
      </c>
      <c r="G7" s="69" t="s">
        <v>10</v>
      </c>
      <c r="H7" s="69" t="str">
        <f>IFERROR(VLOOKUP(Data!$G7,canon!$I$2:$K$27,2,FALSE),"")</f>
        <v>ACCESSORY</v>
      </c>
      <c r="I7" s="69" t="str">
        <f>IFERROR(VLOOKUP(Data!$G7,canon!$I$2:$K$27,3,FALSE),"")</f>
        <v>N.APPAREL</v>
      </c>
      <c r="J7" s="69">
        <f t="shared" si="0"/>
        <v>1</v>
      </c>
      <c r="K7" s="69">
        <f t="shared" si="1"/>
        <v>1</v>
      </c>
      <c r="L7" s="69">
        <f>VLOOKUP(Table_db1_backend_Daily.accdb[[#This Row],[TradingDate]],canon!B:E,4,0)</f>
        <v>28</v>
      </c>
    </row>
    <row r="8" spans="1:12" x14ac:dyDescent="0.2">
      <c r="A8" s="69" t="s">
        <v>6</v>
      </c>
      <c r="B8" s="70">
        <v>42925</v>
      </c>
      <c r="C8" s="69">
        <v>215</v>
      </c>
      <c r="D8" s="69">
        <v>0</v>
      </c>
      <c r="E8" s="69">
        <v>0</v>
      </c>
      <c r="F8" s="69">
        <v>0</v>
      </c>
      <c r="G8" s="69" t="s">
        <v>28</v>
      </c>
      <c r="H8" s="69" t="str">
        <f>IFERROR(VLOOKUP(Data!$G8,canon!$I$2:$K$27,2,FALSE),"")</f>
        <v>ACCESSORY</v>
      </c>
      <c r="I8" s="69" t="str">
        <f>IFERROR(VLOOKUP(Data!$G8,canon!$I$2:$K$27,3,FALSE),"")</f>
        <v>N.APPAREL</v>
      </c>
      <c r="J8" s="69">
        <f t="shared" si="0"/>
        <v>1</v>
      </c>
      <c r="K8" s="69">
        <f t="shared" si="1"/>
        <v>1</v>
      </c>
      <c r="L8" s="69">
        <f>VLOOKUP(Table_db1_backend_Daily.accdb[[#This Row],[TradingDate]],canon!B:E,4,0)</f>
        <v>28</v>
      </c>
    </row>
    <row r="9" spans="1:12" x14ac:dyDescent="0.2">
      <c r="A9" s="69" t="s">
        <v>6</v>
      </c>
      <c r="B9" s="70">
        <v>42925</v>
      </c>
      <c r="C9" s="69">
        <v>15803</v>
      </c>
      <c r="D9" s="69">
        <v>0</v>
      </c>
      <c r="E9" s="69">
        <v>0</v>
      </c>
      <c r="F9" s="69">
        <v>0</v>
      </c>
      <c r="G9" s="69" t="s">
        <v>11</v>
      </c>
      <c r="H9" s="69" t="str">
        <f>IFERROR(VLOOKUP(Data!$G9,canon!$I$2:$K$27,2,FALSE),"")</f>
        <v>KNIT</v>
      </c>
      <c r="I9" s="69" t="str">
        <f>IFERROR(VLOOKUP(Data!$G9,canon!$I$2:$K$27,3,FALSE),"")</f>
        <v>APPAREL</v>
      </c>
      <c r="J9" s="69">
        <f t="shared" si="0"/>
        <v>1</v>
      </c>
      <c r="K9" s="69">
        <f t="shared" si="1"/>
        <v>1</v>
      </c>
      <c r="L9" s="69">
        <f>VLOOKUP(Table_db1_backend_Daily.accdb[[#This Row],[TradingDate]],canon!B:E,4,0)</f>
        <v>28</v>
      </c>
    </row>
    <row r="10" spans="1:12" x14ac:dyDescent="0.2">
      <c r="A10" s="69" t="s">
        <v>6</v>
      </c>
      <c r="B10" s="70">
        <v>42925</v>
      </c>
      <c r="C10" s="69">
        <v>4871</v>
      </c>
      <c r="D10" s="69">
        <v>0</v>
      </c>
      <c r="E10" s="69">
        <v>0</v>
      </c>
      <c r="F10" s="69">
        <v>0</v>
      </c>
      <c r="G10" s="69" t="s">
        <v>14</v>
      </c>
      <c r="H10" s="69" t="str">
        <f>IFERROR(VLOOKUP(Data!$G10,canon!$I$2:$K$27,2,FALSE),"")</f>
        <v>LEGGING</v>
      </c>
      <c r="I10" s="69" t="str">
        <f>IFERROR(VLOOKUP(Data!$G10,canon!$I$2:$K$27,3,FALSE),"")</f>
        <v>APPAREL</v>
      </c>
      <c r="J10" s="69">
        <f t="shared" si="0"/>
        <v>1</v>
      </c>
      <c r="K10" s="69">
        <f t="shared" si="1"/>
        <v>1</v>
      </c>
      <c r="L10" s="69">
        <f>VLOOKUP(Table_db1_backend_Daily.accdb[[#This Row],[TradingDate]],canon!B:E,4,0)</f>
        <v>28</v>
      </c>
    </row>
    <row r="11" spans="1:12" x14ac:dyDescent="0.2">
      <c r="A11" s="69" t="s">
        <v>6</v>
      </c>
      <c r="B11" s="70">
        <v>42925</v>
      </c>
      <c r="C11" s="69">
        <v>0</v>
      </c>
      <c r="D11" s="69">
        <v>0</v>
      </c>
      <c r="E11" s="69">
        <v>0</v>
      </c>
      <c r="F11" s="69">
        <v>0</v>
      </c>
      <c r="G11" s="69" t="s">
        <v>16</v>
      </c>
      <c r="H11" s="69" t="str">
        <f>IFERROR(VLOOKUP(Data!$G11,canon!$I$2:$K$27,2,FALSE),"")</f>
        <v>ACCESSORY</v>
      </c>
      <c r="I11" s="69" t="str">
        <f>IFERROR(VLOOKUP(Data!$G11,canon!$I$2:$K$27,3,FALSE),"")</f>
        <v>N.APPAREL</v>
      </c>
      <c r="J11" s="69">
        <f t="shared" si="0"/>
        <v>1</v>
      </c>
      <c r="K11" s="69">
        <f t="shared" si="1"/>
        <v>1</v>
      </c>
      <c r="L11" s="69">
        <f>VLOOKUP(Table_db1_backend_Daily.accdb[[#This Row],[TradingDate]],canon!B:E,4,0)</f>
        <v>28</v>
      </c>
    </row>
    <row r="12" spans="1:12" x14ac:dyDescent="0.2">
      <c r="A12" s="69" t="s">
        <v>6</v>
      </c>
      <c r="B12" s="70">
        <v>42925</v>
      </c>
      <c r="C12" s="69">
        <v>13</v>
      </c>
      <c r="D12" s="69">
        <v>0</v>
      </c>
      <c r="E12" s="69">
        <v>0</v>
      </c>
      <c r="F12" s="69">
        <v>0</v>
      </c>
      <c r="G12" s="69" t="s">
        <v>37</v>
      </c>
      <c r="H12" s="69" t="str">
        <f>IFERROR(VLOOKUP(Data!$G12,canon!$I$2:$K$27,2,FALSE),"")</f>
        <v>SHOES</v>
      </c>
      <c r="I12" s="69" t="str">
        <f>IFERROR(VLOOKUP(Data!$G12,canon!$I$2:$K$27,3,FALSE),"")</f>
        <v>N.APPAREL</v>
      </c>
      <c r="J12" s="69">
        <f t="shared" si="0"/>
        <v>1</v>
      </c>
      <c r="K12" s="69">
        <f t="shared" si="1"/>
        <v>1</v>
      </c>
      <c r="L12" s="69">
        <f>VLOOKUP(Table_db1_backend_Daily.accdb[[#This Row],[TradingDate]],canon!B:E,4,0)</f>
        <v>28</v>
      </c>
    </row>
    <row r="13" spans="1:12" x14ac:dyDescent="0.2">
      <c r="A13" s="69" t="s">
        <v>6</v>
      </c>
      <c r="B13" s="70">
        <v>42925</v>
      </c>
      <c r="C13" s="69">
        <v>-1</v>
      </c>
      <c r="D13" s="69">
        <v>0</v>
      </c>
      <c r="E13" s="69">
        <v>0</v>
      </c>
      <c r="F13" s="69">
        <v>0</v>
      </c>
      <c r="G13" s="69" t="s">
        <v>29</v>
      </c>
      <c r="H13" s="69" t="str">
        <f>IFERROR(VLOOKUP(Data!$G13,canon!$I$2:$K$27,2,FALSE),"")</f>
        <v>SHOES</v>
      </c>
      <c r="I13" s="69" t="str">
        <f>IFERROR(VLOOKUP(Data!$G13,canon!$I$2:$K$27,3,FALSE),"")</f>
        <v>N.APPAREL</v>
      </c>
      <c r="J13" s="69">
        <f t="shared" si="0"/>
        <v>1</v>
      </c>
      <c r="K13" s="69">
        <f t="shared" si="1"/>
        <v>1</v>
      </c>
      <c r="L13" s="69">
        <f>VLOOKUP(Table_db1_backend_Daily.accdb[[#This Row],[TradingDate]],canon!B:E,4,0)</f>
        <v>28</v>
      </c>
    </row>
    <row r="14" spans="1:12" x14ac:dyDescent="0.2">
      <c r="A14" s="69" t="s">
        <v>6</v>
      </c>
      <c r="B14" s="70">
        <v>42925</v>
      </c>
      <c r="C14" s="69">
        <v>3399</v>
      </c>
      <c r="D14" s="69">
        <v>0</v>
      </c>
      <c r="E14" s="69">
        <v>0</v>
      </c>
      <c r="F14" s="69">
        <v>0</v>
      </c>
      <c r="G14" s="69" t="s">
        <v>17</v>
      </c>
      <c r="H14" s="69" t="str">
        <f>IFERROR(VLOOKUP(Data!$G14,canon!$I$2:$K$27,2,FALSE),"")</f>
        <v>OUTER</v>
      </c>
      <c r="I14" s="69" t="str">
        <f>IFERROR(VLOOKUP(Data!$G14,canon!$I$2:$K$27,3,FALSE),"")</f>
        <v>APPAREL</v>
      </c>
      <c r="J14" s="69">
        <f t="shared" si="0"/>
        <v>1</v>
      </c>
      <c r="K14" s="69">
        <f t="shared" si="1"/>
        <v>1</v>
      </c>
      <c r="L14" s="69">
        <f>VLOOKUP(Table_db1_backend_Daily.accdb[[#This Row],[TradingDate]],canon!B:E,4,0)</f>
        <v>28</v>
      </c>
    </row>
    <row r="15" spans="1:12" x14ac:dyDescent="0.2">
      <c r="A15" s="69" t="s">
        <v>6</v>
      </c>
      <c r="B15" s="70">
        <v>42925</v>
      </c>
      <c r="C15" s="69">
        <v>1244</v>
      </c>
      <c r="D15" s="69">
        <v>0</v>
      </c>
      <c r="E15" s="69">
        <v>0</v>
      </c>
      <c r="F15" s="69">
        <v>0</v>
      </c>
      <c r="G15" s="69" t="s">
        <v>19</v>
      </c>
      <c r="H15" s="69" t="str">
        <f>IFERROR(VLOOKUP(Data!$G15,canon!$I$2:$K$27,2,FALSE),"")</f>
        <v>PANT</v>
      </c>
      <c r="I15" s="69" t="str">
        <f>IFERROR(VLOOKUP(Data!$G15,canon!$I$2:$K$27,3,FALSE),"")</f>
        <v>APPAREL</v>
      </c>
      <c r="J15" s="69">
        <f t="shared" si="0"/>
        <v>1</v>
      </c>
      <c r="K15" s="69">
        <f t="shared" si="1"/>
        <v>1</v>
      </c>
      <c r="L15" s="69">
        <f>VLOOKUP(Table_db1_backend_Daily.accdb[[#This Row],[TradingDate]],canon!B:E,4,0)</f>
        <v>28</v>
      </c>
    </row>
    <row r="16" spans="1:12" x14ac:dyDescent="0.2">
      <c r="A16" s="69" t="s">
        <v>6</v>
      </c>
      <c r="B16" s="70">
        <v>42925</v>
      </c>
      <c r="C16" s="69">
        <v>49</v>
      </c>
      <c r="D16" s="69">
        <v>0</v>
      </c>
      <c r="E16" s="69">
        <v>0</v>
      </c>
      <c r="F16" s="69">
        <v>0</v>
      </c>
      <c r="G16" s="69" t="s">
        <v>21</v>
      </c>
      <c r="H16" s="69" t="str">
        <f>IFERROR(VLOOKUP(Data!$G16,canon!$I$2:$K$27,2,FALSE),"")</f>
        <v>ACCESSORY</v>
      </c>
      <c r="I16" s="69" t="str">
        <f>IFERROR(VLOOKUP(Data!$G16,canon!$I$2:$K$27,3,FALSE),"")</f>
        <v>N.APPAREL</v>
      </c>
      <c r="J16" s="69">
        <f t="shared" si="0"/>
        <v>1</v>
      </c>
      <c r="K16" s="69">
        <f t="shared" si="1"/>
        <v>1</v>
      </c>
      <c r="L16" s="69">
        <f>VLOOKUP(Table_db1_backend_Daily.accdb[[#This Row],[TradingDate]],canon!B:E,4,0)</f>
        <v>28</v>
      </c>
    </row>
    <row r="17" spans="1:12" x14ac:dyDescent="0.2">
      <c r="A17" s="69" t="s">
        <v>6</v>
      </c>
      <c r="B17" s="70">
        <v>42925</v>
      </c>
      <c r="C17" s="69">
        <v>4401</v>
      </c>
      <c r="D17" s="69">
        <v>0</v>
      </c>
      <c r="E17" s="69">
        <v>0</v>
      </c>
      <c r="F17" s="69">
        <v>0</v>
      </c>
      <c r="G17" s="69" t="s">
        <v>22</v>
      </c>
      <c r="H17" s="69" t="str">
        <f>IFERROR(VLOOKUP(Data!$G17,canon!$I$2:$K$27,2,FALSE),"")</f>
        <v>SCARF</v>
      </c>
      <c r="I17" s="69" t="str">
        <f>IFERROR(VLOOKUP(Data!$G17,canon!$I$2:$K$27,3,FALSE),"")</f>
        <v>N.APPAREL</v>
      </c>
      <c r="J17" s="69">
        <f t="shared" si="0"/>
        <v>1</v>
      </c>
      <c r="K17" s="69">
        <f t="shared" si="1"/>
        <v>1</v>
      </c>
      <c r="L17" s="69">
        <f>VLOOKUP(Table_db1_backend_Daily.accdb[[#This Row],[TradingDate]],canon!B:E,4,0)</f>
        <v>28</v>
      </c>
    </row>
    <row r="18" spans="1:12" x14ac:dyDescent="0.2">
      <c r="A18" s="69" t="s">
        <v>6</v>
      </c>
      <c r="B18" s="70">
        <v>42925</v>
      </c>
      <c r="C18" s="69">
        <v>1675</v>
      </c>
      <c r="D18" s="69">
        <v>0</v>
      </c>
      <c r="E18" s="69">
        <v>0</v>
      </c>
      <c r="F18" s="69">
        <v>0</v>
      </c>
      <c r="G18" s="69" t="s">
        <v>23</v>
      </c>
      <c r="H18" s="69" t="str">
        <f>IFERROR(VLOOKUP(Data!$G18,canon!$I$2:$K$27,2,FALSE),"")</f>
        <v>SH&amp;BL</v>
      </c>
      <c r="I18" s="69" t="str">
        <f>IFERROR(VLOOKUP(Data!$G18,canon!$I$2:$K$27,3,FALSE),"")</f>
        <v>APPAREL</v>
      </c>
      <c r="J18" s="69">
        <f t="shared" si="0"/>
        <v>1</v>
      </c>
      <c r="K18" s="69">
        <f t="shared" si="1"/>
        <v>1</v>
      </c>
      <c r="L18" s="69">
        <f>VLOOKUP(Table_db1_backend_Daily.accdb[[#This Row],[TradingDate]],canon!B:E,4,0)</f>
        <v>28</v>
      </c>
    </row>
    <row r="19" spans="1:12" x14ac:dyDescent="0.2">
      <c r="A19" s="69" t="s">
        <v>6</v>
      </c>
      <c r="B19" s="70">
        <v>42925</v>
      </c>
      <c r="C19" s="69">
        <v>2051</v>
      </c>
      <c r="D19" s="69">
        <v>0</v>
      </c>
      <c r="E19" s="69">
        <v>0</v>
      </c>
      <c r="F19" s="69">
        <v>0</v>
      </c>
      <c r="G19" s="69" t="s">
        <v>32</v>
      </c>
      <c r="H19" s="69" t="str">
        <f>IFERROR(VLOOKUP(Data!$G19,canon!$I$2:$K$27,2,FALSE),"")</f>
        <v>SKIRT</v>
      </c>
      <c r="I19" s="69" t="str">
        <f>IFERROR(VLOOKUP(Data!$G19,canon!$I$2:$K$27,3,FALSE),"")</f>
        <v>APPAREL</v>
      </c>
      <c r="J19" s="69">
        <f t="shared" si="0"/>
        <v>1</v>
      </c>
      <c r="K19" s="69">
        <f t="shared" si="1"/>
        <v>1</v>
      </c>
      <c r="L19" s="69">
        <f>VLOOKUP(Table_db1_backend_Daily.accdb[[#This Row],[TradingDate]],canon!B:E,4,0)</f>
        <v>28</v>
      </c>
    </row>
    <row r="20" spans="1:12" x14ac:dyDescent="0.2">
      <c r="A20" s="69" t="s">
        <v>6</v>
      </c>
      <c r="B20" s="70">
        <v>42925</v>
      </c>
      <c r="C20" s="69">
        <v>11334</v>
      </c>
      <c r="D20" s="69">
        <v>0</v>
      </c>
      <c r="E20" s="69">
        <v>0</v>
      </c>
      <c r="F20" s="69">
        <v>0</v>
      </c>
      <c r="G20" s="69" t="s">
        <v>25</v>
      </c>
      <c r="H20" s="69" t="str">
        <f>IFERROR(VLOOKUP(Data!$G20,canon!$I$2:$K$27,2,FALSE),"")</f>
        <v>TOP</v>
      </c>
      <c r="I20" s="69" t="str">
        <f>IFERROR(VLOOKUP(Data!$G20,canon!$I$2:$K$27,3,FALSE),"")</f>
        <v>APPAREL</v>
      </c>
      <c r="J20" s="69">
        <f t="shared" si="0"/>
        <v>1</v>
      </c>
      <c r="K20" s="69">
        <f t="shared" si="1"/>
        <v>1</v>
      </c>
      <c r="L20" s="69">
        <f>VLOOKUP(Table_db1_backend_Daily.accdb[[#This Row],[TradingDate]],canon!B:E,4,0)</f>
        <v>28</v>
      </c>
    </row>
    <row r="21" spans="1:12" x14ac:dyDescent="0.2">
      <c r="A21" s="69" t="s">
        <v>6</v>
      </c>
      <c r="B21" s="70">
        <v>42926</v>
      </c>
      <c r="C21" s="69">
        <v>0</v>
      </c>
      <c r="D21" s="69">
        <v>0</v>
      </c>
      <c r="E21" s="69">
        <v>0</v>
      </c>
      <c r="F21" s="69">
        <v>0</v>
      </c>
      <c r="G21" s="69" t="s">
        <v>27</v>
      </c>
      <c r="H21" s="69" t="str">
        <f>IFERROR(VLOOKUP(Data!$G21,canon!$I$2:$K$27,2,FALSE),"")</f>
        <v>ACCESSORY</v>
      </c>
      <c r="I21" s="69" t="str">
        <f>IFERROR(VLOOKUP(Data!$G21,canon!$I$2:$K$27,3,FALSE),"")</f>
        <v>N.APPAREL</v>
      </c>
      <c r="J21" s="69">
        <f t="shared" si="0"/>
        <v>2</v>
      </c>
      <c r="K21" s="69">
        <f t="shared" si="1"/>
        <v>1</v>
      </c>
      <c r="L21" s="69">
        <f>VLOOKUP(Table_db1_backend_Daily.accdb[[#This Row],[TradingDate]],canon!B:E,4,0)</f>
        <v>28</v>
      </c>
    </row>
    <row r="22" spans="1:12" x14ac:dyDescent="0.2">
      <c r="A22" s="69" t="s">
        <v>6</v>
      </c>
      <c r="B22" s="70">
        <v>42926</v>
      </c>
      <c r="C22" s="69">
        <v>0</v>
      </c>
      <c r="D22" s="69">
        <v>0</v>
      </c>
      <c r="E22" s="69">
        <v>0</v>
      </c>
      <c r="F22" s="69">
        <v>0</v>
      </c>
      <c r="G22" s="69" t="s">
        <v>7</v>
      </c>
      <c r="H22" s="69" t="str">
        <f>IFERROR(VLOOKUP(Data!$G22,canon!$I$2:$K$27,2,FALSE),"")</f>
        <v>ACCESSORY</v>
      </c>
      <c r="I22" s="69" t="str">
        <f>IFERROR(VLOOKUP(Data!$G22,canon!$I$2:$K$27,3,FALSE),"")</f>
        <v>N.APPAREL</v>
      </c>
      <c r="J22" s="69">
        <f t="shared" si="0"/>
        <v>2</v>
      </c>
      <c r="K22" s="69">
        <f t="shared" si="1"/>
        <v>1</v>
      </c>
      <c r="L22" s="69">
        <f>VLOOKUP(Table_db1_backend_Daily.accdb[[#This Row],[TradingDate]],canon!B:E,4,0)</f>
        <v>28</v>
      </c>
    </row>
    <row r="23" spans="1:12" x14ac:dyDescent="0.2">
      <c r="A23" s="69" t="s">
        <v>6</v>
      </c>
      <c r="B23" s="70">
        <v>42926</v>
      </c>
      <c r="C23" s="69">
        <v>-6</v>
      </c>
      <c r="D23" s="69">
        <v>0</v>
      </c>
      <c r="E23" s="69">
        <v>0</v>
      </c>
      <c r="F23" s="69">
        <v>0</v>
      </c>
      <c r="G23" s="69" t="s">
        <v>34</v>
      </c>
      <c r="H23" s="69" t="str">
        <f>IFERROR(VLOOKUP(Data!$G23,canon!$I$2:$K$27,2,FALSE),"")</f>
        <v>SHOES</v>
      </c>
      <c r="I23" s="69" t="str">
        <f>IFERROR(VLOOKUP(Data!$G23,canon!$I$2:$K$27,3,FALSE),"")</f>
        <v>N.APPAREL</v>
      </c>
      <c r="J23" s="69">
        <f t="shared" si="0"/>
        <v>2</v>
      </c>
      <c r="K23" s="69">
        <f t="shared" si="1"/>
        <v>1</v>
      </c>
      <c r="L23" s="69">
        <f>VLOOKUP(Table_db1_backend_Daily.accdb[[#This Row],[TradingDate]],canon!B:E,4,0)</f>
        <v>28</v>
      </c>
    </row>
    <row r="24" spans="1:12" x14ac:dyDescent="0.2">
      <c r="A24" s="69" t="s">
        <v>6</v>
      </c>
      <c r="B24" s="70">
        <v>42926</v>
      </c>
      <c r="C24" s="69">
        <v>6</v>
      </c>
      <c r="D24" s="69">
        <v>0</v>
      </c>
      <c r="E24" s="69">
        <v>0</v>
      </c>
      <c r="F24" s="69">
        <v>0</v>
      </c>
      <c r="G24" s="69" t="s">
        <v>38</v>
      </c>
      <c r="H24" s="69" t="str">
        <f>IFERROR(VLOOKUP(Data!$G24,canon!$I$2:$K$27,2,FALSE),"")</f>
        <v>SHOES</v>
      </c>
      <c r="I24" s="69" t="str">
        <f>IFERROR(VLOOKUP(Data!$G24,canon!$I$2:$K$27,3,FALSE),"")</f>
        <v>N.APPAREL</v>
      </c>
      <c r="J24" s="69">
        <f t="shared" si="0"/>
        <v>2</v>
      </c>
      <c r="K24" s="69">
        <f t="shared" si="1"/>
        <v>1</v>
      </c>
      <c r="L24" s="69">
        <f>VLOOKUP(Table_db1_backend_Daily.accdb[[#This Row],[TradingDate]],canon!B:E,4,0)</f>
        <v>28</v>
      </c>
    </row>
    <row r="25" spans="1:12" x14ac:dyDescent="0.2">
      <c r="A25" s="69" t="s">
        <v>6</v>
      </c>
      <c r="B25" s="70">
        <v>42926</v>
      </c>
      <c r="C25" s="69">
        <v>4134</v>
      </c>
      <c r="D25" s="69">
        <v>0</v>
      </c>
      <c r="E25" s="69">
        <v>0</v>
      </c>
      <c r="F25" s="69">
        <v>0</v>
      </c>
      <c r="G25" s="69" t="s">
        <v>35</v>
      </c>
      <c r="H25" s="69" t="str">
        <f>IFERROR(VLOOKUP(Data!$G25,canon!$I$2:$K$27,2,FALSE),"")</f>
        <v>DRESS</v>
      </c>
      <c r="I25" s="69" t="str">
        <f>IFERROR(VLOOKUP(Data!$G25,canon!$I$2:$K$27,3,FALSE),"")</f>
        <v>APPAREL</v>
      </c>
      <c r="J25" s="69">
        <f t="shared" si="0"/>
        <v>2</v>
      </c>
      <c r="K25" s="69">
        <f t="shared" si="1"/>
        <v>1</v>
      </c>
      <c r="L25" s="69">
        <f>VLOOKUP(Table_db1_backend_Daily.accdb[[#This Row],[TradingDate]],canon!B:E,4,0)</f>
        <v>28</v>
      </c>
    </row>
    <row r="26" spans="1:12" x14ac:dyDescent="0.2">
      <c r="A26" s="69" t="s">
        <v>6</v>
      </c>
      <c r="B26" s="70">
        <v>42926</v>
      </c>
      <c r="C26" s="69">
        <v>1</v>
      </c>
      <c r="D26" s="69">
        <v>0</v>
      </c>
      <c r="E26" s="69">
        <v>0</v>
      </c>
      <c r="F26" s="69">
        <v>0</v>
      </c>
      <c r="G26" s="69" t="s">
        <v>10</v>
      </c>
      <c r="H26" s="69" t="str">
        <f>IFERROR(VLOOKUP(Data!$G26,canon!$I$2:$K$27,2,FALSE),"")</f>
        <v>ACCESSORY</v>
      </c>
      <c r="I26" s="69" t="str">
        <f>IFERROR(VLOOKUP(Data!$G26,canon!$I$2:$K$27,3,FALSE),"")</f>
        <v>N.APPAREL</v>
      </c>
      <c r="J26" s="69">
        <f t="shared" si="0"/>
        <v>2</v>
      </c>
      <c r="K26" s="69">
        <f t="shared" si="1"/>
        <v>1</v>
      </c>
      <c r="L26" s="69">
        <f>VLOOKUP(Table_db1_backend_Daily.accdb[[#This Row],[TradingDate]],canon!B:E,4,0)</f>
        <v>28</v>
      </c>
    </row>
    <row r="27" spans="1:12" x14ac:dyDescent="0.2">
      <c r="A27" s="69" t="s">
        <v>6</v>
      </c>
      <c r="B27" s="70">
        <v>42926</v>
      </c>
      <c r="C27" s="69">
        <v>215</v>
      </c>
      <c r="D27" s="69">
        <v>0</v>
      </c>
      <c r="E27" s="69">
        <v>0</v>
      </c>
      <c r="F27" s="69">
        <v>0</v>
      </c>
      <c r="G27" s="69" t="s">
        <v>28</v>
      </c>
      <c r="H27" s="69" t="str">
        <f>IFERROR(VLOOKUP(Data!$G27,canon!$I$2:$K$27,2,FALSE),"")</f>
        <v>ACCESSORY</v>
      </c>
      <c r="I27" s="69" t="str">
        <f>IFERROR(VLOOKUP(Data!$G27,canon!$I$2:$K$27,3,FALSE),"")</f>
        <v>N.APPAREL</v>
      </c>
      <c r="J27" s="69">
        <f t="shared" si="0"/>
        <v>2</v>
      </c>
      <c r="K27" s="69">
        <f t="shared" si="1"/>
        <v>1</v>
      </c>
      <c r="L27" s="69">
        <f>VLOOKUP(Table_db1_backend_Daily.accdb[[#This Row],[TradingDate]],canon!B:E,4,0)</f>
        <v>28</v>
      </c>
    </row>
    <row r="28" spans="1:12" x14ac:dyDescent="0.2">
      <c r="A28" s="69" t="s">
        <v>6</v>
      </c>
      <c r="B28" s="70">
        <v>42926</v>
      </c>
      <c r="C28" s="69">
        <v>13595</v>
      </c>
      <c r="D28" s="69">
        <v>0</v>
      </c>
      <c r="E28" s="69">
        <v>0</v>
      </c>
      <c r="F28" s="69">
        <v>0</v>
      </c>
      <c r="G28" s="69" t="s">
        <v>11</v>
      </c>
      <c r="H28" s="69" t="str">
        <f>IFERROR(VLOOKUP(Data!$G28,canon!$I$2:$K$27,2,FALSE),"")</f>
        <v>KNIT</v>
      </c>
      <c r="I28" s="69" t="str">
        <f>IFERROR(VLOOKUP(Data!$G28,canon!$I$2:$K$27,3,FALSE),"")</f>
        <v>APPAREL</v>
      </c>
      <c r="J28" s="69">
        <f t="shared" si="0"/>
        <v>2</v>
      </c>
      <c r="K28" s="69">
        <f t="shared" si="1"/>
        <v>1</v>
      </c>
      <c r="L28" s="69">
        <f>VLOOKUP(Table_db1_backend_Daily.accdb[[#This Row],[TradingDate]],canon!B:E,4,0)</f>
        <v>28</v>
      </c>
    </row>
    <row r="29" spans="1:12" x14ac:dyDescent="0.2">
      <c r="A29" s="69" t="s">
        <v>6</v>
      </c>
      <c r="B29" s="70">
        <v>42926</v>
      </c>
      <c r="C29" s="69">
        <v>4871</v>
      </c>
      <c r="D29" s="69">
        <v>0</v>
      </c>
      <c r="E29" s="69">
        <v>0</v>
      </c>
      <c r="F29" s="69">
        <v>0</v>
      </c>
      <c r="G29" s="69" t="s">
        <v>14</v>
      </c>
      <c r="H29" s="69" t="str">
        <f>IFERROR(VLOOKUP(Data!$G29,canon!$I$2:$K$27,2,FALSE),"")</f>
        <v>LEGGING</v>
      </c>
      <c r="I29" s="69" t="str">
        <f>IFERROR(VLOOKUP(Data!$G29,canon!$I$2:$K$27,3,FALSE),"")</f>
        <v>APPAREL</v>
      </c>
      <c r="J29" s="69">
        <f t="shared" si="0"/>
        <v>2</v>
      </c>
      <c r="K29" s="69">
        <f t="shared" si="1"/>
        <v>1</v>
      </c>
      <c r="L29" s="69">
        <f>VLOOKUP(Table_db1_backend_Daily.accdb[[#This Row],[TradingDate]],canon!B:E,4,0)</f>
        <v>28</v>
      </c>
    </row>
    <row r="30" spans="1:12" x14ac:dyDescent="0.2">
      <c r="A30" s="69" t="s">
        <v>6</v>
      </c>
      <c r="B30" s="70">
        <v>42926</v>
      </c>
      <c r="C30" s="69">
        <v>0</v>
      </c>
      <c r="D30" s="69">
        <v>0</v>
      </c>
      <c r="E30" s="69">
        <v>0</v>
      </c>
      <c r="F30" s="69">
        <v>0</v>
      </c>
      <c r="G30" s="69" t="s">
        <v>16</v>
      </c>
      <c r="H30" s="69" t="str">
        <f>IFERROR(VLOOKUP(Data!$G30,canon!$I$2:$K$27,2,FALSE),"")</f>
        <v>ACCESSORY</v>
      </c>
      <c r="I30" s="69" t="str">
        <f>IFERROR(VLOOKUP(Data!$G30,canon!$I$2:$K$27,3,FALSE),"")</f>
        <v>N.APPAREL</v>
      </c>
      <c r="J30" s="69">
        <f t="shared" si="0"/>
        <v>2</v>
      </c>
      <c r="K30" s="69">
        <f t="shared" si="1"/>
        <v>1</v>
      </c>
      <c r="L30" s="69">
        <f>VLOOKUP(Table_db1_backend_Daily.accdb[[#This Row],[TradingDate]],canon!B:E,4,0)</f>
        <v>28</v>
      </c>
    </row>
    <row r="31" spans="1:12" x14ac:dyDescent="0.2">
      <c r="A31" s="69" t="s">
        <v>6</v>
      </c>
      <c r="B31" s="70">
        <v>42926</v>
      </c>
      <c r="C31" s="69">
        <v>13</v>
      </c>
      <c r="D31" s="69">
        <v>0</v>
      </c>
      <c r="E31" s="69">
        <v>0</v>
      </c>
      <c r="F31" s="69">
        <v>0</v>
      </c>
      <c r="G31" s="69" t="s">
        <v>37</v>
      </c>
      <c r="H31" s="69" t="str">
        <f>IFERROR(VLOOKUP(Data!$G31,canon!$I$2:$K$27,2,FALSE),"")</f>
        <v>SHOES</v>
      </c>
      <c r="I31" s="69" t="str">
        <f>IFERROR(VLOOKUP(Data!$G31,canon!$I$2:$K$27,3,FALSE),"")</f>
        <v>N.APPAREL</v>
      </c>
      <c r="J31" s="69">
        <f t="shared" si="0"/>
        <v>2</v>
      </c>
      <c r="K31" s="69">
        <f t="shared" si="1"/>
        <v>1</v>
      </c>
      <c r="L31" s="69">
        <f>VLOOKUP(Table_db1_backend_Daily.accdb[[#This Row],[TradingDate]],canon!B:E,4,0)</f>
        <v>28</v>
      </c>
    </row>
    <row r="32" spans="1:12" x14ac:dyDescent="0.2">
      <c r="A32" s="69" t="s">
        <v>6</v>
      </c>
      <c r="B32" s="70">
        <v>42926</v>
      </c>
      <c r="C32" s="69">
        <v>-1</v>
      </c>
      <c r="D32" s="69">
        <v>0</v>
      </c>
      <c r="E32" s="69">
        <v>0</v>
      </c>
      <c r="F32" s="69">
        <v>0</v>
      </c>
      <c r="G32" s="69" t="s">
        <v>29</v>
      </c>
      <c r="H32" s="69" t="str">
        <f>IFERROR(VLOOKUP(Data!$G32,canon!$I$2:$K$27,2,FALSE),"")</f>
        <v>SHOES</v>
      </c>
      <c r="I32" s="69" t="str">
        <f>IFERROR(VLOOKUP(Data!$G32,canon!$I$2:$K$27,3,FALSE),"")</f>
        <v>N.APPAREL</v>
      </c>
      <c r="J32" s="69">
        <f t="shared" si="0"/>
        <v>2</v>
      </c>
      <c r="K32" s="69">
        <f t="shared" si="1"/>
        <v>1</v>
      </c>
      <c r="L32" s="69">
        <f>VLOOKUP(Table_db1_backend_Daily.accdb[[#This Row],[TradingDate]],canon!B:E,4,0)</f>
        <v>28</v>
      </c>
    </row>
    <row r="33" spans="1:12" x14ac:dyDescent="0.2">
      <c r="A33" s="69" t="s">
        <v>6</v>
      </c>
      <c r="B33" s="70">
        <v>42926</v>
      </c>
      <c r="C33" s="69">
        <v>3399</v>
      </c>
      <c r="D33" s="69">
        <v>0</v>
      </c>
      <c r="E33" s="69">
        <v>0</v>
      </c>
      <c r="F33" s="69">
        <v>0</v>
      </c>
      <c r="G33" s="69" t="s">
        <v>17</v>
      </c>
      <c r="H33" s="69" t="str">
        <f>IFERROR(VLOOKUP(Data!$G33,canon!$I$2:$K$27,2,FALSE),"")</f>
        <v>OUTER</v>
      </c>
      <c r="I33" s="69" t="str">
        <f>IFERROR(VLOOKUP(Data!$G33,canon!$I$2:$K$27,3,FALSE),"")</f>
        <v>APPAREL</v>
      </c>
      <c r="J33" s="69">
        <f t="shared" si="0"/>
        <v>2</v>
      </c>
      <c r="K33" s="69">
        <f t="shared" si="1"/>
        <v>1</v>
      </c>
      <c r="L33" s="69">
        <f>VLOOKUP(Table_db1_backend_Daily.accdb[[#This Row],[TradingDate]],canon!B:E,4,0)</f>
        <v>28</v>
      </c>
    </row>
    <row r="34" spans="1:12" x14ac:dyDescent="0.2">
      <c r="A34" s="69" t="s">
        <v>6</v>
      </c>
      <c r="B34" s="70">
        <v>42926</v>
      </c>
      <c r="C34" s="69">
        <v>1244</v>
      </c>
      <c r="D34" s="69">
        <v>0</v>
      </c>
      <c r="E34" s="69">
        <v>0</v>
      </c>
      <c r="F34" s="69">
        <v>0</v>
      </c>
      <c r="G34" s="69" t="s">
        <v>19</v>
      </c>
      <c r="H34" s="69" t="str">
        <f>IFERROR(VLOOKUP(Data!$G34,canon!$I$2:$K$27,2,FALSE),"")</f>
        <v>PANT</v>
      </c>
      <c r="I34" s="69" t="str">
        <f>IFERROR(VLOOKUP(Data!$G34,canon!$I$2:$K$27,3,FALSE),"")</f>
        <v>APPAREL</v>
      </c>
      <c r="J34" s="69">
        <f t="shared" si="0"/>
        <v>2</v>
      </c>
      <c r="K34" s="69">
        <f t="shared" si="1"/>
        <v>1</v>
      </c>
      <c r="L34" s="69">
        <f>VLOOKUP(Table_db1_backend_Daily.accdb[[#This Row],[TradingDate]],canon!B:E,4,0)</f>
        <v>28</v>
      </c>
    </row>
    <row r="35" spans="1:12" x14ac:dyDescent="0.2">
      <c r="A35" s="69" t="s">
        <v>6</v>
      </c>
      <c r="B35" s="70">
        <v>42926</v>
      </c>
      <c r="C35" s="69">
        <v>49</v>
      </c>
      <c r="D35" s="69">
        <v>0</v>
      </c>
      <c r="E35" s="69">
        <v>0</v>
      </c>
      <c r="F35" s="69">
        <v>0</v>
      </c>
      <c r="G35" s="69" t="s">
        <v>21</v>
      </c>
      <c r="H35" s="69" t="str">
        <f>IFERROR(VLOOKUP(Data!$G35,canon!$I$2:$K$27,2,FALSE),"")</f>
        <v>ACCESSORY</v>
      </c>
      <c r="I35" s="69" t="str">
        <f>IFERROR(VLOOKUP(Data!$G35,canon!$I$2:$K$27,3,FALSE),"")</f>
        <v>N.APPAREL</v>
      </c>
      <c r="J35" s="69">
        <f t="shared" si="0"/>
        <v>2</v>
      </c>
      <c r="K35" s="69">
        <f t="shared" si="1"/>
        <v>1</v>
      </c>
      <c r="L35" s="69">
        <f>VLOOKUP(Table_db1_backend_Daily.accdb[[#This Row],[TradingDate]],canon!B:E,4,0)</f>
        <v>28</v>
      </c>
    </row>
    <row r="36" spans="1:12" x14ac:dyDescent="0.2">
      <c r="A36" s="69" t="s">
        <v>6</v>
      </c>
      <c r="B36" s="70">
        <v>42926</v>
      </c>
      <c r="C36" s="69">
        <v>4401</v>
      </c>
      <c r="D36" s="69">
        <v>0</v>
      </c>
      <c r="E36" s="69">
        <v>0</v>
      </c>
      <c r="F36" s="69">
        <v>0</v>
      </c>
      <c r="G36" s="69" t="s">
        <v>22</v>
      </c>
      <c r="H36" s="69" t="str">
        <f>IFERROR(VLOOKUP(Data!$G36,canon!$I$2:$K$27,2,FALSE),"")</f>
        <v>SCARF</v>
      </c>
      <c r="I36" s="69" t="str">
        <f>IFERROR(VLOOKUP(Data!$G36,canon!$I$2:$K$27,3,FALSE),"")</f>
        <v>N.APPAREL</v>
      </c>
      <c r="J36" s="69">
        <f t="shared" si="0"/>
        <v>2</v>
      </c>
      <c r="K36" s="69">
        <f t="shared" si="1"/>
        <v>1</v>
      </c>
      <c r="L36" s="69">
        <f>VLOOKUP(Table_db1_backend_Daily.accdb[[#This Row],[TradingDate]],canon!B:E,4,0)</f>
        <v>28</v>
      </c>
    </row>
    <row r="37" spans="1:12" x14ac:dyDescent="0.2">
      <c r="A37" s="69" t="s">
        <v>6</v>
      </c>
      <c r="B37" s="70">
        <v>42926</v>
      </c>
      <c r="C37" s="69">
        <v>1675</v>
      </c>
      <c r="D37" s="69">
        <v>0</v>
      </c>
      <c r="E37" s="69">
        <v>0</v>
      </c>
      <c r="F37" s="69">
        <v>0</v>
      </c>
      <c r="G37" s="69" t="s">
        <v>23</v>
      </c>
      <c r="H37" s="69" t="str">
        <f>IFERROR(VLOOKUP(Data!$G37,canon!$I$2:$K$27,2,FALSE),"")</f>
        <v>SH&amp;BL</v>
      </c>
      <c r="I37" s="69" t="str">
        <f>IFERROR(VLOOKUP(Data!$G37,canon!$I$2:$K$27,3,FALSE),"")</f>
        <v>APPAREL</v>
      </c>
      <c r="J37" s="69">
        <f t="shared" si="0"/>
        <v>2</v>
      </c>
      <c r="K37" s="69">
        <f t="shared" si="1"/>
        <v>1</v>
      </c>
      <c r="L37" s="69">
        <f>VLOOKUP(Table_db1_backend_Daily.accdb[[#This Row],[TradingDate]],canon!B:E,4,0)</f>
        <v>28</v>
      </c>
    </row>
    <row r="38" spans="1:12" x14ac:dyDescent="0.2">
      <c r="A38" s="69" t="s">
        <v>6</v>
      </c>
      <c r="B38" s="70">
        <v>42926</v>
      </c>
      <c r="C38" s="69">
        <v>2051</v>
      </c>
      <c r="D38" s="69">
        <v>0</v>
      </c>
      <c r="E38" s="69">
        <v>0</v>
      </c>
      <c r="F38" s="69">
        <v>0</v>
      </c>
      <c r="G38" s="69" t="s">
        <v>32</v>
      </c>
      <c r="H38" s="69" t="str">
        <f>IFERROR(VLOOKUP(Data!$G38,canon!$I$2:$K$27,2,FALSE),"")</f>
        <v>SKIRT</v>
      </c>
      <c r="I38" s="69" t="str">
        <f>IFERROR(VLOOKUP(Data!$G38,canon!$I$2:$K$27,3,FALSE),"")</f>
        <v>APPAREL</v>
      </c>
      <c r="J38" s="69">
        <f t="shared" si="0"/>
        <v>2</v>
      </c>
      <c r="K38" s="69">
        <f t="shared" si="1"/>
        <v>1</v>
      </c>
      <c r="L38" s="69">
        <f>VLOOKUP(Table_db1_backend_Daily.accdb[[#This Row],[TradingDate]],canon!B:E,4,0)</f>
        <v>28</v>
      </c>
    </row>
    <row r="39" spans="1:12" x14ac:dyDescent="0.2">
      <c r="A39" s="69" t="s">
        <v>6</v>
      </c>
      <c r="B39" s="70">
        <v>42926</v>
      </c>
      <c r="C39" s="69">
        <v>11334</v>
      </c>
      <c r="D39" s="69">
        <v>0</v>
      </c>
      <c r="E39" s="69">
        <v>0</v>
      </c>
      <c r="F39" s="69">
        <v>0</v>
      </c>
      <c r="G39" s="69" t="s">
        <v>25</v>
      </c>
      <c r="H39" s="69" t="str">
        <f>IFERROR(VLOOKUP(Data!$G39,canon!$I$2:$K$27,2,FALSE),"")</f>
        <v>TOP</v>
      </c>
      <c r="I39" s="69" t="str">
        <f>IFERROR(VLOOKUP(Data!$G39,canon!$I$2:$K$27,3,FALSE),"")</f>
        <v>APPAREL</v>
      </c>
      <c r="J39" s="69">
        <f t="shared" si="0"/>
        <v>2</v>
      </c>
      <c r="K39" s="69">
        <f t="shared" si="1"/>
        <v>1</v>
      </c>
      <c r="L39" s="69">
        <f>VLOOKUP(Table_db1_backend_Daily.accdb[[#This Row],[TradingDate]],canon!B:E,4,0)</f>
        <v>28</v>
      </c>
    </row>
    <row r="40" spans="1:12" x14ac:dyDescent="0.2">
      <c r="A40" s="69" t="s">
        <v>6</v>
      </c>
      <c r="B40" s="70">
        <v>42927</v>
      </c>
      <c r="C40" s="69">
        <v>0</v>
      </c>
      <c r="D40" s="69">
        <v>0</v>
      </c>
      <c r="E40" s="69">
        <v>0</v>
      </c>
      <c r="F40" s="69">
        <v>0</v>
      </c>
      <c r="G40" s="69" t="s">
        <v>27</v>
      </c>
      <c r="H40" s="69" t="str">
        <f>IFERROR(VLOOKUP(Data!$G40,canon!$I$2:$K$27,2,FALSE),"")</f>
        <v>ACCESSORY</v>
      </c>
      <c r="I40" s="69" t="str">
        <f>IFERROR(VLOOKUP(Data!$G40,canon!$I$2:$K$27,3,FALSE),"")</f>
        <v>N.APPAREL</v>
      </c>
      <c r="J40" s="69">
        <f t="shared" si="0"/>
        <v>3</v>
      </c>
      <c r="K40" s="69">
        <f t="shared" si="1"/>
        <v>1</v>
      </c>
      <c r="L40" s="69">
        <f>VLOOKUP(Table_db1_backend_Daily.accdb[[#This Row],[TradingDate]],canon!B:E,4,0)</f>
        <v>28</v>
      </c>
    </row>
    <row r="41" spans="1:12" x14ac:dyDescent="0.2">
      <c r="A41" s="69" t="s">
        <v>6</v>
      </c>
      <c r="B41" s="70">
        <v>42927</v>
      </c>
      <c r="C41" s="69">
        <v>0</v>
      </c>
      <c r="D41" s="69">
        <v>0</v>
      </c>
      <c r="E41" s="69">
        <v>0</v>
      </c>
      <c r="F41" s="69">
        <v>0</v>
      </c>
      <c r="G41" s="69" t="s">
        <v>7</v>
      </c>
      <c r="H41" s="69" t="str">
        <f>IFERROR(VLOOKUP(Data!$G41,canon!$I$2:$K$27,2,FALSE),"")</f>
        <v>ACCESSORY</v>
      </c>
      <c r="I41" s="69" t="str">
        <f>IFERROR(VLOOKUP(Data!$G41,canon!$I$2:$K$27,3,FALSE),"")</f>
        <v>N.APPAREL</v>
      </c>
      <c r="J41" s="69">
        <f t="shared" si="0"/>
        <v>3</v>
      </c>
      <c r="K41" s="69">
        <f t="shared" si="1"/>
        <v>1</v>
      </c>
      <c r="L41" s="69">
        <f>VLOOKUP(Table_db1_backend_Daily.accdb[[#This Row],[TradingDate]],canon!B:E,4,0)</f>
        <v>28</v>
      </c>
    </row>
    <row r="42" spans="1:12" x14ac:dyDescent="0.2">
      <c r="A42" s="69" t="s">
        <v>6</v>
      </c>
      <c r="B42" s="70">
        <v>42927</v>
      </c>
      <c r="C42" s="69">
        <v>-6</v>
      </c>
      <c r="D42" s="69">
        <v>0</v>
      </c>
      <c r="E42" s="69">
        <v>0</v>
      </c>
      <c r="F42" s="69">
        <v>0</v>
      </c>
      <c r="G42" s="69" t="s">
        <v>34</v>
      </c>
      <c r="H42" s="69" t="str">
        <f>IFERROR(VLOOKUP(Data!$G42,canon!$I$2:$K$27,2,FALSE),"")</f>
        <v>SHOES</v>
      </c>
      <c r="I42" s="69" t="str">
        <f>IFERROR(VLOOKUP(Data!$G42,canon!$I$2:$K$27,3,FALSE),"")</f>
        <v>N.APPAREL</v>
      </c>
      <c r="J42" s="69">
        <f t="shared" si="0"/>
        <v>3</v>
      </c>
      <c r="K42" s="69">
        <f t="shared" si="1"/>
        <v>1</v>
      </c>
      <c r="L42" s="69">
        <f>VLOOKUP(Table_db1_backend_Daily.accdb[[#This Row],[TradingDate]],canon!B:E,4,0)</f>
        <v>28</v>
      </c>
    </row>
    <row r="43" spans="1:12" x14ac:dyDescent="0.2">
      <c r="A43" s="69" t="s">
        <v>6</v>
      </c>
      <c r="B43" s="70">
        <v>42927</v>
      </c>
      <c r="C43" s="69">
        <v>6</v>
      </c>
      <c r="D43" s="69">
        <v>0</v>
      </c>
      <c r="E43" s="69">
        <v>0</v>
      </c>
      <c r="F43" s="69">
        <v>0</v>
      </c>
      <c r="G43" s="69" t="s">
        <v>38</v>
      </c>
      <c r="H43" s="69" t="str">
        <f>IFERROR(VLOOKUP(Data!$G43,canon!$I$2:$K$27,2,FALSE),"")</f>
        <v>SHOES</v>
      </c>
      <c r="I43" s="69" t="str">
        <f>IFERROR(VLOOKUP(Data!$G43,canon!$I$2:$K$27,3,FALSE),"")</f>
        <v>N.APPAREL</v>
      </c>
      <c r="J43" s="69">
        <f t="shared" si="0"/>
        <v>3</v>
      </c>
      <c r="K43" s="69">
        <f t="shared" si="1"/>
        <v>1</v>
      </c>
      <c r="L43" s="69">
        <f>VLOOKUP(Table_db1_backend_Daily.accdb[[#This Row],[TradingDate]],canon!B:E,4,0)</f>
        <v>28</v>
      </c>
    </row>
    <row r="44" spans="1:12" x14ac:dyDescent="0.2">
      <c r="A44" s="69" t="s">
        <v>6</v>
      </c>
      <c r="B44" s="70">
        <v>42927</v>
      </c>
      <c r="C44" s="69">
        <v>4134</v>
      </c>
      <c r="D44" s="69">
        <v>0</v>
      </c>
      <c r="E44" s="69">
        <v>0</v>
      </c>
      <c r="F44" s="69">
        <v>0</v>
      </c>
      <c r="G44" s="69" t="s">
        <v>35</v>
      </c>
      <c r="H44" s="69" t="str">
        <f>IFERROR(VLOOKUP(Data!$G44,canon!$I$2:$K$27,2,FALSE),"")</f>
        <v>DRESS</v>
      </c>
      <c r="I44" s="69" t="str">
        <f>IFERROR(VLOOKUP(Data!$G44,canon!$I$2:$K$27,3,FALSE),"")</f>
        <v>APPAREL</v>
      </c>
      <c r="J44" s="69">
        <f t="shared" si="0"/>
        <v>3</v>
      </c>
      <c r="K44" s="69">
        <f t="shared" si="1"/>
        <v>1</v>
      </c>
      <c r="L44" s="69">
        <f>VLOOKUP(Table_db1_backend_Daily.accdb[[#This Row],[TradingDate]],canon!B:E,4,0)</f>
        <v>28</v>
      </c>
    </row>
    <row r="45" spans="1:12" x14ac:dyDescent="0.2">
      <c r="A45" s="69" t="s">
        <v>6</v>
      </c>
      <c r="B45" s="70">
        <v>42927</v>
      </c>
      <c r="C45" s="69">
        <v>1</v>
      </c>
      <c r="D45" s="69">
        <v>0</v>
      </c>
      <c r="E45" s="69">
        <v>0</v>
      </c>
      <c r="F45" s="69">
        <v>0</v>
      </c>
      <c r="G45" s="69" t="s">
        <v>10</v>
      </c>
      <c r="H45" s="69" t="str">
        <f>IFERROR(VLOOKUP(Data!$G45,canon!$I$2:$K$27,2,FALSE),"")</f>
        <v>ACCESSORY</v>
      </c>
      <c r="I45" s="69" t="str">
        <f>IFERROR(VLOOKUP(Data!$G45,canon!$I$2:$K$27,3,FALSE),"")</f>
        <v>N.APPAREL</v>
      </c>
      <c r="J45" s="69">
        <f t="shared" si="0"/>
        <v>3</v>
      </c>
      <c r="K45" s="69">
        <f t="shared" si="1"/>
        <v>1</v>
      </c>
      <c r="L45" s="69">
        <f>VLOOKUP(Table_db1_backend_Daily.accdb[[#This Row],[TradingDate]],canon!B:E,4,0)</f>
        <v>28</v>
      </c>
    </row>
    <row r="46" spans="1:12" x14ac:dyDescent="0.2">
      <c r="A46" s="69" t="s">
        <v>6</v>
      </c>
      <c r="B46" s="70">
        <v>42927</v>
      </c>
      <c r="C46" s="69">
        <v>215</v>
      </c>
      <c r="D46" s="69">
        <v>0</v>
      </c>
      <c r="E46" s="69">
        <v>0</v>
      </c>
      <c r="F46" s="69">
        <v>0</v>
      </c>
      <c r="G46" s="69" t="s">
        <v>28</v>
      </c>
      <c r="H46" s="69" t="str">
        <f>IFERROR(VLOOKUP(Data!$G46,canon!$I$2:$K$27,2,FALSE),"")</f>
        <v>ACCESSORY</v>
      </c>
      <c r="I46" s="69" t="str">
        <f>IFERROR(VLOOKUP(Data!$G46,canon!$I$2:$K$27,3,FALSE),"")</f>
        <v>N.APPAREL</v>
      </c>
      <c r="J46" s="69">
        <f t="shared" si="0"/>
        <v>3</v>
      </c>
      <c r="K46" s="69">
        <f t="shared" si="1"/>
        <v>1</v>
      </c>
      <c r="L46" s="69">
        <f>VLOOKUP(Table_db1_backend_Daily.accdb[[#This Row],[TradingDate]],canon!B:E,4,0)</f>
        <v>28</v>
      </c>
    </row>
    <row r="47" spans="1:12" x14ac:dyDescent="0.2">
      <c r="A47" s="69" t="s">
        <v>6</v>
      </c>
      <c r="B47" s="70">
        <v>42927</v>
      </c>
      <c r="C47" s="69">
        <v>12950</v>
      </c>
      <c r="D47" s="69">
        <v>0</v>
      </c>
      <c r="E47" s="69">
        <v>0</v>
      </c>
      <c r="F47" s="69">
        <v>0</v>
      </c>
      <c r="G47" s="69" t="s">
        <v>11</v>
      </c>
      <c r="H47" s="69" t="str">
        <f>IFERROR(VLOOKUP(Data!$G47,canon!$I$2:$K$27,2,FALSE),"")</f>
        <v>KNIT</v>
      </c>
      <c r="I47" s="69" t="str">
        <f>IFERROR(VLOOKUP(Data!$G47,canon!$I$2:$K$27,3,FALSE),"")</f>
        <v>APPAREL</v>
      </c>
      <c r="J47" s="69">
        <f t="shared" si="0"/>
        <v>3</v>
      </c>
      <c r="K47" s="69">
        <f t="shared" si="1"/>
        <v>1</v>
      </c>
      <c r="L47" s="69">
        <f>VLOOKUP(Table_db1_backend_Daily.accdb[[#This Row],[TradingDate]],canon!B:E,4,0)</f>
        <v>28</v>
      </c>
    </row>
    <row r="48" spans="1:12" x14ac:dyDescent="0.2">
      <c r="A48" s="69" t="s">
        <v>6</v>
      </c>
      <c r="B48" s="70">
        <v>42927</v>
      </c>
      <c r="C48" s="69">
        <v>4727</v>
      </c>
      <c r="D48" s="69">
        <v>0</v>
      </c>
      <c r="E48" s="69">
        <v>0</v>
      </c>
      <c r="F48" s="69">
        <v>0</v>
      </c>
      <c r="G48" s="69" t="s">
        <v>14</v>
      </c>
      <c r="H48" s="69" t="str">
        <f>IFERROR(VLOOKUP(Data!$G48,canon!$I$2:$K$27,2,FALSE),"")</f>
        <v>LEGGING</v>
      </c>
      <c r="I48" s="69" t="str">
        <f>IFERROR(VLOOKUP(Data!$G48,canon!$I$2:$K$27,3,FALSE),"")</f>
        <v>APPAREL</v>
      </c>
      <c r="J48" s="69">
        <f t="shared" si="0"/>
        <v>3</v>
      </c>
      <c r="K48" s="69">
        <f t="shared" si="1"/>
        <v>1</v>
      </c>
      <c r="L48" s="69">
        <f>VLOOKUP(Table_db1_backend_Daily.accdb[[#This Row],[TradingDate]],canon!B:E,4,0)</f>
        <v>28</v>
      </c>
    </row>
    <row r="49" spans="1:12" x14ac:dyDescent="0.2">
      <c r="A49" s="69" t="s">
        <v>6</v>
      </c>
      <c r="B49" s="70">
        <v>42927</v>
      </c>
      <c r="C49" s="69">
        <v>0</v>
      </c>
      <c r="D49" s="69">
        <v>0</v>
      </c>
      <c r="E49" s="69">
        <v>0</v>
      </c>
      <c r="F49" s="69">
        <v>0</v>
      </c>
      <c r="G49" s="69" t="s">
        <v>16</v>
      </c>
      <c r="H49" s="69" t="str">
        <f>IFERROR(VLOOKUP(Data!$G49,canon!$I$2:$K$27,2,FALSE),"")</f>
        <v>ACCESSORY</v>
      </c>
      <c r="I49" s="69" t="str">
        <f>IFERROR(VLOOKUP(Data!$G49,canon!$I$2:$K$27,3,FALSE),"")</f>
        <v>N.APPAREL</v>
      </c>
      <c r="J49" s="69">
        <f t="shared" si="0"/>
        <v>3</v>
      </c>
      <c r="K49" s="69">
        <f t="shared" si="1"/>
        <v>1</v>
      </c>
      <c r="L49" s="69">
        <f>VLOOKUP(Table_db1_backend_Daily.accdb[[#This Row],[TradingDate]],canon!B:E,4,0)</f>
        <v>28</v>
      </c>
    </row>
    <row r="50" spans="1:12" x14ac:dyDescent="0.2">
      <c r="A50" s="69" t="s">
        <v>6</v>
      </c>
      <c r="B50" s="70">
        <v>42927</v>
      </c>
      <c r="C50" s="69">
        <v>13</v>
      </c>
      <c r="D50" s="69">
        <v>0</v>
      </c>
      <c r="E50" s="69">
        <v>0</v>
      </c>
      <c r="F50" s="69">
        <v>0</v>
      </c>
      <c r="G50" s="69" t="s">
        <v>37</v>
      </c>
      <c r="H50" s="69" t="str">
        <f>IFERROR(VLOOKUP(Data!$G50,canon!$I$2:$K$27,2,FALSE),"")</f>
        <v>SHOES</v>
      </c>
      <c r="I50" s="69" t="str">
        <f>IFERROR(VLOOKUP(Data!$G50,canon!$I$2:$K$27,3,FALSE),"")</f>
        <v>N.APPAREL</v>
      </c>
      <c r="J50" s="69">
        <f t="shared" si="0"/>
        <v>3</v>
      </c>
      <c r="K50" s="69">
        <f t="shared" si="1"/>
        <v>1</v>
      </c>
      <c r="L50" s="69">
        <f>VLOOKUP(Table_db1_backend_Daily.accdb[[#This Row],[TradingDate]],canon!B:E,4,0)</f>
        <v>28</v>
      </c>
    </row>
    <row r="51" spans="1:12" x14ac:dyDescent="0.2">
      <c r="A51" s="69" t="s">
        <v>6</v>
      </c>
      <c r="B51" s="70">
        <v>42927</v>
      </c>
      <c r="C51" s="69">
        <v>-1</v>
      </c>
      <c r="D51" s="69">
        <v>0</v>
      </c>
      <c r="E51" s="69">
        <v>0</v>
      </c>
      <c r="F51" s="69">
        <v>0</v>
      </c>
      <c r="G51" s="69" t="s">
        <v>29</v>
      </c>
      <c r="H51" s="69" t="str">
        <f>IFERROR(VLOOKUP(Data!$G51,canon!$I$2:$K$27,2,FALSE),"")</f>
        <v>SHOES</v>
      </c>
      <c r="I51" s="69" t="str">
        <f>IFERROR(VLOOKUP(Data!$G51,canon!$I$2:$K$27,3,FALSE),"")</f>
        <v>N.APPAREL</v>
      </c>
      <c r="J51" s="69">
        <f t="shared" si="0"/>
        <v>3</v>
      </c>
      <c r="K51" s="69">
        <f t="shared" si="1"/>
        <v>1</v>
      </c>
      <c r="L51" s="69">
        <f>VLOOKUP(Table_db1_backend_Daily.accdb[[#This Row],[TradingDate]],canon!B:E,4,0)</f>
        <v>28</v>
      </c>
    </row>
    <row r="52" spans="1:12" x14ac:dyDescent="0.2">
      <c r="A52" s="69" t="s">
        <v>6</v>
      </c>
      <c r="B52" s="70">
        <v>42927</v>
      </c>
      <c r="C52" s="69">
        <v>3147</v>
      </c>
      <c r="D52" s="69">
        <v>0</v>
      </c>
      <c r="E52" s="69">
        <v>0</v>
      </c>
      <c r="F52" s="69">
        <v>0</v>
      </c>
      <c r="G52" s="69" t="s">
        <v>17</v>
      </c>
      <c r="H52" s="69" t="str">
        <f>IFERROR(VLOOKUP(Data!$G52,canon!$I$2:$K$27,2,FALSE),"")</f>
        <v>OUTER</v>
      </c>
      <c r="I52" s="69" t="str">
        <f>IFERROR(VLOOKUP(Data!$G52,canon!$I$2:$K$27,3,FALSE),"")</f>
        <v>APPAREL</v>
      </c>
      <c r="J52" s="69">
        <f t="shared" si="0"/>
        <v>3</v>
      </c>
      <c r="K52" s="69">
        <f t="shared" si="1"/>
        <v>1</v>
      </c>
      <c r="L52" s="69">
        <f>VLOOKUP(Table_db1_backend_Daily.accdb[[#This Row],[TradingDate]],canon!B:E,4,0)</f>
        <v>28</v>
      </c>
    </row>
    <row r="53" spans="1:12" x14ac:dyDescent="0.2">
      <c r="A53" s="69" t="s">
        <v>6</v>
      </c>
      <c r="B53" s="70">
        <v>42927</v>
      </c>
      <c r="C53" s="69">
        <v>1244</v>
      </c>
      <c r="D53" s="69">
        <v>0</v>
      </c>
      <c r="E53" s="69">
        <v>0</v>
      </c>
      <c r="F53" s="69">
        <v>0</v>
      </c>
      <c r="G53" s="69" t="s">
        <v>19</v>
      </c>
      <c r="H53" s="69" t="str">
        <f>IFERROR(VLOOKUP(Data!$G53,canon!$I$2:$K$27,2,FALSE),"")</f>
        <v>PANT</v>
      </c>
      <c r="I53" s="69" t="str">
        <f>IFERROR(VLOOKUP(Data!$G53,canon!$I$2:$K$27,3,FALSE),"")</f>
        <v>APPAREL</v>
      </c>
      <c r="J53" s="69">
        <f t="shared" si="0"/>
        <v>3</v>
      </c>
      <c r="K53" s="69">
        <f t="shared" si="1"/>
        <v>1</v>
      </c>
      <c r="L53" s="69">
        <f>VLOOKUP(Table_db1_backend_Daily.accdb[[#This Row],[TradingDate]],canon!B:E,4,0)</f>
        <v>28</v>
      </c>
    </row>
    <row r="54" spans="1:12" x14ac:dyDescent="0.2">
      <c r="A54" s="69" t="s">
        <v>6</v>
      </c>
      <c r="B54" s="70">
        <v>42927</v>
      </c>
      <c r="C54" s="69">
        <v>49</v>
      </c>
      <c r="D54" s="69">
        <v>0</v>
      </c>
      <c r="E54" s="69">
        <v>0</v>
      </c>
      <c r="F54" s="69">
        <v>0</v>
      </c>
      <c r="G54" s="69" t="s">
        <v>21</v>
      </c>
      <c r="H54" s="69" t="str">
        <f>IFERROR(VLOOKUP(Data!$G54,canon!$I$2:$K$27,2,FALSE),"")</f>
        <v>ACCESSORY</v>
      </c>
      <c r="I54" s="69" t="str">
        <f>IFERROR(VLOOKUP(Data!$G54,canon!$I$2:$K$27,3,FALSE),"")</f>
        <v>N.APPAREL</v>
      </c>
      <c r="J54" s="69">
        <f t="shared" si="0"/>
        <v>3</v>
      </c>
      <c r="K54" s="69">
        <f t="shared" si="1"/>
        <v>1</v>
      </c>
      <c r="L54" s="69">
        <f>VLOOKUP(Table_db1_backend_Daily.accdb[[#This Row],[TradingDate]],canon!B:E,4,0)</f>
        <v>28</v>
      </c>
    </row>
    <row r="55" spans="1:12" x14ac:dyDescent="0.2">
      <c r="A55" s="69" t="s">
        <v>6</v>
      </c>
      <c r="B55" s="70">
        <v>42927</v>
      </c>
      <c r="C55" s="69">
        <v>4401</v>
      </c>
      <c r="D55" s="69">
        <v>0</v>
      </c>
      <c r="E55" s="69">
        <v>0</v>
      </c>
      <c r="F55" s="69">
        <v>0</v>
      </c>
      <c r="G55" s="69" t="s">
        <v>22</v>
      </c>
      <c r="H55" s="69" t="str">
        <f>IFERROR(VLOOKUP(Data!$G55,canon!$I$2:$K$27,2,FALSE),"")</f>
        <v>SCARF</v>
      </c>
      <c r="I55" s="69" t="str">
        <f>IFERROR(VLOOKUP(Data!$G55,canon!$I$2:$K$27,3,FALSE),"")</f>
        <v>N.APPAREL</v>
      </c>
      <c r="J55" s="69">
        <f t="shared" si="0"/>
        <v>3</v>
      </c>
      <c r="K55" s="69">
        <f t="shared" si="1"/>
        <v>1</v>
      </c>
      <c r="L55" s="69">
        <f>VLOOKUP(Table_db1_backend_Daily.accdb[[#This Row],[TradingDate]],canon!B:E,4,0)</f>
        <v>28</v>
      </c>
    </row>
    <row r="56" spans="1:12" x14ac:dyDescent="0.2">
      <c r="A56" s="69" t="s">
        <v>6</v>
      </c>
      <c r="B56" s="70">
        <v>42927</v>
      </c>
      <c r="C56" s="69">
        <v>1663</v>
      </c>
      <c r="D56" s="69">
        <v>0</v>
      </c>
      <c r="E56" s="69">
        <v>0</v>
      </c>
      <c r="F56" s="69">
        <v>0</v>
      </c>
      <c r="G56" s="69" t="s">
        <v>23</v>
      </c>
      <c r="H56" s="69" t="str">
        <f>IFERROR(VLOOKUP(Data!$G56,canon!$I$2:$K$27,2,FALSE),"")</f>
        <v>SH&amp;BL</v>
      </c>
      <c r="I56" s="69" t="str">
        <f>IFERROR(VLOOKUP(Data!$G56,canon!$I$2:$K$27,3,FALSE),"")</f>
        <v>APPAREL</v>
      </c>
      <c r="J56" s="69">
        <f t="shared" si="0"/>
        <v>3</v>
      </c>
      <c r="K56" s="69">
        <f t="shared" si="1"/>
        <v>1</v>
      </c>
      <c r="L56" s="69">
        <f>VLOOKUP(Table_db1_backend_Daily.accdb[[#This Row],[TradingDate]],canon!B:E,4,0)</f>
        <v>28</v>
      </c>
    </row>
    <row r="57" spans="1:12" x14ac:dyDescent="0.2">
      <c r="A57" s="69" t="s">
        <v>6</v>
      </c>
      <c r="B57" s="70">
        <v>42927</v>
      </c>
      <c r="C57" s="69">
        <v>2051</v>
      </c>
      <c r="D57" s="69">
        <v>0</v>
      </c>
      <c r="E57" s="69">
        <v>0</v>
      </c>
      <c r="F57" s="69">
        <v>0</v>
      </c>
      <c r="G57" s="69" t="s">
        <v>32</v>
      </c>
      <c r="H57" s="69" t="str">
        <f>IFERROR(VLOOKUP(Data!$G57,canon!$I$2:$K$27,2,FALSE),"")</f>
        <v>SKIRT</v>
      </c>
      <c r="I57" s="69" t="str">
        <f>IFERROR(VLOOKUP(Data!$G57,canon!$I$2:$K$27,3,FALSE),"")</f>
        <v>APPAREL</v>
      </c>
      <c r="J57" s="69">
        <f t="shared" si="0"/>
        <v>3</v>
      </c>
      <c r="K57" s="69">
        <f t="shared" si="1"/>
        <v>1</v>
      </c>
      <c r="L57" s="69">
        <f>VLOOKUP(Table_db1_backend_Daily.accdb[[#This Row],[TradingDate]],canon!B:E,4,0)</f>
        <v>28</v>
      </c>
    </row>
    <row r="58" spans="1:12" x14ac:dyDescent="0.2">
      <c r="A58" s="69" t="s">
        <v>6</v>
      </c>
      <c r="B58" s="70">
        <v>42927</v>
      </c>
      <c r="C58" s="69">
        <v>11142</v>
      </c>
      <c r="D58" s="69">
        <v>0</v>
      </c>
      <c r="E58" s="69">
        <v>0</v>
      </c>
      <c r="F58" s="69">
        <v>0</v>
      </c>
      <c r="G58" s="69" t="s">
        <v>25</v>
      </c>
      <c r="H58" s="69" t="str">
        <f>IFERROR(VLOOKUP(Data!$G58,canon!$I$2:$K$27,2,FALSE),"")</f>
        <v>TOP</v>
      </c>
      <c r="I58" s="69" t="str">
        <f>IFERROR(VLOOKUP(Data!$G58,canon!$I$2:$K$27,3,FALSE),"")</f>
        <v>APPAREL</v>
      </c>
      <c r="J58" s="69">
        <f t="shared" si="0"/>
        <v>3</v>
      </c>
      <c r="K58" s="69">
        <f t="shared" si="1"/>
        <v>1</v>
      </c>
      <c r="L58" s="69">
        <f>VLOOKUP(Table_db1_backend_Daily.accdb[[#This Row],[TradingDate]],canon!B:E,4,0)</f>
        <v>28</v>
      </c>
    </row>
    <row r="59" spans="1:12" x14ac:dyDescent="0.2">
      <c r="A59" s="69" t="s">
        <v>6</v>
      </c>
      <c r="B59" s="70">
        <v>42928</v>
      </c>
      <c r="C59" s="69">
        <v>0</v>
      </c>
      <c r="D59" s="69">
        <v>0</v>
      </c>
      <c r="E59" s="69">
        <v>0</v>
      </c>
      <c r="F59" s="69">
        <v>0</v>
      </c>
      <c r="G59" s="69" t="s">
        <v>27</v>
      </c>
      <c r="H59" s="69" t="str">
        <f>IFERROR(VLOOKUP(Data!$G59,canon!$I$2:$K$27,2,FALSE),"")</f>
        <v>ACCESSORY</v>
      </c>
      <c r="I59" s="69" t="str">
        <f>IFERROR(VLOOKUP(Data!$G59,canon!$I$2:$K$27,3,FALSE),"")</f>
        <v>N.APPAREL</v>
      </c>
      <c r="J59" s="69">
        <f t="shared" si="0"/>
        <v>4</v>
      </c>
      <c r="K59" s="69">
        <f t="shared" si="1"/>
        <v>1</v>
      </c>
      <c r="L59" s="69">
        <f>VLOOKUP(Table_db1_backend_Daily.accdb[[#This Row],[TradingDate]],canon!B:E,4,0)</f>
        <v>28</v>
      </c>
    </row>
    <row r="60" spans="1:12" x14ac:dyDescent="0.2">
      <c r="A60" s="69" t="s">
        <v>6</v>
      </c>
      <c r="B60" s="70">
        <v>42928</v>
      </c>
      <c r="C60" s="69">
        <v>0</v>
      </c>
      <c r="D60" s="69">
        <v>0</v>
      </c>
      <c r="E60" s="69">
        <v>0</v>
      </c>
      <c r="F60" s="69">
        <v>0</v>
      </c>
      <c r="G60" s="69" t="s">
        <v>7</v>
      </c>
      <c r="H60" s="69" t="str">
        <f>IFERROR(VLOOKUP(Data!$G60,canon!$I$2:$K$27,2,FALSE),"")</f>
        <v>ACCESSORY</v>
      </c>
      <c r="I60" s="69" t="str">
        <f>IFERROR(VLOOKUP(Data!$G60,canon!$I$2:$K$27,3,FALSE),"")</f>
        <v>N.APPAREL</v>
      </c>
      <c r="J60" s="69">
        <f t="shared" si="0"/>
        <v>4</v>
      </c>
      <c r="K60" s="69">
        <f t="shared" si="1"/>
        <v>1</v>
      </c>
      <c r="L60" s="69">
        <f>VLOOKUP(Table_db1_backend_Daily.accdb[[#This Row],[TradingDate]],canon!B:E,4,0)</f>
        <v>28</v>
      </c>
    </row>
    <row r="61" spans="1:12" x14ac:dyDescent="0.2">
      <c r="A61" s="69" t="s">
        <v>6</v>
      </c>
      <c r="B61" s="70">
        <v>42928</v>
      </c>
      <c r="C61" s="69">
        <v>-6</v>
      </c>
      <c r="D61" s="69">
        <v>0</v>
      </c>
      <c r="E61" s="69">
        <v>0</v>
      </c>
      <c r="F61" s="69">
        <v>0</v>
      </c>
      <c r="G61" s="69" t="s">
        <v>34</v>
      </c>
      <c r="H61" s="69" t="str">
        <f>IFERROR(VLOOKUP(Data!$G61,canon!$I$2:$K$27,2,FALSE),"")</f>
        <v>SHOES</v>
      </c>
      <c r="I61" s="69" t="str">
        <f>IFERROR(VLOOKUP(Data!$G61,canon!$I$2:$K$27,3,FALSE),"")</f>
        <v>N.APPAREL</v>
      </c>
      <c r="J61" s="69">
        <f t="shared" si="0"/>
        <v>4</v>
      </c>
      <c r="K61" s="69">
        <f t="shared" si="1"/>
        <v>1</v>
      </c>
      <c r="L61" s="69">
        <f>VLOOKUP(Table_db1_backend_Daily.accdb[[#This Row],[TradingDate]],canon!B:E,4,0)</f>
        <v>28</v>
      </c>
    </row>
    <row r="62" spans="1:12" x14ac:dyDescent="0.2">
      <c r="A62" s="69" t="s">
        <v>6</v>
      </c>
      <c r="B62" s="70">
        <v>42928</v>
      </c>
      <c r="C62" s="69">
        <v>6</v>
      </c>
      <c r="D62" s="69">
        <v>0</v>
      </c>
      <c r="E62" s="69">
        <v>0</v>
      </c>
      <c r="F62" s="69">
        <v>0</v>
      </c>
      <c r="G62" s="69" t="s">
        <v>38</v>
      </c>
      <c r="H62" s="69" t="str">
        <f>IFERROR(VLOOKUP(Data!$G62,canon!$I$2:$K$27,2,FALSE),"")</f>
        <v>SHOES</v>
      </c>
      <c r="I62" s="69" t="str">
        <f>IFERROR(VLOOKUP(Data!$G62,canon!$I$2:$K$27,3,FALSE),"")</f>
        <v>N.APPAREL</v>
      </c>
      <c r="J62" s="69">
        <f t="shared" si="0"/>
        <v>4</v>
      </c>
      <c r="K62" s="69">
        <f t="shared" si="1"/>
        <v>1</v>
      </c>
      <c r="L62" s="69">
        <f>VLOOKUP(Table_db1_backend_Daily.accdb[[#This Row],[TradingDate]],canon!B:E,4,0)</f>
        <v>28</v>
      </c>
    </row>
    <row r="63" spans="1:12" x14ac:dyDescent="0.2">
      <c r="A63" s="69" t="s">
        <v>6</v>
      </c>
      <c r="B63" s="70">
        <v>42928</v>
      </c>
      <c r="C63" s="69">
        <v>4128</v>
      </c>
      <c r="D63" s="69">
        <v>0</v>
      </c>
      <c r="E63" s="69">
        <v>0</v>
      </c>
      <c r="F63" s="69">
        <v>0</v>
      </c>
      <c r="G63" s="69" t="s">
        <v>35</v>
      </c>
      <c r="H63" s="69" t="str">
        <f>IFERROR(VLOOKUP(Data!$G63,canon!$I$2:$K$27,2,FALSE),"")</f>
        <v>DRESS</v>
      </c>
      <c r="I63" s="69" t="str">
        <f>IFERROR(VLOOKUP(Data!$G63,canon!$I$2:$K$27,3,FALSE),"")</f>
        <v>APPAREL</v>
      </c>
      <c r="J63" s="69">
        <f t="shared" si="0"/>
        <v>4</v>
      </c>
      <c r="K63" s="69">
        <f t="shared" si="1"/>
        <v>1</v>
      </c>
      <c r="L63" s="69">
        <f>VLOOKUP(Table_db1_backend_Daily.accdb[[#This Row],[TradingDate]],canon!B:E,4,0)</f>
        <v>28</v>
      </c>
    </row>
    <row r="64" spans="1:12" x14ac:dyDescent="0.2">
      <c r="A64" s="69" t="s">
        <v>6</v>
      </c>
      <c r="B64" s="70">
        <v>42928</v>
      </c>
      <c r="C64" s="69">
        <v>1</v>
      </c>
      <c r="D64" s="69">
        <v>0</v>
      </c>
      <c r="E64" s="69">
        <v>0</v>
      </c>
      <c r="F64" s="69">
        <v>0</v>
      </c>
      <c r="G64" s="69" t="s">
        <v>10</v>
      </c>
      <c r="H64" s="69" t="str">
        <f>IFERROR(VLOOKUP(Data!$G64,canon!$I$2:$K$27,2,FALSE),"")</f>
        <v>ACCESSORY</v>
      </c>
      <c r="I64" s="69" t="str">
        <f>IFERROR(VLOOKUP(Data!$G64,canon!$I$2:$K$27,3,FALSE),"")</f>
        <v>N.APPAREL</v>
      </c>
      <c r="J64" s="69">
        <f t="shared" si="0"/>
        <v>4</v>
      </c>
      <c r="K64" s="69">
        <f t="shared" si="1"/>
        <v>1</v>
      </c>
      <c r="L64" s="69">
        <f>VLOOKUP(Table_db1_backend_Daily.accdb[[#This Row],[TradingDate]],canon!B:E,4,0)</f>
        <v>28</v>
      </c>
    </row>
    <row r="65" spans="1:12" x14ac:dyDescent="0.2">
      <c r="A65" s="69" t="s">
        <v>6</v>
      </c>
      <c r="B65" s="70">
        <v>42928</v>
      </c>
      <c r="C65" s="69">
        <v>215</v>
      </c>
      <c r="D65" s="69">
        <v>0</v>
      </c>
      <c r="E65" s="69">
        <v>0</v>
      </c>
      <c r="F65" s="69">
        <v>0</v>
      </c>
      <c r="G65" s="69" t="s">
        <v>28</v>
      </c>
      <c r="H65" s="69" t="str">
        <f>IFERROR(VLOOKUP(Data!$G65,canon!$I$2:$K$27,2,FALSE),"")</f>
        <v>ACCESSORY</v>
      </c>
      <c r="I65" s="69" t="str">
        <f>IFERROR(VLOOKUP(Data!$G65,canon!$I$2:$K$27,3,FALSE),"")</f>
        <v>N.APPAREL</v>
      </c>
      <c r="J65" s="69">
        <f t="shared" si="0"/>
        <v>4</v>
      </c>
      <c r="K65" s="69">
        <f t="shared" si="1"/>
        <v>1</v>
      </c>
      <c r="L65" s="69">
        <f>VLOOKUP(Table_db1_backend_Daily.accdb[[#This Row],[TradingDate]],canon!B:E,4,0)</f>
        <v>28</v>
      </c>
    </row>
    <row r="66" spans="1:12" x14ac:dyDescent="0.2">
      <c r="A66" s="69" t="s">
        <v>6</v>
      </c>
      <c r="B66" s="70">
        <v>42928</v>
      </c>
      <c r="C66" s="69">
        <v>12950</v>
      </c>
      <c r="D66" s="69">
        <v>0</v>
      </c>
      <c r="E66" s="69">
        <v>0</v>
      </c>
      <c r="F66" s="69">
        <v>0</v>
      </c>
      <c r="G66" s="69" t="s">
        <v>11</v>
      </c>
      <c r="H66" s="69" t="str">
        <f>IFERROR(VLOOKUP(Data!$G66,canon!$I$2:$K$27,2,FALSE),"")</f>
        <v>KNIT</v>
      </c>
      <c r="I66" s="69" t="str">
        <f>IFERROR(VLOOKUP(Data!$G66,canon!$I$2:$K$27,3,FALSE),"")</f>
        <v>APPAREL</v>
      </c>
      <c r="J66" s="69">
        <f t="shared" ref="J66:J129" si="2">WEEKDAY(B66)</f>
        <v>4</v>
      </c>
      <c r="K66" s="69">
        <f t="shared" ref="K66:K129" si="3">INT(A66)</f>
        <v>1</v>
      </c>
      <c r="L66" s="69">
        <f>VLOOKUP(Table_db1_backend_Daily.accdb[[#This Row],[TradingDate]],canon!B:E,4,0)</f>
        <v>28</v>
      </c>
    </row>
    <row r="67" spans="1:12" x14ac:dyDescent="0.2">
      <c r="A67" s="69" t="s">
        <v>6</v>
      </c>
      <c r="B67" s="70">
        <v>42928</v>
      </c>
      <c r="C67" s="69">
        <v>4727</v>
      </c>
      <c r="D67" s="69">
        <v>0</v>
      </c>
      <c r="E67" s="69">
        <v>0</v>
      </c>
      <c r="F67" s="69">
        <v>0</v>
      </c>
      <c r="G67" s="69" t="s">
        <v>14</v>
      </c>
      <c r="H67" s="69" t="str">
        <f>IFERROR(VLOOKUP(Data!$G67,canon!$I$2:$K$27,2,FALSE),"")</f>
        <v>LEGGING</v>
      </c>
      <c r="I67" s="69" t="str">
        <f>IFERROR(VLOOKUP(Data!$G67,canon!$I$2:$K$27,3,FALSE),"")</f>
        <v>APPAREL</v>
      </c>
      <c r="J67" s="69">
        <f t="shared" si="2"/>
        <v>4</v>
      </c>
      <c r="K67" s="69">
        <f t="shared" si="3"/>
        <v>1</v>
      </c>
      <c r="L67" s="69">
        <f>VLOOKUP(Table_db1_backend_Daily.accdb[[#This Row],[TradingDate]],canon!B:E,4,0)</f>
        <v>28</v>
      </c>
    </row>
    <row r="68" spans="1:12" x14ac:dyDescent="0.2">
      <c r="A68" s="69" t="s">
        <v>6</v>
      </c>
      <c r="B68" s="70">
        <v>42928</v>
      </c>
      <c r="C68" s="69">
        <v>0</v>
      </c>
      <c r="D68" s="69">
        <v>0</v>
      </c>
      <c r="E68" s="69">
        <v>0</v>
      </c>
      <c r="F68" s="69">
        <v>0</v>
      </c>
      <c r="G68" s="69" t="s">
        <v>16</v>
      </c>
      <c r="H68" s="69" t="str">
        <f>IFERROR(VLOOKUP(Data!$G68,canon!$I$2:$K$27,2,FALSE),"")</f>
        <v>ACCESSORY</v>
      </c>
      <c r="I68" s="69" t="str">
        <f>IFERROR(VLOOKUP(Data!$G68,canon!$I$2:$K$27,3,FALSE),"")</f>
        <v>N.APPAREL</v>
      </c>
      <c r="J68" s="69">
        <f t="shared" si="2"/>
        <v>4</v>
      </c>
      <c r="K68" s="69">
        <f t="shared" si="3"/>
        <v>1</v>
      </c>
      <c r="L68" s="69">
        <f>VLOOKUP(Table_db1_backend_Daily.accdb[[#This Row],[TradingDate]],canon!B:E,4,0)</f>
        <v>28</v>
      </c>
    </row>
    <row r="69" spans="1:12" x14ac:dyDescent="0.2">
      <c r="A69" s="69" t="s">
        <v>6</v>
      </c>
      <c r="B69" s="70">
        <v>42928</v>
      </c>
      <c r="C69" s="69">
        <v>13</v>
      </c>
      <c r="D69" s="69">
        <v>0</v>
      </c>
      <c r="E69" s="69">
        <v>0</v>
      </c>
      <c r="F69" s="69">
        <v>0</v>
      </c>
      <c r="G69" s="69" t="s">
        <v>37</v>
      </c>
      <c r="H69" s="69" t="str">
        <f>IFERROR(VLOOKUP(Data!$G69,canon!$I$2:$K$27,2,FALSE),"")</f>
        <v>SHOES</v>
      </c>
      <c r="I69" s="69" t="str">
        <f>IFERROR(VLOOKUP(Data!$G69,canon!$I$2:$K$27,3,FALSE),"")</f>
        <v>N.APPAREL</v>
      </c>
      <c r="J69" s="69">
        <f t="shared" si="2"/>
        <v>4</v>
      </c>
      <c r="K69" s="69">
        <f t="shared" si="3"/>
        <v>1</v>
      </c>
      <c r="L69" s="69">
        <f>VLOOKUP(Table_db1_backend_Daily.accdb[[#This Row],[TradingDate]],canon!B:E,4,0)</f>
        <v>28</v>
      </c>
    </row>
    <row r="70" spans="1:12" x14ac:dyDescent="0.2">
      <c r="A70" s="69" t="s">
        <v>6</v>
      </c>
      <c r="B70" s="70">
        <v>42928</v>
      </c>
      <c r="C70" s="69">
        <v>-1</v>
      </c>
      <c r="D70" s="69">
        <v>0</v>
      </c>
      <c r="E70" s="69">
        <v>0</v>
      </c>
      <c r="F70" s="69">
        <v>0</v>
      </c>
      <c r="G70" s="69" t="s">
        <v>29</v>
      </c>
      <c r="H70" s="69" t="str">
        <f>IFERROR(VLOOKUP(Data!$G70,canon!$I$2:$K$27,2,FALSE),"")</f>
        <v>SHOES</v>
      </c>
      <c r="I70" s="69" t="str">
        <f>IFERROR(VLOOKUP(Data!$G70,canon!$I$2:$K$27,3,FALSE),"")</f>
        <v>N.APPAREL</v>
      </c>
      <c r="J70" s="69">
        <f t="shared" si="2"/>
        <v>4</v>
      </c>
      <c r="K70" s="69">
        <f t="shared" si="3"/>
        <v>1</v>
      </c>
      <c r="L70" s="69">
        <f>VLOOKUP(Table_db1_backend_Daily.accdb[[#This Row],[TradingDate]],canon!B:E,4,0)</f>
        <v>28</v>
      </c>
    </row>
    <row r="71" spans="1:12" x14ac:dyDescent="0.2">
      <c r="A71" s="69" t="s">
        <v>6</v>
      </c>
      <c r="B71" s="70">
        <v>42928</v>
      </c>
      <c r="C71" s="69">
        <v>3147</v>
      </c>
      <c r="D71" s="69">
        <v>0</v>
      </c>
      <c r="E71" s="69">
        <v>0</v>
      </c>
      <c r="F71" s="69">
        <v>0</v>
      </c>
      <c r="G71" s="69" t="s">
        <v>17</v>
      </c>
      <c r="H71" s="69" t="str">
        <f>IFERROR(VLOOKUP(Data!$G71,canon!$I$2:$K$27,2,FALSE),"")</f>
        <v>OUTER</v>
      </c>
      <c r="I71" s="69" t="str">
        <f>IFERROR(VLOOKUP(Data!$G71,canon!$I$2:$K$27,3,FALSE),"")</f>
        <v>APPAREL</v>
      </c>
      <c r="J71" s="69">
        <f t="shared" si="2"/>
        <v>4</v>
      </c>
      <c r="K71" s="69">
        <f t="shared" si="3"/>
        <v>1</v>
      </c>
      <c r="L71" s="69">
        <f>VLOOKUP(Table_db1_backend_Daily.accdb[[#This Row],[TradingDate]],canon!B:E,4,0)</f>
        <v>28</v>
      </c>
    </row>
    <row r="72" spans="1:12" x14ac:dyDescent="0.2">
      <c r="A72" s="69" t="s">
        <v>6</v>
      </c>
      <c r="B72" s="70">
        <v>42928</v>
      </c>
      <c r="C72" s="69">
        <v>1244</v>
      </c>
      <c r="D72" s="69">
        <v>0</v>
      </c>
      <c r="E72" s="69">
        <v>0</v>
      </c>
      <c r="F72" s="69">
        <v>0</v>
      </c>
      <c r="G72" s="69" t="s">
        <v>19</v>
      </c>
      <c r="H72" s="69" t="str">
        <f>IFERROR(VLOOKUP(Data!$G72,canon!$I$2:$K$27,2,FALSE),"")</f>
        <v>PANT</v>
      </c>
      <c r="I72" s="69" t="str">
        <f>IFERROR(VLOOKUP(Data!$G72,canon!$I$2:$K$27,3,FALSE),"")</f>
        <v>APPAREL</v>
      </c>
      <c r="J72" s="69">
        <f t="shared" si="2"/>
        <v>4</v>
      </c>
      <c r="K72" s="69">
        <f t="shared" si="3"/>
        <v>1</v>
      </c>
      <c r="L72" s="69">
        <f>VLOOKUP(Table_db1_backend_Daily.accdb[[#This Row],[TradingDate]],canon!B:E,4,0)</f>
        <v>28</v>
      </c>
    </row>
    <row r="73" spans="1:12" x14ac:dyDescent="0.2">
      <c r="A73" s="69" t="s">
        <v>6</v>
      </c>
      <c r="B73" s="70">
        <v>42928</v>
      </c>
      <c r="C73" s="69">
        <v>49</v>
      </c>
      <c r="D73" s="69">
        <v>0</v>
      </c>
      <c r="E73" s="69">
        <v>0</v>
      </c>
      <c r="F73" s="69">
        <v>0</v>
      </c>
      <c r="G73" s="69" t="s">
        <v>21</v>
      </c>
      <c r="H73" s="69" t="str">
        <f>IFERROR(VLOOKUP(Data!$G73,canon!$I$2:$K$27,2,FALSE),"")</f>
        <v>ACCESSORY</v>
      </c>
      <c r="I73" s="69" t="str">
        <f>IFERROR(VLOOKUP(Data!$G73,canon!$I$2:$K$27,3,FALSE),"")</f>
        <v>N.APPAREL</v>
      </c>
      <c r="J73" s="69">
        <f t="shared" si="2"/>
        <v>4</v>
      </c>
      <c r="K73" s="69">
        <f t="shared" si="3"/>
        <v>1</v>
      </c>
      <c r="L73" s="69">
        <f>VLOOKUP(Table_db1_backend_Daily.accdb[[#This Row],[TradingDate]],canon!B:E,4,0)</f>
        <v>28</v>
      </c>
    </row>
    <row r="74" spans="1:12" x14ac:dyDescent="0.2">
      <c r="A74" s="69" t="s">
        <v>6</v>
      </c>
      <c r="B74" s="70">
        <v>42928</v>
      </c>
      <c r="C74" s="69">
        <v>4401</v>
      </c>
      <c r="D74" s="69">
        <v>0</v>
      </c>
      <c r="E74" s="69">
        <v>0</v>
      </c>
      <c r="F74" s="69">
        <v>0</v>
      </c>
      <c r="G74" s="69" t="s">
        <v>22</v>
      </c>
      <c r="H74" s="69" t="str">
        <f>IFERROR(VLOOKUP(Data!$G74,canon!$I$2:$K$27,2,FALSE),"")</f>
        <v>SCARF</v>
      </c>
      <c r="I74" s="69" t="str">
        <f>IFERROR(VLOOKUP(Data!$G74,canon!$I$2:$K$27,3,FALSE),"")</f>
        <v>N.APPAREL</v>
      </c>
      <c r="J74" s="69">
        <f t="shared" si="2"/>
        <v>4</v>
      </c>
      <c r="K74" s="69">
        <f t="shared" si="3"/>
        <v>1</v>
      </c>
      <c r="L74" s="69">
        <f>VLOOKUP(Table_db1_backend_Daily.accdb[[#This Row],[TradingDate]],canon!B:E,4,0)</f>
        <v>28</v>
      </c>
    </row>
    <row r="75" spans="1:12" x14ac:dyDescent="0.2">
      <c r="A75" s="69" t="s">
        <v>6</v>
      </c>
      <c r="B75" s="70">
        <v>42928</v>
      </c>
      <c r="C75" s="69">
        <v>1663</v>
      </c>
      <c r="D75" s="69">
        <v>0</v>
      </c>
      <c r="E75" s="69">
        <v>0</v>
      </c>
      <c r="F75" s="69">
        <v>0</v>
      </c>
      <c r="G75" s="69" t="s">
        <v>23</v>
      </c>
      <c r="H75" s="69" t="str">
        <f>IFERROR(VLOOKUP(Data!$G75,canon!$I$2:$K$27,2,FALSE),"")</f>
        <v>SH&amp;BL</v>
      </c>
      <c r="I75" s="69" t="str">
        <f>IFERROR(VLOOKUP(Data!$G75,canon!$I$2:$K$27,3,FALSE),"")</f>
        <v>APPAREL</v>
      </c>
      <c r="J75" s="69">
        <f t="shared" si="2"/>
        <v>4</v>
      </c>
      <c r="K75" s="69">
        <f t="shared" si="3"/>
        <v>1</v>
      </c>
      <c r="L75" s="69">
        <f>VLOOKUP(Table_db1_backend_Daily.accdb[[#This Row],[TradingDate]],canon!B:E,4,0)</f>
        <v>28</v>
      </c>
    </row>
    <row r="76" spans="1:12" x14ac:dyDescent="0.2">
      <c r="A76" s="69" t="s">
        <v>6</v>
      </c>
      <c r="B76" s="70">
        <v>42928</v>
      </c>
      <c r="C76" s="69">
        <v>2051</v>
      </c>
      <c r="D76" s="69">
        <v>0</v>
      </c>
      <c r="E76" s="69">
        <v>0</v>
      </c>
      <c r="F76" s="69">
        <v>0</v>
      </c>
      <c r="G76" s="69" t="s">
        <v>32</v>
      </c>
      <c r="H76" s="69" t="str">
        <f>IFERROR(VLOOKUP(Data!$G76,canon!$I$2:$K$27,2,FALSE),"")</f>
        <v>SKIRT</v>
      </c>
      <c r="I76" s="69" t="str">
        <f>IFERROR(VLOOKUP(Data!$G76,canon!$I$2:$K$27,3,FALSE),"")</f>
        <v>APPAREL</v>
      </c>
      <c r="J76" s="69">
        <f t="shared" si="2"/>
        <v>4</v>
      </c>
      <c r="K76" s="69">
        <f t="shared" si="3"/>
        <v>1</v>
      </c>
      <c r="L76" s="69">
        <f>VLOOKUP(Table_db1_backend_Daily.accdb[[#This Row],[TradingDate]],canon!B:E,4,0)</f>
        <v>28</v>
      </c>
    </row>
    <row r="77" spans="1:12" x14ac:dyDescent="0.2">
      <c r="A77" s="69" t="s">
        <v>6</v>
      </c>
      <c r="B77" s="70">
        <v>42928</v>
      </c>
      <c r="C77" s="69">
        <v>11010</v>
      </c>
      <c r="D77" s="69">
        <v>0</v>
      </c>
      <c r="E77" s="69">
        <v>0</v>
      </c>
      <c r="F77" s="69">
        <v>0</v>
      </c>
      <c r="G77" s="69" t="s">
        <v>25</v>
      </c>
      <c r="H77" s="69" t="str">
        <f>IFERROR(VLOOKUP(Data!$G77,canon!$I$2:$K$27,2,FALSE),"")</f>
        <v>TOP</v>
      </c>
      <c r="I77" s="69" t="str">
        <f>IFERROR(VLOOKUP(Data!$G77,canon!$I$2:$K$27,3,FALSE),"")</f>
        <v>APPAREL</v>
      </c>
      <c r="J77" s="69">
        <f t="shared" si="2"/>
        <v>4</v>
      </c>
      <c r="K77" s="69">
        <f t="shared" si="3"/>
        <v>1</v>
      </c>
      <c r="L77" s="69">
        <f>VLOOKUP(Table_db1_backend_Daily.accdb[[#This Row],[TradingDate]],canon!B:E,4,0)</f>
        <v>28</v>
      </c>
    </row>
    <row r="78" spans="1:12" x14ac:dyDescent="0.2">
      <c r="A78" s="69" t="s">
        <v>6</v>
      </c>
      <c r="B78" s="70">
        <v>42929</v>
      </c>
      <c r="C78" s="69">
        <v>0</v>
      </c>
      <c r="D78" s="69">
        <v>0</v>
      </c>
      <c r="E78" s="69">
        <v>0</v>
      </c>
      <c r="F78" s="69">
        <v>0</v>
      </c>
      <c r="G78" s="69" t="s">
        <v>27</v>
      </c>
      <c r="H78" s="69" t="str">
        <f>IFERROR(VLOOKUP(Data!$G78,canon!$I$2:$K$27,2,FALSE),"")</f>
        <v>ACCESSORY</v>
      </c>
      <c r="I78" s="69" t="str">
        <f>IFERROR(VLOOKUP(Data!$G78,canon!$I$2:$K$27,3,FALSE),"")</f>
        <v>N.APPAREL</v>
      </c>
      <c r="J78" s="69">
        <f t="shared" si="2"/>
        <v>5</v>
      </c>
      <c r="K78" s="69">
        <f t="shared" si="3"/>
        <v>1</v>
      </c>
      <c r="L78" s="69">
        <f>VLOOKUP(Table_db1_backend_Daily.accdb[[#This Row],[TradingDate]],canon!B:E,4,0)</f>
        <v>28</v>
      </c>
    </row>
    <row r="79" spans="1:12" x14ac:dyDescent="0.2">
      <c r="A79" s="69" t="s">
        <v>6</v>
      </c>
      <c r="B79" s="70">
        <v>42929</v>
      </c>
      <c r="C79" s="69">
        <v>0</v>
      </c>
      <c r="D79" s="69">
        <v>0</v>
      </c>
      <c r="E79" s="69">
        <v>0</v>
      </c>
      <c r="F79" s="69">
        <v>0</v>
      </c>
      <c r="G79" s="69" t="s">
        <v>7</v>
      </c>
      <c r="H79" s="69" t="str">
        <f>IFERROR(VLOOKUP(Data!$G79,canon!$I$2:$K$27,2,FALSE),"")</f>
        <v>ACCESSORY</v>
      </c>
      <c r="I79" s="69" t="str">
        <f>IFERROR(VLOOKUP(Data!$G79,canon!$I$2:$K$27,3,FALSE),"")</f>
        <v>N.APPAREL</v>
      </c>
      <c r="J79" s="69">
        <f t="shared" si="2"/>
        <v>5</v>
      </c>
      <c r="K79" s="69">
        <f t="shared" si="3"/>
        <v>1</v>
      </c>
      <c r="L79" s="69">
        <f>VLOOKUP(Table_db1_backend_Daily.accdb[[#This Row],[TradingDate]],canon!B:E,4,0)</f>
        <v>28</v>
      </c>
    </row>
    <row r="80" spans="1:12" x14ac:dyDescent="0.2">
      <c r="A80" s="69" t="s">
        <v>6</v>
      </c>
      <c r="B80" s="70">
        <v>42929</v>
      </c>
      <c r="C80" s="69">
        <v>-6</v>
      </c>
      <c r="D80" s="69">
        <v>0</v>
      </c>
      <c r="E80" s="69">
        <v>0</v>
      </c>
      <c r="F80" s="69">
        <v>0</v>
      </c>
      <c r="G80" s="69" t="s">
        <v>34</v>
      </c>
      <c r="H80" s="69" t="str">
        <f>IFERROR(VLOOKUP(Data!$G80,canon!$I$2:$K$27,2,FALSE),"")</f>
        <v>SHOES</v>
      </c>
      <c r="I80" s="69" t="str">
        <f>IFERROR(VLOOKUP(Data!$G80,canon!$I$2:$K$27,3,FALSE),"")</f>
        <v>N.APPAREL</v>
      </c>
      <c r="J80" s="69">
        <f t="shared" si="2"/>
        <v>5</v>
      </c>
      <c r="K80" s="69">
        <f t="shared" si="3"/>
        <v>1</v>
      </c>
      <c r="L80" s="69">
        <f>VLOOKUP(Table_db1_backend_Daily.accdb[[#This Row],[TradingDate]],canon!B:E,4,0)</f>
        <v>28</v>
      </c>
    </row>
    <row r="81" spans="1:12" x14ac:dyDescent="0.2">
      <c r="A81" s="69" t="s">
        <v>6</v>
      </c>
      <c r="B81" s="70">
        <v>42929</v>
      </c>
      <c r="C81" s="69">
        <v>6</v>
      </c>
      <c r="D81" s="69">
        <v>0</v>
      </c>
      <c r="E81" s="69">
        <v>0</v>
      </c>
      <c r="F81" s="69">
        <v>0</v>
      </c>
      <c r="G81" s="69" t="s">
        <v>38</v>
      </c>
      <c r="H81" s="69" t="str">
        <f>IFERROR(VLOOKUP(Data!$G81,canon!$I$2:$K$27,2,FALSE),"")</f>
        <v>SHOES</v>
      </c>
      <c r="I81" s="69" t="str">
        <f>IFERROR(VLOOKUP(Data!$G81,canon!$I$2:$K$27,3,FALSE),"")</f>
        <v>N.APPAREL</v>
      </c>
      <c r="J81" s="69">
        <f t="shared" si="2"/>
        <v>5</v>
      </c>
      <c r="K81" s="69">
        <f t="shared" si="3"/>
        <v>1</v>
      </c>
      <c r="L81" s="69">
        <f>VLOOKUP(Table_db1_backend_Daily.accdb[[#This Row],[TradingDate]],canon!B:E,4,0)</f>
        <v>28</v>
      </c>
    </row>
    <row r="82" spans="1:12" x14ac:dyDescent="0.2">
      <c r="A82" s="69" t="s">
        <v>6</v>
      </c>
      <c r="B82" s="70">
        <v>42929</v>
      </c>
      <c r="C82" s="69">
        <v>5128</v>
      </c>
      <c r="D82" s="69">
        <v>0</v>
      </c>
      <c r="E82" s="69">
        <v>0</v>
      </c>
      <c r="F82" s="69">
        <v>0</v>
      </c>
      <c r="G82" s="69" t="s">
        <v>35</v>
      </c>
      <c r="H82" s="69" t="str">
        <f>IFERROR(VLOOKUP(Data!$G82,canon!$I$2:$K$27,2,FALSE),"")</f>
        <v>DRESS</v>
      </c>
      <c r="I82" s="69" t="str">
        <f>IFERROR(VLOOKUP(Data!$G82,canon!$I$2:$K$27,3,FALSE),"")</f>
        <v>APPAREL</v>
      </c>
      <c r="J82" s="69">
        <f t="shared" si="2"/>
        <v>5</v>
      </c>
      <c r="K82" s="69">
        <f t="shared" si="3"/>
        <v>1</v>
      </c>
      <c r="L82" s="69">
        <f>VLOOKUP(Table_db1_backend_Daily.accdb[[#This Row],[TradingDate]],canon!B:E,4,0)</f>
        <v>28</v>
      </c>
    </row>
    <row r="83" spans="1:12" x14ac:dyDescent="0.2">
      <c r="A83" s="69" t="s">
        <v>6</v>
      </c>
      <c r="B83" s="70">
        <v>42929</v>
      </c>
      <c r="C83" s="69">
        <v>1</v>
      </c>
      <c r="D83" s="69">
        <v>0</v>
      </c>
      <c r="E83" s="69">
        <v>0</v>
      </c>
      <c r="F83" s="69">
        <v>0</v>
      </c>
      <c r="G83" s="69" t="s">
        <v>10</v>
      </c>
      <c r="H83" s="69" t="str">
        <f>IFERROR(VLOOKUP(Data!$G83,canon!$I$2:$K$27,2,FALSE),"")</f>
        <v>ACCESSORY</v>
      </c>
      <c r="I83" s="69" t="str">
        <f>IFERROR(VLOOKUP(Data!$G83,canon!$I$2:$K$27,3,FALSE),"")</f>
        <v>N.APPAREL</v>
      </c>
      <c r="J83" s="69">
        <f t="shared" si="2"/>
        <v>5</v>
      </c>
      <c r="K83" s="69">
        <f t="shared" si="3"/>
        <v>1</v>
      </c>
      <c r="L83" s="69">
        <f>VLOOKUP(Table_db1_backend_Daily.accdb[[#This Row],[TradingDate]],canon!B:E,4,0)</f>
        <v>28</v>
      </c>
    </row>
    <row r="84" spans="1:12" x14ac:dyDescent="0.2">
      <c r="A84" s="69" t="s">
        <v>6</v>
      </c>
      <c r="B84" s="70">
        <v>42929</v>
      </c>
      <c r="C84" s="69">
        <v>215</v>
      </c>
      <c r="D84" s="69">
        <v>0</v>
      </c>
      <c r="E84" s="69">
        <v>0</v>
      </c>
      <c r="F84" s="69">
        <v>0</v>
      </c>
      <c r="G84" s="69" t="s">
        <v>28</v>
      </c>
      <c r="H84" s="69" t="str">
        <f>IFERROR(VLOOKUP(Data!$G84,canon!$I$2:$K$27,2,FALSE),"")</f>
        <v>ACCESSORY</v>
      </c>
      <c r="I84" s="69" t="str">
        <f>IFERROR(VLOOKUP(Data!$G84,canon!$I$2:$K$27,3,FALSE),"")</f>
        <v>N.APPAREL</v>
      </c>
      <c r="J84" s="69">
        <f t="shared" si="2"/>
        <v>5</v>
      </c>
      <c r="K84" s="69">
        <f t="shared" si="3"/>
        <v>1</v>
      </c>
      <c r="L84" s="69">
        <f>VLOOKUP(Table_db1_backend_Daily.accdb[[#This Row],[TradingDate]],canon!B:E,4,0)</f>
        <v>28</v>
      </c>
    </row>
    <row r="85" spans="1:12" x14ac:dyDescent="0.2">
      <c r="A85" s="69" t="s">
        <v>6</v>
      </c>
      <c r="B85" s="70">
        <v>42929</v>
      </c>
      <c r="C85" s="69">
        <v>12950</v>
      </c>
      <c r="D85" s="69">
        <v>0</v>
      </c>
      <c r="E85" s="69">
        <v>0</v>
      </c>
      <c r="F85" s="69">
        <v>0</v>
      </c>
      <c r="G85" s="69" t="s">
        <v>11</v>
      </c>
      <c r="H85" s="69" t="str">
        <f>IFERROR(VLOOKUP(Data!$G85,canon!$I$2:$K$27,2,FALSE),"")</f>
        <v>KNIT</v>
      </c>
      <c r="I85" s="69" t="str">
        <f>IFERROR(VLOOKUP(Data!$G85,canon!$I$2:$K$27,3,FALSE),"")</f>
        <v>APPAREL</v>
      </c>
      <c r="J85" s="69">
        <f t="shared" si="2"/>
        <v>5</v>
      </c>
      <c r="K85" s="69">
        <f t="shared" si="3"/>
        <v>1</v>
      </c>
      <c r="L85" s="69">
        <f>VLOOKUP(Table_db1_backend_Daily.accdb[[#This Row],[TradingDate]],canon!B:E,4,0)</f>
        <v>28</v>
      </c>
    </row>
    <row r="86" spans="1:12" x14ac:dyDescent="0.2">
      <c r="A86" s="69" t="s">
        <v>6</v>
      </c>
      <c r="B86" s="70">
        <v>42929</v>
      </c>
      <c r="C86" s="69">
        <v>4727</v>
      </c>
      <c r="D86" s="69">
        <v>0</v>
      </c>
      <c r="E86" s="69">
        <v>0</v>
      </c>
      <c r="F86" s="69">
        <v>0</v>
      </c>
      <c r="G86" s="69" t="s">
        <v>14</v>
      </c>
      <c r="H86" s="69" t="str">
        <f>IFERROR(VLOOKUP(Data!$G86,canon!$I$2:$K$27,2,FALSE),"")</f>
        <v>LEGGING</v>
      </c>
      <c r="I86" s="69" t="str">
        <f>IFERROR(VLOOKUP(Data!$G86,canon!$I$2:$K$27,3,FALSE),"")</f>
        <v>APPAREL</v>
      </c>
      <c r="J86" s="69">
        <f t="shared" si="2"/>
        <v>5</v>
      </c>
      <c r="K86" s="69">
        <f t="shared" si="3"/>
        <v>1</v>
      </c>
      <c r="L86" s="69">
        <f>VLOOKUP(Table_db1_backend_Daily.accdb[[#This Row],[TradingDate]],canon!B:E,4,0)</f>
        <v>28</v>
      </c>
    </row>
    <row r="87" spans="1:12" x14ac:dyDescent="0.2">
      <c r="A87" s="69" t="s">
        <v>6</v>
      </c>
      <c r="B87" s="70">
        <v>42929</v>
      </c>
      <c r="C87" s="69">
        <v>0</v>
      </c>
      <c r="D87" s="69">
        <v>0</v>
      </c>
      <c r="E87" s="69">
        <v>0</v>
      </c>
      <c r="F87" s="69">
        <v>0</v>
      </c>
      <c r="G87" s="69" t="s">
        <v>16</v>
      </c>
      <c r="H87" s="69" t="str">
        <f>IFERROR(VLOOKUP(Data!$G87,canon!$I$2:$K$27,2,FALSE),"")</f>
        <v>ACCESSORY</v>
      </c>
      <c r="I87" s="69" t="str">
        <f>IFERROR(VLOOKUP(Data!$G87,canon!$I$2:$K$27,3,FALSE),"")</f>
        <v>N.APPAREL</v>
      </c>
      <c r="J87" s="69">
        <f t="shared" si="2"/>
        <v>5</v>
      </c>
      <c r="K87" s="69">
        <f t="shared" si="3"/>
        <v>1</v>
      </c>
      <c r="L87" s="69">
        <f>VLOOKUP(Table_db1_backend_Daily.accdb[[#This Row],[TradingDate]],canon!B:E,4,0)</f>
        <v>28</v>
      </c>
    </row>
    <row r="88" spans="1:12" x14ac:dyDescent="0.2">
      <c r="A88" s="69" t="s">
        <v>6</v>
      </c>
      <c r="B88" s="70">
        <v>42929</v>
      </c>
      <c r="C88" s="69">
        <v>13</v>
      </c>
      <c r="D88" s="69">
        <v>0</v>
      </c>
      <c r="E88" s="69">
        <v>0</v>
      </c>
      <c r="F88" s="69">
        <v>0</v>
      </c>
      <c r="G88" s="69" t="s">
        <v>37</v>
      </c>
      <c r="H88" s="69" t="str">
        <f>IFERROR(VLOOKUP(Data!$G88,canon!$I$2:$K$27,2,FALSE),"")</f>
        <v>SHOES</v>
      </c>
      <c r="I88" s="69" t="str">
        <f>IFERROR(VLOOKUP(Data!$G88,canon!$I$2:$K$27,3,FALSE),"")</f>
        <v>N.APPAREL</v>
      </c>
      <c r="J88" s="69">
        <f t="shared" si="2"/>
        <v>5</v>
      </c>
      <c r="K88" s="69">
        <f t="shared" si="3"/>
        <v>1</v>
      </c>
      <c r="L88" s="69">
        <f>VLOOKUP(Table_db1_backend_Daily.accdb[[#This Row],[TradingDate]],canon!B:E,4,0)</f>
        <v>28</v>
      </c>
    </row>
    <row r="89" spans="1:12" x14ac:dyDescent="0.2">
      <c r="A89" s="69" t="s">
        <v>6</v>
      </c>
      <c r="B89" s="70">
        <v>42929</v>
      </c>
      <c r="C89" s="69">
        <v>-1</v>
      </c>
      <c r="D89" s="69">
        <v>0</v>
      </c>
      <c r="E89" s="69">
        <v>0</v>
      </c>
      <c r="F89" s="69">
        <v>0</v>
      </c>
      <c r="G89" s="69" t="s">
        <v>29</v>
      </c>
      <c r="H89" s="69" t="str">
        <f>IFERROR(VLOOKUP(Data!$G89,canon!$I$2:$K$27,2,FALSE),"")</f>
        <v>SHOES</v>
      </c>
      <c r="I89" s="69" t="str">
        <f>IFERROR(VLOOKUP(Data!$G89,canon!$I$2:$K$27,3,FALSE),"")</f>
        <v>N.APPAREL</v>
      </c>
      <c r="J89" s="69">
        <f t="shared" si="2"/>
        <v>5</v>
      </c>
      <c r="K89" s="69">
        <f t="shared" si="3"/>
        <v>1</v>
      </c>
      <c r="L89" s="69">
        <f>VLOOKUP(Table_db1_backend_Daily.accdb[[#This Row],[TradingDate]],canon!B:E,4,0)</f>
        <v>28</v>
      </c>
    </row>
    <row r="90" spans="1:12" x14ac:dyDescent="0.2">
      <c r="A90" s="69" t="s">
        <v>6</v>
      </c>
      <c r="B90" s="70">
        <v>42929</v>
      </c>
      <c r="C90" s="69">
        <v>4096</v>
      </c>
      <c r="D90" s="69">
        <v>0</v>
      </c>
      <c r="E90" s="69">
        <v>0</v>
      </c>
      <c r="F90" s="69">
        <v>0</v>
      </c>
      <c r="G90" s="69" t="s">
        <v>17</v>
      </c>
      <c r="H90" s="69" t="str">
        <f>IFERROR(VLOOKUP(Data!$G90,canon!$I$2:$K$27,2,FALSE),"")</f>
        <v>OUTER</v>
      </c>
      <c r="I90" s="69" t="str">
        <f>IFERROR(VLOOKUP(Data!$G90,canon!$I$2:$K$27,3,FALSE),"")</f>
        <v>APPAREL</v>
      </c>
      <c r="J90" s="69">
        <f t="shared" si="2"/>
        <v>5</v>
      </c>
      <c r="K90" s="69">
        <f t="shared" si="3"/>
        <v>1</v>
      </c>
      <c r="L90" s="69">
        <f>VLOOKUP(Table_db1_backend_Daily.accdb[[#This Row],[TradingDate]],canon!B:E,4,0)</f>
        <v>28</v>
      </c>
    </row>
    <row r="91" spans="1:12" x14ac:dyDescent="0.2">
      <c r="A91" s="69" t="s">
        <v>6</v>
      </c>
      <c r="B91" s="70">
        <v>42929</v>
      </c>
      <c r="C91" s="69">
        <v>1476</v>
      </c>
      <c r="D91" s="69">
        <v>0</v>
      </c>
      <c r="E91" s="69">
        <v>0</v>
      </c>
      <c r="F91" s="69">
        <v>0</v>
      </c>
      <c r="G91" s="69" t="s">
        <v>19</v>
      </c>
      <c r="H91" s="69" t="str">
        <f>IFERROR(VLOOKUP(Data!$G91,canon!$I$2:$K$27,2,FALSE),"")</f>
        <v>PANT</v>
      </c>
      <c r="I91" s="69" t="str">
        <f>IFERROR(VLOOKUP(Data!$G91,canon!$I$2:$K$27,3,FALSE),"")</f>
        <v>APPAREL</v>
      </c>
      <c r="J91" s="69">
        <f t="shared" si="2"/>
        <v>5</v>
      </c>
      <c r="K91" s="69">
        <f t="shared" si="3"/>
        <v>1</v>
      </c>
      <c r="L91" s="69">
        <f>VLOOKUP(Table_db1_backend_Daily.accdb[[#This Row],[TradingDate]],canon!B:E,4,0)</f>
        <v>28</v>
      </c>
    </row>
    <row r="92" spans="1:12" x14ac:dyDescent="0.2">
      <c r="A92" s="69" t="s">
        <v>6</v>
      </c>
      <c r="B92" s="70">
        <v>42929</v>
      </c>
      <c r="C92" s="69">
        <v>49</v>
      </c>
      <c r="D92" s="69">
        <v>0</v>
      </c>
      <c r="E92" s="69">
        <v>0</v>
      </c>
      <c r="F92" s="69">
        <v>0</v>
      </c>
      <c r="G92" s="69" t="s">
        <v>21</v>
      </c>
      <c r="H92" s="69" t="str">
        <f>IFERROR(VLOOKUP(Data!$G92,canon!$I$2:$K$27,2,FALSE),"")</f>
        <v>ACCESSORY</v>
      </c>
      <c r="I92" s="69" t="str">
        <f>IFERROR(VLOOKUP(Data!$G92,canon!$I$2:$K$27,3,FALSE),"")</f>
        <v>N.APPAREL</v>
      </c>
      <c r="J92" s="69">
        <f t="shared" si="2"/>
        <v>5</v>
      </c>
      <c r="K92" s="69">
        <f t="shared" si="3"/>
        <v>1</v>
      </c>
      <c r="L92" s="69">
        <f>VLOOKUP(Table_db1_backend_Daily.accdb[[#This Row],[TradingDate]],canon!B:E,4,0)</f>
        <v>28</v>
      </c>
    </row>
    <row r="93" spans="1:12" x14ac:dyDescent="0.2">
      <c r="A93" s="69" t="s">
        <v>6</v>
      </c>
      <c r="B93" s="70">
        <v>42929</v>
      </c>
      <c r="C93" s="69">
        <v>4401</v>
      </c>
      <c r="D93" s="69">
        <v>0</v>
      </c>
      <c r="E93" s="69">
        <v>0</v>
      </c>
      <c r="F93" s="69">
        <v>0</v>
      </c>
      <c r="G93" s="69" t="s">
        <v>22</v>
      </c>
      <c r="H93" s="69" t="str">
        <f>IFERROR(VLOOKUP(Data!$G93,canon!$I$2:$K$27,2,FALSE),"")</f>
        <v>SCARF</v>
      </c>
      <c r="I93" s="69" t="str">
        <f>IFERROR(VLOOKUP(Data!$G93,canon!$I$2:$K$27,3,FALSE),"")</f>
        <v>N.APPAREL</v>
      </c>
      <c r="J93" s="69">
        <f t="shared" si="2"/>
        <v>5</v>
      </c>
      <c r="K93" s="69">
        <f t="shared" si="3"/>
        <v>1</v>
      </c>
      <c r="L93" s="69">
        <f>VLOOKUP(Table_db1_backend_Daily.accdb[[#This Row],[TradingDate]],canon!B:E,4,0)</f>
        <v>28</v>
      </c>
    </row>
    <row r="94" spans="1:12" x14ac:dyDescent="0.2">
      <c r="A94" s="69" t="s">
        <v>6</v>
      </c>
      <c r="B94" s="70">
        <v>42929</v>
      </c>
      <c r="C94" s="69">
        <v>1693</v>
      </c>
      <c r="D94" s="69">
        <v>0</v>
      </c>
      <c r="E94" s="69">
        <v>0</v>
      </c>
      <c r="F94" s="69">
        <v>0</v>
      </c>
      <c r="G94" s="69" t="s">
        <v>23</v>
      </c>
      <c r="H94" s="69" t="str">
        <f>IFERROR(VLOOKUP(Data!$G94,canon!$I$2:$K$27,2,FALSE),"")</f>
        <v>SH&amp;BL</v>
      </c>
      <c r="I94" s="69" t="str">
        <f>IFERROR(VLOOKUP(Data!$G94,canon!$I$2:$K$27,3,FALSE),"")</f>
        <v>APPAREL</v>
      </c>
      <c r="J94" s="69">
        <f t="shared" si="2"/>
        <v>5</v>
      </c>
      <c r="K94" s="69">
        <f t="shared" si="3"/>
        <v>1</v>
      </c>
      <c r="L94" s="69">
        <f>VLOOKUP(Table_db1_backend_Daily.accdb[[#This Row],[TradingDate]],canon!B:E,4,0)</f>
        <v>28</v>
      </c>
    </row>
    <row r="95" spans="1:12" x14ac:dyDescent="0.2">
      <c r="A95" s="69" t="s">
        <v>6</v>
      </c>
      <c r="B95" s="70">
        <v>42929</v>
      </c>
      <c r="C95" s="69">
        <v>1421</v>
      </c>
      <c r="D95" s="69">
        <v>0</v>
      </c>
      <c r="E95" s="69">
        <v>0</v>
      </c>
      <c r="F95" s="69">
        <v>0</v>
      </c>
      <c r="G95" s="69" t="s">
        <v>32</v>
      </c>
      <c r="H95" s="69" t="str">
        <f>IFERROR(VLOOKUP(Data!$G95,canon!$I$2:$K$27,2,FALSE),"")</f>
        <v>SKIRT</v>
      </c>
      <c r="I95" s="69" t="str">
        <f>IFERROR(VLOOKUP(Data!$G95,canon!$I$2:$K$27,3,FALSE),"")</f>
        <v>APPAREL</v>
      </c>
      <c r="J95" s="69">
        <f t="shared" si="2"/>
        <v>5</v>
      </c>
      <c r="K95" s="69">
        <f t="shared" si="3"/>
        <v>1</v>
      </c>
      <c r="L95" s="69">
        <f>VLOOKUP(Table_db1_backend_Daily.accdb[[#This Row],[TradingDate]],canon!B:E,4,0)</f>
        <v>28</v>
      </c>
    </row>
    <row r="96" spans="1:12" x14ac:dyDescent="0.2">
      <c r="A96" s="69" t="s">
        <v>6</v>
      </c>
      <c r="B96" s="70">
        <v>42929</v>
      </c>
      <c r="C96" s="69">
        <v>11204</v>
      </c>
      <c r="D96" s="69">
        <v>0</v>
      </c>
      <c r="E96" s="69">
        <v>0</v>
      </c>
      <c r="F96" s="69">
        <v>0</v>
      </c>
      <c r="G96" s="69" t="s">
        <v>25</v>
      </c>
      <c r="H96" s="69" t="str">
        <f>IFERROR(VLOOKUP(Data!$G96,canon!$I$2:$K$27,2,FALSE),"")</f>
        <v>TOP</v>
      </c>
      <c r="I96" s="69" t="str">
        <f>IFERROR(VLOOKUP(Data!$G96,canon!$I$2:$K$27,3,FALSE),"")</f>
        <v>APPAREL</v>
      </c>
      <c r="J96" s="69">
        <f t="shared" si="2"/>
        <v>5</v>
      </c>
      <c r="K96" s="69">
        <f t="shared" si="3"/>
        <v>1</v>
      </c>
      <c r="L96" s="69">
        <f>VLOOKUP(Table_db1_backend_Daily.accdb[[#This Row],[TradingDate]],canon!B:E,4,0)</f>
        <v>28</v>
      </c>
    </row>
    <row r="97" spans="1:12" x14ac:dyDescent="0.2">
      <c r="A97" s="69" t="s">
        <v>6</v>
      </c>
      <c r="B97" s="70">
        <v>42930</v>
      </c>
      <c r="C97" s="69">
        <v>0</v>
      </c>
      <c r="D97" s="69">
        <v>0</v>
      </c>
      <c r="E97" s="69">
        <v>0</v>
      </c>
      <c r="F97" s="69">
        <v>0</v>
      </c>
      <c r="G97" s="69" t="s">
        <v>27</v>
      </c>
      <c r="H97" s="69" t="str">
        <f>IFERROR(VLOOKUP(Data!$G97,canon!$I$2:$K$27,2,FALSE),"")</f>
        <v>ACCESSORY</v>
      </c>
      <c r="I97" s="69" t="str">
        <f>IFERROR(VLOOKUP(Data!$G97,canon!$I$2:$K$27,3,FALSE),"")</f>
        <v>N.APPAREL</v>
      </c>
      <c r="J97" s="69">
        <f t="shared" si="2"/>
        <v>6</v>
      </c>
      <c r="K97" s="69">
        <f t="shared" si="3"/>
        <v>1</v>
      </c>
      <c r="L97" s="69">
        <f>VLOOKUP(Table_db1_backend_Daily.accdb[[#This Row],[TradingDate]],canon!B:E,4,0)</f>
        <v>28</v>
      </c>
    </row>
    <row r="98" spans="1:12" x14ac:dyDescent="0.2">
      <c r="A98" s="69" t="s">
        <v>6</v>
      </c>
      <c r="B98" s="70">
        <v>42930</v>
      </c>
      <c r="C98" s="69">
        <v>0</v>
      </c>
      <c r="D98" s="69">
        <v>0</v>
      </c>
      <c r="E98" s="69">
        <v>0</v>
      </c>
      <c r="F98" s="69">
        <v>0</v>
      </c>
      <c r="G98" s="69" t="s">
        <v>7</v>
      </c>
      <c r="H98" s="69" t="str">
        <f>IFERROR(VLOOKUP(Data!$G98,canon!$I$2:$K$27,2,FALSE),"")</f>
        <v>ACCESSORY</v>
      </c>
      <c r="I98" s="69" t="str">
        <f>IFERROR(VLOOKUP(Data!$G98,canon!$I$2:$K$27,3,FALSE),"")</f>
        <v>N.APPAREL</v>
      </c>
      <c r="J98" s="69">
        <f t="shared" si="2"/>
        <v>6</v>
      </c>
      <c r="K98" s="69">
        <f t="shared" si="3"/>
        <v>1</v>
      </c>
      <c r="L98" s="69">
        <f>VLOOKUP(Table_db1_backend_Daily.accdb[[#This Row],[TradingDate]],canon!B:E,4,0)</f>
        <v>28</v>
      </c>
    </row>
    <row r="99" spans="1:12" x14ac:dyDescent="0.2">
      <c r="A99" s="69" t="s">
        <v>6</v>
      </c>
      <c r="B99" s="70">
        <v>42930</v>
      </c>
      <c r="C99" s="69">
        <v>-6</v>
      </c>
      <c r="D99" s="69">
        <v>0</v>
      </c>
      <c r="E99" s="69">
        <v>0</v>
      </c>
      <c r="F99" s="69">
        <v>0</v>
      </c>
      <c r="G99" s="69" t="s">
        <v>34</v>
      </c>
      <c r="H99" s="69" t="str">
        <f>IFERROR(VLOOKUP(Data!$G99,canon!$I$2:$K$27,2,FALSE),"")</f>
        <v>SHOES</v>
      </c>
      <c r="I99" s="69" t="str">
        <f>IFERROR(VLOOKUP(Data!$G99,canon!$I$2:$K$27,3,FALSE),"")</f>
        <v>N.APPAREL</v>
      </c>
      <c r="J99" s="69">
        <f t="shared" si="2"/>
        <v>6</v>
      </c>
      <c r="K99" s="69">
        <f t="shared" si="3"/>
        <v>1</v>
      </c>
      <c r="L99" s="69">
        <f>VLOOKUP(Table_db1_backend_Daily.accdb[[#This Row],[TradingDate]],canon!B:E,4,0)</f>
        <v>28</v>
      </c>
    </row>
    <row r="100" spans="1:12" x14ac:dyDescent="0.2">
      <c r="A100" s="69" t="s">
        <v>6</v>
      </c>
      <c r="B100" s="70">
        <v>42930</v>
      </c>
      <c r="C100" s="69">
        <v>6</v>
      </c>
      <c r="D100" s="69">
        <v>0</v>
      </c>
      <c r="E100" s="69">
        <v>0</v>
      </c>
      <c r="F100" s="69">
        <v>0</v>
      </c>
      <c r="G100" s="69" t="s">
        <v>38</v>
      </c>
      <c r="H100" s="69" t="str">
        <f>IFERROR(VLOOKUP(Data!$G100,canon!$I$2:$K$27,2,FALSE),"")</f>
        <v>SHOES</v>
      </c>
      <c r="I100" s="69" t="str">
        <f>IFERROR(VLOOKUP(Data!$G100,canon!$I$2:$K$27,3,FALSE),"")</f>
        <v>N.APPAREL</v>
      </c>
      <c r="J100" s="69">
        <f t="shared" si="2"/>
        <v>6</v>
      </c>
      <c r="K100" s="69">
        <f t="shared" si="3"/>
        <v>1</v>
      </c>
      <c r="L100" s="69">
        <f>VLOOKUP(Table_db1_backend_Daily.accdb[[#This Row],[TradingDate]],canon!B:E,4,0)</f>
        <v>28</v>
      </c>
    </row>
    <row r="101" spans="1:12" x14ac:dyDescent="0.2">
      <c r="A101" s="69" t="s">
        <v>6</v>
      </c>
      <c r="B101" s="70">
        <v>42930</v>
      </c>
      <c r="C101" s="69">
        <v>5128</v>
      </c>
      <c r="D101" s="69">
        <v>0</v>
      </c>
      <c r="E101" s="69">
        <v>0</v>
      </c>
      <c r="F101" s="69">
        <v>0</v>
      </c>
      <c r="G101" s="69" t="s">
        <v>35</v>
      </c>
      <c r="H101" s="69" t="str">
        <f>IFERROR(VLOOKUP(Data!$G101,canon!$I$2:$K$27,2,FALSE),"")</f>
        <v>DRESS</v>
      </c>
      <c r="I101" s="69" t="str">
        <f>IFERROR(VLOOKUP(Data!$G101,canon!$I$2:$K$27,3,FALSE),"")</f>
        <v>APPAREL</v>
      </c>
      <c r="J101" s="69">
        <f t="shared" si="2"/>
        <v>6</v>
      </c>
      <c r="K101" s="69">
        <f t="shared" si="3"/>
        <v>1</v>
      </c>
      <c r="L101" s="69">
        <f>VLOOKUP(Table_db1_backend_Daily.accdb[[#This Row],[TradingDate]],canon!B:E,4,0)</f>
        <v>28</v>
      </c>
    </row>
    <row r="102" spans="1:12" x14ac:dyDescent="0.2">
      <c r="A102" s="69" t="s">
        <v>6</v>
      </c>
      <c r="B102" s="70">
        <v>42930</v>
      </c>
      <c r="C102" s="69">
        <v>1</v>
      </c>
      <c r="D102" s="69">
        <v>0</v>
      </c>
      <c r="E102" s="69">
        <v>0</v>
      </c>
      <c r="F102" s="69">
        <v>0</v>
      </c>
      <c r="G102" s="69" t="s">
        <v>10</v>
      </c>
      <c r="H102" s="69" t="str">
        <f>IFERROR(VLOOKUP(Data!$G102,canon!$I$2:$K$27,2,FALSE),"")</f>
        <v>ACCESSORY</v>
      </c>
      <c r="I102" s="69" t="str">
        <f>IFERROR(VLOOKUP(Data!$G102,canon!$I$2:$K$27,3,FALSE),"")</f>
        <v>N.APPAREL</v>
      </c>
      <c r="J102" s="69">
        <f t="shared" si="2"/>
        <v>6</v>
      </c>
      <c r="K102" s="69">
        <f t="shared" si="3"/>
        <v>1</v>
      </c>
      <c r="L102" s="69">
        <f>VLOOKUP(Table_db1_backend_Daily.accdb[[#This Row],[TradingDate]],canon!B:E,4,0)</f>
        <v>28</v>
      </c>
    </row>
    <row r="103" spans="1:12" x14ac:dyDescent="0.2">
      <c r="A103" s="69" t="s">
        <v>6</v>
      </c>
      <c r="B103" s="70">
        <v>42930</v>
      </c>
      <c r="C103" s="69">
        <v>215</v>
      </c>
      <c r="D103" s="69">
        <v>0</v>
      </c>
      <c r="E103" s="69">
        <v>0</v>
      </c>
      <c r="F103" s="69">
        <v>0</v>
      </c>
      <c r="G103" s="69" t="s">
        <v>28</v>
      </c>
      <c r="H103" s="69" t="str">
        <f>IFERROR(VLOOKUP(Data!$G103,canon!$I$2:$K$27,2,FALSE),"")</f>
        <v>ACCESSORY</v>
      </c>
      <c r="I103" s="69" t="str">
        <f>IFERROR(VLOOKUP(Data!$G103,canon!$I$2:$K$27,3,FALSE),"")</f>
        <v>N.APPAREL</v>
      </c>
      <c r="J103" s="69">
        <f t="shared" si="2"/>
        <v>6</v>
      </c>
      <c r="K103" s="69">
        <f t="shared" si="3"/>
        <v>1</v>
      </c>
      <c r="L103" s="69">
        <f>VLOOKUP(Table_db1_backend_Daily.accdb[[#This Row],[TradingDate]],canon!B:E,4,0)</f>
        <v>28</v>
      </c>
    </row>
    <row r="104" spans="1:12" x14ac:dyDescent="0.2">
      <c r="A104" s="69" t="s">
        <v>6</v>
      </c>
      <c r="B104" s="70">
        <v>42930</v>
      </c>
      <c r="C104" s="69">
        <v>12950</v>
      </c>
      <c r="D104" s="69">
        <v>0</v>
      </c>
      <c r="E104" s="69">
        <v>0</v>
      </c>
      <c r="F104" s="69">
        <v>0</v>
      </c>
      <c r="G104" s="69" t="s">
        <v>11</v>
      </c>
      <c r="H104" s="69" t="str">
        <f>IFERROR(VLOOKUP(Data!$G104,canon!$I$2:$K$27,2,FALSE),"")</f>
        <v>KNIT</v>
      </c>
      <c r="I104" s="69" t="str">
        <f>IFERROR(VLOOKUP(Data!$G104,canon!$I$2:$K$27,3,FALSE),"")</f>
        <v>APPAREL</v>
      </c>
      <c r="J104" s="69">
        <f t="shared" si="2"/>
        <v>6</v>
      </c>
      <c r="K104" s="69">
        <f t="shared" si="3"/>
        <v>1</v>
      </c>
      <c r="L104" s="69">
        <f>VLOOKUP(Table_db1_backend_Daily.accdb[[#This Row],[TradingDate]],canon!B:E,4,0)</f>
        <v>28</v>
      </c>
    </row>
    <row r="105" spans="1:12" x14ac:dyDescent="0.2">
      <c r="A105" s="69" t="s">
        <v>6</v>
      </c>
      <c r="B105" s="70">
        <v>42930</v>
      </c>
      <c r="C105" s="69">
        <v>4727</v>
      </c>
      <c r="D105" s="69">
        <v>0</v>
      </c>
      <c r="E105" s="69">
        <v>0</v>
      </c>
      <c r="F105" s="69">
        <v>0</v>
      </c>
      <c r="G105" s="69" t="s">
        <v>14</v>
      </c>
      <c r="H105" s="69" t="str">
        <f>IFERROR(VLOOKUP(Data!$G105,canon!$I$2:$K$27,2,FALSE),"")</f>
        <v>LEGGING</v>
      </c>
      <c r="I105" s="69" t="str">
        <f>IFERROR(VLOOKUP(Data!$G105,canon!$I$2:$K$27,3,FALSE),"")</f>
        <v>APPAREL</v>
      </c>
      <c r="J105" s="69">
        <f t="shared" si="2"/>
        <v>6</v>
      </c>
      <c r="K105" s="69">
        <f t="shared" si="3"/>
        <v>1</v>
      </c>
      <c r="L105" s="69">
        <f>VLOOKUP(Table_db1_backend_Daily.accdb[[#This Row],[TradingDate]],canon!B:E,4,0)</f>
        <v>28</v>
      </c>
    </row>
    <row r="106" spans="1:12" x14ac:dyDescent="0.2">
      <c r="A106" s="69" t="s">
        <v>6</v>
      </c>
      <c r="B106" s="70">
        <v>42930</v>
      </c>
      <c r="C106" s="69">
        <v>0</v>
      </c>
      <c r="D106" s="69">
        <v>0</v>
      </c>
      <c r="E106" s="69">
        <v>0</v>
      </c>
      <c r="F106" s="69">
        <v>0</v>
      </c>
      <c r="G106" s="69" t="s">
        <v>16</v>
      </c>
      <c r="H106" s="69" t="str">
        <f>IFERROR(VLOOKUP(Data!$G106,canon!$I$2:$K$27,2,FALSE),"")</f>
        <v>ACCESSORY</v>
      </c>
      <c r="I106" s="69" t="str">
        <f>IFERROR(VLOOKUP(Data!$G106,canon!$I$2:$K$27,3,FALSE),"")</f>
        <v>N.APPAREL</v>
      </c>
      <c r="J106" s="69">
        <f t="shared" si="2"/>
        <v>6</v>
      </c>
      <c r="K106" s="69">
        <f t="shared" si="3"/>
        <v>1</v>
      </c>
      <c r="L106" s="69">
        <f>VLOOKUP(Table_db1_backend_Daily.accdb[[#This Row],[TradingDate]],canon!B:E,4,0)</f>
        <v>28</v>
      </c>
    </row>
    <row r="107" spans="1:12" x14ac:dyDescent="0.2">
      <c r="A107" s="69" t="s">
        <v>6</v>
      </c>
      <c r="B107" s="70">
        <v>42930</v>
      </c>
      <c r="C107" s="69">
        <v>13</v>
      </c>
      <c r="D107" s="69">
        <v>0</v>
      </c>
      <c r="E107" s="69">
        <v>0</v>
      </c>
      <c r="F107" s="69">
        <v>0</v>
      </c>
      <c r="G107" s="69" t="s">
        <v>37</v>
      </c>
      <c r="H107" s="69" t="str">
        <f>IFERROR(VLOOKUP(Data!$G107,canon!$I$2:$K$27,2,FALSE),"")</f>
        <v>SHOES</v>
      </c>
      <c r="I107" s="69" t="str">
        <f>IFERROR(VLOOKUP(Data!$G107,canon!$I$2:$K$27,3,FALSE),"")</f>
        <v>N.APPAREL</v>
      </c>
      <c r="J107" s="69">
        <f t="shared" si="2"/>
        <v>6</v>
      </c>
      <c r="K107" s="69">
        <f t="shared" si="3"/>
        <v>1</v>
      </c>
      <c r="L107" s="69">
        <f>VLOOKUP(Table_db1_backend_Daily.accdb[[#This Row],[TradingDate]],canon!B:E,4,0)</f>
        <v>28</v>
      </c>
    </row>
    <row r="108" spans="1:12" x14ac:dyDescent="0.2">
      <c r="A108" s="69" t="s">
        <v>6</v>
      </c>
      <c r="B108" s="70">
        <v>42930</v>
      </c>
      <c r="C108" s="69">
        <v>-1</v>
      </c>
      <c r="D108" s="69">
        <v>0</v>
      </c>
      <c r="E108" s="69">
        <v>0</v>
      </c>
      <c r="F108" s="69">
        <v>0</v>
      </c>
      <c r="G108" s="69" t="s">
        <v>29</v>
      </c>
      <c r="H108" s="69" t="str">
        <f>IFERROR(VLOOKUP(Data!$G108,canon!$I$2:$K$27,2,FALSE),"")</f>
        <v>SHOES</v>
      </c>
      <c r="I108" s="69" t="str">
        <f>IFERROR(VLOOKUP(Data!$G108,canon!$I$2:$K$27,3,FALSE),"")</f>
        <v>N.APPAREL</v>
      </c>
      <c r="J108" s="69">
        <f t="shared" si="2"/>
        <v>6</v>
      </c>
      <c r="K108" s="69">
        <f t="shared" si="3"/>
        <v>1</v>
      </c>
      <c r="L108" s="69">
        <f>VLOOKUP(Table_db1_backend_Daily.accdb[[#This Row],[TradingDate]],canon!B:E,4,0)</f>
        <v>28</v>
      </c>
    </row>
    <row r="109" spans="1:12" x14ac:dyDescent="0.2">
      <c r="A109" s="69" t="s">
        <v>6</v>
      </c>
      <c r="B109" s="70">
        <v>42930</v>
      </c>
      <c r="C109" s="69">
        <v>4096</v>
      </c>
      <c r="D109" s="69">
        <v>0</v>
      </c>
      <c r="E109" s="69">
        <v>0</v>
      </c>
      <c r="F109" s="69">
        <v>0</v>
      </c>
      <c r="G109" s="69" t="s">
        <v>17</v>
      </c>
      <c r="H109" s="69" t="str">
        <f>IFERROR(VLOOKUP(Data!$G109,canon!$I$2:$K$27,2,FALSE),"")</f>
        <v>OUTER</v>
      </c>
      <c r="I109" s="69" t="str">
        <f>IFERROR(VLOOKUP(Data!$G109,canon!$I$2:$K$27,3,FALSE),"")</f>
        <v>APPAREL</v>
      </c>
      <c r="J109" s="69">
        <f t="shared" si="2"/>
        <v>6</v>
      </c>
      <c r="K109" s="69">
        <f t="shared" si="3"/>
        <v>1</v>
      </c>
      <c r="L109" s="69">
        <f>VLOOKUP(Table_db1_backend_Daily.accdb[[#This Row],[TradingDate]],canon!B:E,4,0)</f>
        <v>28</v>
      </c>
    </row>
    <row r="110" spans="1:12" x14ac:dyDescent="0.2">
      <c r="A110" s="69" t="s">
        <v>6</v>
      </c>
      <c r="B110" s="70">
        <v>42930</v>
      </c>
      <c r="C110" s="69">
        <v>1476</v>
      </c>
      <c r="D110" s="69">
        <v>0</v>
      </c>
      <c r="E110" s="69">
        <v>0</v>
      </c>
      <c r="F110" s="69">
        <v>0</v>
      </c>
      <c r="G110" s="69" t="s">
        <v>19</v>
      </c>
      <c r="H110" s="69" t="str">
        <f>IFERROR(VLOOKUP(Data!$G110,canon!$I$2:$K$27,2,FALSE),"")</f>
        <v>PANT</v>
      </c>
      <c r="I110" s="69" t="str">
        <f>IFERROR(VLOOKUP(Data!$G110,canon!$I$2:$K$27,3,FALSE),"")</f>
        <v>APPAREL</v>
      </c>
      <c r="J110" s="69">
        <f t="shared" si="2"/>
        <v>6</v>
      </c>
      <c r="K110" s="69">
        <f t="shared" si="3"/>
        <v>1</v>
      </c>
      <c r="L110" s="69">
        <f>VLOOKUP(Table_db1_backend_Daily.accdb[[#This Row],[TradingDate]],canon!B:E,4,0)</f>
        <v>28</v>
      </c>
    </row>
    <row r="111" spans="1:12" x14ac:dyDescent="0.2">
      <c r="A111" s="69" t="s">
        <v>6</v>
      </c>
      <c r="B111" s="70">
        <v>42930</v>
      </c>
      <c r="C111" s="69">
        <v>49</v>
      </c>
      <c r="D111" s="69">
        <v>0</v>
      </c>
      <c r="E111" s="69">
        <v>0</v>
      </c>
      <c r="F111" s="69">
        <v>0</v>
      </c>
      <c r="G111" s="69" t="s">
        <v>21</v>
      </c>
      <c r="H111" s="69" t="str">
        <f>IFERROR(VLOOKUP(Data!$G111,canon!$I$2:$K$27,2,FALSE),"")</f>
        <v>ACCESSORY</v>
      </c>
      <c r="I111" s="69" t="str">
        <f>IFERROR(VLOOKUP(Data!$G111,canon!$I$2:$K$27,3,FALSE),"")</f>
        <v>N.APPAREL</v>
      </c>
      <c r="J111" s="69">
        <f t="shared" si="2"/>
        <v>6</v>
      </c>
      <c r="K111" s="69">
        <f t="shared" si="3"/>
        <v>1</v>
      </c>
      <c r="L111" s="69">
        <f>VLOOKUP(Table_db1_backend_Daily.accdb[[#This Row],[TradingDate]],canon!B:E,4,0)</f>
        <v>28</v>
      </c>
    </row>
    <row r="112" spans="1:12" x14ac:dyDescent="0.2">
      <c r="A112" s="69" t="s">
        <v>6</v>
      </c>
      <c r="B112" s="70">
        <v>42930</v>
      </c>
      <c r="C112" s="69">
        <v>4401</v>
      </c>
      <c r="D112" s="69">
        <v>0</v>
      </c>
      <c r="E112" s="69">
        <v>0</v>
      </c>
      <c r="F112" s="69">
        <v>0</v>
      </c>
      <c r="G112" s="69" t="s">
        <v>22</v>
      </c>
      <c r="H112" s="69" t="str">
        <f>IFERROR(VLOOKUP(Data!$G112,canon!$I$2:$K$27,2,FALSE),"")</f>
        <v>SCARF</v>
      </c>
      <c r="I112" s="69" t="str">
        <f>IFERROR(VLOOKUP(Data!$G112,canon!$I$2:$K$27,3,FALSE),"")</f>
        <v>N.APPAREL</v>
      </c>
      <c r="J112" s="69">
        <f t="shared" si="2"/>
        <v>6</v>
      </c>
      <c r="K112" s="69">
        <f t="shared" si="3"/>
        <v>1</v>
      </c>
      <c r="L112" s="69">
        <f>VLOOKUP(Table_db1_backend_Daily.accdb[[#This Row],[TradingDate]],canon!B:E,4,0)</f>
        <v>28</v>
      </c>
    </row>
    <row r="113" spans="1:12" x14ac:dyDescent="0.2">
      <c r="A113" s="69" t="s">
        <v>6</v>
      </c>
      <c r="B113" s="70">
        <v>42930</v>
      </c>
      <c r="C113" s="69">
        <v>1693</v>
      </c>
      <c r="D113" s="69">
        <v>0</v>
      </c>
      <c r="E113" s="69">
        <v>0</v>
      </c>
      <c r="F113" s="69">
        <v>0</v>
      </c>
      <c r="G113" s="69" t="s">
        <v>23</v>
      </c>
      <c r="H113" s="69" t="str">
        <f>IFERROR(VLOOKUP(Data!$G113,canon!$I$2:$K$27,2,FALSE),"")</f>
        <v>SH&amp;BL</v>
      </c>
      <c r="I113" s="69" t="str">
        <f>IFERROR(VLOOKUP(Data!$G113,canon!$I$2:$K$27,3,FALSE),"")</f>
        <v>APPAREL</v>
      </c>
      <c r="J113" s="69">
        <f t="shared" si="2"/>
        <v>6</v>
      </c>
      <c r="K113" s="69">
        <f t="shared" si="3"/>
        <v>1</v>
      </c>
      <c r="L113" s="69">
        <f>VLOOKUP(Table_db1_backend_Daily.accdb[[#This Row],[TradingDate]],canon!B:E,4,0)</f>
        <v>28</v>
      </c>
    </row>
    <row r="114" spans="1:12" x14ac:dyDescent="0.2">
      <c r="A114" s="69" t="s">
        <v>6</v>
      </c>
      <c r="B114" s="70">
        <v>42930</v>
      </c>
      <c r="C114" s="69">
        <v>1421</v>
      </c>
      <c r="D114" s="69">
        <v>0</v>
      </c>
      <c r="E114" s="69">
        <v>0</v>
      </c>
      <c r="F114" s="69">
        <v>0</v>
      </c>
      <c r="G114" s="69" t="s">
        <v>32</v>
      </c>
      <c r="H114" s="69" t="str">
        <f>IFERROR(VLOOKUP(Data!$G114,canon!$I$2:$K$27,2,FALSE),"")</f>
        <v>SKIRT</v>
      </c>
      <c r="I114" s="69" t="str">
        <f>IFERROR(VLOOKUP(Data!$G114,canon!$I$2:$K$27,3,FALSE),"")</f>
        <v>APPAREL</v>
      </c>
      <c r="J114" s="69">
        <f t="shared" si="2"/>
        <v>6</v>
      </c>
      <c r="K114" s="69">
        <f t="shared" si="3"/>
        <v>1</v>
      </c>
      <c r="L114" s="69">
        <f>VLOOKUP(Table_db1_backend_Daily.accdb[[#This Row],[TradingDate]],canon!B:E,4,0)</f>
        <v>28</v>
      </c>
    </row>
    <row r="115" spans="1:12" x14ac:dyDescent="0.2">
      <c r="A115" s="69" t="s">
        <v>6</v>
      </c>
      <c r="B115" s="70">
        <v>42930</v>
      </c>
      <c r="C115" s="69">
        <v>11204</v>
      </c>
      <c r="D115" s="69">
        <v>0</v>
      </c>
      <c r="E115" s="69">
        <v>0</v>
      </c>
      <c r="F115" s="69">
        <v>0</v>
      </c>
      <c r="G115" s="69" t="s">
        <v>25</v>
      </c>
      <c r="H115" s="69" t="str">
        <f>IFERROR(VLOOKUP(Data!$G115,canon!$I$2:$K$27,2,FALSE),"")</f>
        <v>TOP</v>
      </c>
      <c r="I115" s="69" t="str">
        <f>IFERROR(VLOOKUP(Data!$G115,canon!$I$2:$K$27,3,FALSE),"")</f>
        <v>APPAREL</v>
      </c>
      <c r="J115" s="69">
        <f t="shared" si="2"/>
        <v>6</v>
      </c>
      <c r="K115" s="69">
        <f t="shared" si="3"/>
        <v>1</v>
      </c>
      <c r="L115" s="69">
        <f>VLOOKUP(Table_db1_backend_Daily.accdb[[#This Row],[TradingDate]],canon!B:E,4,0)</f>
        <v>28</v>
      </c>
    </row>
    <row r="116" spans="1:12" x14ac:dyDescent="0.2">
      <c r="A116" s="69" t="s">
        <v>6</v>
      </c>
      <c r="B116" s="70">
        <v>42931</v>
      </c>
      <c r="C116" s="69">
        <v>0</v>
      </c>
      <c r="D116" s="69">
        <v>0</v>
      </c>
      <c r="E116" s="69">
        <v>0</v>
      </c>
      <c r="F116" s="69">
        <v>0</v>
      </c>
      <c r="G116" s="69" t="s">
        <v>27</v>
      </c>
      <c r="H116" s="69" t="str">
        <f>IFERROR(VLOOKUP(Data!$G116,canon!$I$2:$K$27,2,FALSE),"")</f>
        <v>ACCESSORY</v>
      </c>
      <c r="I116" s="69" t="str">
        <f>IFERROR(VLOOKUP(Data!$G116,canon!$I$2:$K$27,3,FALSE),"")</f>
        <v>N.APPAREL</v>
      </c>
      <c r="J116" s="69">
        <f t="shared" si="2"/>
        <v>7</v>
      </c>
      <c r="K116" s="69">
        <f t="shared" si="3"/>
        <v>1</v>
      </c>
      <c r="L116" s="69">
        <f>VLOOKUP(Table_db1_backend_Daily.accdb[[#This Row],[TradingDate]],canon!B:E,4,0)</f>
        <v>28</v>
      </c>
    </row>
    <row r="117" spans="1:12" x14ac:dyDescent="0.2">
      <c r="A117" s="69" t="s">
        <v>6</v>
      </c>
      <c r="B117" s="70">
        <v>42931</v>
      </c>
      <c r="C117" s="69">
        <v>0</v>
      </c>
      <c r="D117" s="69">
        <v>0</v>
      </c>
      <c r="E117" s="69">
        <v>0</v>
      </c>
      <c r="F117" s="69">
        <v>0</v>
      </c>
      <c r="G117" s="69" t="s">
        <v>7</v>
      </c>
      <c r="H117" s="69" t="str">
        <f>IFERROR(VLOOKUP(Data!$G117,canon!$I$2:$K$27,2,FALSE),"")</f>
        <v>ACCESSORY</v>
      </c>
      <c r="I117" s="69" t="str">
        <f>IFERROR(VLOOKUP(Data!$G117,canon!$I$2:$K$27,3,FALSE),"")</f>
        <v>N.APPAREL</v>
      </c>
      <c r="J117" s="69">
        <f t="shared" si="2"/>
        <v>7</v>
      </c>
      <c r="K117" s="69">
        <f t="shared" si="3"/>
        <v>1</v>
      </c>
      <c r="L117" s="69">
        <f>VLOOKUP(Table_db1_backend_Daily.accdb[[#This Row],[TradingDate]],canon!B:E,4,0)</f>
        <v>28</v>
      </c>
    </row>
    <row r="118" spans="1:12" x14ac:dyDescent="0.2">
      <c r="A118" s="69" t="s">
        <v>6</v>
      </c>
      <c r="B118" s="70">
        <v>42931</v>
      </c>
      <c r="C118" s="69">
        <v>-6</v>
      </c>
      <c r="D118" s="69">
        <v>0</v>
      </c>
      <c r="E118" s="69">
        <v>0</v>
      </c>
      <c r="F118" s="69">
        <v>0</v>
      </c>
      <c r="G118" s="69" t="s">
        <v>34</v>
      </c>
      <c r="H118" s="69" t="str">
        <f>IFERROR(VLOOKUP(Data!$G118,canon!$I$2:$K$27,2,FALSE),"")</f>
        <v>SHOES</v>
      </c>
      <c r="I118" s="69" t="str">
        <f>IFERROR(VLOOKUP(Data!$G118,canon!$I$2:$K$27,3,FALSE),"")</f>
        <v>N.APPAREL</v>
      </c>
      <c r="J118" s="69">
        <f t="shared" si="2"/>
        <v>7</v>
      </c>
      <c r="K118" s="69">
        <f t="shared" si="3"/>
        <v>1</v>
      </c>
      <c r="L118" s="69">
        <f>VLOOKUP(Table_db1_backend_Daily.accdb[[#This Row],[TradingDate]],canon!B:E,4,0)</f>
        <v>28</v>
      </c>
    </row>
    <row r="119" spans="1:12" x14ac:dyDescent="0.2">
      <c r="A119" s="69" t="s">
        <v>6</v>
      </c>
      <c r="B119" s="70">
        <v>42931</v>
      </c>
      <c r="C119" s="69">
        <v>6</v>
      </c>
      <c r="D119" s="69">
        <v>0</v>
      </c>
      <c r="E119" s="69">
        <v>0</v>
      </c>
      <c r="F119" s="69">
        <v>0</v>
      </c>
      <c r="G119" s="69" t="s">
        <v>38</v>
      </c>
      <c r="H119" s="69" t="str">
        <f>IFERROR(VLOOKUP(Data!$G119,canon!$I$2:$K$27,2,FALSE),"")</f>
        <v>SHOES</v>
      </c>
      <c r="I119" s="69" t="str">
        <f>IFERROR(VLOOKUP(Data!$G119,canon!$I$2:$K$27,3,FALSE),"")</f>
        <v>N.APPAREL</v>
      </c>
      <c r="J119" s="69">
        <f t="shared" si="2"/>
        <v>7</v>
      </c>
      <c r="K119" s="69">
        <f t="shared" si="3"/>
        <v>1</v>
      </c>
      <c r="L119" s="69">
        <f>VLOOKUP(Table_db1_backend_Daily.accdb[[#This Row],[TradingDate]],canon!B:E,4,0)</f>
        <v>28</v>
      </c>
    </row>
    <row r="120" spans="1:12" x14ac:dyDescent="0.2">
      <c r="A120" s="69" t="s">
        <v>6</v>
      </c>
      <c r="B120" s="70">
        <v>42931</v>
      </c>
      <c r="C120" s="69">
        <v>5128</v>
      </c>
      <c r="D120" s="69">
        <v>0</v>
      </c>
      <c r="E120" s="69">
        <v>0</v>
      </c>
      <c r="F120" s="69">
        <v>0</v>
      </c>
      <c r="G120" s="69" t="s">
        <v>35</v>
      </c>
      <c r="H120" s="69" t="str">
        <f>IFERROR(VLOOKUP(Data!$G120,canon!$I$2:$K$27,2,FALSE),"")</f>
        <v>DRESS</v>
      </c>
      <c r="I120" s="69" t="str">
        <f>IFERROR(VLOOKUP(Data!$G120,canon!$I$2:$K$27,3,FALSE),"")</f>
        <v>APPAREL</v>
      </c>
      <c r="J120" s="69">
        <f t="shared" si="2"/>
        <v>7</v>
      </c>
      <c r="K120" s="69">
        <f t="shared" si="3"/>
        <v>1</v>
      </c>
      <c r="L120" s="69">
        <f>VLOOKUP(Table_db1_backend_Daily.accdb[[#This Row],[TradingDate]],canon!B:E,4,0)</f>
        <v>28</v>
      </c>
    </row>
    <row r="121" spans="1:12" x14ac:dyDescent="0.2">
      <c r="A121" s="69" t="s">
        <v>6</v>
      </c>
      <c r="B121" s="70">
        <v>42931</v>
      </c>
      <c r="C121" s="69">
        <v>1</v>
      </c>
      <c r="D121" s="69">
        <v>0</v>
      </c>
      <c r="E121" s="69">
        <v>0</v>
      </c>
      <c r="F121" s="69">
        <v>0</v>
      </c>
      <c r="G121" s="69" t="s">
        <v>10</v>
      </c>
      <c r="H121" s="69" t="str">
        <f>IFERROR(VLOOKUP(Data!$G121,canon!$I$2:$K$27,2,FALSE),"")</f>
        <v>ACCESSORY</v>
      </c>
      <c r="I121" s="69" t="str">
        <f>IFERROR(VLOOKUP(Data!$G121,canon!$I$2:$K$27,3,FALSE),"")</f>
        <v>N.APPAREL</v>
      </c>
      <c r="J121" s="69">
        <f t="shared" si="2"/>
        <v>7</v>
      </c>
      <c r="K121" s="69">
        <f t="shared" si="3"/>
        <v>1</v>
      </c>
      <c r="L121" s="69">
        <f>VLOOKUP(Table_db1_backend_Daily.accdb[[#This Row],[TradingDate]],canon!B:E,4,0)</f>
        <v>28</v>
      </c>
    </row>
    <row r="122" spans="1:12" x14ac:dyDescent="0.2">
      <c r="A122" s="69" t="s">
        <v>6</v>
      </c>
      <c r="B122" s="70">
        <v>42931</v>
      </c>
      <c r="C122" s="69">
        <v>215</v>
      </c>
      <c r="D122" s="69">
        <v>0</v>
      </c>
      <c r="E122" s="69">
        <v>0</v>
      </c>
      <c r="F122" s="69">
        <v>0</v>
      </c>
      <c r="G122" s="69" t="s">
        <v>28</v>
      </c>
      <c r="H122" s="69" t="str">
        <f>IFERROR(VLOOKUP(Data!$G122,canon!$I$2:$K$27,2,FALSE),"")</f>
        <v>ACCESSORY</v>
      </c>
      <c r="I122" s="69" t="str">
        <f>IFERROR(VLOOKUP(Data!$G122,canon!$I$2:$K$27,3,FALSE),"")</f>
        <v>N.APPAREL</v>
      </c>
      <c r="J122" s="69">
        <f t="shared" si="2"/>
        <v>7</v>
      </c>
      <c r="K122" s="69">
        <f t="shared" si="3"/>
        <v>1</v>
      </c>
      <c r="L122" s="69">
        <f>VLOOKUP(Table_db1_backend_Daily.accdb[[#This Row],[TradingDate]],canon!B:E,4,0)</f>
        <v>28</v>
      </c>
    </row>
    <row r="123" spans="1:12" x14ac:dyDescent="0.2">
      <c r="A123" s="69" t="s">
        <v>6</v>
      </c>
      <c r="B123" s="70">
        <v>42931</v>
      </c>
      <c r="C123" s="69">
        <v>12950</v>
      </c>
      <c r="D123" s="69">
        <v>0</v>
      </c>
      <c r="E123" s="69">
        <v>0</v>
      </c>
      <c r="F123" s="69">
        <v>0</v>
      </c>
      <c r="G123" s="69" t="s">
        <v>11</v>
      </c>
      <c r="H123" s="69" t="str">
        <f>IFERROR(VLOOKUP(Data!$G123,canon!$I$2:$K$27,2,FALSE),"")</f>
        <v>KNIT</v>
      </c>
      <c r="I123" s="69" t="str">
        <f>IFERROR(VLOOKUP(Data!$G123,canon!$I$2:$K$27,3,FALSE),"")</f>
        <v>APPAREL</v>
      </c>
      <c r="J123" s="69">
        <f t="shared" si="2"/>
        <v>7</v>
      </c>
      <c r="K123" s="69">
        <f t="shared" si="3"/>
        <v>1</v>
      </c>
      <c r="L123" s="69">
        <f>VLOOKUP(Table_db1_backend_Daily.accdb[[#This Row],[TradingDate]],canon!B:E,4,0)</f>
        <v>28</v>
      </c>
    </row>
    <row r="124" spans="1:12" x14ac:dyDescent="0.2">
      <c r="A124" s="69" t="s">
        <v>6</v>
      </c>
      <c r="B124" s="70">
        <v>42931</v>
      </c>
      <c r="C124" s="69">
        <v>4727</v>
      </c>
      <c r="D124" s="69">
        <v>0</v>
      </c>
      <c r="E124" s="69">
        <v>0</v>
      </c>
      <c r="F124" s="69">
        <v>0</v>
      </c>
      <c r="G124" s="69" t="s">
        <v>14</v>
      </c>
      <c r="H124" s="69" t="str">
        <f>IFERROR(VLOOKUP(Data!$G124,canon!$I$2:$K$27,2,FALSE),"")</f>
        <v>LEGGING</v>
      </c>
      <c r="I124" s="69" t="str">
        <f>IFERROR(VLOOKUP(Data!$G124,canon!$I$2:$K$27,3,FALSE),"")</f>
        <v>APPAREL</v>
      </c>
      <c r="J124" s="69">
        <f t="shared" si="2"/>
        <v>7</v>
      </c>
      <c r="K124" s="69">
        <f t="shared" si="3"/>
        <v>1</v>
      </c>
      <c r="L124" s="69">
        <f>VLOOKUP(Table_db1_backend_Daily.accdb[[#This Row],[TradingDate]],canon!B:E,4,0)</f>
        <v>28</v>
      </c>
    </row>
    <row r="125" spans="1:12" x14ac:dyDescent="0.2">
      <c r="A125" s="69" t="s">
        <v>6</v>
      </c>
      <c r="B125" s="70">
        <v>42931</v>
      </c>
      <c r="C125" s="69">
        <v>0</v>
      </c>
      <c r="D125" s="69">
        <v>0</v>
      </c>
      <c r="E125" s="69">
        <v>0</v>
      </c>
      <c r="F125" s="69">
        <v>0</v>
      </c>
      <c r="G125" s="69" t="s">
        <v>16</v>
      </c>
      <c r="H125" s="69" t="str">
        <f>IFERROR(VLOOKUP(Data!$G125,canon!$I$2:$K$27,2,FALSE),"")</f>
        <v>ACCESSORY</v>
      </c>
      <c r="I125" s="69" t="str">
        <f>IFERROR(VLOOKUP(Data!$G125,canon!$I$2:$K$27,3,FALSE),"")</f>
        <v>N.APPAREL</v>
      </c>
      <c r="J125" s="69">
        <f t="shared" si="2"/>
        <v>7</v>
      </c>
      <c r="K125" s="69">
        <f t="shared" si="3"/>
        <v>1</v>
      </c>
      <c r="L125" s="69">
        <f>VLOOKUP(Table_db1_backend_Daily.accdb[[#This Row],[TradingDate]],canon!B:E,4,0)</f>
        <v>28</v>
      </c>
    </row>
    <row r="126" spans="1:12" x14ac:dyDescent="0.2">
      <c r="A126" s="69" t="s">
        <v>6</v>
      </c>
      <c r="B126" s="70">
        <v>42931</v>
      </c>
      <c r="C126" s="69">
        <v>13</v>
      </c>
      <c r="D126" s="69">
        <v>0</v>
      </c>
      <c r="E126" s="69">
        <v>0</v>
      </c>
      <c r="F126" s="69">
        <v>0</v>
      </c>
      <c r="G126" s="69" t="s">
        <v>37</v>
      </c>
      <c r="H126" s="69" t="str">
        <f>IFERROR(VLOOKUP(Data!$G126,canon!$I$2:$K$27,2,FALSE),"")</f>
        <v>SHOES</v>
      </c>
      <c r="I126" s="69" t="str">
        <f>IFERROR(VLOOKUP(Data!$G126,canon!$I$2:$K$27,3,FALSE),"")</f>
        <v>N.APPAREL</v>
      </c>
      <c r="J126" s="69">
        <f t="shared" si="2"/>
        <v>7</v>
      </c>
      <c r="K126" s="69">
        <f t="shared" si="3"/>
        <v>1</v>
      </c>
      <c r="L126" s="69">
        <f>VLOOKUP(Table_db1_backend_Daily.accdb[[#This Row],[TradingDate]],canon!B:E,4,0)</f>
        <v>28</v>
      </c>
    </row>
    <row r="127" spans="1:12" x14ac:dyDescent="0.2">
      <c r="A127" s="69" t="s">
        <v>6</v>
      </c>
      <c r="B127" s="70">
        <v>42931</v>
      </c>
      <c r="C127" s="69">
        <v>-1</v>
      </c>
      <c r="D127" s="69">
        <v>0</v>
      </c>
      <c r="E127" s="69">
        <v>0</v>
      </c>
      <c r="F127" s="69">
        <v>0</v>
      </c>
      <c r="G127" s="69" t="s">
        <v>29</v>
      </c>
      <c r="H127" s="69" t="str">
        <f>IFERROR(VLOOKUP(Data!$G127,canon!$I$2:$K$27,2,FALSE),"")</f>
        <v>SHOES</v>
      </c>
      <c r="I127" s="69" t="str">
        <f>IFERROR(VLOOKUP(Data!$G127,canon!$I$2:$K$27,3,FALSE),"")</f>
        <v>N.APPAREL</v>
      </c>
      <c r="J127" s="69">
        <f t="shared" si="2"/>
        <v>7</v>
      </c>
      <c r="K127" s="69">
        <f t="shared" si="3"/>
        <v>1</v>
      </c>
      <c r="L127" s="69">
        <f>VLOOKUP(Table_db1_backend_Daily.accdb[[#This Row],[TradingDate]],canon!B:E,4,0)</f>
        <v>28</v>
      </c>
    </row>
    <row r="128" spans="1:12" x14ac:dyDescent="0.2">
      <c r="A128" s="69" t="s">
        <v>6</v>
      </c>
      <c r="B128" s="70">
        <v>42931</v>
      </c>
      <c r="C128" s="69">
        <v>4096</v>
      </c>
      <c r="D128" s="69">
        <v>0</v>
      </c>
      <c r="E128" s="69">
        <v>0</v>
      </c>
      <c r="F128" s="69">
        <v>0</v>
      </c>
      <c r="G128" s="69" t="s">
        <v>17</v>
      </c>
      <c r="H128" s="69" t="str">
        <f>IFERROR(VLOOKUP(Data!$G128,canon!$I$2:$K$27,2,FALSE),"")</f>
        <v>OUTER</v>
      </c>
      <c r="I128" s="69" t="str">
        <f>IFERROR(VLOOKUP(Data!$G128,canon!$I$2:$K$27,3,FALSE),"")</f>
        <v>APPAREL</v>
      </c>
      <c r="J128" s="69">
        <f t="shared" si="2"/>
        <v>7</v>
      </c>
      <c r="K128" s="69">
        <f t="shared" si="3"/>
        <v>1</v>
      </c>
      <c r="L128" s="69">
        <f>VLOOKUP(Table_db1_backend_Daily.accdb[[#This Row],[TradingDate]],canon!B:E,4,0)</f>
        <v>28</v>
      </c>
    </row>
    <row r="129" spans="1:12" x14ac:dyDescent="0.2">
      <c r="A129" s="69" t="s">
        <v>6</v>
      </c>
      <c r="B129" s="70">
        <v>42931</v>
      </c>
      <c r="C129" s="69">
        <v>1476</v>
      </c>
      <c r="D129" s="69">
        <v>0</v>
      </c>
      <c r="E129" s="69">
        <v>0</v>
      </c>
      <c r="F129" s="69">
        <v>0</v>
      </c>
      <c r="G129" s="69" t="s">
        <v>19</v>
      </c>
      <c r="H129" s="69" t="str">
        <f>IFERROR(VLOOKUP(Data!$G129,canon!$I$2:$K$27,2,FALSE),"")</f>
        <v>PANT</v>
      </c>
      <c r="I129" s="69" t="str">
        <f>IFERROR(VLOOKUP(Data!$G129,canon!$I$2:$K$27,3,FALSE),"")</f>
        <v>APPAREL</v>
      </c>
      <c r="J129" s="69">
        <f t="shared" si="2"/>
        <v>7</v>
      </c>
      <c r="K129" s="69">
        <f t="shared" si="3"/>
        <v>1</v>
      </c>
      <c r="L129" s="69">
        <f>VLOOKUP(Table_db1_backend_Daily.accdb[[#This Row],[TradingDate]],canon!B:E,4,0)</f>
        <v>28</v>
      </c>
    </row>
    <row r="130" spans="1:12" x14ac:dyDescent="0.2">
      <c r="A130" s="69" t="s">
        <v>6</v>
      </c>
      <c r="B130" s="70">
        <v>42931</v>
      </c>
      <c r="C130" s="69">
        <v>49</v>
      </c>
      <c r="D130" s="69">
        <v>0</v>
      </c>
      <c r="E130" s="69">
        <v>0</v>
      </c>
      <c r="F130" s="69">
        <v>0</v>
      </c>
      <c r="G130" s="69" t="s">
        <v>21</v>
      </c>
      <c r="H130" s="69" t="str">
        <f>IFERROR(VLOOKUP(Data!$G130,canon!$I$2:$K$27,2,FALSE),"")</f>
        <v>ACCESSORY</v>
      </c>
      <c r="I130" s="69" t="str">
        <f>IFERROR(VLOOKUP(Data!$G130,canon!$I$2:$K$27,3,FALSE),"")</f>
        <v>N.APPAREL</v>
      </c>
      <c r="J130" s="69">
        <f t="shared" ref="J130:J193" si="4">WEEKDAY(B130)</f>
        <v>7</v>
      </c>
      <c r="K130" s="69">
        <f t="shared" ref="K130:K193" si="5">INT(A130)</f>
        <v>1</v>
      </c>
      <c r="L130" s="69">
        <f>VLOOKUP(Table_db1_backend_Daily.accdb[[#This Row],[TradingDate]],canon!B:E,4,0)</f>
        <v>28</v>
      </c>
    </row>
    <row r="131" spans="1:12" x14ac:dyDescent="0.2">
      <c r="A131" s="69" t="s">
        <v>6</v>
      </c>
      <c r="B131" s="70">
        <v>42931</v>
      </c>
      <c r="C131" s="69">
        <v>4401</v>
      </c>
      <c r="D131" s="69">
        <v>0</v>
      </c>
      <c r="E131" s="69">
        <v>0</v>
      </c>
      <c r="F131" s="69">
        <v>0</v>
      </c>
      <c r="G131" s="69" t="s">
        <v>22</v>
      </c>
      <c r="H131" s="69" t="str">
        <f>IFERROR(VLOOKUP(Data!$G131,canon!$I$2:$K$27,2,FALSE),"")</f>
        <v>SCARF</v>
      </c>
      <c r="I131" s="69" t="str">
        <f>IFERROR(VLOOKUP(Data!$G131,canon!$I$2:$K$27,3,FALSE),"")</f>
        <v>N.APPAREL</v>
      </c>
      <c r="J131" s="69">
        <f t="shared" si="4"/>
        <v>7</v>
      </c>
      <c r="K131" s="69">
        <f t="shared" si="5"/>
        <v>1</v>
      </c>
      <c r="L131" s="69">
        <f>VLOOKUP(Table_db1_backend_Daily.accdb[[#This Row],[TradingDate]],canon!B:E,4,0)</f>
        <v>28</v>
      </c>
    </row>
    <row r="132" spans="1:12" x14ac:dyDescent="0.2">
      <c r="A132" s="69" t="s">
        <v>6</v>
      </c>
      <c r="B132" s="70">
        <v>42931</v>
      </c>
      <c r="C132" s="69">
        <v>1693</v>
      </c>
      <c r="D132" s="69">
        <v>0</v>
      </c>
      <c r="E132" s="69">
        <v>0</v>
      </c>
      <c r="F132" s="69">
        <v>0</v>
      </c>
      <c r="G132" s="69" t="s">
        <v>23</v>
      </c>
      <c r="H132" s="69" t="str">
        <f>IFERROR(VLOOKUP(Data!$G132,canon!$I$2:$K$27,2,FALSE),"")</f>
        <v>SH&amp;BL</v>
      </c>
      <c r="I132" s="69" t="str">
        <f>IFERROR(VLOOKUP(Data!$G132,canon!$I$2:$K$27,3,FALSE),"")</f>
        <v>APPAREL</v>
      </c>
      <c r="J132" s="69">
        <f t="shared" si="4"/>
        <v>7</v>
      </c>
      <c r="K132" s="69">
        <f t="shared" si="5"/>
        <v>1</v>
      </c>
      <c r="L132" s="69">
        <f>VLOOKUP(Table_db1_backend_Daily.accdb[[#This Row],[TradingDate]],canon!B:E,4,0)</f>
        <v>28</v>
      </c>
    </row>
    <row r="133" spans="1:12" x14ac:dyDescent="0.2">
      <c r="A133" s="69" t="s">
        <v>6</v>
      </c>
      <c r="B133" s="70">
        <v>42931</v>
      </c>
      <c r="C133" s="69">
        <v>1421</v>
      </c>
      <c r="D133" s="69">
        <v>0</v>
      </c>
      <c r="E133" s="69">
        <v>0</v>
      </c>
      <c r="F133" s="69">
        <v>0</v>
      </c>
      <c r="G133" s="69" t="s">
        <v>32</v>
      </c>
      <c r="H133" s="69" t="str">
        <f>IFERROR(VLOOKUP(Data!$G133,canon!$I$2:$K$27,2,FALSE),"")</f>
        <v>SKIRT</v>
      </c>
      <c r="I133" s="69" t="str">
        <f>IFERROR(VLOOKUP(Data!$G133,canon!$I$2:$K$27,3,FALSE),"")</f>
        <v>APPAREL</v>
      </c>
      <c r="J133" s="69">
        <f t="shared" si="4"/>
        <v>7</v>
      </c>
      <c r="K133" s="69">
        <f t="shared" si="5"/>
        <v>1</v>
      </c>
      <c r="L133" s="69">
        <f>VLOOKUP(Table_db1_backend_Daily.accdb[[#This Row],[TradingDate]],canon!B:E,4,0)</f>
        <v>28</v>
      </c>
    </row>
    <row r="134" spans="1:12" x14ac:dyDescent="0.2">
      <c r="A134" s="69" t="s">
        <v>6</v>
      </c>
      <c r="B134" s="70">
        <v>42931</v>
      </c>
      <c r="C134" s="69">
        <v>11204</v>
      </c>
      <c r="D134" s="69">
        <v>0</v>
      </c>
      <c r="E134" s="69">
        <v>0</v>
      </c>
      <c r="F134" s="69">
        <v>0</v>
      </c>
      <c r="G134" s="69" t="s">
        <v>25</v>
      </c>
      <c r="H134" s="69" t="str">
        <f>IFERROR(VLOOKUP(Data!$G134,canon!$I$2:$K$27,2,FALSE),"")</f>
        <v>TOP</v>
      </c>
      <c r="I134" s="69" t="str">
        <f>IFERROR(VLOOKUP(Data!$G134,canon!$I$2:$K$27,3,FALSE),"")</f>
        <v>APPAREL</v>
      </c>
      <c r="J134" s="69">
        <f t="shared" si="4"/>
        <v>7</v>
      </c>
      <c r="K134" s="69">
        <f t="shared" si="5"/>
        <v>1</v>
      </c>
      <c r="L134" s="69">
        <f>VLOOKUP(Table_db1_backend_Daily.accdb[[#This Row],[TradingDate]],canon!B:E,4,0)</f>
        <v>28</v>
      </c>
    </row>
    <row r="135" spans="1:12" x14ac:dyDescent="0.2">
      <c r="A135" s="69" t="s">
        <v>6</v>
      </c>
      <c r="B135" s="70">
        <v>42932</v>
      </c>
      <c r="C135" s="69">
        <v>0</v>
      </c>
      <c r="D135" s="69">
        <v>0</v>
      </c>
      <c r="E135" s="69">
        <v>0</v>
      </c>
      <c r="F135" s="69">
        <v>0</v>
      </c>
      <c r="G135" s="69" t="s">
        <v>27</v>
      </c>
      <c r="H135" s="69" t="str">
        <f>IFERROR(VLOOKUP(Data!$G135,canon!$I$2:$K$27,2,FALSE),"")</f>
        <v>ACCESSORY</v>
      </c>
      <c r="I135" s="69" t="str">
        <f>IFERROR(VLOOKUP(Data!$G135,canon!$I$2:$K$27,3,FALSE),"")</f>
        <v>N.APPAREL</v>
      </c>
      <c r="J135" s="69">
        <f t="shared" si="4"/>
        <v>1</v>
      </c>
      <c r="K135" s="69">
        <f t="shared" si="5"/>
        <v>1</v>
      </c>
      <c r="L135" s="69">
        <f>VLOOKUP(Table_db1_backend_Daily.accdb[[#This Row],[TradingDate]],canon!B:E,4,0)</f>
        <v>29</v>
      </c>
    </row>
    <row r="136" spans="1:12" x14ac:dyDescent="0.2">
      <c r="A136" s="69" t="s">
        <v>6</v>
      </c>
      <c r="B136" s="70">
        <v>42932</v>
      </c>
      <c r="C136" s="69">
        <v>0</v>
      </c>
      <c r="D136" s="69">
        <v>0</v>
      </c>
      <c r="E136" s="69">
        <v>0</v>
      </c>
      <c r="F136" s="69">
        <v>0</v>
      </c>
      <c r="G136" s="69" t="s">
        <v>7</v>
      </c>
      <c r="H136" s="69" t="str">
        <f>IFERROR(VLOOKUP(Data!$G136,canon!$I$2:$K$27,2,FALSE),"")</f>
        <v>ACCESSORY</v>
      </c>
      <c r="I136" s="69" t="str">
        <f>IFERROR(VLOOKUP(Data!$G136,canon!$I$2:$K$27,3,FALSE),"")</f>
        <v>N.APPAREL</v>
      </c>
      <c r="J136" s="69">
        <f t="shared" si="4"/>
        <v>1</v>
      </c>
      <c r="K136" s="69">
        <f t="shared" si="5"/>
        <v>1</v>
      </c>
      <c r="L136" s="69">
        <f>VLOOKUP(Table_db1_backend_Daily.accdb[[#This Row],[TradingDate]],canon!B:E,4,0)</f>
        <v>29</v>
      </c>
    </row>
    <row r="137" spans="1:12" x14ac:dyDescent="0.2">
      <c r="A137" s="69" t="s">
        <v>6</v>
      </c>
      <c r="B137" s="70">
        <v>42932</v>
      </c>
      <c r="C137" s="69">
        <v>-6</v>
      </c>
      <c r="D137" s="69">
        <v>0</v>
      </c>
      <c r="E137" s="69">
        <v>0</v>
      </c>
      <c r="F137" s="69">
        <v>0</v>
      </c>
      <c r="G137" s="69" t="s">
        <v>34</v>
      </c>
      <c r="H137" s="69" t="str">
        <f>IFERROR(VLOOKUP(Data!$G137,canon!$I$2:$K$27,2,FALSE),"")</f>
        <v>SHOES</v>
      </c>
      <c r="I137" s="69" t="str">
        <f>IFERROR(VLOOKUP(Data!$G137,canon!$I$2:$K$27,3,FALSE),"")</f>
        <v>N.APPAREL</v>
      </c>
      <c r="J137" s="69">
        <f t="shared" si="4"/>
        <v>1</v>
      </c>
      <c r="K137" s="69">
        <f t="shared" si="5"/>
        <v>1</v>
      </c>
      <c r="L137" s="69">
        <f>VLOOKUP(Table_db1_backend_Daily.accdb[[#This Row],[TradingDate]],canon!B:E,4,0)</f>
        <v>29</v>
      </c>
    </row>
    <row r="138" spans="1:12" x14ac:dyDescent="0.2">
      <c r="A138" s="69" t="s">
        <v>6</v>
      </c>
      <c r="B138" s="70">
        <v>42932</v>
      </c>
      <c r="C138" s="69">
        <v>6</v>
      </c>
      <c r="D138" s="69">
        <v>0</v>
      </c>
      <c r="E138" s="69">
        <v>0</v>
      </c>
      <c r="F138" s="69">
        <v>0</v>
      </c>
      <c r="G138" s="69" t="s">
        <v>38</v>
      </c>
      <c r="H138" s="69" t="str">
        <f>IFERROR(VLOOKUP(Data!$G138,canon!$I$2:$K$27,2,FALSE),"")</f>
        <v>SHOES</v>
      </c>
      <c r="I138" s="69" t="str">
        <f>IFERROR(VLOOKUP(Data!$G138,canon!$I$2:$K$27,3,FALSE),"")</f>
        <v>N.APPAREL</v>
      </c>
      <c r="J138" s="69">
        <f t="shared" si="4"/>
        <v>1</v>
      </c>
      <c r="K138" s="69">
        <f t="shared" si="5"/>
        <v>1</v>
      </c>
      <c r="L138" s="69">
        <f>VLOOKUP(Table_db1_backend_Daily.accdb[[#This Row],[TradingDate]],canon!B:E,4,0)</f>
        <v>29</v>
      </c>
    </row>
    <row r="139" spans="1:12" x14ac:dyDescent="0.2">
      <c r="A139" s="69" t="s">
        <v>6</v>
      </c>
      <c r="B139" s="70">
        <v>42932</v>
      </c>
      <c r="C139" s="69">
        <v>5128</v>
      </c>
      <c r="D139" s="69">
        <v>0</v>
      </c>
      <c r="E139" s="69">
        <v>0</v>
      </c>
      <c r="F139" s="69">
        <v>0</v>
      </c>
      <c r="G139" s="69" t="s">
        <v>35</v>
      </c>
      <c r="H139" s="69" t="str">
        <f>IFERROR(VLOOKUP(Data!$G139,canon!$I$2:$K$27,2,FALSE),"")</f>
        <v>DRESS</v>
      </c>
      <c r="I139" s="69" t="str">
        <f>IFERROR(VLOOKUP(Data!$G139,canon!$I$2:$K$27,3,FALSE),"")</f>
        <v>APPAREL</v>
      </c>
      <c r="J139" s="69">
        <f t="shared" si="4"/>
        <v>1</v>
      </c>
      <c r="K139" s="69">
        <f t="shared" si="5"/>
        <v>1</v>
      </c>
      <c r="L139" s="69">
        <f>VLOOKUP(Table_db1_backend_Daily.accdb[[#This Row],[TradingDate]],canon!B:E,4,0)</f>
        <v>29</v>
      </c>
    </row>
    <row r="140" spans="1:12" x14ac:dyDescent="0.2">
      <c r="A140" s="69" t="s">
        <v>6</v>
      </c>
      <c r="B140" s="70">
        <v>42932</v>
      </c>
      <c r="C140" s="69">
        <v>1</v>
      </c>
      <c r="D140" s="69">
        <v>0</v>
      </c>
      <c r="E140" s="69">
        <v>0</v>
      </c>
      <c r="F140" s="69">
        <v>0</v>
      </c>
      <c r="G140" s="69" t="s">
        <v>10</v>
      </c>
      <c r="H140" s="69" t="str">
        <f>IFERROR(VLOOKUP(Data!$G140,canon!$I$2:$K$27,2,FALSE),"")</f>
        <v>ACCESSORY</v>
      </c>
      <c r="I140" s="69" t="str">
        <f>IFERROR(VLOOKUP(Data!$G140,canon!$I$2:$K$27,3,FALSE),"")</f>
        <v>N.APPAREL</v>
      </c>
      <c r="J140" s="69">
        <f t="shared" si="4"/>
        <v>1</v>
      </c>
      <c r="K140" s="69">
        <f t="shared" si="5"/>
        <v>1</v>
      </c>
      <c r="L140" s="69">
        <f>VLOOKUP(Table_db1_backend_Daily.accdb[[#This Row],[TradingDate]],canon!B:E,4,0)</f>
        <v>29</v>
      </c>
    </row>
    <row r="141" spans="1:12" x14ac:dyDescent="0.2">
      <c r="A141" s="69" t="s">
        <v>6</v>
      </c>
      <c r="B141" s="70">
        <v>42932</v>
      </c>
      <c r="C141" s="69">
        <v>215</v>
      </c>
      <c r="D141" s="69">
        <v>0</v>
      </c>
      <c r="E141" s="69">
        <v>0</v>
      </c>
      <c r="F141" s="69">
        <v>0</v>
      </c>
      <c r="G141" s="69" t="s">
        <v>28</v>
      </c>
      <c r="H141" s="69" t="str">
        <f>IFERROR(VLOOKUP(Data!$G141,canon!$I$2:$K$27,2,FALSE),"")</f>
        <v>ACCESSORY</v>
      </c>
      <c r="I141" s="69" t="str">
        <f>IFERROR(VLOOKUP(Data!$G141,canon!$I$2:$K$27,3,FALSE),"")</f>
        <v>N.APPAREL</v>
      </c>
      <c r="J141" s="69">
        <f t="shared" si="4"/>
        <v>1</v>
      </c>
      <c r="K141" s="69">
        <f t="shared" si="5"/>
        <v>1</v>
      </c>
      <c r="L141" s="69">
        <f>VLOOKUP(Table_db1_backend_Daily.accdb[[#This Row],[TradingDate]],canon!B:E,4,0)</f>
        <v>29</v>
      </c>
    </row>
    <row r="142" spans="1:12" x14ac:dyDescent="0.2">
      <c r="A142" s="69" t="s">
        <v>6</v>
      </c>
      <c r="B142" s="70">
        <v>42932</v>
      </c>
      <c r="C142" s="69">
        <v>12950</v>
      </c>
      <c r="D142" s="69">
        <v>0</v>
      </c>
      <c r="E142" s="69">
        <v>0</v>
      </c>
      <c r="F142" s="69">
        <v>0</v>
      </c>
      <c r="G142" s="69" t="s">
        <v>11</v>
      </c>
      <c r="H142" s="69" t="str">
        <f>IFERROR(VLOOKUP(Data!$G142,canon!$I$2:$K$27,2,FALSE),"")</f>
        <v>KNIT</v>
      </c>
      <c r="I142" s="69" t="str">
        <f>IFERROR(VLOOKUP(Data!$G142,canon!$I$2:$K$27,3,FALSE),"")</f>
        <v>APPAREL</v>
      </c>
      <c r="J142" s="69">
        <f t="shared" si="4"/>
        <v>1</v>
      </c>
      <c r="K142" s="69">
        <f t="shared" si="5"/>
        <v>1</v>
      </c>
      <c r="L142" s="69">
        <f>VLOOKUP(Table_db1_backend_Daily.accdb[[#This Row],[TradingDate]],canon!B:E,4,0)</f>
        <v>29</v>
      </c>
    </row>
    <row r="143" spans="1:12" x14ac:dyDescent="0.2">
      <c r="A143" s="69" t="s">
        <v>6</v>
      </c>
      <c r="B143" s="70">
        <v>42932</v>
      </c>
      <c r="C143" s="69">
        <v>4727</v>
      </c>
      <c r="D143" s="69">
        <v>0</v>
      </c>
      <c r="E143" s="69">
        <v>0</v>
      </c>
      <c r="F143" s="69">
        <v>0</v>
      </c>
      <c r="G143" s="69" t="s">
        <v>14</v>
      </c>
      <c r="H143" s="69" t="str">
        <f>IFERROR(VLOOKUP(Data!$G143,canon!$I$2:$K$27,2,FALSE),"")</f>
        <v>LEGGING</v>
      </c>
      <c r="I143" s="69" t="str">
        <f>IFERROR(VLOOKUP(Data!$G143,canon!$I$2:$K$27,3,FALSE),"")</f>
        <v>APPAREL</v>
      </c>
      <c r="J143" s="69">
        <f t="shared" si="4"/>
        <v>1</v>
      </c>
      <c r="K143" s="69">
        <f t="shared" si="5"/>
        <v>1</v>
      </c>
      <c r="L143" s="69">
        <f>VLOOKUP(Table_db1_backend_Daily.accdb[[#This Row],[TradingDate]],canon!B:E,4,0)</f>
        <v>29</v>
      </c>
    </row>
    <row r="144" spans="1:12" x14ac:dyDescent="0.2">
      <c r="A144" s="69" t="s">
        <v>6</v>
      </c>
      <c r="B144" s="70">
        <v>42932</v>
      </c>
      <c r="C144" s="69">
        <v>0</v>
      </c>
      <c r="D144" s="69">
        <v>0</v>
      </c>
      <c r="E144" s="69">
        <v>0</v>
      </c>
      <c r="F144" s="69">
        <v>0</v>
      </c>
      <c r="G144" s="69" t="s">
        <v>16</v>
      </c>
      <c r="H144" s="69" t="str">
        <f>IFERROR(VLOOKUP(Data!$G144,canon!$I$2:$K$27,2,FALSE),"")</f>
        <v>ACCESSORY</v>
      </c>
      <c r="I144" s="69" t="str">
        <f>IFERROR(VLOOKUP(Data!$G144,canon!$I$2:$K$27,3,FALSE),"")</f>
        <v>N.APPAREL</v>
      </c>
      <c r="J144" s="69">
        <f t="shared" si="4"/>
        <v>1</v>
      </c>
      <c r="K144" s="69">
        <f t="shared" si="5"/>
        <v>1</v>
      </c>
      <c r="L144" s="69">
        <f>VLOOKUP(Table_db1_backend_Daily.accdb[[#This Row],[TradingDate]],canon!B:E,4,0)</f>
        <v>29</v>
      </c>
    </row>
    <row r="145" spans="1:12" x14ac:dyDescent="0.2">
      <c r="A145" s="69" t="s">
        <v>6</v>
      </c>
      <c r="B145" s="70">
        <v>42932</v>
      </c>
      <c r="C145" s="69">
        <v>13</v>
      </c>
      <c r="D145" s="69">
        <v>0</v>
      </c>
      <c r="E145" s="69">
        <v>0</v>
      </c>
      <c r="F145" s="69">
        <v>0</v>
      </c>
      <c r="G145" s="69" t="s">
        <v>37</v>
      </c>
      <c r="H145" s="69" t="str">
        <f>IFERROR(VLOOKUP(Data!$G145,canon!$I$2:$K$27,2,FALSE),"")</f>
        <v>SHOES</v>
      </c>
      <c r="I145" s="69" t="str">
        <f>IFERROR(VLOOKUP(Data!$G145,canon!$I$2:$K$27,3,FALSE),"")</f>
        <v>N.APPAREL</v>
      </c>
      <c r="J145" s="69">
        <f t="shared" si="4"/>
        <v>1</v>
      </c>
      <c r="K145" s="69">
        <f t="shared" si="5"/>
        <v>1</v>
      </c>
      <c r="L145" s="69">
        <f>VLOOKUP(Table_db1_backend_Daily.accdb[[#This Row],[TradingDate]],canon!B:E,4,0)</f>
        <v>29</v>
      </c>
    </row>
    <row r="146" spans="1:12" x14ac:dyDescent="0.2">
      <c r="A146" s="69" t="s">
        <v>6</v>
      </c>
      <c r="B146" s="70">
        <v>42932</v>
      </c>
      <c r="C146" s="69">
        <v>-1</v>
      </c>
      <c r="D146" s="69">
        <v>0</v>
      </c>
      <c r="E146" s="69">
        <v>0</v>
      </c>
      <c r="F146" s="69">
        <v>0</v>
      </c>
      <c r="G146" s="69" t="s">
        <v>29</v>
      </c>
      <c r="H146" s="69" t="str">
        <f>IFERROR(VLOOKUP(Data!$G146,canon!$I$2:$K$27,2,FALSE),"")</f>
        <v>SHOES</v>
      </c>
      <c r="I146" s="69" t="str">
        <f>IFERROR(VLOOKUP(Data!$G146,canon!$I$2:$K$27,3,FALSE),"")</f>
        <v>N.APPAREL</v>
      </c>
      <c r="J146" s="69">
        <f t="shared" si="4"/>
        <v>1</v>
      </c>
      <c r="K146" s="69">
        <f t="shared" si="5"/>
        <v>1</v>
      </c>
      <c r="L146" s="69">
        <f>VLOOKUP(Table_db1_backend_Daily.accdb[[#This Row],[TradingDate]],canon!B:E,4,0)</f>
        <v>29</v>
      </c>
    </row>
    <row r="147" spans="1:12" x14ac:dyDescent="0.2">
      <c r="A147" s="69" t="s">
        <v>6</v>
      </c>
      <c r="B147" s="70">
        <v>42932</v>
      </c>
      <c r="C147" s="69">
        <v>4096</v>
      </c>
      <c r="D147" s="69">
        <v>0</v>
      </c>
      <c r="E147" s="69">
        <v>0</v>
      </c>
      <c r="F147" s="69">
        <v>0</v>
      </c>
      <c r="G147" s="69" t="s">
        <v>17</v>
      </c>
      <c r="H147" s="69" t="str">
        <f>IFERROR(VLOOKUP(Data!$G147,canon!$I$2:$K$27,2,FALSE),"")</f>
        <v>OUTER</v>
      </c>
      <c r="I147" s="69" t="str">
        <f>IFERROR(VLOOKUP(Data!$G147,canon!$I$2:$K$27,3,FALSE),"")</f>
        <v>APPAREL</v>
      </c>
      <c r="J147" s="69">
        <f t="shared" si="4"/>
        <v>1</v>
      </c>
      <c r="K147" s="69">
        <f t="shared" si="5"/>
        <v>1</v>
      </c>
      <c r="L147" s="69">
        <f>VLOOKUP(Table_db1_backend_Daily.accdb[[#This Row],[TradingDate]],canon!B:E,4,0)</f>
        <v>29</v>
      </c>
    </row>
    <row r="148" spans="1:12" x14ac:dyDescent="0.2">
      <c r="A148" s="69" t="s">
        <v>6</v>
      </c>
      <c r="B148" s="70">
        <v>42932</v>
      </c>
      <c r="C148" s="69">
        <v>1476</v>
      </c>
      <c r="D148" s="69">
        <v>0</v>
      </c>
      <c r="E148" s="69">
        <v>0</v>
      </c>
      <c r="F148" s="69">
        <v>0</v>
      </c>
      <c r="G148" s="69" t="s">
        <v>19</v>
      </c>
      <c r="H148" s="69" t="str">
        <f>IFERROR(VLOOKUP(Data!$G148,canon!$I$2:$K$27,2,FALSE),"")</f>
        <v>PANT</v>
      </c>
      <c r="I148" s="69" t="str">
        <f>IFERROR(VLOOKUP(Data!$G148,canon!$I$2:$K$27,3,FALSE),"")</f>
        <v>APPAREL</v>
      </c>
      <c r="J148" s="69">
        <f t="shared" si="4"/>
        <v>1</v>
      </c>
      <c r="K148" s="69">
        <f t="shared" si="5"/>
        <v>1</v>
      </c>
      <c r="L148" s="69">
        <f>VLOOKUP(Table_db1_backend_Daily.accdb[[#This Row],[TradingDate]],canon!B:E,4,0)</f>
        <v>29</v>
      </c>
    </row>
    <row r="149" spans="1:12" x14ac:dyDescent="0.2">
      <c r="A149" s="69" t="s">
        <v>6</v>
      </c>
      <c r="B149" s="70">
        <v>42932</v>
      </c>
      <c r="C149" s="69">
        <v>49</v>
      </c>
      <c r="D149" s="69">
        <v>0</v>
      </c>
      <c r="E149" s="69">
        <v>0</v>
      </c>
      <c r="F149" s="69">
        <v>0</v>
      </c>
      <c r="G149" s="69" t="s">
        <v>21</v>
      </c>
      <c r="H149" s="69" t="str">
        <f>IFERROR(VLOOKUP(Data!$G149,canon!$I$2:$K$27,2,FALSE),"")</f>
        <v>ACCESSORY</v>
      </c>
      <c r="I149" s="69" t="str">
        <f>IFERROR(VLOOKUP(Data!$G149,canon!$I$2:$K$27,3,FALSE),"")</f>
        <v>N.APPAREL</v>
      </c>
      <c r="J149" s="69">
        <f t="shared" si="4"/>
        <v>1</v>
      </c>
      <c r="K149" s="69">
        <f t="shared" si="5"/>
        <v>1</v>
      </c>
      <c r="L149" s="69">
        <f>VLOOKUP(Table_db1_backend_Daily.accdb[[#This Row],[TradingDate]],canon!B:E,4,0)</f>
        <v>29</v>
      </c>
    </row>
    <row r="150" spans="1:12" x14ac:dyDescent="0.2">
      <c r="A150" s="69" t="s">
        <v>6</v>
      </c>
      <c r="B150" s="70">
        <v>42932</v>
      </c>
      <c r="C150" s="69">
        <v>4401</v>
      </c>
      <c r="D150" s="69">
        <v>0</v>
      </c>
      <c r="E150" s="69">
        <v>0</v>
      </c>
      <c r="F150" s="69">
        <v>0</v>
      </c>
      <c r="G150" s="69" t="s">
        <v>22</v>
      </c>
      <c r="H150" s="69" t="str">
        <f>IFERROR(VLOOKUP(Data!$G150,canon!$I$2:$K$27,2,FALSE),"")</f>
        <v>SCARF</v>
      </c>
      <c r="I150" s="69" t="str">
        <f>IFERROR(VLOOKUP(Data!$G150,canon!$I$2:$K$27,3,FALSE),"")</f>
        <v>N.APPAREL</v>
      </c>
      <c r="J150" s="69">
        <f t="shared" si="4"/>
        <v>1</v>
      </c>
      <c r="K150" s="69">
        <f t="shared" si="5"/>
        <v>1</v>
      </c>
      <c r="L150" s="69">
        <f>VLOOKUP(Table_db1_backend_Daily.accdb[[#This Row],[TradingDate]],canon!B:E,4,0)</f>
        <v>29</v>
      </c>
    </row>
    <row r="151" spans="1:12" x14ac:dyDescent="0.2">
      <c r="A151" s="69" t="s">
        <v>6</v>
      </c>
      <c r="B151" s="70">
        <v>42932</v>
      </c>
      <c r="C151" s="69">
        <v>1693</v>
      </c>
      <c r="D151" s="69">
        <v>0</v>
      </c>
      <c r="E151" s="69">
        <v>0</v>
      </c>
      <c r="F151" s="69">
        <v>0</v>
      </c>
      <c r="G151" s="69" t="s">
        <v>23</v>
      </c>
      <c r="H151" s="69" t="str">
        <f>IFERROR(VLOOKUP(Data!$G151,canon!$I$2:$K$27,2,FALSE),"")</f>
        <v>SH&amp;BL</v>
      </c>
      <c r="I151" s="69" t="str">
        <f>IFERROR(VLOOKUP(Data!$G151,canon!$I$2:$K$27,3,FALSE),"")</f>
        <v>APPAREL</v>
      </c>
      <c r="J151" s="69">
        <f t="shared" si="4"/>
        <v>1</v>
      </c>
      <c r="K151" s="69">
        <f t="shared" si="5"/>
        <v>1</v>
      </c>
      <c r="L151" s="69">
        <f>VLOOKUP(Table_db1_backend_Daily.accdb[[#This Row],[TradingDate]],canon!B:E,4,0)</f>
        <v>29</v>
      </c>
    </row>
    <row r="152" spans="1:12" x14ac:dyDescent="0.2">
      <c r="A152" s="69" t="s">
        <v>6</v>
      </c>
      <c r="B152" s="70">
        <v>42932</v>
      </c>
      <c r="C152" s="69">
        <v>1421</v>
      </c>
      <c r="D152" s="69">
        <v>0</v>
      </c>
      <c r="E152" s="69">
        <v>0</v>
      </c>
      <c r="F152" s="69">
        <v>0</v>
      </c>
      <c r="G152" s="69" t="s">
        <v>32</v>
      </c>
      <c r="H152" s="69" t="str">
        <f>IFERROR(VLOOKUP(Data!$G152,canon!$I$2:$K$27,2,FALSE),"")</f>
        <v>SKIRT</v>
      </c>
      <c r="I152" s="69" t="str">
        <f>IFERROR(VLOOKUP(Data!$G152,canon!$I$2:$K$27,3,FALSE),"")</f>
        <v>APPAREL</v>
      </c>
      <c r="J152" s="69">
        <f t="shared" si="4"/>
        <v>1</v>
      </c>
      <c r="K152" s="69">
        <f t="shared" si="5"/>
        <v>1</v>
      </c>
      <c r="L152" s="69">
        <f>VLOOKUP(Table_db1_backend_Daily.accdb[[#This Row],[TradingDate]],canon!B:E,4,0)</f>
        <v>29</v>
      </c>
    </row>
    <row r="153" spans="1:12" x14ac:dyDescent="0.2">
      <c r="A153" s="69" t="s">
        <v>6</v>
      </c>
      <c r="B153" s="70">
        <v>42932</v>
      </c>
      <c r="C153" s="69">
        <v>11204</v>
      </c>
      <c r="D153" s="69">
        <v>0</v>
      </c>
      <c r="E153" s="69">
        <v>0</v>
      </c>
      <c r="F153" s="69">
        <v>0</v>
      </c>
      <c r="G153" s="69" t="s">
        <v>25</v>
      </c>
      <c r="H153" s="69" t="str">
        <f>IFERROR(VLOOKUP(Data!$G153,canon!$I$2:$K$27,2,FALSE),"")</f>
        <v>TOP</v>
      </c>
      <c r="I153" s="69" t="str">
        <f>IFERROR(VLOOKUP(Data!$G153,canon!$I$2:$K$27,3,FALSE),"")</f>
        <v>APPAREL</v>
      </c>
      <c r="J153" s="69">
        <f t="shared" si="4"/>
        <v>1</v>
      </c>
      <c r="K153" s="69">
        <f t="shared" si="5"/>
        <v>1</v>
      </c>
      <c r="L153" s="69">
        <f>VLOOKUP(Table_db1_backend_Daily.accdb[[#This Row],[TradingDate]],canon!B:E,4,0)</f>
        <v>29</v>
      </c>
    </row>
    <row r="154" spans="1:12" x14ac:dyDescent="0.2">
      <c r="A154" s="69" t="s">
        <v>6</v>
      </c>
      <c r="B154" s="70">
        <v>42933</v>
      </c>
      <c r="C154" s="69">
        <v>0</v>
      </c>
      <c r="D154" s="69">
        <v>0</v>
      </c>
      <c r="E154" s="69">
        <v>0</v>
      </c>
      <c r="F154" s="69">
        <v>0</v>
      </c>
      <c r="G154" s="69" t="s">
        <v>27</v>
      </c>
      <c r="H154" s="69" t="str">
        <f>IFERROR(VLOOKUP(Data!$G154,canon!$I$2:$K$27,2,FALSE),"")</f>
        <v>ACCESSORY</v>
      </c>
      <c r="I154" s="69" t="str">
        <f>IFERROR(VLOOKUP(Data!$G154,canon!$I$2:$K$27,3,FALSE),"")</f>
        <v>N.APPAREL</v>
      </c>
      <c r="J154" s="69">
        <f t="shared" si="4"/>
        <v>2</v>
      </c>
      <c r="K154" s="69">
        <f t="shared" si="5"/>
        <v>1</v>
      </c>
      <c r="L154" s="69">
        <f>VLOOKUP(Table_db1_backend_Daily.accdb[[#This Row],[TradingDate]],canon!B:E,4,0)</f>
        <v>29</v>
      </c>
    </row>
    <row r="155" spans="1:12" x14ac:dyDescent="0.2">
      <c r="A155" s="69" t="s">
        <v>6</v>
      </c>
      <c r="B155" s="70">
        <v>42933</v>
      </c>
      <c r="C155" s="69">
        <v>0</v>
      </c>
      <c r="D155" s="69">
        <v>0</v>
      </c>
      <c r="E155" s="69">
        <v>0</v>
      </c>
      <c r="F155" s="69">
        <v>0</v>
      </c>
      <c r="G155" s="69" t="s">
        <v>7</v>
      </c>
      <c r="H155" s="69" t="str">
        <f>IFERROR(VLOOKUP(Data!$G155,canon!$I$2:$K$27,2,FALSE),"")</f>
        <v>ACCESSORY</v>
      </c>
      <c r="I155" s="69" t="str">
        <f>IFERROR(VLOOKUP(Data!$G155,canon!$I$2:$K$27,3,FALSE),"")</f>
        <v>N.APPAREL</v>
      </c>
      <c r="J155" s="69">
        <f t="shared" si="4"/>
        <v>2</v>
      </c>
      <c r="K155" s="69">
        <f t="shared" si="5"/>
        <v>1</v>
      </c>
      <c r="L155" s="69">
        <f>VLOOKUP(Table_db1_backend_Daily.accdb[[#This Row],[TradingDate]],canon!B:E,4,0)</f>
        <v>29</v>
      </c>
    </row>
    <row r="156" spans="1:12" x14ac:dyDescent="0.2">
      <c r="A156" s="69" t="s">
        <v>6</v>
      </c>
      <c r="B156" s="70">
        <v>42933</v>
      </c>
      <c r="C156" s="69">
        <v>-6</v>
      </c>
      <c r="D156" s="69">
        <v>0</v>
      </c>
      <c r="E156" s="69">
        <v>0</v>
      </c>
      <c r="F156" s="69">
        <v>0</v>
      </c>
      <c r="G156" s="69" t="s">
        <v>34</v>
      </c>
      <c r="H156" s="69" t="str">
        <f>IFERROR(VLOOKUP(Data!$G156,canon!$I$2:$K$27,2,FALSE),"")</f>
        <v>SHOES</v>
      </c>
      <c r="I156" s="69" t="str">
        <f>IFERROR(VLOOKUP(Data!$G156,canon!$I$2:$K$27,3,FALSE),"")</f>
        <v>N.APPAREL</v>
      </c>
      <c r="J156" s="69">
        <f t="shared" si="4"/>
        <v>2</v>
      </c>
      <c r="K156" s="69">
        <f t="shared" si="5"/>
        <v>1</v>
      </c>
      <c r="L156" s="69">
        <f>VLOOKUP(Table_db1_backend_Daily.accdb[[#This Row],[TradingDate]],canon!B:E,4,0)</f>
        <v>29</v>
      </c>
    </row>
    <row r="157" spans="1:12" x14ac:dyDescent="0.2">
      <c r="A157" s="69" t="s">
        <v>6</v>
      </c>
      <c r="B157" s="70">
        <v>42933</v>
      </c>
      <c r="C157" s="69">
        <v>6</v>
      </c>
      <c r="D157" s="69">
        <v>0</v>
      </c>
      <c r="E157" s="69">
        <v>0</v>
      </c>
      <c r="F157" s="69">
        <v>0</v>
      </c>
      <c r="G157" s="69" t="s">
        <v>38</v>
      </c>
      <c r="H157" s="69" t="str">
        <f>IFERROR(VLOOKUP(Data!$G157,canon!$I$2:$K$27,2,FALSE),"")</f>
        <v>SHOES</v>
      </c>
      <c r="I157" s="69" t="str">
        <f>IFERROR(VLOOKUP(Data!$G157,canon!$I$2:$K$27,3,FALSE),"")</f>
        <v>N.APPAREL</v>
      </c>
      <c r="J157" s="69">
        <f t="shared" si="4"/>
        <v>2</v>
      </c>
      <c r="K157" s="69">
        <f t="shared" si="5"/>
        <v>1</v>
      </c>
      <c r="L157" s="69">
        <f>VLOOKUP(Table_db1_backend_Daily.accdb[[#This Row],[TradingDate]],canon!B:E,4,0)</f>
        <v>29</v>
      </c>
    </row>
    <row r="158" spans="1:12" x14ac:dyDescent="0.2">
      <c r="A158" s="69" t="s">
        <v>6</v>
      </c>
      <c r="B158" s="70">
        <v>42933</v>
      </c>
      <c r="C158" s="69">
        <v>5128</v>
      </c>
      <c r="D158" s="69">
        <v>0</v>
      </c>
      <c r="E158" s="69">
        <v>0</v>
      </c>
      <c r="F158" s="69">
        <v>0</v>
      </c>
      <c r="G158" s="69" t="s">
        <v>35</v>
      </c>
      <c r="H158" s="69" t="str">
        <f>IFERROR(VLOOKUP(Data!$G158,canon!$I$2:$K$27,2,FALSE),"")</f>
        <v>DRESS</v>
      </c>
      <c r="I158" s="69" t="str">
        <f>IFERROR(VLOOKUP(Data!$G158,canon!$I$2:$K$27,3,FALSE),"")</f>
        <v>APPAREL</v>
      </c>
      <c r="J158" s="69">
        <f t="shared" si="4"/>
        <v>2</v>
      </c>
      <c r="K158" s="69">
        <f t="shared" si="5"/>
        <v>1</v>
      </c>
      <c r="L158" s="69">
        <f>VLOOKUP(Table_db1_backend_Daily.accdb[[#This Row],[TradingDate]],canon!B:E,4,0)</f>
        <v>29</v>
      </c>
    </row>
    <row r="159" spans="1:12" x14ac:dyDescent="0.2">
      <c r="A159" s="69" t="s">
        <v>6</v>
      </c>
      <c r="B159" s="70">
        <v>42933</v>
      </c>
      <c r="C159" s="69">
        <v>1</v>
      </c>
      <c r="D159" s="69">
        <v>0</v>
      </c>
      <c r="E159" s="69">
        <v>0</v>
      </c>
      <c r="F159" s="69">
        <v>0</v>
      </c>
      <c r="G159" s="69" t="s">
        <v>10</v>
      </c>
      <c r="H159" s="69" t="str">
        <f>IFERROR(VLOOKUP(Data!$G159,canon!$I$2:$K$27,2,FALSE),"")</f>
        <v>ACCESSORY</v>
      </c>
      <c r="I159" s="69" t="str">
        <f>IFERROR(VLOOKUP(Data!$G159,canon!$I$2:$K$27,3,FALSE),"")</f>
        <v>N.APPAREL</v>
      </c>
      <c r="J159" s="69">
        <f t="shared" si="4"/>
        <v>2</v>
      </c>
      <c r="K159" s="69">
        <f t="shared" si="5"/>
        <v>1</v>
      </c>
      <c r="L159" s="69">
        <f>VLOOKUP(Table_db1_backend_Daily.accdb[[#This Row],[TradingDate]],canon!B:E,4,0)</f>
        <v>29</v>
      </c>
    </row>
    <row r="160" spans="1:12" x14ac:dyDescent="0.2">
      <c r="A160" s="69" t="s">
        <v>6</v>
      </c>
      <c r="B160" s="70">
        <v>42933</v>
      </c>
      <c r="C160" s="69">
        <v>215</v>
      </c>
      <c r="D160" s="69">
        <v>0</v>
      </c>
      <c r="E160" s="69">
        <v>0</v>
      </c>
      <c r="F160" s="69">
        <v>0</v>
      </c>
      <c r="G160" s="69" t="s">
        <v>28</v>
      </c>
      <c r="H160" s="69" t="str">
        <f>IFERROR(VLOOKUP(Data!$G160,canon!$I$2:$K$27,2,FALSE),"")</f>
        <v>ACCESSORY</v>
      </c>
      <c r="I160" s="69" t="str">
        <f>IFERROR(VLOOKUP(Data!$G160,canon!$I$2:$K$27,3,FALSE),"")</f>
        <v>N.APPAREL</v>
      </c>
      <c r="J160" s="69">
        <f t="shared" si="4"/>
        <v>2</v>
      </c>
      <c r="K160" s="69">
        <f t="shared" si="5"/>
        <v>1</v>
      </c>
      <c r="L160" s="69">
        <f>VLOOKUP(Table_db1_backend_Daily.accdb[[#This Row],[TradingDate]],canon!B:E,4,0)</f>
        <v>29</v>
      </c>
    </row>
    <row r="161" spans="1:12" x14ac:dyDescent="0.2">
      <c r="A161" s="69" t="s">
        <v>6</v>
      </c>
      <c r="B161" s="70">
        <v>42933</v>
      </c>
      <c r="C161" s="69">
        <v>12950</v>
      </c>
      <c r="D161" s="69">
        <v>0</v>
      </c>
      <c r="E161" s="69">
        <v>0</v>
      </c>
      <c r="F161" s="69">
        <v>0</v>
      </c>
      <c r="G161" s="69" t="s">
        <v>11</v>
      </c>
      <c r="H161" s="69" t="str">
        <f>IFERROR(VLOOKUP(Data!$G161,canon!$I$2:$K$27,2,FALSE),"")</f>
        <v>KNIT</v>
      </c>
      <c r="I161" s="69" t="str">
        <f>IFERROR(VLOOKUP(Data!$G161,canon!$I$2:$K$27,3,FALSE),"")</f>
        <v>APPAREL</v>
      </c>
      <c r="J161" s="69">
        <f t="shared" si="4"/>
        <v>2</v>
      </c>
      <c r="K161" s="69">
        <f t="shared" si="5"/>
        <v>1</v>
      </c>
      <c r="L161" s="69">
        <f>VLOOKUP(Table_db1_backend_Daily.accdb[[#This Row],[TradingDate]],canon!B:E,4,0)</f>
        <v>29</v>
      </c>
    </row>
    <row r="162" spans="1:12" x14ac:dyDescent="0.2">
      <c r="A162" s="69" t="s">
        <v>6</v>
      </c>
      <c r="B162" s="70">
        <v>42933</v>
      </c>
      <c r="C162" s="69">
        <v>4727</v>
      </c>
      <c r="D162" s="69">
        <v>0</v>
      </c>
      <c r="E162" s="69">
        <v>0</v>
      </c>
      <c r="F162" s="69">
        <v>0</v>
      </c>
      <c r="G162" s="69" t="s">
        <v>14</v>
      </c>
      <c r="H162" s="69" t="str">
        <f>IFERROR(VLOOKUP(Data!$G162,canon!$I$2:$K$27,2,FALSE),"")</f>
        <v>LEGGING</v>
      </c>
      <c r="I162" s="69" t="str">
        <f>IFERROR(VLOOKUP(Data!$G162,canon!$I$2:$K$27,3,FALSE),"")</f>
        <v>APPAREL</v>
      </c>
      <c r="J162" s="69">
        <f t="shared" si="4"/>
        <v>2</v>
      </c>
      <c r="K162" s="69">
        <f t="shared" si="5"/>
        <v>1</v>
      </c>
      <c r="L162" s="69">
        <f>VLOOKUP(Table_db1_backend_Daily.accdb[[#This Row],[TradingDate]],canon!B:E,4,0)</f>
        <v>29</v>
      </c>
    </row>
    <row r="163" spans="1:12" x14ac:dyDescent="0.2">
      <c r="A163" s="69" t="s">
        <v>6</v>
      </c>
      <c r="B163" s="70">
        <v>42933</v>
      </c>
      <c r="C163" s="69">
        <v>0</v>
      </c>
      <c r="D163" s="69">
        <v>0</v>
      </c>
      <c r="E163" s="69">
        <v>0</v>
      </c>
      <c r="F163" s="69">
        <v>0</v>
      </c>
      <c r="G163" s="69" t="s">
        <v>16</v>
      </c>
      <c r="H163" s="69" t="str">
        <f>IFERROR(VLOOKUP(Data!$G163,canon!$I$2:$K$27,2,FALSE),"")</f>
        <v>ACCESSORY</v>
      </c>
      <c r="I163" s="69" t="str">
        <f>IFERROR(VLOOKUP(Data!$G163,canon!$I$2:$K$27,3,FALSE),"")</f>
        <v>N.APPAREL</v>
      </c>
      <c r="J163" s="69">
        <f t="shared" si="4"/>
        <v>2</v>
      </c>
      <c r="K163" s="69">
        <f t="shared" si="5"/>
        <v>1</v>
      </c>
      <c r="L163" s="69">
        <f>VLOOKUP(Table_db1_backend_Daily.accdb[[#This Row],[TradingDate]],canon!B:E,4,0)</f>
        <v>29</v>
      </c>
    </row>
    <row r="164" spans="1:12" x14ac:dyDescent="0.2">
      <c r="A164" s="69" t="s">
        <v>6</v>
      </c>
      <c r="B164" s="70">
        <v>42933</v>
      </c>
      <c r="C164" s="69">
        <v>13</v>
      </c>
      <c r="D164" s="69">
        <v>0</v>
      </c>
      <c r="E164" s="69">
        <v>0</v>
      </c>
      <c r="F164" s="69">
        <v>0</v>
      </c>
      <c r="G164" s="69" t="s">
        <v>37</v>
      </c>
      <c r="H164" s="69" t="str">
        <f>IFERROR(VLOOKUP(Data!$G164,canon!$I$2:$K$27,2,FALSE),"")</f>
        <v>SHOES</v>
      </c>
      <c r="I164" s="69" t="str">
        <f>IFERROR(VLOOKUP(Data!$G164,canon!$I$2:$K$27,3,FALSE),"")</f>
        <v>N.APPAREL</v>
      </c>
      <c r="J164" s="69">
        <f t="shared" si="4"/>
        <v>2</v>
      </c>
      <c r="K164" s="69">
        <f t="shared" si="5"/>
        <v>1</v>
      </c>
      <c r="L164" s="69">
        <f>VLOOKUP(Table_db1_backend_Daily.accdb[[#This Row],[TradingDate]],canon!B:E,4,0)</f>
        <v>29</v>
      </c>
    </row>
    <row r="165" spans="1:12" x14ac:dyDescent="0.2">
      <c r="A165" s="69" t="s">
        <v>6</v>
      </c>
      <c r="B165" s="70">
        <v>42933</v>
      </c>
      <c r="C165" s="69">
        <v>-1</v>
      </c>
      <c r="D165" s="69">
        <v>0</v>
      </c>
      <c r="E165" s="69">
        <v>0</v>
      </c>
      <c r="F165" s="69">
        <v>0</v>
      </c>
      <c r="G165" s="69" t="s">
        <v>29</v>
      </c>
      <c r="H165" s="69" t="str">
        <f>IFERROR(VLOOKUP(Data!$G165,canon!$I$2:$K$27,2,FALSE),"")</f>
        <v>SHOES</v>
      </c>
      <c r="I165" s="69" t="str">
        <f>IFERROR(VLOOKUP(Data!$G165,canon!$I$2:$K$27,3,FALSE),"")</f>
        <v>N.APPAREL</v>
      </c>
      <c r="J165" s="69">
        <f t="shared" si="4"/>
        <v>2</v>
      </c>
      <c r="K165" s="69">
        <f t="shared" si="5"/>
        <v>1</v>
      </c>
      <c r="L165" s="69">
        <f>VLOOKUP(Table_db1_backend_Daily.accdb[[#This Row],[TradingDate]],canon!B:E,4,0)</f>
        <v>29</v>
      </c>
    </row>
    <row r="166" spans="1:12" x14ac:dyDescent="0.2">
      <c r="A166" s="69" t="s">
        <v>6</v>
      </c>
      <c r="B166" s="70">
        <v>42933</v>
      </c>
      <c r="C166" s="69">
        <v>4096</v>
      </c>
      <c r="D166" s="69">
        <v>0</v>
      </c>
      <c r="E166" s="69">
        <v>0</v>
      </c>
      <c r="F166" s="69">
        <v>0</v>
      </c>
      <c r="G166" s="69" t="s">
        <v>17</v>
      </c>
      <c r="H166" s="69" t="str">
        <f>IFERROR(VLOOKUP(Data!$G166,canon!$I$2:$K$27,2,FALSE),"")</f>
        <v>OUTER</v>
      </c>
      <c r="I166" s="69" t="str">
        <f>IFERROR(VLOOKUP(Data!$G166,canon!$I$2:$K$27,3,FALSE),"")</f>
        <v>APPAREL</v>
      </c>
      <c r="J166" s="69">
        <f t="shared" si="4"/>
        <v>2</v>
      </c>
      <c r="K166" s="69">
        <f t="shared" si="5"/>
        <v>1</v>
      </c>
      <c r="L166" s="69">
        <f>VLOOKUP(Table_db1_backend_Daily.accdb[[#This Row],[TradingDate]],canon!B:E,4,0)</f>
        <v>29</v>
      </c>
    </row>
    <row r="167" spans="1:12" x14ac:dyDescent="0.2">
      <c r="A167" s="69" t="s">
        <v>6</v>
      </c>
      <c r="B167" s="70">
        <v>42933</v>
      </c>
      <c r="C167" s="69">
        <v>1476</v>
      </c>
      <c r="D167" s="69">
        <v>0</v>
      </c>
      <c r="E167" s="69">
        <v>0</v>
      </c>
      <c r="F167" s="69">
        <v>0</v>
      </c>
      <c r="G167" s="69" t="s">
        <v>19</v>
      </c>
      <c r="H167" s="69" t="str">
        <f>IFERROR(VLOOKUP(Data!$G167,canon!$I$2:$K$27,2,FALSE),"")</f>
        <v>PANT</v>
      </c>
      <c r="I167" s="69" t="str">
        <f>IFERROR(VLOOKUP(Data!$G167,canon!$I$2:$K$27,3,FALSE),"")</f>
        <v>APPAREL</v>
      </c>
      <c r="J167" s="69">
        <f t="shared" si="4"/>
        <v>2</v>
      </c>
      <c r="K167" s="69">
        <f t="shared" si="5"/>
        <v>1</v>
      </c>
      <c r="L167" s="69">
        <f>VLOOKUP(Table_db1_backend_Daily.accdb[[#This Row],[TradingDate]],canon!B:E,4,0)</f>
        <v>29</v>
      </c>
    </row>
    <row r="168" spans="1:12" x14ac:dyDescent="0.2">
      <c r="A168" s="69" t="s">
        <v>6</v>
      </c>
      <c r="B168" s="70">
        <v>42933</v>
      </c>
      <c r="C168" s="69">
        <v>49</v>
      </c>
      <c r="D168" s="69">
        <v>0</v>
      </c>
      <c r="E168" s="69">
        <v>0</v>
      </c>
      <c r="F168" s="69">
        <v>0</v>
      </c>
      <c r="G168" s="69" t="s">
        <v>21</v>
      </c>
      <c r="H168" s="69" t="str">
        <f>IFERROR(VLOOKUP(Data!$G168,canon!$I$2:$K$27,2,FALSE),"")</f>
        <v>ACCESSORY</v>
      </c>
      <c r="I168" s="69" t="str">
        <f>IFERROR(VLOOKUP(Data!$G168,canon!$I$2:$K$27,3,FALSE),"")</f>
        <v>N.APPAREL</v>
      </c>
      <c r="J168" s="69">
        <f t="shared" si="4"/>
        <v>2</v>
      </c>
      <c r="K168" s="69">
        <f t="shared" si="5"/>
        <v>1</v>
      </c>
      <c r="L168" s="69">
        <f>VLOOKUP(Table_db1_backend_Daily.accdb[[#This Row],[TradingDate]],canon!B:E,4,0)</f>
        <v>29</v>
      </c>
    </row>
    <row r="169" spans="1:12" x14ac:dyDescent="0.2">
      <c r="A169" s="69" t="s">
        <v>6</v>
      </c>
      <c r="B169" s="70">
        <v>42933</v>
      </c>
      <c r="C169" s="69">
        <v>4401</v>
      </c>
      <c r="D169" s="69">
        <v>0</v>
      </c>
      <c r="E169" s="69">
        <v>0</v>
      </c>
      <c r="F169" s="69">
        <v>0</v>
      </c>
      <c r="G169" s="69" t="s">
        <v>22</v>
      </c>
      <c r="H169" s="69" t="str">
        <f>IFERROR(VLOOKUP(Data!$G169,canon!$I$2:$K$27,2,FALSE),"")</f>
        <v>SCARF</v>
      </c>
      <c r="I169" s="69" t="str">
        <f>IFERROR(VLOOKUP(Data!$G169,canon!$I$2:$K$27,3,FALSE),"")</f>
        <v>N.APPAREL</v>
      </c>
      <c r="J169" s="69">
        <f t="shared" si="4"/>
        <v>2</v>
      </c>
      <c r="K169" s="69">
        <f t="shared" si="5"/>
        <v>1</v>
      </c>
      <c r="L169" s="69">
        <f>VLOOKUP(Table_db1_backend_Daily.accdb[[#This Row],[TradingDate]],canon!B:E,4,0)</f>
        <v>29</v>
      </c>
    </row>
    <row r="170" spans="1:12" x14ac:dyDescent="0.2">
      <c r="A170" s="69" t="s">
        <v>6</v>
      </c>
      <c r="B170" s="70">
        <v>42933</v>
      </c>
      <c r="C170" s="69">
        <v>1693</v>
      </c>
      <c r="D170" s="69">
        <v>0</v>
      </c>
      <c r="E170" s="69">
        <v>0</v>
      </c>
      <c r="F170" s="69">
        <v>0</v>
      </c>
      <c r="G170" s="69" t="s">
        <v>23</v>
      </c>
      <c r="H170" s="69" t="str">
        <f>IFERROR(VLOOKUP(Data!$G170,canon!$I$2:$K$27,2,FALSE),"")</f>
        <v>SH&amp;BL</v>
      </c>
      <c r="I170" s="69" t="str">
        <f>IFERROR(VLOOKUP(Data!$G170,canon!$I$2:$K$27,3,FALSE),"")</f>
        <v>APPAREL</v>
      </c>
      <c r="J170" s="69">
        <f t="shared" si="4"/>
        <v>2</v>
      </c>
      <c r="K170" s="69">
        <f t="shared" si="5"/>
        <v>1</v>
      </c>
      <c r="L170" s="69">
        <f>VLOOKUP(Table_db1_backend_Daily.accdb[[#This Row],[TradingDate]],canon!B:E,4,0)</f>
        <v>29</v>
      </c>
    </row>
    <row r="171" spans="1:12" x14ac:dyDescent="0.2">
      <c r="A171" s="69" t="s">
        <v>6</v>
      </c>
      <c r="B171" s="70">
        <v>42933</v>
      </c>
      <c r="C171" s="69">
        <v>1421</v>
      </c>
      <c r="D171" s="69">
        <v>0</v>
      </c>
      <c r="E171" s="69">
        <v>0</v>
      </c>
      <c r="F171" s="69">
        <v>0</v>
      </c>
      <c r="G171" s="69" t="s">
        <v>32</v>
      </c>
      <c r="H171" s="69" t="str">
        <f>IFERROR(VLOOKUP(Data!$G171,canon!$I$2:$K$27,2,FALSE),"")</f>
        <v>SKIRT</v>
      </c>
      <c r="I171" s="69" t="str">
        <f>IFERROR(VLOOKUP(Data!$G171,canon!$I$2:$K$27,3,FALSE),"")</f>
        <v>APPAREL</v>
      </c>
      <c r="J171" s="69">
        <f t="shared" si="4"/>
        <v>2</v>
      </c>
      <c r="K171" s="69">
        <f t="shared" si="5"/>
        <v>1</v>
      </c>
      <c r="L171" s="69">
        <f>VLOOKUP(Table_db1_backend_Daily.accdb[[#This Row],[TradingDate]],canon!B:E,4,0)</f>
        <v>29</v>
      </c>
    </row>
    <row r="172" spans="1:12" x14ac:dyDescent="0.2">
      <c r="A172" s="69" t="s">
        <v>6</v>
      </c>
      <c r="B172" s="70">
        <v>42933</v>
      </c>
      <c r="C172" s="69">
        <v>11204</v>
      </c>
      <c r="D172" s="69">
        <v>0</v>
      </c>
      <c r="E172" s="69">
        <v>0</v>
      </c>
      <c r="F172" s="69">
        <v>0</v>
      </c>
      <c r="G172" s="69" t="s">
        <v>25</v>
      </c>
      <c r="H172" s="69" t="str">
        <f>IFERROR(VLOOKUP(Data!$G172,canon!$I$2:$K$27,2,FALSE),"")</f>
        <v>TOP</v>
      </c>
      <c r="I172" s="69" t="str">
        <f>IFERROR(VLOOKUP(Data!$G172,canon!$I$2:$K$27,3,FALSE),"")</f>
        <v>APPAREL</v>
      </c>
      <c r="J172" s="69">
        <f t="shared" si="4"/>
        <v>2</v>
      </c>
      <c r="K172" s="69">
        <f t="shared" si="5"/>
        <v>1</v>
      </c>
      <c r="L172" s="69">
        <f>VLOOKUP(Table_db1_backend_Daily.accdb[[#This Row],[TradingDate]],canon!B:E,4,0)</f>
        <v>29</v>
      </c>
    </row>
    <row r="173" spans="1:12" x14ac:dyDescent="0.2">
      <c r="A173" s="69" t="s">
        <v>6</v>
      </c>
      <c r="B173" s="70">
        <v>42934</v>
      </c>
      <c r="C173" s="69">
        <v>0</v>
      </c>
      <c r="D173" s="69">
        <v>0</v>
      </c>
      <c r="E173" s="69">
        <v>0</v>
      </c>
      <c r="F173" s="69">
        <v>0</v>
      </c>
      <c r="G173" s="69" t="s">
        <v>27</v>
      </c>
      <c r="H173" s="69" t="str">
        <f>IFERROR(VLOOKUP(Data!$G173,canon!$I$2:$K$27,2,FALSE),"")</f>
        <v>ACCESSORY</v>
      </c>
      <c r="I173" s="69" t="str">
        <f>IFERROR(VLOOKUP(Data!$G173,canon!$I$2:$K$27,3,FALSE),"")</f>
        <v>N.APPAREL</v>
      </c>
      <c r="J173" s="69">
        <f t="shared" si="4"/>
        <v>3</v>
      </c>
      <c r="K173" s="69">
        <f t="shared" si="5"/>
        <v>1</v>
      </c>
      <c r="L173" s="69">
        <f>VLOOKUP(Table_db1_backend_Daily.accdb[[#This Row],[TradingDate]],canon!B:E,4,0)</f>
        <v>29</v>
      </c>
    </row>
    <row r="174" spans="1:12" x14ac:dyDescent="0.2">
      <c r="A174" s="69" t="s">
        <v>6</v>
      </c>
      <c r="B174" s="70">
        <v>42934</v>
      </c>
      <c r="C174" s="69">
        <v>0</v>
      </c>
      <c r="D174" s="69">
        <v>0</v>
      </c>
      <c r="E174" s="69">
        <v>0</v>
      </c>
      <c r="F174" s="69">
        <v>0</v>
      </c>
      <c r="G174" s="69" t="s">
        <v>7</v>
      </c>
      <c r="H174" s="69" t="str">
        <f>IFERROR(VLOOKUP(Data!$G174,canon!$I$2:$K$27,2,FALSE),"")</f>
        <v>ACCESSORY</v>
      </c>
      <c r="I174" s="69" t="str">
        <f>IFERROR(VLOOKUP(Data!$G174,canon!$I$2:$K$27,3,FALSE),"")</f>
        <v>N.APPAREL</v>
      </c>
      <c r="J174" s="69">
        <f t="shared" si="4"/>
        <v>3</v>
      </c>
      <c r="K174" s="69">
        <f t="shared" si="5"/>
        <v>1</v>
      </c>
      <c r="L174" s="69">
        <f>VLOOKUP(Table_db1_backend_Daily.accdb[[#This Row],[TradingDate]],canon!B:E,4,0)</f>
        <v>29</v>
      </c>
    </row>
    <row r="175" spans="1:12" x14ac:dyDescent="0.2">
      <c r="A175" s="69" t="s">
        <v>6</v>
      </c>
      <c r="B175" s="70">
        <v>42934</v>
      </c>
      <c r="C175" s="69">
        <v>-6</v>
      </c>
      <c r="D175" s="69">
        <v>0</v>
      </c>
      <c r="E175" s="69">
        <v>0</v>
      </c>
      <c r="F175" s="69">
        <v>0</v>
      </c>
      <c r="G175" s="69" t="s">
        <v>34</v>
      </c>
      <c r="H175" s="69" t="str">
        <f>IFERROR(VLOOKUP(Data!$G175,canon!$I$2:$K$27,2,FALSE),"")</f>
        <v>SHOES</v>
      </c>
      <c r="I175" s="69" t="str">
        <f>IFERROR(VLOOKUP(Data!$G175,canon!$I$2:$K$27,3,FALSE),"")</f>
        <v>N.APPAREL</v>
      </c>
      <c r="J175" s="69">
        <f t="shared" si="4"/>
        <v>3</v>
      </c>
      <c r="K175" s="69">
        <f t="shared" si="5"/>
        <v>1</v>
      </c>
      <c r="L175" s="69">
        <f>VLOOKUP(Table_db1_backend_Daily.accdb[[#This Row],[TradingDate]],canon!B:E,4,0)</f>
        <v>29</v>
      </c>
    </row>
    <row r="176" spans="1:12" x14ac:dyDescent="0.2">
      <c r="A176" s="69" t="s">
        <v>6</v>
      </c>
      <c r="B176" s="70">
        <v>42934</v>
      </c>
      <c r="C176" s="69">
        <v>6</v>
      </c>
      <c r="D176" s="69">
        <v>0</v>
      </c>
      <c r="E176" s="69">
        <v>0</v>
      </c>
      <c r="F176" s="69">
        <v>0</v>
      </c>
      <c r="G176" s="69" t="s">
        <v>38</v>
      </c>
      <c r="H176" s="69" t="str">
        <f>IFERROR(VLOOKUP(Data!$G176,canon!$I$2:$K$27,2,FALSE),"")</f>
        <v>SHOES</v>
      </c>
      <c r="I176" s="69" t="str">
        <f>IFERROR(VLOOKUP(Data!$G176,canon!$I$2:$K$27,3,FALSE),"")</f>
        <v>N.APPAREL</v>
      </c>
      <c r="J176" s="69">
        <f t="shared" si="4"/>
        <v>3</v>
      </c>
      <c r="K176" s="69">
        <f t="shared" si="5"/>
        <v>1</v>
      </c>
      <c r="L176" s="69">
        <f>VLOOKUP(Table_db1_backend_Daily.accdb[[#This Row],[TradingDate]],canon!B:E,4,0)</f>
        <v>29</v>
      </c>
    </row>
    <row r="177" spans="1:12" x14ac:dyDescent="0.2">
      <c r="A177" s="69" t="s">
        <v>6</v>
      </c>
      <c r="B177" s="70">
        <v>42934</v>
      </c>
      <c r="C177" s="69">
        <v>5104</v>
      </c>
      <c r="D177" s="69">
        <v>0</v>
      </c>
      <c r="E177" s="69">
        <v>0</v>
      </c>
      <c r="F177" s="69">
        <v>0</v>
      </c>
      <c r="G177" s="69" t="s">
        <v>35</v>
      </c>
      <c r="H177" s="69" t="str">
        <f>IFERROR(VLOOKUP(Data!$G177,canon!$I$2:$K$27,2,FALSE),"")</f>
        <v>DRESS</v>
      </c>
      <c r="I177" s="69" t="str">
        <f>IFERROR(VLOOKUP(Data!$G177,canon!$I$2:$K$27,3,FALSE),"")</f>
        <v>APPAREL</v>
      </c>
      <c r="J177" s="69">
        <f t="shared" si="4"/>
        <v>3</v>
      </c>
      <c r="K177" s="69">
        <f t="shared" si="5"/>
        <v>1</v>
      </c>
      <c r="L177" s="69">
        <f>VLOOKUP(Table_db1_backend_Daily.accdb[[#This Row],[TradingDate]],canon!B:E,4,0)</f>
        <v>29</v>
      </c>
    </row>
    <row r="178" spans="1:12" x14ac:dyDescent="0.2">
      <c r="A178" s="69" t="s">
        <v>6</v>
      </c>
      <c r="B178" s="70">
        <v>42934</v>
      </c>
      <c r="C178" s="69">
        <v>1</v>
      </c>
      <c r="D178" s="69">
        <v>0</v>
      </c>
      <c r="E178" s="69">
        <v>0</v>
      </c>
      <c r="F178" s="69">
        <v>0</v>
      </c>
      <c r="G178" s="69" t="s">
        <v>10</v>
      </c>
      <c r="H178" s="69" t="str">
        <f>IFERROR(VLOOKUP(Data!$G178,canon!$I$2:$K$27,2,FALSE),"")</f>
        <v>ACCESSORY</v>
      </c>
      <c r="I178" s="69" t="str">
        <f>IFERROR(VLOOKUP(Data!$G178,canon!$I$2:$K$27,3,FALSE),"")</f>
        <v>N.APPAREL</v>
      </c>
      <c r="J178" s="69">
        <f t="shared" si="4"/>
        <v>3</v>
      </c>
      <c r="K178" s="69">
        <f t="shared" si="5"/>
        <v>1</v>
      </c>
      <c r="L178" s="69">
        <f>VLOOKUP(Table_db1_backend_Daily.accdb[[#This Row],[TradingDate]],canon!B:E,4,0)</f>
        <v>29</v>
      </c>
    </row>
    <row r="179" spans="1:12" x14ac:dyDescent="0.2">
      <c r="A179" s="69" t="s">
        <v>6</v>
      </c>
      <c r="B179" s="70">
        <v>42934</v>
      </c>
      <c r="C179" s="69">
        <v>215</v>
      </c>
      <c r="D179" s="69">
        <v>0</v>
      </c>
      <c r="E179" s="69">
        <v>0</v>
      </c>
      <c r="F179" s="69">
        <v>0</v>
      </c>
      <c r="G179" s="69" t="s">
        <v>28</v>
      </c>
      <c r="H179" s="69" t="str">
        <f>IFERROR(VLOOKUP(Data!$G179,canon!$I$2:$K$27,2,FALSE),"")</f>
        <v>ACCESSORY</v>
      </c>
      <c r="I179" s="69" t="str">
        <f>IFERROR(VLOOKUP(Data!$G179,canon!$I$2:$K$27,3,FALSE),"")</f>
        <v>N.APPAREL</v>
      </c>
      <c r="J179" s="69">
        <f t="shared" si="4"/>
        <v>3</v>
      </c>
      <c r="K179" s="69">
        <f t="shared" si="5"/>
        <v>1</v>
      </c>
      <c r="L179" s="69">
        <f>VLOOKUP(Table_db1_backend_Daily.accdb[[#This Row],[TradingDate]],canon!B:E,4,0)</f>
        <v>29</v>
      </c>
    </row>
    <row r="180" spans="1:12" x14ac:dyDescent="0.2">
      <c r="A180" s="69" t="s">
        <v>6</v>
      </c>
      <c r="B180" s="70">
        <v>42934</v>
      </c>
      <c r="C180" s="69">
        <v>10715</v>
      </c>
      <c r="D180" s="69">
        <v>0</v>
      </c>
      <c r="E180" s="69">
        <v>0</v>
      </c>
      <c r="F180" s="69">
        <v>0</v>
      </c>
      <c r="G180" s="69" t="s">
        <v>11</v>
      </c>
      <c r="H180" s="69" t="str">
        <f>IFERROR(VLOOKUP(Data!$G180,canon!$I$2:$K$27,2,FALSE),"")</f>
        <v>KNIT</v>
      </c>
      <c r="I180" s="69" t="str">
        <f>IFERROR(VLOOKUP(Data!$G180,canon!$I$2:$K$27,3,FALSE),"")</f>
        <v>APPAREL</v>
      </c>
      <c r="J180" s="69">
        <f t="shared" si="4"/>
        <v>3</v>
      </c>
      <c r="K180" s="69">
        <f t="shared" si="5"/>
        <v>1</v>
      </c>
      <c r="L180" s="69">
        <f>VLOOKUP(Table_db1_backend_Daily.accdb[[#This Row],[TradingDate]],canon!B:E,4,0)</f>
        <v>29</v>
      </c>
    </row>
    <row r="181" spans="1:12" x14ac:dyDescent="0.2">
      <c r="A181" s="69" t="s">
        <v>6</v>
      </c>
      <c r="B181" s="70">
        <v>42934</v>
      </c>
      <c r="C181" s="69">
        <v>4643</v>
      </c>
      <c r="D181" s="69">
        <v>0</v>
      </c>
      <c r="E181" s="69">
        <v>0</v>
      </c>
      <c r="F181" s="69">
        <v>0</v>
      </c>
      <c r="G181" s="69" t="s">
        <v>14</v>
      </c>
      <c r="H181" s="69" t="str">
        <f>IFERROR(VLOOKUP(Data!$G181,canon!$I$2:$K$27,2,FALSE),"")</f>
        <v>LEGGING</v>
      </c>
      <c r="I181" s="69" t="str">
        <f>IFERROR(VLOOKUP(Data!$G181,canon!$I$2:$K$27,3,FALSE),"")</f>
        <v>APPAREL</v>
      </c>
      <c r="J181" s="69">
        <f t="shared" si="4"/>
        <v>3</v>
      </c>
      <c r="K181" s="69">
        <f t="shared" si="5"/>
        <v>1</v>
      </c>
      <c r="L181" s="69">
        <f>VLOOKUP(Table_db1_backend_Daily.accdb[[#This Row],[TradingDate]],canon!B:E,4,0)</f>
        <v>29</v>
      </c>
    </row>
    <row r="182" spans="1:12" x14ac:dyDescent="0.2">
      <c r="A182" s="69" t="s">
        <v>6</v>
      </c>
      <c r="B182" s="70">
        <v>42934</v>
      </c>
      <c r="C182" s="69">
        <v>0</v>
      </c>
      <c r="D182" s="69">
        <v>0</v>
      </c>
      <c r="E182" s="69">
        <v>0</v>
      </c>
      <c r="F182" s="69">
        <v>0</v>
      </c>
      <c r="G182" s="69" t="s">
        <v>16</v>
      </c>
      <c r="H182" s="69" t="str">
        <f>IFERROR(VLOOKUP(Data!$G182,canon!$I$2:$K$27,2,FALSE),"")</f>
        <v>ACCESSORY</v>
      </c>
      <c r="I182" s="69" t="str">
        <f>IFERROR(VLOOKUP(Data!$G182,canon!$I$2:$K$27,3,FALSE),"")</f>
        <v>N.APPAREL</v>
      </c>
      <c r="J182" s="69">
        <f t="shared" si="4"/>
        <v>3</v>
      </c>
      <c r="K182" s="69">
        <f t="shared" si="5"/>
        <v>1</v>
      </c>
      <c r="L182" s="69">
        <f>VLOOKUP(Table_db1_backend_Daily.accdb[[#This Row],[TradingDate]],canon!B:E,4,0)</f>
        <v>29</v>
      </c>
    </row>
    <row r="183" spans="1:12" x14ac:dyDescent="0.2">
      <c r="A183" s="69" t="s">
        <v>6</v>
      </c>
      <c r="B183" s="70">
        <v>42934</v>
      </c>
      <c r="C183" s="69">
        <v>13</v>
      </c>
      <c r="D183" s="69">
        <v>0</v>
      </c>
      <c r="E183" s="69">
        <v>0</v>
      </c>
      <c r="F183" s="69">
        <v>0</v>
      </c>
      <c r="G183" s="69" t="s">
        <v>37</v>
      </c>
      <c r="H183" s="69" t="str">
        <f>IFERROR(VLOOKUP(Data!$G183,canon!$I$2:$K$27,2,FALSE),"")</f>
        <v>SHOES</v>
      </c>
      <c r="I183" s="69" t="str">
        <f>IFERROR(VLOOKUP(Data!$G183,canon!$I$2:$K$27,3,FALSE),"")</f>
        <v>N.APPAREL</v>
      </c>
      <c r="J183" s="69">
        <f t="shared" si="4"/>
        <v>3</v>
      </c>
      <c r="K183" s="69">
        <f t="shared" si="5"/>
        <v>1</v>
      </c>
      <c r="L183" s="69">
        <f>VLOOKUP(Table_db1_backend_Daily.accdb[[#This Row],[TradingDate]],canon!B:E,4,0)</f>
        <v>29</v>
      </c>
    </row>
    <row r="184" spans="1:12" x14ac:dyDescent="0.2">
      <c r="A184" s="69" t="s">
        <v>6</v>
      </c>
      <c r="B184" s="70">
        <v>42934</v>
      </c>
      <c r="C184" s="69">
        <v>-1</v>
      </c>
      <c r="D184" s="69">
        <v>0</v>
      </c>
      <c r="E184" s="69">
        <v>0</v>
      </c>
      <c r="F184" s="69">
        <v>0</v>
      </c>
      <c r="G184" s="69" t="s">
        <v>29</v>
      </c>
      <c r="H184" s="69" t="str">
        <f>IFERROR(VLOOKUP(Data!$G184,canon!$I$2:$K$27,2,FALSE),"")</f>
        <v>SHOES</v>
      </c>
      <c r="I184" s="69" t="str">
        <f>IFERROR(VLOOKUP(Data!$G184,canon!$I$2:$K$27,3,FALSE),"")</f>
        <v>N.APPAREL</v>
      </c>
      <c r="J184" s="69">
        <f t="shared" si="4"/>
        <v>3</v>
      </c>
      <c r="K184" s="69">
        <f t="shared" si="5"/>
        <v>1</v>
      </c>
      <c r="L184" s="69">
        <f>VLOOKUP(Table_db1_backend_Daily.accdb[[#This Row],[TradingDate]],canon!B:E,4,0)</f>
        <v>29</v>
      </c>
    </row>
    <row r="185" spans="1:12" x14ac:dyDescent="0.2">
      <c r="A185" s="69" t="s">
        <v>6</v>
      </c>
      <c r="B185" s="70">
        <v>42934</v>
      </c>
      <c r="C185" s="69">
        <v>4006</v>
      </c>
      <c r="D185" s="69">
        <v>0</v>
      </c>
      <c r="E185" s="69">
        <v>0</v>
      </c>
      <c r="F185" s="69">
        <v>0</v>
      </c>
      <c r="G185" s="69" t="s">
        <v>17</v>
      </c>
      <c r="H185" s="69" t="str">
        <f>IFERROR(VLOOKUP(Data!$G185,canon!$I$2:$K$27,2,FALSE),"")</f>
        <v>OUTER</v>
      </c>
      <c r="I185" s="69" t="str">
        <f>IFERROR(VLOOKUP(Data!$G185,canon!$I$2:$K$27,3,FALSE),"")</f>
        <v>APPAREL</v>
      </c>
      <c r="J185" s="69">
        <f t="shared" si="4"/>
        <v>3</v>
      </c>
      <c r="K185" s="69">
        <f t="shared" si="5"/>
        <v>1</v>
      </c>
      <c r="L185" s="69">
        <f>VLOOKUP(Table_db1_backend_Daily.accdb[[#This Row],[TradingDate]],canon!B:E,4,0)</f>
        <v>29</v>
      </c>
    </row>
    <row r="186" spans="1:12" x14ac:dyDescent="0.2">
      <c r="A186" s="69" t="s">
        <v>6</v>
      </c>
      <c r="B186" s="70">
        <v>42934</v>
      </c>
      <c r="C186" s="69">
        <v>1470</v>
      </c>
      <c r="D186" s="69">
        <v>0</v>
      </c>
      <c r="E186" s="69">
        <v>0</v>
      </c>
      <c r="F186" s="69">
        <v>0</v>
      </c>
      <c r="G186" s="69" t="s">
        <v>19</v>
      </c>
      <c r="H186" s="69" t="str">
        <f>IFERROR(VLOOKUP(Data!$G186,canon!$I$2:$K$27,2,FALSE),"")</f>
        <v>PANT</v>
      </c>
      <c r="I186" s="69" t="str">
        <f>IFERROR(VLOOKUP(Data!$G186,canon!$I$2:$K$27,3,FALSE),"")</f>
        <v>APPAREL</v>
      </c>
      <c r="J186" s="69">
        <f t="shared" si="4"/>
        <v>3</v>
      </c>
      <c r="K186" s="69">
        <f t="shared" si="5"/>
        <v>1</v>
      </c>
      <c r="L186" s="69">
        <f>VLOOKUP(Table_db1_backend_Daily.accdb[[#This Row],[TradingDate]],canon!B:E,4,0)</f>
        <v>29</v>
      </c>
    </row>
    <row r="187" spans="1:12" x14ac:dyDescent="0.2">
      <c r="A187" s="69" t="s">
        <v>6</v>
      </c>
      <c r="B187" s="70">
        <v>42934</v>
      </c>
      <c r="C187" s="69">
        <v>49</v>
      </c>
      <c r="D187" s="69">
        <v>0</v>
      </c>
      <c r="E187" s="69">
        <v>0</v>
      </c>
      <c r="F187" s="69">
        <v>0</v>
      </c>
      <c r="G187" s="69" t="s">
        <v>21</v>
      </c>
      <c r="H187" s="69" t="str">
        <f>IFERROR(VLOOKUP(Data!$G187,canon!$I$2:$K$27,2,FALSE),"")</f>
        <v>ACCESSORY</v>
      </c>
      <c r="I187" s="69" t="str">
        <f>IFERROR(VLOOKUP(Data!$G187,canon!$I$2:$K$27,3,FALSE),"")</f>
        <v>N.APPAREL</v>
      </c>
      <c r="J187" s="69">
        <f t="shared" si="4"/>
        <v>3</v>
      </c>
      <c r="K187" s="69">
        <f t="shared" si="5"/>
        <v>1</v>
      </c>
      <c r="L187" s="69">
        <f>VLOOKUP(Table_db1_backend_Daily.accdb[[#This Row],[TradingDate]],canon!B:E,4,0)</f>
        <v>29</v>
      </c>
    </row>
    <row r="188" spans="1:12" x14ac:dyDescent="0.2">
      <c r="A188" s="69" t="s">
        <v>6</v>
      </c>
      <c r="B188" s="70">
        <v>42934</v>
      </c>
      <c r="C188" s="69">
        <v>4401</v>
      </c>
      <c r="D188" s="69">
        <v>0</v>
      </c>
      <c r="E188" s="69">
        <v>0</v>
      </c>
      <c r="F188" s="69">
        <v>0</v>
      </c>
      <c r="G188" s="69" t="s">
        <v>22</v>
      </c>
      <c r="H188" s="69" t="str">
        <f>IFERROR(VLOOKUP(Data!$G188,canon!$I$2:$K$27,2,FALSE),"")</f>
        <v>SCARF</v>
      </c>
      <c r="I188" s="69" t="str">
        <f>IFERROR(VLOOKUP(Data!$G188,canon!$I$2:$K$27,3,FALSE),"")</f>
        <v>N.APPAREL</v>
      </c>
      <c r="J188" s="69">
        <f t="shared" si="4"/>
        <v>3</v>
      </c>
      <c r="K188" s="69">
        <f t="shared" si="5"/>
        <v>1</v>
      </c>
      <c r="L188" s="69">
        <f>VLOOKUP(Table_db1_backend_Daily.accdb[[#This Row],[TradingDate]],canon!B:E,4,0)</f>
        <v>29</v>
      </c>
    </row>
    <row r="189" spans="1:12" x14ac:dyDescent="0.2">
      <c r="A189" s="69" t="s">
        <v>6</v>
      </c>
      <c r="B189" s="70">
        <v>42934</v>
      </c>
      <c r="C189" s="69">
        <v>1693</v>
      </c>
      <c r="D189" s="69">
        <v>0</v>
      </c>
      <c r="E189" s="69">
        <v>0</v>
      </c>
      <c r="F189" s="69">
        <v>0</v>
      </c>
      <c r="G189" s="69" t="s">
        <v>23</v>
      </c>
      <c r="H189" s="69" t="str">
        <f>IFERROR(VLOOKUP(Data!$G189,canon!$I$2:$K$27,2,FALSE),"")</f>
        <v>SH&amp;BL</v>
      </c>
      <c r="I189" s="69" t="str">
        <f>IFERROR(VLOOKUP(Data!$G189,canon!$I$2:$K$27,3,FALSE),"")</f>
        <v>APPAREL</v>
      </c>
      <c r="J189" s="69">
        <f t="shared" si="4"/>
        <v>3</v>
      </c>
      <c r="K189" s="69">
        <f t="shared" si="5"/>
        <v>1</v>
      </c>
      <c r="L189" s="69">
        <f>VLOOKUP(Table_db1_backend_Daily.accdb[[#This Row],[TradingDate]],canon!B:E,4,0)</f>
        <v>29</v>
      </c>
    </row>
    <row r="190" spans="1:12" x14ac:dyDescent="0.2">
      <c r="A190" s="69" t="s">
        <v>6</v>
      </c>
      <c r="B190" s="70">
        <v>42934</v>
      </c>
      <c r="C190" s="69">
        <v>1415</v>
      </c>
      <c r="D190" s="69">
        <v>0</v>
      </c>
      <c r="E190" s="69">
        <v>0</v>
      </c>
      <c r="F190" s="69">
        <v>0</v>
      </c>
      <c r="G190" s="69" t="s">
        <v>32</v>
      </c>
      <c r="H190" s="69" t="str">
        <f>IFERROR(VLOOKUP(Data!$G190,canon!$I$2:$K$27,2,FALSE),"")</f>
        <v>SKIRT</v>
      </c>
      <c r="I190" s="69" t="str">
        <f>IFERROR(VLOOKUP(Data!$G190,canon!$I$2:$K$27,3,FALSE),"")</f>
        <v>APPAREL</v>
      </c>
      <c r="J190" s="69">
        <f t="shared" si="4"/>
        <v>3</v>
      </c>
      <c r="K190" s="69">
        <f t="shared" si="5"/>
        <v>1</v>
      </c>
      <c r="L190" s="69">
        <f>VLOOKUP(Table_db1_backend_Daily.accdb[[#This Row],[TradingDate]],canon!B:E,4,0)</f>
        <v>29</v>
      </c>
    </row>
    <row r="191" spans="1:12" x14ac:dyDescent="0.2">
      <c r="A191" s="69" t="s">
        <v>6</v>
      </c>
      <c r="B191" s="70">
        <v>42934</v>
      </c>
      <c r="C191" s="69">
        <v>11018</v>
      </c>
      <c r="D191" s="69">
        <v>0</v>
      </c>
      <c r="E191" s="69">
        <v>0</v>
      </c>
      <c r="F191" s="69">
        <v>0</v>
      </c>
      <c r="G191" s="69" t="s">
        <v>25</v>
      </c>
      <c r="H191" s="69" t="str">
        <f>IFERROR(VLOOKUP(Data!$G191,canon!$I$2:$K$27,2,FALSE),"")</f>
        <v>TOP</v>
      </c>
      <c r="I191" s="69" t="str">
        <f>IFERROR(VLOOKUP(Data!$G191,canon!$I$2:$K$27,3,FALSE),"")</f>
        <v>APPAREL</v>
      </c>
      <c r="J191" s="69">
        <f t="shared" si="4"/>
        <v>3</v>
      </c>
      <c r="K191" s="69">
        <f t="shared" si="5"/>
        <v>1</v>
      </c>
      <c r="L191" s="69">
        <f>VLOOKUP(Table_db1_backend_Daily.accdb[[#This Row],[TradingDate]],canon!B:E,4,0)</f>
        <v>29</v>
      </c>
    </row>
    <row r="192" spans="1:12" x14ac:dyDescent="0.2">
      <c r="A192" s="69" t="s">
        <v>6</v>
      </c>
      <c r="B192" s="70">
        <v>42935</v>
      </c>
      <c r="C192" s="69">
        <v>0</v>
      </c>
      <c r="D192" s="69">
        <v>0</v>
      </c>
      <c r="E192" s="69">
        <v>0</v>
      </c>
      <c r="F192" s="69">
        <v>0</v>
      </c>
      <c r="G192" s="69" t="s">
        <v>27</v>
      </c>
      <c r="H192" s="69" t="str">
        <f>IFERROR(VLOOKUP(Data!$G192,canon!$I$2:$K$27,2,FALSE),"")</f>
        <v>ACCESSORY</v>
      </c>
      <c r="I192" s="69" t="str">
        <f>IFERROR(VLOOKUP(Data!$G192,canon!$I$2:$K$27,3,FALSE),"")</f>
        <v>N.APPAREL</v>
      </c>
      <c r="J192" s="69">
        <f t="shared" si="4"/>
        <v>4</v>
      </c>
      <c r="K192" s="69">
        <f t="shared" si="5"/>
        <v>1</v>
      </c>
      <c r="L192" s="69">
        <f>VLOOKUP(Table_db1_backend_Daily.accdb[[#This Row],[TradingDate]],canon!B:E,4,0)</f>
        <v>29</v>
      </c>
    </row>
    <row r="193" spans="1:12" x14ac:dyDescent="0.2">
      <c r="A193" s="69" t="s">
        <v>6</v>
      </c>
      <c r="B193" s="70">
        <v>42935</v>
      </c>
      <c r="C193" s="69">
        <v>0</v>
      </c>
      <c r="D193" s="69">
        <v>0</v>
      </c>
      <c r="E193" s="69">
        <v>0</v>
      </c>
      <c r="F193" s="69">
        <v>0</v>
      </c>
      <c r="G193" s="69" t="s">
        <v>7</v>
      </c>
      <c r="H193" s="69" t="str">
        <f>IFERROR(VLOOKUP(Data!$G193,canon!$I$2:$K$27,2,FALSE),"")</f>
        <v>ACCESSORY</v>
      </c>
      <c r="I193" s="69" t="str">
        <f>IFERROR(VLOOKUP(Data!$G193,canon!$I$2:$K$27,3,FALSE),"")</f>
        <v>N.APPAREL</v>
      </c>
      <c r="J193" s="69">
        <f t="shared" si="4"/>
        <v>4</v>
      </c>
      <c r="K193" s="69">
        <f t="shared" si="5"/>
        <v>1</v>
      </c>
      <c r="L193" s="69">
        <f>VLOOKUP(Table_db1_backend_Daily.accdb[[#This Row],[TradingDate]],canon!B:E,4,0)</f>
        <v>29</v>
      </c>
    </row>
    <row r="194" spans="1:12" x14ac:dyDescent="0.2">
      <c r="A194" s="69" t="s">
        <v>6</v>
      </c>
      <c r="B194" s="70">
        <v>42935</v>
      </c>
      <c r="C194" s="69">
        <v>-6</v>
      </c>
      <c r="D194" s="69">
        <v>0</v>
      </c>
      <c r="E194" s="69">
        <v>0</v>
      </c>
      <c r="F194" s="69">
        <v>0</v>
      </c>
      <c r="G194" s="69" t="s">
        <v>34</v>
      </c>
      <c r="H194" s="69" t="str">
        <f>IFERROR(VLOOKUP(Data!$G194,canon!$I$2:$K$27,2,FALSE),"")</f>
        <v>SHOES</v>
      </c>
      <c r="I194" s="69" t="str">
        <f>IFERROR(VLOOKUP(Data!$G194,canon!$I$2:$K$27,3,FALSE),"")</f>
        <v>N.APPAREL</v>
      </c>
      <c r="J194" s="69">
        <f t="shared" ref="J194:J257" si="6">WEEKDAY(B194)</f>
        <v>4</v>
      </c>
      <c r="K194" s="69">
        <f t="shared" ref="K194:K257" si="7">INT(A194)</f>
        <v>1</v>
      </c>
      <c r="L194" s="69">
        <f>VLOOKUP(Table_db1_backend_Daily.accdb[[#This Row],[TradingDate]],canon!B:E,4,0)</f>
        <v>29</v>
      </c>
    </row>
    <row r="195" spans="1:12" x14ac:dyDescent="0.2">
      <c r="A195" s="69" t="s">
        <v>6</v>
      </c>
      <c r="B195" s="70">
        <v>42935</v>
      </c>
      <c r="C195" s="69">
        <v>6</v>
      </c>
      <c r="D195" s="69">
        <v>0</v>
      </c>
      <c r="E195" s="69">
        <v>0</v>
      </c>
      <c r="F195" s="69">
        <v>0</v>
      </c>
      <c r="G195" s="69" t="s">
        <v>38</v>
      </c>
      <c r="H195" s="69" t="str">
        <f>IFERROR(VLOOKUP(Data!$G195,canon!$I$2:$K$27,2,FALSE),"")</f>
        <v>SHOES</v>
      </c>
      <c r="I195" s="69" t="str">
        <f>IFERROR(VLOOKUP(Data!$G195,canon!$I$2:$K$27,3,FALSE),"")</f>
        <v>N.APPAREL</v>
      </c>
      <c r="J195" s="69">
        <f t="shared" si="6"/>
        <v>4</v>
      </c>
      <c r="K195" s="69">
        <f t="shared" si="7"/>
        <v>1</v>
      </c>
      <c r="L195" s="69">
        <f>VLOOKUP(Table_db1_backend_Daily.accdb[[#This Row],[TradingDate]],canon!B:E,4,0)</f>
        <v>29</v>
      </c>
    </row>
    <row r="196" spans="1:12" x14ac:dyDescent="0.2">
      <c r="A196" s="69" t="s">
        <v>6</v>
      </c>
      <c r="B196" s="70">
        <v>42935</v>
      </c>
      <c r="C196" s="69">
        <v>5104</v>
      </c>
      <c r="D196" s="69">
        <v>0</v>
      </c>
      <c r="E196" s="69">
        <v>0</v>
      </c>
      <c r="F196" s="69">
        <v>0</v>
      </c>
      <c r="G196" s="69" t="s">
        <v>35</v>
      </c>
      <c r="H196" s="69" t="str">
        <f>IFERROR(VLOOKUP(Data!$G196,canon!$I$2:$K$27,2,FALSE),"")</f>
        <v>DRESS</v>
      </c>
      <c r="I196" s="69" t="str">
        <f>IFERROR(VLOOKUP(Data!$G196,canon!$I$2:$K$27,3,FALSE),"")</f>
        <v>APPAREL</v>
      </c>
      <c r="J196" s="69">
        <f t="shared" si="6"/>
        <v>4</v>
      </c>
      <c r="K196" s="69">
        <f t="shared" si="7"/>
        <v>1</v>
      </c>
      <c r="L196" s="69">
        <f>VLOOKUP(Table_db1_backend_Daily.accdb[[#This Row],[TradingDate]],canon!B:E,4,0)</f>
        <v>29</v>
      </c>
    </row>
    <row r="197" spans="1:12" x14ac:dyDescent="0.2">
      <c r="A197" s="69" t="s">
        <v>6</v>
      </c>
      <c r="B197" s="70">
        <v>42935</v>
      </c>
      <c r="C197" s="69">
        <v>1</v>
      </c>
      <c r="D197" s="69">
        <v>0</v>
      </c>
      <c r="E197" s="69">
        <v>0</v>
      </c>
      <c r="F197" s="69">
        <v>0</v>
      </c>
      <c r="G197" s="69" t="s">
        <v>10</v>
      </c>
      <c r="H197" s="69" t="str">
        <f>IFERROR(VLOOKUP(Data!$G197,canon!$I$2:$K$27,2,FALSE),"")</f>
        <v>ACCESSORY</v>
      </c>
      <c r="I197" s="69" t="str">
        <f>IFERROR(VLOOKUP(Data!$G197,canon!$I$2:$K$27,3,FALSE),"")</f>
        <v>N.APPAREL</v>
      </c>
      <c r="J197" s="69">
        <f t="shared" si="6"/>
        <v>4</v>
      </c>
      <c r="K197" s="69">
        <f t="shared" si="7"/>
        <v>1</v>
      </c>
      <c r="L197" s="69">
        <f>VLOOKUP(Table_db1_backend_Daily.accdb[[#This Row],[TradingDate]],canon!B:E,4,0)</f>
        <v>29</v>
      </c>
    </row>
    <row r="198" spans="1:12" x14ac:dyDescent="0.2">
      <c r="A198" s="69" t="s">
        <v>6</v>
      </c>
      <c r="B198" s="70">
        <v>42935</v>
      </c>
      <c r="C198" s="69">
        <v>215</v>
      </c>
      <c r="D198" s="69">
        <v>0</v>
      </c>
      <c r="E198" s="69">
        <v>0</v>
      </c>
      <c r="F198" s="69">
        <v>0</v>
      </c>
      <c r="G198" s="69" t="s">
        <v>28</v>
      </c>
      <c r="H198" s="69" t="str">
        <f>IFERROR(VLOOKUP(Data!$G198,canon!$I$2:$K$27,2,FALSE),"")</f>
        <v>ACCESSORY</v>
      </c>
      <c r="I198" s="69" t="str">
        <f>IFERROR(VLOOKUP(Data!$G198,canon!$I$2:$K$27,3,FALSE),"")</f>
        <v>N.APPAREL</v>
      </c>
      <c r="J198" s="69">
        <f t="shared" si="6"/>
        <v>4</v>
      </c>
      <c r="K198" s="69">
        <f t="shared" si="7"/>
        <v>1</v>
      </c>
      <c r="L198" s="69">
        <f>VLOOKUP(Table_db1_backend_Daily.accdb[[#This Row],[TradingDate]],canon!B:E,4,0)</f>
        <v>29</v>
      </c>
    </row>
    <row r="199" spans="1:12" x14ac:dyDescent="0.2">
      <c r="A199" s="69" t="s">
        <v>6</v>
      </c>
      <c r="B199" s="70">
        <v>42935</v>
      </c>
      <c r="C199" s="69">
        <v>10715</v>
      </c>
      <c r="D199" s="69">
        <v>0</v>
      </c>
      <c r="E199" s="69">
        <v>0</v>
      </c>
      <c r="F199" s="69">
        <v>0</v>
      </c>
      <c r="G199" s="69" t="s">
        <v>11</v>
      </c>
      <c r="H199" s="69" t="str">
        <f>IFERROR(VLOOKUP(Data!$G199,canon!$I$2:$K$27,2,FALSE),"")</f>
        <v>KNIT</v>
      </c>
      <c r="I199" s="69" t="str">
        <f>IFERROR(VLOOKUP(Data!$G199,canon!$I$2:$K$27,3,FALSE),"")</f>
        <v>APPAREL</v>
      </c>
      <c r="J199" s="69">
        <f t="shared" si="6"/>
        <v>4</v>
      </c>
      <c r="K199" s="69">
        <f t="shared" si="7"/>
        <v>1</v>
      </c>
      <c r="L199" s="69">
        <f>VLOOKUP(Table_db1_backend_Daily.accdb[[#This Row],[TradingDate]],canon!B:E,4,0)</f>
        <v>29</v>
      </c>
    </row>
    <row r="200" spans="1:12" x14ac:dyDescent="0.2">
      <c r="A200" s="69" t="s">
        <v>6</v>
      </c>
      <c r="B200" s="70">
        <v>42935</v>
      </c>
      <c r="C200" s="69">
        <v>4643</v>
      </c>
      <c r="D200" s="69">
        <v>0</v>
      </c>
      <c r="E200" s="69">
        <v>0</v>
      </c>
      <c r="F200" s="69">
        <v>0</v>
      </c>
      <c r="G200" s="69" t="s">
        <v>14</v>
      </c>
      <c r="H200" s="69" t="str">
        <f>IFERROR(VLOOKUP(Data!$G200,canon!$I$2:$K$27,2,FALSE),"")</f>
        <v>LEGGING</v>
      </c>
      <c r="I200" s="69" t="str">
        <f>IFERROR(VLOOKUP(Data!$G200,canon!$I$2:$K$27,3,FALSE),"")</f>
        <v>APPAREL</v>
      </c>
      <c r="J200" s="69">
        <f t="shared" si="6"/>
        <v>4</v>
      </c>
      <c r="K200" s="69">
        <f t="shared" si="7"/>
        <v>1</v>
      </c>
      <c r="L200" s="69">
        <f>VLOOKUP(Table_db1_backend_Daily.accdb[[#This Row],[TradingDate]],canon!B:E,4,0)</f>
        <v>29</v>
      </c>
    </row>
    <row r="201" spans="1:12" x14ac:dyDescent="0.2">
      <c r="A201" s="69" t="s">
        <v>6</v>
      </c>
      <c r="B201" s="70">
        <v>42935</v>
      </c>
      <c r="C201" s="69">
        <v>0</v>
      </c>
      <c r="D201" s="69">
        <v>0</v>
      </c>
      <c r="E201" s="69">
        <v>0</v>
      </c>
      <c r="F201" s="69">
        <v>0</v>
      </c>
      <c r="G201" s="69" t="s">
        <v>16</v>
      </c>
      <c r="H201" s="69" t="str">
        <f>IFERROR(VLOOKUP(Data!$G201,canon!$I$2:$K$27,2,FALSE),"")</f>
        <v>ACCESSORY</v>
      </c>
      <c r="I201" s="69" t="str">
        <f>IFERROR(VLOOKUP(Data!$G201,canon!$I$2:$K$27,3,FALSE),"")</f>
        <v>N.APPAREL</v>
      </c>
      <c r="J201" s="69">
        <f t="shared" si="6"/>
        <v>4</v>
      </c>
      <c r="K201" s="69">
        <f t="shared" si="7"/>
        <v>1</v>
      </c>
      <c r="L201" s="69">
        <f>VLOOKUP(Table_db1_backend_Daily.accdb[[#This Row],[TradingDate]],canon!B:E,4,0)</f>
        <v>29</v>
      </c>
    </row>
    <row r="202" spans="1:12" x14ac:dyDescent="0.2">
      <c r="A202" s="69" t="s">
        <v>6</v>
      </c>
      <c r="B202" s="70">
        <v>42935</v>
      </c>
      <c r="C202" s="69">
        <v>13</v>
      </c>
      <c r="D202" s="69">
        <v>0</v>
      </c>
      <c r="E202" s="69">
        <v>0</v>
      </c>
      <c r="F202" s="69">
        <v>0</v>
      </c>
      <c r="G202" s="69" t="s">
        <v>37</v>
      </c>
      <c r="H202" s="69" t="str">
        <f>IFERROR(VLOOKUP(Data!$G202,canon!$I$2:$K$27,2,FALSE),"")</f>
        <v>SHOES</v>
      </c>
      <c r="I202" s="69" t="str">
        <f>IFERROR(VLOOKUP(Data!$G202,canon!$I$2:$K$27,3,FALSE),"")</f>
        <v>N.APPAREL</v>
      </c>
      <c r="J202" s="69">
        <f t="shared" si="6"/>
        <v>4</v>
      </c>
      <c r="K202" s="69">
        <f t="shared" si="7"/>
        <v>1</v>
      </c>
      <c r="L202" s="69">
        <f>VLOOKUP(Table_db1_backend_Daily.accdb[[#This Row],[TradingDate]],canon!B:E,4,0)</f>
        <v>29</v>
      </c>
    </row>
    <row r="203" spans="1:12" x14ac:dyDescent="0.2">
      <c r="A203" s="69" t="s">
        <v>6</v>
      </c>
      <c r="B203" s="70">
        <v>42935</v>
      </c>
      <c r="C203" s="69">
        <v>-1</v>
      </c>
      <c r="D203" s="69">
        <v>0</v>
      </c>
      <c r="E203" s="69">
        <v>0</v>
      </c>
      <c r="F203" s="69">
        <v>0</v>
      </c>
      <c r="G203" s="69" t="s">
        <v>29</v>
      </c>
      <c r="H203" s="69" t="str">
        <f>IFERROR(VLOOKUP(Data!$G203,canon!$I$2:$K$27,2,FALSE),"")</f>
        <v>SHOES</v>
      </c>
      <c r="I203" s="69" t="str">
        <f>IFERROR(VLOOKUP(Data!$G203,canon!$I$2:$K$27,3,FALSE),"")</f>
        <v>N.APPAREL</v>
      </c>
      <c r="J203" s="69">
        <f t="shared" si="6"/>
        <v>4</v>
      </c>
      <c r="K203" s="69">
        <f t="shared" si="7"/>
        <v>1</v>
      </c>
      <c r="L203" s="69">
        <f>VLOOKUP(Table_db1_backend_Daily.accdb[[#This Row],[TradingDate]],canon!B:E,4,0)</f>
        <v>29</v>
      </c>
    </row>
    <row r="204" spans="1:12" x14ac:dyDescent="0.2">
      <c r="A204" s="69" t="s">
        <v>6</v>
      </c>
      <c r="B204" s="70">
        <v>42935</v>
      </c>
      <c r="C204" s="69">
        <v>4006</v>
      </c>
      <c r="D204" s="69">
        <v>0</v>
      </c>
      <c r="E204" s="69">
        <v>0</v>
      </c>
      <c r="F204" s="69">
        <v>0</v>
      </c>
      <c r="G204" s="69" t="s">
        <v>17</v>
      </c>
      <c r="H204" s="69" t="str">
        <f>IFERROR(VLOOKUP(Data!$G204,canon!$I$2:$K$27,2,FALSE),"")</f>
        <v>OUTER</v>
      </c>
      <c r="I204" s="69" t="str">
        <f>IFERROR(VLOOKUP(Data!$G204,canon!$I$2:$K$27,3,FALSE),"")</f>
        <v>APPAREL</v>
      </c>
      <c r="J204" s="69">
        <f t="shared" si="6"/>
        <v>4</v>
      </c>
      <c r="K204" s="69">
        <f t="shared" si="7"/>
        <v>1</v>
      </c>
      <c r="L204" s="69">
        <f>VLOOKUP(Table_db1_backend_Daily.accdb[[#This Row],[TradingDate]],canon!B:E,4,0)</f>
        <v>29</v>
      </c>
    </row>
    <row r="205" spans="1:12" x14ac:dyDescent="0.2">
      <c r="A205" s="69" t="s">
        <v>6</v>
      </c>
      <c r="B205" s="70">
        <v>42935</v>
      </c>
      <c r="C205" s="69">
        <v>1470</v>
      </c>
      <c r="D205" s="69">
        <v>0</v>
      </c>
      <c r="E205" s="69">
        <v>0</v>
      </c>
      <c r="F205" s="69">
        <v>0</v>
      </c>
      <c r="G205" s="69" t="s">
        <v>19</v>
      </c>
      <c r="H205" s="69" t="str">
        <f>IFERROR(VLOOKUP(Data!$G205,canon!$I$2:$K$27,2,FALSE),"")</f>
        <v>PANT</v>
      </c>
      <c r="I205" s="69" t="str">
        <f>IFERROR(VLOOKUP(Data!$G205,canon!$I$2:$K$27,3,FALSE),"")</f>
        <v>APPAREL</v>
      </c>
      <c r="J205" s="69">
        <f t="shared" si="6"/>
        <v>4</v>
      </c>
      <c r="K205" s="69">
        <f t="shared" si="7"/>
        <v>1</v>
      </c>
      <c r="L205" s="69">
        <f>VLOOKUP(Table_db1_backend_Daily.accdb[[#This Row],[TradingDate]],canon!B:E,4,0)</f>
        <v>29</v>
      </c>
    </row>
    <row r="206" spans="1:12" x14ac:dyDescent="0.2">
      <c r="A206" s="69" t="s">
        <v>6</v>
      </c>
      <c r="B206" s="70">
        <v>42935</v>
      </c>
      <c r="C206" s="69">
        <v>49</v>
      </c>
      <c r="D206" s="69">
        <v>0</v>
      </c>
      <c r="E206" s="69">
        <v>0</v>
      </c>
      <c r="F206" s="69">
        <v>0</v>
      </c>
      <c r="G206" s="69" t="s">
        <v>21</v>
      </c>
      <c r="H206" s="69" t="str">
        <f>IFERROR(VLOOKUP(Data!$G206,canon!$I$2:$K$27,2,FALSE),"")</f>
        <v>ACCESSORY</v>
      </c>
      <c r="I206" s="69" t="str">
        <f>IFERROR(VLOOKUP(Data!$G206,canon!$I$2:$K$27,3,FALSE),"")</f>
        <v>N.APPAREL</v>
      </c>
      <c r="J206" s="69">
        <f t="shared" si="6"/>
        <v>4</v>
      </c>
      <c r="K206" s="69">
        <f t="shared" si="7"/>
        <v>1</v>
      </c>
      <c r="L206" s="69">
        <f>VLOOKUP(Table_db1_backend_Daily.accdb[[#This Row],[TradingDate]],canon!B:E,4,0)</f>
        <v>29</v>
      </c>
    </row>
    <row r="207" spans="1:12" x14ac:dyDescent="0.2">
      <c r="A207" s="69" t="s">
        <v>6</v>
      </c>
      <c r="B207" s="70">
        <v>42935</v>
      </c>
      <c r="C207" s="69">
        <v>4401</v>
      </c>
      <c r="D207" s="69">
        <v>0</v>
      </c>
      <c r="E207" s="69">
        <v>0</v>
      </c>
      <c r="F207" s="69">
        <v>0</v>
      </c>
      <c r="G207" s="69" t="s">
        <v>22</v>
      </c>
      <c r="H207" s="69" t="str">
        <f>IFERROR(VLOOKUP(Data!$G207,canon!$I$2:$K$27,2,FALSE),"")</f>
        <v>SCARF</v>
      </c>
      <c r="I207" s="69" t="str">
        <f>IFERROR(VLOOKUP(Data!$G207,canon!$I$2:$K$27,3,FALSE),"")</f>
        <v>N.APPAREL</v>
      </c>
      <c r="J207" s="69">
        <f t="shared" si="6"/>
        <v>4</v>
      </c>
      <c r="K207" s="69">
        <f t="shared" si="7"/>
        <v>1</v>
      </c>
      <c r="L207" s="69">
        <f>VLOOKUP(Table_db1_backend_Daily.accdb[[#This Row],[TradingDate]],canon!B:E,4,0)</f>
        <v>29</v>
      </c>
    </row>
    <row r="208" spans="1:12" x14ac:dyDescent="0.2">
      <c r="A208" s="69" t="s">
        <v>6</v>
      </c>
      <c r="B208" s="70">
        <v>42935</v>
      </c>
      <c r="C208" s="69">
        <v>1693</v>
      </c>
      <c r="D208" s="69">
        <v>0</v>
      </c>
      <c r="E208" s="69">
        <v>0</v>
      </c>
      <c r="F208" s="69">
        <v>0</v>
      </c>
      <c r="G208" s="69" t="s">
        <v>23</v>
      </c>
      <c r="H208" s="69" t="str">
        <f>IFERROR(VLOOKUP(Data!$G208,canon!$I$2:$K$27,2,FALSE),"")</f>
        <v>SH&amp;BL</v>
      </c>
      <c r="I208" s="69" t="str">
        <f>IFERROR(VLOOKUP(Data!$G208,canon!$I$2:$K$27,3,FALSE),"")</f>
        <v>APPAREL</v>
      </c>
      <c r="J208" s="69">
        <f t="shared" si="6"/>
        <v>4</v>
      </c>
      <c r="K208" s="69">
        <f t="shared" si="7"/>
        <v>1</v>
      </c>
      <c r="L208" s="69">
        <f>VLOOKUP(Table_db1_backend_Daily.accdb[[#This Row],[TradingDate]],canon!B:E,4,0)</f>
        <v>29</v>
      </c>
    </row>
    <row r="209" spans="1:12" x14ac:dyDescent="0.2">
      <c r="A209" s="69" t="s">
        <v>6</v>
      </c>
      <c r="B209" s="70">
        <v>42935</v>
      </c>
      <c r="C209" s="69">
        <v>1415</v>
      </c>
      <c r="D209" s="69">
        <v>0</v>
      </c>
      <c r="E209" s="69">
        <v>0</v>
      </c>
      <c r="F209" s="69">
        <v>0</v>
      </c>
      <c r="G209" s="69" t="s">
        <v>32</v>
      </c>
      <c r="H209" s="69" t="str">
        <f>IFERROR(VLOOKUP(Data!$G209,canon!$I$2:$K$27,2,FALSE),"")</f>
        <v>SKIRT</v>
      </c>
      <c r="I209" s="69" t="str">
        <f>IFERROR(VLOOKUP(Data!$G209,canon!$I$2:$K$27,3,FALSE),"")</f>
        <v>APPAREL</v>
      </c>
      <c r="J209" s="69">
        <f t="shared" si="6"/>
        <v>4</v>
      </c>
      <c r="K209" s="69">
        <f t="shared" si="7"/>
        <v>1</v>
      </c>
      <c r="L209" s="69">
        <f>VLOOKUP(Table_db1_backend_Daily.accdb[[#This Row],[TradingDate]],canon!B:E,4,0)</f>
        <v>29</v>
      </c>
    </row>
    <row r="210" spans="1:12" x14ac:dyDescent="0.2">
      <c r="A210" s="69" t="s">
        <v>6</v>
      </c>
      <c r="B210" s="70">
        <v>42935</v>
      </c>
      <c r="C210" s="69">
        <v>11018</v>
      </c>
      <c r="D210" s="69">
        <v>0</v>
      </c>
      <c r="E210" s="69">
        <v>0</v>
      </c>
      <c r="F210" s="69">
        <v>0</v>
      </c>
      <c r="G210" s="69" t="s">
        <v>25</v>
      </c>
      <c r="H210" s="69" t="str">
        <f>IFERROR(VLOOKUP(Data!$G210,canon!$I$2:$K$27,2,FALSE),"")</f>
        <v>TOP</v>
      </c>
      <c r="I210" s="69" t="str">
        <f>IFERROR(VLOOKUP(Data!$G210,canon!$I$2:$K$27,3,FALSE),"")</f>
        <v>APPAREL</v>
      </c>
      <c r="J210" s="69">
        <f t="shared" si="6"/>
        <v>4</v>
      </c>
      <c r="K210" s="69">
        <f t="shared" si="7"/>
        <v>1</v>
      </c>
      <c r="L210" s="69">
        <f>VLOOKUP(Table_db1_backend_Daily.accdb[[#This Row],[TradingDate]],canon!B:E,4,0)</f>
        <v>29</v>
      </c>
    </row>
    <row r="211" spans="1:12" x14ac:dyDescent="0.2">
      <c r="A211" s="69" t="s">
        <v>6</v>
      </c>
      <c r="B211" s="70">
        <v>42936</v>
      </c>
      <c r="C211" s="69">
        <v>0</v>
      </c>
      <c r="D211" s="69">
        <v>0</v>
      </c>
      <c r="E211" s="69">
        <v>0</v>
      </c>
      <c r="F211" s="69">
        <v>0</v>
      </c>
      <c r="G211" s="69" t="s">
        <v>27</v>
      </c>
      <c r="H211" s="69" t="str">
        <f>IFERROR(VLOOKUP(Data!$G211,canon!$I$2:$K$27,2,FALSE),"")</f>
        <v>ACCESSORY</v>
      </c>
      <c r="I211" s="69" t="str">
        <f>IFERROR(VLOOKUP(Data!$G211,canon!$I$2:$K$27,3,FALSE),"")</f>
        <v>N.APPAREL</v>
      </c>
      <c r="J211" s="69">
        <f t="shared" si="6"/>
        <v>5</v>
      </c>
      <c r="K211" s="69">
        <f t="shared" si="7"/>
        <v>1</v>
      </c>
      <c r="L211" s="69">
        <f>VLOOKUP(Table_db1_backend_Daily.accdb[[#This Row],[TradingDate]],canon!B:E,4,0)</f>
        <v>29</v>
      </c>
    </row>
    <row r="212" spans="1:12" x14ac:dyDescent="0.2">
      <c r="A212" s="69" t="s">
        <v>6</v>
      </c>
      <c r="B212" s="70">
        <v>42936</v>
      </c>
      <c r="C212" s="69">
        <v>0</v>
      </c>
      <c r="D212" s="69">
        <v>0</v>
      </c>
      <c r="E212" s="69">
        <v>0</v>
      </c>
      <c r="F212" s="69">
        <v>0</v>
      </c>
      <c r="G212" s="69" t="s">
        <v>7</v>
      </c>
      <c r="H212" s="69" t="str">
        <f>IFERROR(VLOOKUP(Data!$G212,canon!$I$2:$K$27,2,FALSE),"")</f>
        <v>ACCESSORY</v>
      </c>
      <c r="I212" s="69" t="str">
        <f>IFERROR(VLOOKUP(Data!$G212,canon!$I$2:$K$27,3,FALSE),"")</f>
        <v>N.APPAREL</v>
      </c>
      <c r="J212" s="69">
        <f t="shared" si="6"/>
        <v>5</v>
      </c>
      <c r="K212" s="69">
        <f t="shared" si="7"/>
        <v>1</v>
      </c>
      <c r="L212" s="69">
        <f>VLOOKUP(Table_db1_backend_Daily.accdb[[#This Row],[TradingDate]],canon!B:E,4,0)</f>
        <v>29</v>
      </c>
    </row>
    <row r="213" spans="1:12" x14ac:dyDescent="0.2">
      <c r="A213" s="69" t="s">
        <v>6</v>
      </c>
      <c r="B213" s="70">
        <v>42936</v>
      </c>
      <c r="C213" s="69">
        <v>-6</v>
      </c>
      <c r="D213" s="69">
        <v>0</v>
      </c>
      <c r="E213" s="69">
        <v>0</v>
      </c>
      <c r="F213" s="69">
        <v>0</v>
      </c>
      <c r="G213" s="69" t="s">
        <v>34</v>
      </c>
      <c r="H213" s="69" t="str">
        <f>IFERROR(VLOOKUP(Data!$G213,canon!$I$2:$K$27,2,FALSE),"")</f>
        <v>SHOES</v>
      </c>
      <c r="I213" s="69" t="str">
        <f>IFERROR(VLOOKUP(Data!$G213,canon!$I$2:$K$27,3,FALSE),"")</f>
        <v>N.APPAREL</v>
      </c>
      <c r="J213" s="69">
        <f t="shared" si="6"/>
        <v>5</v>
      </c>
      <c r="K213" s="69">
        <f t="shared" si="7"/>
        <v>1</v>
      </c>
      <c r="L213" s="69">
        <f>VLOOKUP(Table_db1_backend_Daily.accdb[[#This Row],[TradingDate]],canon!B:E,4,0)</f>
        <v>29</v>
      </c>
    </row>
    <row r="214" spans="1:12" x14ac:dyDescent="0.2">
      <c r="A214" s="69" t="s">
        <v>6</v>
      </c>
      <c r="B214" s="70">
        <v>42936</v>
      </c>
      <c r="C214" s="69">
        <v>6</v>
      </c>
      <c r="D214" s="69">
        <v>0</v>
      </c>
      <c r="E214" s="69">
        <v>0</v>
      </c>
      <c r="F214" s="69">
        <v>0</v>
      </c>
      <c r="G214" s="69" t="s">
        <v>38</v>
      </c>
      <c r="H214" s="69" t="str">
        <f>IFERROR(VLOOKUP(Data!$G214,canon!$I$2:$K$27,2,FALSE),"")</f>
        <v>SHOES</v>
      </c>
      <c r="I214" s="69" t="str">
        <f>IFERROR(VLOOKUP(Data!$G214,canon!$I$2:$K$27,3,FALSE),"")</f>
        <v>N.APPAREL</v>
      </c>
      <c r="J214" s="69">
        <f t="shared" si="6"/>
        <v>5</v>
      </c>
      <c r="K214" s="69">
        <f t="shared" si="7"/>
        <v>1</v>
      </c>
      <c r="L214" s="69">
        <f>VLOOKUP(Table_db1_backend_Daily.accdb[[#This Row],[TradingDate]],canon!B:E,4,0)</f>
        <v>29</v>
      </c>
    </row>
    <row r="215" spans="1:12" x14ac:dyDescent="0.2">
      <c r="A215" s="69" t="s">
        <v>6</v>
      </c>
      <c r="B215" s="70">
        <v>42936</v>
      </c>
      <c r="C215" s="69">
        <v>5104</v>
      </c>
      <c r="D215" s="69">
        <v>0</v>
      </c>
      <c r="E215" s="69">
        <v>0</v>
      </c>
      <c r="F215" s="69">
        <v>0</v>
      </c>
      <c r="G215" s="69" t="s">
        <v>35</v>
      </c>
      <c r="H215" s="69" t="str">
        <f>IFERROR(VLOOKUP(Data!$G215,canon!$I$2:$K$27,2,FALSE),"")</f>
        <v>DRESS</v>
      </c>
      <c r="I215" s="69" t="str">
        <f>IFERROR(VLOOKUP(Data!$G215,canon!$I$2:$K$27,3,FALSE),"")</f>
        <v>APPAREL</v>
      </c>
      <c r="J215" s="69">
        <f t="shared" si="6"/>
        <v>5</v>
      </c>
      <c r="K215" s="69">
        <f t="shared" si="7"/>
        <v>1</v>
      </c>
      <c r="L215" s="69">
        <f>VLOOKUP(Table_db1_backend_Daily.accdb[[#This Row],[TradingDate]],canon!B:E,4,0)</f>
        <v>29</v>
      </c>
    </row>
    <row r="216" spans="1:12" x14ac:dyDescent="0.2">
      <c r="A216" s="69" t="s">
        <v>6</v>
      </c>
      <c r="B216" s="70">
        <v>42936</v>
      </c>
      <c r="C216" s="69">
        <v>1</v>
      </c>
      <c r="D216" s="69">
        <v>0</v>
      </c>
      <c r="E216" s="69">
        <v>0</v>
      </c>
      <c r="F216" s="69">
        <v>0</v>
      </c>
      <c r="G216" s="69" t="s">
        <v>10</v>
      </c>
      <c r="H216" s="69" t="str">
        <f>IFERROR(VLOOKUP(Data!$G216,canon!$I$2:$K$27,2,FALSE),"")</f>
        <v>ACCESSORY</v>
      </c>
      <c r="I216" s="69" t="str">
        <f>IFERROR(VLOOKUP(Data!$G216,canon!$I$2:$K$27,3,FALSE),"")</f>
        <v>N.APPAREL</v>
      </c>
      <c r="J216" s="69">
        <f t="shared" si="6"/>
        <v>5</v>
      </c>
      <c r="K216" s="69">
        <f t="shared" si="7"/>
        <v>1</v>
      </c>
      <c r="L216" s="69">
        <f>VLOOKUP(Table_db1_backend_Daily.accdb[[#This Row],[TradingDate]],canon!B:E,4,0)</f>
        <v>29</v>
      </c>
    </row>
    <row r="217" spans="1:12" x14ac:dyDescent="0.2">
      <c r="A217" s="69" t="s">
        <v>6</v>
      </c>
      <c r="B217" s="70">
        <v>42936</v>
      </c>
      <c r="C217" s="69">
        <v>215</v>
      </c>
      <c r="D217" s="69">
        <v>0</v>
      </c>
      <c r="E217" s="69">
        <v>0</v>
      </c>
      <c r="F217" s="69">
        <v>0</v>
      </c>
      <c r="G217" s="69" t="s">
        <v>28</v>
      </c>
      <c r="H217" s="69" t="str">
        <f>IFERROR(VLOOKUP(Data!$G217,canon!$I$2:$K$27,2,FALSE),"")</f>
        <v>ACCESSORY</v>
      </c>
      <c r="I217" s="69" t="str">
        <f>IFERROR(VLOOKUP(Data!$G217,canon!$I$2:$K$27,3,FALSE),"")</f>
        <v>N.APPAREL</v>
      </c>
      <c r="J217" s="69">
        <f t="shared" si="6"/>
        <v>5</v>
      </c>
      <c r="K217" s="69">
        <f t="shared" si="7"/>
        <v>1</v>
      </c>
      <c r="L217" s="69">
        <f>VLOOKUP(Table_db1_backend_Daily.accdb[[#This Row],[TradingDate]],canon!B:E,4,0)</f>
        <v>29</v>
      </c>
    </row>
    <row r="218" spans="1:12" x14ac:dyDescent="0.2">
      <c r="A218" s="69" t="s">
        <v>6</v>
      </c>
      <c r="B218" s="70">
        <v>42936</v>
      </c>
      <c r="C218" s="69">
        <v>10715</v>
      </c>
      <c r="D218" s="69">
        <v>0</v>
      </c>
      <c r="E218" s="69">
        <v>0</v>
      </c>
      <c r="F218" s="69">
        <v>0</v>
      </c>
      <c r="G218" s="69" t="s">
        <v>11</v>
      </c>
      <c r="H218" s="69" t="str">
        <f>IFERROR(VLOOKUP(Data!$G218,canon!$I$2:$K$27,2,FALSE),"")</f>
        <v>KNIT</v>
      </c>
      <c r="I218" s="69" t="str">
        <f>IFERROR(VLOOKUP(Data!$G218,canon!$I$2:$K$27,3,FALSE),"")</f>
        <v>APPAREL</v>
      </c>
      <c r="J218" s="69">
        <f t="shared" si="6"/>
        <v>5</v>
      </c>
      <c r="K218" s="69">
        <f t="shared" si="7"/>
        <v>1</v>
      </c>
      <c r="L218" s="69">
        <f>VLOOKUP(Table_db1_backend_Daily.accdb[[#This Row],[TradingDate]],canon!B:E,4,0)</f>
        <v>29</v>
      </c>
    </row>
    <row r="219" spans="1:12" x14ac:dyDescent="0.2">
      <c r="A219" s="69" t="s">
        <v>6</v>
      </c>
      <c r="B219" s="70">
        <v>42936</v>
      </c>
      <c r="C219" s="69">
        <v>4643</v>
      </c>
      <c r="D219" s="69">
        <v>0</v>
      </c>
      <c r="E219" s="69">
        <v>0</v>
      </c>
      <c r="F219" s="69">
        <v>0</v>
      </c>
      <c r="G219" s="69" t="s">
        <v>14</v>
      </c>
      <c r="H219" s="69" t="str">
        <f>IFERROR(VLOOKUP(Data!$G219,canon!$I$2:$K$27,2,FALSE),"")</f>
        <v>LEGGING</v>
      </c>
      <c r="I219" s="69" t="str">
        <f>IFERROR(VLOOKUP(Data!$G219,canon!$I$2:$K$27,3,FALSE),"")</f>
        <v>APPAREL</v>
      </c>
      <c r="J219" s="69">
        <f t="shared" si="6"/>
        <v>5</v>
      </c>
      <c r="K219" s="69">
        <f t="shared" si="7"/>
        <v>1</v>
      </c>
      <c r="L219" s="69">
        <f>VLOOKUP(Table_db1_backend_Daily.accdb[[#This Row],[TradingDate]],canon!B:E,4,0)</f>
        <v>29</v>
      </c>
    </row>
    <row r="220" spans="1:12" x14ac:dyDescent="0.2">
      <c r="A220" s="69" t="s">
        <v>6</v>
      </c>
      <c r="B220" s="70">
        <v>42936</v>
      </c>
      <c r="C220" s="69">
        <v>0</v>
      </c>
      <c r="D220" s="69">
        <v>0</v>
      </c>
      <c r="E220" s="69">
        <v>0</v>
      </c>
      <c r="F220" s="69">
        <v>0</v>
      </c>
      <c r="G220" s="69" t="s">
        <v>16</v>
      </c>
      <c r="H220" s="69" t="str">
        <f>IFERROR(VLOOKUP(Data!$G220,canon!$I$2:$K$27,2,FALSE),"")</f>
        <v>ACCESSORY</v>
      </c>
      <c r="I220" s="69" t="str">
        <f>IFERROR(VLOOKUP(Data!$G220,canon!$I$2:$K$27,3,FALSE),"")</f>
        <v>N.APPAREL</v>
      </c>
      <c r="J220" s="69">
        <f t="shared" si="6"/>
        <v>5</v>
      </c>
      <c r="K220" s="69">
        <f t="shared" si="7"/>
        <v>1</v>
      </c>
      <c r="L220" s="69">
        <f>VLOOKUP(Table_db1_backend_Daily.accdb[[#This Row],[TradingDate]],canon!B:E,4,0)</f>
        <v>29</v>
      </c>
    </row>
    <row r="221" spans="1:12" x14ac:dyDescent="0.2">
      <c r="A221" s="69" t="s">
        <v>6</v>
      </c>
      <c r="B221" s="70">
        <v>42936</v>
      </c>
      <c r="C221" s="69">
        <v>13</v>
      </c>
      <c r="D221" s="69">
        <v>0</v>
      </c>
      <c r="E221" s="69">
        <v>0</v>
      </c>
      <c r="F221" s="69">
        <v>0</v>
      </c>
      <c r="G221" s="69" t="s">
        <v>37</v>
      </c>
      <c r="H221" s="69" t="str">
        <f>IFERROR(VLOOKUP(Data!$G221,canon!$I$2:$K$27,2,FALSE),"")</f>
        <v>SHOES</v>
      </c>
      <c r="I221" s="69" t="str">
        <f>IFERROR(VLOOKUP(Data!$G221,canon!$I$2:$K$27,3,FALSE),"")</f>
        <v>N.APPAREL</v>
      </c>
      <c r="J221" s="69">
        <f t="shared" si="6"/>
        <v>5</v>
      </c>
      <c r="K221" s="69">
        <f t="shared" si="7"/>
        <v>1</v>
      </c>
      <c r="L221" s="69">
        <f>VLOOKUP(Table_db1_backend_Daily.accdb[[#This Row],[TradingDate]],canon!B:E,4,0)</f>
        <v>29</v>
      </c>
    </row>
    <row r="222" spans="1:12" x14ac:dyDescent="0.2">
      <c r="A222" s="69" t="s">
        <v>6</v>
      </c>
      <c r="B222" s="70">
        <v>42936</v>
      </c>
      <c r="C222" s="69">
        <v>-1</v>
      </c>
      <c r="D222" s="69">
        <v>0</v>
      </c>
      <c r="E222" s="69">
        <v>0</v>
      </c>
      <c r="F222" s="69">
        <v>0</v>
      </c>
      <c r="G222" s="69" t="s">
        <v>29</v>
      </c>
      <c r="H222" s="69" t="str">
        <f>IFERROR(VLOOKUP(Data!$G222,canon!$I$2:$K$27,2,FALSE),"")</f>
        <v>SHOES</v>
      </c>
      <c r="I222" s="69" t="str">
        <f>IFERROR(VLOOKUP(Data!$G222,canon!$I$2:$K$27,3,FALSE),"")</f>
        <v>N.APPAREL</v>
      </c>
      <c r="J222" s="69">
        <f t="shared" si="6"/>
        <v>5</v>
      </c>
      <c r="K222" s="69">
        <f t="shared" si="7"/>
        <v>1</v>
      </c>
      <c r="L222" s="69">
        <f>VLOOKUP(Table_db1_backend_Daily.accdb[[#This Row],[TradingDate]],canon!B:E,4,0)</f>
        <v>29</v>
      </c>
    </row>
    <row r="223" spans="1:12" x14ac:dyDescent="0.2">
      <c r="A223" s="69" t="s">
        <v>6</v>
      </c>
      <c r="B223" s="70">
        <v>42936</v>
      </c>
      <c r="C223" s="69">
        <v>4006</v>
      </c>
      <c r="D223" s="69">
        <v>0</v>
      </c>
      <c r="E223" s="69">
        <v>0</v>
      </c>
      <c r="F223" s="69">
        <v>0</v>
      </c>
      <c r="G223" s="69" t="s">
        <v>17</v>
      </c>
      <c r="H223" s="69" t="str">
        <f>IFERROR(VLOOKUP(Data!$G223,canon!$I$2:$K$27,2,FALSE),"")</f>
        <v>OUTER</v>
      </c>
      <c r="I223" s="69" t="str">
        <f>IFERROR(VLOOKUP(Data!$G223,canon!$I$2:$K$27,3,FALSE),"")</f>
        <v>APPAREL</v>
      </c>
      <c r="J223" s="69">
        <f t="shared" si="6"/>
        <v>5</v>
      </c>
      <c r="K223" s="69">
        <f t="shared" si="7"/>
        <v>1</v>
      </c>
      <c r="L223" s="69">
        <f>VLOOKUP(Table_db1_backend_Daily.accdb[[#This Row],[TradingDate]],canon!B:E,4,0)</f>
        <v>29</v>
      </c>
    </row>
    <row r="224" spans="1:12" x14ac:dyDescent="0.2">
      <c r="A224" s="69" t="s">
        <v>6</v>
      </c>
      <c r="B224" s="70">
        <v>42936</v>
      </c>
      <c r="C224" s="69">
        <v>1470</v>
      </c>
      <c r="D224" s="69">
        <v>0</v>
      </c>
      <c r="E224" s="69">
        <v>0</v>
      </c>
      <c r="F224" s="69">
        <v>0</v>
      </c>
      <c r="G224" s="69" t="s">
        <v>19</v>
      </c>
      <c r="H224" s="69" t="str">
        <f>IFERROR(VLOOKUP(Data!$G224,canon!$I$2:$K$27,2,FALSE),"")</f>
        <v>PANT</v>
      </c>
      <c r="I224" s="69" t="str">
        <f>IFERROR(VLOOKUP(Data!$G224,canon!$I$2:$K$27,3,FALSE),"")</f>
        <v>APPAREL</v>
      </c>
      <c r="J224" s="69">
        <f t="shared" si="6"/>
        <v>5</v>
      </c>
      <c r="K224" s="69">
        <f t="shared" si="7"/>
        <v>1</v>
      </c>
      <c r="L224" s="69">
        <f>VLOOKUP(Table_db1_backend_Daily.accdb[[#This Row],[TradingDate]],canon!B:E,4,0)</f>
        <v>29</v>
      </c>
    </row>
    <row r="225" spans="1:12" x14ac:dyDescent="0.2">
      <c r="A225" s="69" t="s">
        <v>6</v>
      </c>
      <c r="B225" s="70">
        <v>42936</v>
      </c>
      <c r="C225" s="69">
        <v>49</v>
      </c>
      <c r="D225" s="69">
        <v>0</v>
      </c>
      <c r="E225" s="69">
        <v>0</v>
      </c>
      <c r="F225" s="69">
        <v>0</v>
      </c>
      <c r="G225" s="69" t="s">
        <v>21</v>
      </c>
      <c r="H225" s="69" t="str">
        <f>IFERROR(VLOOKUP(Data!$G225,canon!$I$2:$K$27,2,FALSE),"")</f>
        <v>ACCESSORY</v>
      </c>
      <c r="I225" s="69" t="str">
        <f>IFERROR(VLOOKUP(Data!$G225,canon!$I$2:$K$27,3,FALSE),"")</f>
        <v>N.APPAREL</v>
      </c>
      <c r="J225" s="69">
        <f t="shared" si="6"/>
        <v>5</v>
      </c>
      <c r="K225" s="69">
        <f t="shared" si="7"/>
        <v>1</v>
      </c>
      <c r="L225" s="69">
        <f>VLOOKUP(Table_db1_backend_Daily.accdb[[#This Row],[TradingDate]],canon!B:E,4,0)</f>
        <v>29</v>
      </c>
    </row>
    <row r="226" spans="1:12" x14ac:dyDescent="0.2">
      <c r="A226" s="69" t="s">
        <v>6</v>
      </c>
      <c r="B226" s="70">
        <v>42936</v>
      </c>
      <c r="C226" s="69">
        <v>4401</v>
      </c>
      <c r="D226" s="69">
        <v>0</v>
      </c>
      <c r="E226" s="69">
        <v>0</v>
      </c>
      <c r="F226" s="69">
        <v>0</v>
      </c>
      <c r="G226" s="69" t="s">
        <v>22</v>
      </c>
      <c r="H226" s="69" t="str">
        <f>IFERROR(VLOOKUP(Data!$G226,canon!$I$2:$K$27,2,FALSE),"")</f>
        <v>SCARF</v>
      </c>
      <c r="I226" s="69" t="str">
        <f>IFERROR(VLOOKUP(Data!$G226,canon!$I$2:$K$27,3,FALSE),"")</f>
        <v>N.APPAREL</v>
      </c>
      <c r="J226" s="69">
        <f t="shared" si="6"/>
        <v>5</v>
      </c>
      <c r="K226" s="69">
        <f t="shared" si="7"/>
        <v>1</v>
      </c>
      <c r="L226" s="69">
        <f>VLOOKUP(Table_db1_backend_Daily.accdb[[#This Row],[TradingDate]],canon!B:E,4,0)</f>
        <v>29</v>
      </c>
    </row>
    <row r="227" spans="1:12" x14ac:dyDescent="0.2">
      <c r="A227" s="69" t="s">
        <v>6</v>
      </c>
      <c r="B227" s="70">
        <v>42936</v>
      </c>
      <c r="C227" s="69">
        <v>1693</v>
      </c>
      <c r="D227" s="69">
        <v>0</v>
      </c>
      <c r="E227" s="69">
        <v>0</v>
      </c>
      <c r="F227" s="69">
        <v>0</v>
      </c>
      <c r="G227" s="69" t="s">
        <v>23</v>
      </c>
      <c r="H227" s="69" t="str">
        <f>IFERROR(VLOOKUP(Data!$G227,canon!$I$2:$K$27,2,FALSE),"")</f>
        <v>SH&amp;BL</v>
      </c>
      <c r="I227" s="69" t="str">
        <f>IFERROR(VLOOKUP(Data!$G227,canon!$I$2:$K$27,3,FALSE),"")</f>
        <v>APPAREL</v>
      </c>
      <c r="J227" s="69">
        <f t="shared" si="6"/>
        <v>5</v>
      </c>
      <c r="K227" s="69">
        <f t="shared" si="7"/>
        <v>1</v>
      </c>
      <c r="L227" s="69">
        <f>VLOOKUP(Table_db1_backend_Daily.accdb[[#This Row],[TradingDate]],canon!B:E,4,0)</f>
        <v>29</v>
      </c>
    </row>
    <row r="228" spans="1:12" x14ac:dyDescent="0.2">
      <c r="A228" s="69" t="s">
        <v>6</v>
      </c>
      <c r="B228" s="70">
        <v>42936</v>
      </c>
      <c r="C228" s="69">
        <v>1415</v>
      </c>
      <c r="D228" s="69">
        <v>0</v>
      </c>
      <c r="E228" s="69">
        <v>0</v>
      </c>
      <c r="F228" s="69">
        <v>0</v>
      </c>
      <c r="G228" s="69" t="s">
        <v>32</v>
      </c>
      <c r="H228" s="69" t="str">
        <f>IFERROR(VLOOKUP(Data!$G228,canon!$I$2:$K$27,2,FALSE),"")</f>
        <v>SKIRT</v>
      </c>
      <c r="I228" s="69" t="str">
        <f>IFERROR(VLOOKUP(Data!$G228,canon!$I$2:$K$27,3,FALSE),"")</f>
        <v>APPAREL</v>
      </c>
      <c r="J228" s="69">
        <f t="shared" si="6"/>
        <v>5</v>
      </c>
      <c r="K228" s="69">
        <f t="shared" si="7"/>
        <v>1</v>
      </c>
      <c r="L228" s="69">
        <f>VLOOKUP(Table_db1_backend_Daily.accdb[[#This Row],[TradingDate]],canon!B:E,4,0)</f>
        <v>29</v>
      </c>
    </row>
    <row r="229" spans="1:12" x14ac:dyDescent="0.2">
      <c r="A229" s="69" t="s">
        <v>6</v>
      </c>
      <c r="B229" s="70">
        <v>42936</v>
      </c>
      <c r="C229" s="69">
        <v>11018</v>
      </c>
      <c r="D229" s="69">
        <v>0</v>
      </c>
      <c r="E229" s="69">
        <v>0</v>
      </c>
      <c r="F229" s="69">
        <v>0</v>
      </c>
      <c r="G229" s="69" t="s">
        <v>25</v>
      </c>
      <c r="H229" s="69" t="str">
        <f>IFERROR(VLOOKUP(Data!$G229,canon!$I$2:$K$27,2,FALSE),"")</f>
        <v>TOP</v>
      </c>
      <c r="I229" s="69" t="str">
        <f>IFERROR(VLOOKUP(Data!$G229,canon!$I$2:$K$27,3,FALSE),"")</f>
        <v>APPAREL</v>
      </c>
      <c r="J229" s="69">
        <f t="shared" si="6"/>
        <v>5</v>
      </c>
      <c r="K229" s="69">
        <f t="shared" si="7"/>
        <v>1</v>
      </c>
      <c r="L229" s="69">
        <f>VLOOKUP(Table_db1_backend_Daily.accdb[[#This Row],[TradingDate]],canon!B:E,4,0)</f>
        <v>29</v>
      </c>
    </row>
    <row r="230" spans="1:12" x14ac:dyDescent="0.2">
      <c r="A230" s="69" t="s">
        <v>6</v>
      </c>
      <c r="B230" s="70">
        <v>42937</v>
      </c>
      <c r="C230" s="69">
        <v>0</v>
      </c>
      <c r="D230" s="69">
        <v>0</v>
      </c>
      <c r="E230" s="69">
        <v>0</v>
      </c>
      <c r="F230" s="69">
        <v>0</v>
      </c>
      <c r="G230" s="69" t="s">
        <v>27</v>
      </c>
      <c r="H230" s="69" t="str">
        <f>IFERROR(VLOOKUP(Data!$G230,canon!$I$2:$K$27,2,FALSE),"")</f>
        <v>ACCESSORY</v>
      </c>
      <c r="I230" s="69" t="str">
        <f>IFERROR(VLOOKUP(Data!$G230,canon!$I$2:$K$27,3,FALSE),"")</f>
        <v>N.APPAREL</v>
      </c>
      <c r="J230" s="69">
        <f t="shared" si="6"/>
        <v>6</v>
      </c>
      <c r="K230" s="69">
        <f t="shared" si="7"/>
        <v>1</v>
      </c>
      <c r="L230" s="69">
        <f>VLOOKUP(Table_db1_backend_Daily.accdb[[#This Row],[TradingDate]],canon!B:E,4,0)</f>
        <v>29</v>
      </c>
    </row>
    <row r="231" spans="1:12" x14ac:dyDescent="0.2">
      <c r="A231" s="69" t="s">
        <v>6</v>
      </c>
      <c r="B231" s="70">
        <v>42937</v>
      </c>
      <c r="C231" s="69">
        <v>0</v>
      </c>
      <c r="D231" s="69">
        <v>0</v>
      </c>
      <c r="E231" s="69">
        <v>0</v>
      </c>
      <c r="F231" s="69">
        <v>0</v>
      </c>
      <c r="G231" s="69" t="s">
        <v>7</v>
      </c>
      <c r="H231" s="69" t="str">
        <f>IFERROR(VLOOKUP(Data!$G231,canon!$I$2:$K$27,2,FALSE),"")</f>
        <v>ACCESSORY</v>
      </c>
      <c r="I231" s="69" t="str">
        <f>IFERROR(VLOOKUP(Data!$G231,canon!$I$2:$K$27,3,FALSE),"")</f>
        <v>N.APPAREL</v>
      </c>
      <c r="J231" s="69">
        <f t="shared" si="6"/>
        <v>6</v>
      </c>
      <c r="K231" s="69">
        <f t="shared" si="7"/>
        <v>1</v>
      </c>
      <c r="L231" s="69">
        <f>VLOOKUP(Table_db1_backend_Daily.accdb[[#This Row],[TradingDate]],canon!B:E,4,0)</f>
        <v>29</v>
      </c>
    </row>
    <row r="232" spans="1:12" x14ac:dyDescent="0.2">
      <c r="A232" s="69" t="s">
        <v>6</v>
      </c>
      <c r="B232" s="70">
        <v>42937</v>
      </c>
      <c r="C232" s="69">
        <v>-6</v>
      </c>
      <c r="D232" s="69">
        <v>0</v>
      </c>
      <c r="E232" s="69">
        <v>0</v>
      </c>
      <c r="F232" s="69">
        <v>0</v>
      </c>
      <c r="G232" s="69" t="s">
        <v>34</v>
      </c>
      <c r="H232" s="69" t="str">
        <f>IFERROR(VLOOKUP(Data!$G232,canon!$I$2:$K$27,2,FALSE),"")</f>
        <v>SHOES</v>
      </c>
      <c r="I232" s="69" t="str">
        <f>IFERROR(VLOOKUP(Data!$G232,canon!$I$2:$K$27,3,FALSE),"")</f>
        <v>N.APPAREL</v>
      </c>
      <c r="J232" s="69">
        <f t="shared" si="6"/>
        <v>6</v>
      </c>
      <c r="K232" s="69">
        <f t="shared" si="7"/>
        <v>1</v>
      </c>
      <c r="L232" s="69">
        <f>VLOOKUP(Table_db1_backend_Daily.accdb[[#This Row],[TradingDate]],canon!B:E,4,0)</f>
        <v>29</v>
      </c>
    </row>
    <row r="233" spans="1:12" x14ac:dyDescent="0.2">
      <c r="A233" s="69" t="s">
        <v>6</v>
      </c>
      <c r="B233" s="70">
        <v>42937</v>
      </c>
      <c r="C233" s="69">
        <v>6</v>
      </c>
      <c r="D233" s="69">
        <v>0</v>
      </c>
      <c r="E233" s="69">
        <v>0</v>
      </c>
      <c r="F233" s="69">
        <v>0</v>
      </c>
      <c r="G233" s="69" t="s">
        <v>38</v>
      </c>
      <c r="H233" s="69" t="str">
        <f>IFERROR(VLOOKUP(Data!$G233,canon!$I$2:$K$27,2,FALSE),"")</f>
        <v>SHOES</v>
      </c>
      <c r="I233" s="69" t="str">
        <f>IFERROR(VLOOKUP(Data!$G233,canon!$I$2:$K$27,3,FALSE),"")</f>
        <v>N.APPAREL</v>
      </c>
      <c r="J233" s="69">
        <f t="shared" si="6"/>
        <v>6</v>
      </c>
      <c r="K233" s="69">
        <f t="shared" si="7"/>
        <v>1</v>
      </c>
      <c r="L233" s="69">
        <f>VLOOKUP(Table_db1_backend_Daily.accdb[[#This Row],[TradingDate]],canon!B:E,4,0)</f>
        <v>29</v>
      </c>
    </row>
    <row r="234" spans="1:12" x14ac:dyDescent="0.2">
      <c r="A234" s="69" t="s">
        <v>6</v>
      </c>
      <c r="B234" s="70">
        <v>42937</v>
      </c>
      <c r="C234" s="69">
        <v>5099</v>
      </c>
      <c r="D234" s="69">
        <v>0</v>
      </c>
      <c r="E234" s="69">
        <v>0</v>
      </c>
      <c r="F234" s="69">
        <v>0</v>
      </c>
      <c r="G234" s="69" t="s">
        <v>35</v>
      </c>
      <c r="H234" s="69" t="str">
        <f>IFERROR(VLOOKUP(Data!$G234,canon!$I$2:$K$27,2,FALSE),"")</f>
        <v>DRESS</v>
      </c>
      <c r="I234" s="69" t="str">
        <f>IFERROR(VLOOKUP(Data!$G234,canon!$I$2:$K$27,3,FALSE),"")</f>
        <v>APPAREL</v>
      </c>
      <c r="J234" s="69">
        <f t="shared" si="6"/>
        <v>6</v>
      </c>
      <c r="K234" s="69">
        <f t="shared" si="7"/>
        <v>1</v>
      </c>
      <c r="L234" s="69">
        <f>VLOOKUP(Table_db1_backend_Daily.accdb[[#This Row],[TradingDate]],canon!B:E,4,0)</f>
        <v>29</v>
      </c>
    </row>
    <row r="235" spans="1:12" x14ac:dyDescent="0.2">
      <c r="A235" s="69" t="s">
        <v>6</v>
      </c>
      <c r="B235" s="70">
        <v>42937</v>
      </c>
      <c r="C235" s="69">
        <v>1</v>
      </c>
      <c r="D235" s="69">
        <v>0</v>
      </c>
      <c r="E235" s="69">
        <v>0</v>
      </c>
      <c r="F235" s="69">
        <v>0</v>
      </c>
      <c r="G235" s="69" t="s">
        <v>10</v>
      </c>
      <c r="H235" s="69" t="str">
        <f>IFERROR(VLOOKUP(Data!$G235,canon!$I$2:$K$27,2,FALSE),"")</f>
        <v>ACCESSORY</v>
      </c>
      <c r="I235" s="69" t="str">
        <f>IFERROR(VLOOKUP(Data!$G235,canon!$I$2:$K$27,3,FALSE),"")</f>
        <v>N.APPAREL</v>
      </c>
      <c r="J235" s="69">
        <f t="shared" si="6"/>
        <v>6</v>
      </c>
      <c r="K235" s="69">
        <f t="shared" si="7"/>
        <v>1</v>
      </c>
      <c r="L235" s="69">
        <f>VLOOKUP(Table_db1_backend_Daily.accdb[[#This Row],[TradingDate]],canon!B:E,4,0)</f>
        <v>29</v>
      </c>
    </row>
    <row r="236" spans="1:12" x14ac:dyDescent="0.2">
      <c r="A236" s="69" t="s">
        <v>6</v>
      </c>
      <c r="B236" s="70">
        <v>42937</v>
      </c>
      <c r="C236" s="69">
        <v>215</v>
      </c>
      <c r="D236" s="69">
        <v>0</v>
      </c>
      <c r="E236" s="69">
        <v>0</v>
      </c>
      <c r="F236" s="69">
        <v>0</v>
      </c>
      <c r="G236" s="69" t="s">
        <v>28</v>
      </c>
      <c r="H236" s="69" t="str">
        <f>IFERROR(VLOOKUP(Data!$G236,canon!$I$2:$K$27,2,FALSE),"")</f>
        <v>ACCESSORY</v>
      </c>
      <c r="I236" s="69" t="str">
        <f>IFERROR(VLOOKUP(Data!$G236,canon!$I$2:$K$27,3,FALSE),"")</f>
        <v>N.APPAREL</v>
      </c>
      <c r="J236" s="69">
        <f t="shared" si="6"/>
        <v>6</v>
      </c>
      <c r="K236" s="69">
        <f t="shared" si="7"/>
        <v>1</v>
      </c>
      <c r="L236" s="69">
        <f>VLOOKUP(Table_db1_backend_Daily.accdb[[#This Row],[TradingDate]],canon!B:E,4,0)</f>
        <v>29</v>
      </c>
    </row>
    <row r="237" spans="1:12" x14ac:dyDescent="0.2">
      <c r="A237" s="69" t="s">
        <v>6</v>
      </c>
      <c r="B237" s="70">
        <v>42937</v>
      </c>
      <c r="C237" s="69">
        <v>10715</v>
      </c>
      <c r="D237" s="69">
        <v>0</v>
      </c>
      <c r="E237" s="69">
        <v>0</v>
      </c>
      <c r="F237" s="69">
        <v>0</v>
      </c>
      <c r="G237" s="69" t="s">
        <v>11</v>
      </c>
      <c r="H237" s="69" t="str">
        <f>IFERROR(VLOOKUP(Data!$G237,canon!$I$2:$K$27,2,FALSE),"")</f>
        <v>KNIT</v>
      </c>
      <c r="I237" s="69" t="str">
        <f>IFERROR(VLOOKUP(Data!$G237,canon!$I$2:$K$27,3,FALSE),"")</f>
        <v>APPAREL</v>
      </c>
      <c r="J237" s="69">
        <f t="shared" si="6"/>
        <v>6</v>
      </c>
      <c r="K237" s="69">
        <f t="shared" si="7"/>
        <v>1</v>
      </c>
      <c r="L237" s="69">
        <f>VLOOKUP(Table_db1_backend_Daily.accdb[[#This Row],[TradingDate]],canon!B:E,4,0)</f>
        <v>29</v>
      </c>
    </row>
    <row r="238" spans="1:12" x14ac:dyDescent="0.2">
      <c r="A238" s="69" t="s">
        <v>6</v>
      </c>
      <c r="B238" s="70">
        <v>42937</v>
      </c>
      <c r="C238" s="69">
        <v>4643</v>
      </c>
      <c r="D238" s="69">
        <v>0</v>
      </c>
      <c r="E238" s="69">
        <v>0</v>
      </c>
      <c r="F238" s="69">
        <v>0</v>
      </c>
      <c r="G238" s="69" t="s">
        <v>14</v>
      </c>
      <c r="H238" s="69" t="str">
        <f>IFERROR(VLOOKUP(Data!$G238,canon!$I$2:$K$27,2,FALSE),"")</f>
        <v>LEGGING</v>
      </c>
      <c r="I238" s="69" t="str">
        <f>IFERROR(VLOOKUP(Data!$G238,canon!$I$2:$K$27,3,FALSE),"")</f>
        <v>APPAREL</v>
      </c>
      <c r="J238" s="69">
        <f t="shared" si="6"/>
        <v>6</v>
      </c>
      <c r="K238" s="69">
        <f t="shared" si="7"/>
        <v>1</v>
      </c>
      <c r="L238" s="69">
        <f>VLOOKUP(Table_db1_backend_Daily.accdb[[#This Row],[TradingDate]],canon!B:E,4,0)</f>
        <v>29</v>
      </c>
    </row>
    <row r="239" spans="1:12" x14ac:dyDescent="0.2">
      <c r="A239" s="69" t="s">
        <v>6</v>
      </c>
      <c r="B239" s="70">
        <v>42937</v>
      </c>
      <c r="C239" s="69">
        <v>0</v>
      </c>
      <c r="D239" s="69">
        <v>0</v>
      </c>
      <c r="E239" s="69">
        <v>0</v>
      </c>
      <c r="F239" s="69">
        <v>0</v>
      </c>
      <c r="G239" s="69" t="s">
        <v>16</v>
      </c>
      <c r="H239" s="69" t="str">
        <f>IFERROR(VLOOKUP(Data!$G239,canon!$I$2:$K$27,2,FALSE),"")</f>
        <v>ACCESSORY</v>
      </c>
      <c r="I239" s="69" t="str">
        <f>IFERROR(VLOOKUP(Data!$G239,canon!$I$2:$K$27,3,FALSE),"")</f>
        <v>N.APPAREL</v>
      </c>
      <c r="J239" s="69">
        <f t="shared" si="6"/>
        <v>6</v>
      </c>
      <c r="K239" s="69">
        <f t="shared" si="7"/>
        <v>1</v>
      </c>
      <c r="L239" s="69">
        <f>VLOOKUP(Table_db1_backend_Daily.accdb[[#This Row],[TradingDate]],canon!B:E,4,0)</f>
        <v>29</v>
      </c>
    </row>
    <row r="240" spans="1:12" x14ac:dyDescent="0.2">
      <c r="A240" s="69" t="s">
        <v>6</v>
      </c>
      <c r="B240" s="70">
        <v>42937</v>
      </c>
      <c r="C240" s="69">
        <v>13</v>
      </c>
      <c r="D240" s="69">
        <v>0</v>
      </c>
      <c r="E240" s="69">
        <v>0</v>
      </c>
      <c r="F240" s="69">
        <v>0</v>
      </c>
      <c r="G240" s="69" t="s">
        <v>37</v>
      </c>
      <c r="H240" s="69" t="str">
        <f>IFERROR(VLOOKUP(Data!$G240,canon!$I$2:$K$27,2,FALSE),"")</f>
        <v>SHOES</v>
      </c>
      <c r="I240" s="69" t="str">
        <f>IFERROR(VLOOKUP(Data!$G240,canon!$I$2:$K$27,3,FALSE),"")</f>
        <v>N.APPAREL</v>
      </c>
      <c r="J240" s="69">
        <f t="shared" si="6"/>
        <v>6</v>
      </c>
      <c r="K240" s="69">
        <f t="shared" si="7"/>
        <v>1</v>
      </c>
      <c r="L240" s="69">
        <f>VLOOKUP(Table_db1_backend_Daily.accdb[[#This Row],[TradingDate]],canon!B:E,4,0)</f>
        <v>29</v>
      </c>
    </row>
    <row r="241" spans="1:12" x14ac:dyDescent="0.2">
      <c r="A241" s="69" t="s">
        <v>6</v>
      </c>
      <c r="B241" s="70">
        <v>42937</v>
      </c>
      <c r="C241" s="69">
        <v>-1</v>
      </c>
      <c r="D241" s="69">
        <v>0</v>
      </c>
      <c r="E241" s="69">
        <v>0</v>
      </c>
      <c r="F241" s="69">
        <v>0</v>
      </c>
      <c r="G241" s="69" t="s">
        <v>29</v>
      </c>
      <c r="H241" s="69" t="str">
        <f>IFERROR(VLOOKUP(Data!$G241,canon!$I$2:$K$27,2,FALSE),"")</f>
        <v>SHOES</v>
      </c>
      <c r="I241" s="69" t="str">
        <f>IFERROR(VLOOKUP(Data!$G241,canon!$I$2:$K$27,3,FALSE),"")</f>
        <v>N.APPAREL</v>
      </c>
      <c r="J241" s="69">
        <f t="shared" si="6"/>
        <v>6</v>
      </c>
      <c r="K241" s="69">
        <f t="shared" si="7"/>
        <v>1</v>
      </c>
      <c r="L241" s="69">
        <f>VLOOKUP(Table_db1_backend_Daily.accdb[[#This Row],[TradingDate]],canon!B:E,4,0)</f>
        <v>29</v>
      </c>
    </row>
    <row r="242" spans="1:12" x14ac:dyDescent="0.2">
      <c r="A242" s="69" t="s">
        <v>6</v>
      </c>
      <c r="B242" s="70">
        <v>42937</v>
      </c>
      <c r="C242" s="69">
        <v>4006</v>
      </c>
      <c r="D242" s="69">
        <v>0</v>
      </c>
      <c r="E242" s="69">
        <v>0</v>
      </c>
      <c r="F242" s="69">
        <v>0</v>
      </c>
      <c r="G242" s="69" t="s">
        <v>17</v>
      </c>
      <c r="H242" s="69" t="str">
        <f>IFERROR(VLOOKUP(Data!$G242,canon!$I$2:$K$27,2,FALSE),"")</f>
        <v>OUTER</v>
      </c>
      <c r="I242" s="69" t="str">
        <f>IFERROR(VLOOKUP(Data!$G242,canon!$I$2:$K$27,3,FALSE),"")</f>
        <v>APPAREL</v>
      </c>
      <c r="J242" s="69">
        <f t="shared" si="6"/>
        <v>6</v>
      </c>
      <c r="K242" s="69">
        <f t="shared" si="7"/>
        <v>1</v>
      </c>
      <c r="L242" s="69">
        <f>VLOOKUP(Table_db1_backend_Daily.accdb[[#This Row],[TradingDate]],canon!B:E,4,0)</f>
        <v>29</v>
      </c>
    </row>
    <row r="243" spans="1:12" x14ac:dyDescent="0.2">
      <c r="A243" s="69" t="s">
        <v>6</v>
      </c>
      <c r="B243" s="70">
        <v>42937</v>
      </c>
      <c r="C243" s="69">
        <v>1468</v>
      </c>
      <c r="D243" s="69">
        <v>0</v>
      </c>
      <c r="E243" s="69">
        <v>0</v>
      </c>
      <c r="F243" s="69">
        <v>0</v>
      </c>
      <c r="G243" s="69" t="s">
        <v>19</v>
      </c>
      <c r="H243" s="69" t="str">
        <f>IFERROR(VLOOKUP(Data!$G243,canon!$I$2:$K$27,2,FALSE),"")</f>
        <v>PANT</v>
      </c>
      <c r="I243" s="69" t="str">
        <f>IFERROR(VLOOKUP(Data!$G243,canon!$I$2:$K$27,3,FALSE),"")</f>
        <v>APPAREL</v>
      </c>
      <c r="J243" s="69">
        <f t="shared" si="6"/>
        <v>6</v>
      </c>
      <c r="K243" s="69">
        <f t="shared" si="7"/>
        <v>1</v>
      </c>
      <c r="L243" s="69">
        <f>VLOOKUP(Table_db1_backend_Daily.accdb[[#This Row],[TradingDate]],canon!B:E,4,0)</f>
        <v>29</v>
      </c>
    </row>
    <row r="244" spans="1:12" x14ac:dyDescent="0.2">
      <c r="A244" s="69" t="s">
        <v>6</v>
      </c>
      <c r="B244" s="70">
        <v>42937</v>
      </c>
      <c r="C244" s="69">
        <v>49</v>
      </c>
      <c r="D244" s="69">
        <v>0</v>
      </c>
      <c r="E244" s="69">
        <v>0</v>
      </c>
      <c r="F244" s="69">
        <v>0</v>
      </c>
      <c r="G244" s="69" t="s">
        <v>21</v>
      </c>
      <c r="H244" s="69" t="str">
        <f>IFERROR(VLOOKUP(Data!$G244,canon!$I$2:$K$27,2,FALSE),"")</f>
        <v>ACCESSORY</v>
      </c>
      <c r="I244" s="69" t="str">
        <f>IFERROR(VLOOKUP(Data!$G244,canon!$I$2:$K$27,3,FALSE),"")</f>
        <v>N.APPAREL</v>
      </c>
      <c r="J244" s="69">
        <f t="shared" si="6"/>
        <v>6</v>
      </c>
      <c r="K244" s="69">
        <f t="shared" si="7"/>
        <v>1</v>
      </c>
      <c r="L244" s="69">
        <f>VLOOKUP(Table_db1_backend_Daily.accdb[[#This Row],[TradingDate]],canon!B:E,4,0)</f>
        <v>29</v>
      </c>
    </row>
    <row r="245" spans="1:12" x14ac:dyDescent="0.2">
      <c r="A245" s="69" t="s">
        <v>6</v>
      </c>
      <c r="B245" s="70">
        <v>42937</v>
      </c>
      <c r="C245" s="69">
        <v>4401</v>
      </c>
      <c r="D245" s="69">
        <v>0</v>
      </c>
      <c r="E245" s="69">
        <v>0</v>
      </c>
      <c r="F245" s="69">
        <v>0</v>
      </c>
      <c r="G245" s="69" t="s">
        <v>22</v>
      </c>
      <c r="H245" s="69" t="str">
        <f>IFERROR(VLOOKUP(Data!$G245,canon!$I$2:$K$27,2,FALSE),"")</f>
        <v>SCARF</v>
      </c>
      <c r="I245" s="69" t="str">
        <f>IFERROR(VLOOKUP(Data!$G245,canon!$I$2:$K$27,3,FALSE),"")</f>
        <v>N.APPAREL</v>
      </c>
      <c r="J245" s="69">
        <f t="shared" si="6"/>
        <v>6</v>
      </c>
      <c r="K245" s="69">
        <f t="shared" si="7"/>
        <v>1</v>
      </c>
      <c r="L245" s="69">
        <f>VLOOKUP(Table_db1_backend_Daily.accdb[[#This Row],[TradingDate]],canon!B:E,4,0)</f>
        <v>29</v>
      </c>
    </row>
    <row r="246" spans="1:12" x14ac:dyDescent="0.2">
      <c r="A246" s="69" t="s">
        <v>6</v>
      </c>
      <c r="B246" s="70">
        <v>42937</v>
      </c>
      <c r="C246" s="69">
        <v>1693</v>
      </c>
      <c r="D246" s="69">
        <v>0</v>
      </c>
      <c r="E246" s="69">
        <v>0</v>
      </c>
      <c r="F246" s="69">
        <v>0</v>
      </c>
      <c r="G246" s="69" t="s">
        <v>23</v>
      </c>
      <c r="H246" s="69" t="str">
        <f>IFERROR(VLOOKUP(Data!$G246,canon!$I$2:$K$27,2,FALSE),"")</f>
        <v>SH&amp;BL</v>
      </c>
      <c r="I246" s="69" t="str">
        <f>IFERROR(VLOOKUP(Data!$G246,canon!$I$2:$K$27,3,FALSE),"")</f>
        <v>APPAREL</v>
      </c>
      <c r="J246" s="69">
        <f t="shared" si="6"/>
        <v>6</v>
      </c>
      <c r="K246" s="69">
        <f t="shared" si="7"/>
        <v>1</v>
      </c>
      <c r="L246" s="69">
        <f>VLOOKUP(Table_db1_backend_Daily.accdb[[#This Row],[TradingDate]],canon!B:E,4,0)</f>
        <v>29</v>
      </c>
    </row>
    <row r="247" spans="1:12" x14ac:dyDescent="0.2">
      <c r="A247" s="69" t="s">
        <v>6</v>
      </c>
      <c r="B247" s="70">
        <v>42937</v>
      </c>
      <c r="C247" s="69">
        <v>1413</v>
      </c>
      <c r="D247" s="69">
        <v>0</v>
      </c>
      <c r="E247" s="69">
        <v>0</v>
      </c>
      <c r="F247" s="69">
        <v>0</v>
      </c>
      <c r="G247" s="69" t="s">
        <v>32</v>
      </c>
      <c r="H247" s="69" t="str">
        <f>IFERROR(VLOOKUP(Data!$G247,canon!$I$2:$K$27,2,FALSE),"")</f>
        <v>SKIRT</v>
      </c>
      <c r="I247" s="69" t="str">
        <f>IFERROR(VLOOKUP(Data!$G247,canon!$I$2:$K$27,3,FALSE),"")</f>
        <v>APPAREL</v>
      </c>
      <c r="J247" s="69">
        <f t="shared" si="6"/>
        <v>6</v>
      </c>
      <c r="K247" s="69">
        <f t="shared" si="7"/>
        <v>1</v>
      </c>
      <c r="L247" s="69">
        <f>VLOOKUP(Table_db1_backend_Daily.accdb[[#This Row],[TradingDate]],canon!B:E,4,0)</f>
        <v>29</v>
      </c>
    </row>
    <row r="248" spans="1:12" x14ac:dyDescent="0.2">
      <c r="A248" s="69" t="s">
        <v>6</v>
      </c>
      <c r="B248" s="70">
        <v>42937</v>
      </c>
      <c r="C248" s="69">
        <v>11009</v>
      </c>
      <c r="D248" s="69">
        <v>0</v>
      </c>
      <c r="E248" s="69">
        <v>0</v>
      </c>
      <c r="F248" s="69">
        <v>0</v>
      </c>
      <c r="G248" s="69" t="s">
        <v>25</v>
      </c>
      <c r="H248" s="69" t="str">
        <f>IFERROR(VLOOKUP(Data!$G248,canon!$I$2:$K$27,2,FALSE),"")</f>
        <v>TOP</v>
      </c>
      <c r="I248" s="69" t="str">
        <f>IFERROR(VLOOKUP(Data!$G248,canon!$I$2:$K$27,3,FALSE),"")</f>
        <v>APPAREL</v>
      </c>
      <c r="J248" s="69">
        <f t="shared" si="6"/>
        <v>6</v>
      </c>
      <c r="K248" s="69">
        <f t="shared" si="7"/>
        <v>1</v>
      </c>
      <c r="L248" s="69">
        <f>VLOOKUP(Table_db1_backend_Daily.accdb[[#This Row],[TradingDate]],canon!B:E,4,0)</f>
        <v>29</v>
      </c>
    </row>
    <row r="249" spans="1:12" x14ac:dyDescent="0.2">
      <c r="A249" s="69" t="s">
        <v>6</v>
      </c>
      <c r="B249" s="70">
        <v>42938</v>
      </c>
      <c r="C249" s="69">
        <v>0</v>
      </c>
      <c r="D249" s="69">
        <v>0</v>
      </c>
      <c r="E249" s="69">
        <v>0</v>
      </c>
      <c r="F249" s="69">
        <v>0</v>
      </c>
      <c r="G249" s="69" t="s">
        <v>27</v>
      </c>
      <c r="H249" s="69" t="str">
        <f>IFERROR(VLOOKUP(Data!$G249,canon!$I$2:$K$27,2,FALSE),"")</f>
        <v>ACCESSORY</v>
      </c>
      <c r="I249" s="69" t="str">
        <f>IFERROR(VLOOKUP(Data!$G249,canon!$I$2:$K$27,3,FALSE),"")</f>
        <v>N.APPAREL</v>
      </c>
      <c r="J249" s="69">
        <f t="shared" si="6"/>
        <v>7</v>
      </c>
      <c r="K249" s="69">
        <f t="shared" si="7"/>
        <v>1</v>
      </c>
      <c r="L249" s="69">
        <f>VLOOKUP(Table_db1_backend_Daily.accdb[[#This Row],[TradingDate]],canon!B:E,4,0)</f>
        <v>29</v>
      </c>
    </row>
    <row r="250" spans="1:12" x14ac:dyDescent="0.2">
      <c r="A250" s="69" t="s">
        <v>6</v>
      </c>
      <c r="B250" s="70">
        <v>42938</v>
      </c>
      <c r="C250" s="69">
        <v>0</v>
      </c>
      <c r="D250" s="69">
        <v>0</v>
      </c>
      <c r="E250" s="69">
        <v>0</v>
      </c>
      <c r="F250" s="69">
        <v>0</v>
      </c>
      <c r="G250" s="69" t="s">
        <v>7</v>
      </c>
      <c r="H250" s="69" t="str">
        <f>IFERROR(VLOOKUP(Data!$G250,canon!$I$2:$K$27,2,FALSE),"")</f>
        <v>ACCESSORY</v>
      </c>
      <c r="I250" s="69" t="str">
        <f>IFERROR(VLOOKUP(Data!$G250,canon!$I$2:$K$27,3,FALSE),"")</f>
        <v>N.APPAREL</v>
      </c>
      <c r="J250" s="69">
        <f t="shared" si="6"/>
        <v>7</v>
      </c>
      <c r="K250" s="69">
        <f t="shared" si="7"/>
        <v>1</v>
      </c>
      <c r="L250" s="69">
        <f>VLOOKUP(Table_db1_backend_Daily.accdb[[#This Row],[TradingDate]],canon!B:E,4,0)</f>
        <v>29</v>
      </c>
    </row>
    <row r="251" spans="1:12" x14ac:dyDescent="0.2">
      <c r="A251" s="69" t="s">
        <v>6</v>
      </c>
      <c r="B251" s="70">
        <v>42938</v>
      </c>
      <c r="C251" s="69">
        <v>-6</v>
      </c>
      <c r="D251" s="69">
        <v>0</v>
      </c>
      <c r="E251" s="69">
        <v>0</v>
      </c>
      <c r="F251" s="69">
        <v>0</v>
      </c>
      <c r="G251" s="69" t="s">
        <v>34</v>
      </c>
      <c r="H251" s="69" t="str">
        <f>IFERROR(VLOOKUP(Data!$G251,canon!$I$2:$K$27,2,FALSE),"")</f>
        <v>SHOES</v>
      </c>
      <c r="I251" s="69" t="str">
        <f>IFERROR(VLOOKUP(Data!$G251,canon!$I$2:$K$27,3,FALSE),"")</f>
        <v>N.APPAREL</v>
      </c>
      <c r="J251" s="69">
        <f t="shared" si="6"/>
        <v>7</v>
      </c>
      <c r="K251" s="69">
        <f t="shared" si="7"/>
        <v>1</v>
      </c>
      <c r="L251" s="69">
        <f>VLOOKUP(Table_db1_backend_Daily.accdb[[#This Row],[TradingDate]],canon!B:E,4,0)</f>
        <v>29</v>
      </c>
    </row>
    <row r="252" spans="1:12" x14ac:dyDescent="0.2">
      <c r="A252" s="69" t="s">
        <v>6</v>
      </c>
      <c r="B252" s="70">
        <v>42938</v>
      </c>
      <c r="C252" s="69">
        <v>6</v>
      </c>
      <c r="D252" s="69">
        <v>0</v>
      </c>
      <c r="E252" s="69">
        <v>0</v>
      </c>
      <c r="F252" s="69">
        <v>0</v>
      </c>
      <c r="G252" s="69" t="s">
        <v>38</v>
      </c>
      <c r="H252" s="69" t="str">
        <f>IFERROR(VLOOKUP(Data!$G252,canon!$I$2:$K$27,2,FALSE),"")</f>
        <v>SHOES</v>
      </c>
      <c r="I252" s="69" t="str">
        <f>IFERROR(VLOOKUP(Data!$G252,canon!$I$2:$K$27,3,FALSE),"")</f>
        <v>N.APPAREL</v>
      </c>
      <c r="J252" s="69">
        <f t="shared" si="6"/>
        <v>7</v>
      </c>
      <c r="K252" s="69">
        <f t="shared" si="7"/>
        <v>1</v>
      </c>
      <c r="L252" s="69">
        <f>VLOOKUP(Table_db1_backend_Daily.accdb[[#This Row],[TradingDate]],canon!B:E,4,0)</f>
        <v>29</v>
      </c>
    </row>
    <row r="253" spans="1:12" x14ac:dyDescent="0.2">
      <c r="A253" s="69" t="s">
        <v>6</v>
      </c>
      <c r="B253" s="70">
        <v>42938</v>
      </c>
      <c r="C253" s="69">
        <v>5099</v>
      </c>
      <c r="D253" s="69">
        <v>0</v>
      </c>
      <c r="E253" s="69">
        <v>0</v>
      </c>
      <c r="F253" s="69">
        <v>0</v>
      </c>
      <c r="G253" s="69" t="s">
        <v>35</v>
      </c>
      <c r="H253" s="69" t="str">
        <f>IFERROR(VLOOKUP(Data!$G253,canon!$I$2:$K$27,2,FALSE),"")</f>
        <v>DRESS</v>
      </c>
      <c r="I253" s="69" t="str">
        <f>IFERROR(VLOOKUP(Data!$G253,canon!$I$2:$K$27,3,FALSE),"")</f>
        <v>APPAREL</v>
      </c>
      <c r="J253" s="69">
        <f t="shared" si="6"/>
        <v>7</v>
      </c>
      <c r="K253" s="69">
        <f t="shared" si="7"/>
        <v>1</v>
      </c>
      <c r="L253" s="69">
        <f>VLOOKUP(Table_db1_backend_Daily.accdb[[#This Row],[TradingDate]],canon!B:E,4,0)</f>
        <v>29</v>
      </c>
    </row>
    <row r="254" spans="1:12" x14ac:dyDescent="0.2">
      <c r="A254" s="69" t="s">
        <v>6</v>
      </c>
      <c r="B254" s="70">
        <v>42938</v>
      </c>
      <c r="C254" s="69">
        <v>1</v>
      </c>
      <c r="D254" s="69">
        <v>0</v>
      </c>
      <c r="E254" s="69">
        <v>0</v>
      </c>
      <c r="F254" s="69">
        <v>0</v>
      </c>
      <c r="G254" s="69" t="s">
        <v>10</v>
      </c>
      <c r="H254" s="69" t="str">
        <f>IFERROR(VLOOKUP(Data!$G254,canon!$I$2:$K$27,2,FALSE),"")</f>
        <v>ACCESSORY</v>
      </c>
      <c r="I254" s="69" t="str">
        <f>IFERROR(VLOOKUP(Data!$G254,canon!$I$2:$K$27,3,FALSE),"")</f>
        <v>N.APPAREL</v>
      </c>
      <c r="J254" s="69">
        <f t="shared" si="6"/>
        <v>7</v>
      </c>
      <c r="K254" s="69">
        <f t="shared" si="7"/>
        <v>1</v>
      </c>
      <c r="L254" s="69">
        <f>VLOOKUP(Table_db1_backend_Daily.accdb[[#This Row],[TradingDate]],canon!B:E,4,0)</f>
        <v>29</v>
      </c>
    </row>
    <row r="255" spans="1:12" x14ac:dyDescent="0.2">
      <c r="A255" s="69" t="s">
        <v>6</v>
      </c>
      <c r="B255" s="70">
        <v>42938</v>
      </c>
      <c r="C255" s="69">
        <v>215</v>
      </c>
      <c r="D255" s="69">
        <v>0</v>
      </c>
      <c r="E255" s="69">
        <v>0</v>
      </c>
      <c r="F255" s="69">
        <v>0</v>
      </c>
      <c r="G255" s="69" t="s">
        <v>28</v>
      </c>
      <c r="H255" s="69" t="str">
        <f>IFERROR(VLOOKUP(Data!$G255,canon!$I$2:$K$27,2,FALSE),"")</f>
        <v>ACCESSORY</v>
      </c>
      <c r="I255" s="69" t="str">
        <f>IFERROR(VLOOKUP(Data!$G255,canon!$I$2:$K$27,3,FALSE),"")</f>
        <v>N.APPAREL</v>
      </c>
      <c r="J255" s="69">
        <f t="shared" si="6"/>
        <v>7</v>
      </c>
      <c r="K255" s="69">
        <f t="shared" si="7"/>
        <v>1</v>
      </c>
      <c r="L255" s="69">
        <f>VLOOKUP(Table_db1_backend_Daily.accdb[[#This Row],[TradingDate]],canon!B:E,4,0)</f>
        <v>29</v>
      </c>
    </row>
    <row r="256" spans="1:12" x14ac:dyDescent="0.2">
      <c r="A256" s="69" t="s">
        <v>6</v>
      </c>
      <c r="B256" s="70">
        <v>42938</v>
      </c>
      <c r="C256" s="69">
        <v>10715</v>
      </c>
      <c r="D256" s="69">
        <v>0</v>
      </c>
      <c r="E256" s="69">
        <v>0</v>
      </c>
      <c r="F256" s="69">
        <v>0</v>
      </c>
      <c r="G256" s="69" t="s">
        <v>11</v>
      </c>
      <c r="H256" s="69" t="str">
        <f>IFERROR(VLOOKUP(Data!$G256,canon!$I$2:$K$27,2,FALSE),"")</f>
        <v>KNIT</v>
      </c>
      <c r="I256" s="69" t="str">
        <f>IFERROR(VLOOKUP(Data!$G256,canon!$I$2:$K$27,3,FALSE),"")</f>
        <v>APPAREL</v>
      </c>
      <c r="J256" s="69">
        <f t="shared" si="6"/>
        <v>7</v>
      </c>
      <c r="K256" s="69">
        <f t="shared" si="7"/>
        <v>1</v>
      </c>
      <c r="L256" s="69">
        <f>VLOOKUP(Table_db1_backend_Daily.accdb[[#This Row],[TradingDate]],canon!B:E,4,0)</f>
        <v>29</v>
      </c>
    </row>
    <row r="257" spans="1:12" x14ac:dyDescent="0.2">
      <c r="A257" s="69" t="s">
        <v>6</v>
      </c>
      <c r="B257" s="70">
        <v>42938</v>
      </c>
      <c r="C257" s="69">
        <v>4643</v>
      </c>
      <c r="D257" s="69">
        <v>0</v>
      </c>
      <c r="E257" s="69">
        <v>0</v>
      </c>
      <c r="F257" s="69">
        <v>0</v>
      </c>
      <c r="G257" s="69" t="s">
        <v>14</v>
      </c>
      <c r="H257" s="69" t="str">
        <f>IFERROR(VLOOKUP(Data!$G257,canon!$I$2:$K$27,2,FALSE),"")</f>
        <v>LEGGING</v>
      </c>
      <c r="I257" s="69" t="str">
        <f>IFERROR(VLOOKUP(Data!$G257,canon!$I$2:$K$27,3,FALSE),"")</f>
        <v>APPAREL</v>
      </c>
      <c r="J257" s="69">
        <f t="shared" si="6"/>
        <v>7</v>
      </c>
      <c r="K257" s="69">
        <f t="shared" si="7"/>
        <v>1</v>
      </c>
      <c r="L257" s="69">
        <f>VLOOKUP(Table_db1_backend_Daily.accdb[[#This Row],[TradingDate]],canon!B:E,4,0)</f>
        <v>29</v>
      </c>
    </row>
    <row r="258" spans="1:12" x14ac:dyDescent="0.2">
      <c r="A258" s="69" t="s">
        <v>6</v>
      </c>
      <c r="B258" s="70">
        <v>42938</v>
      </c>
      <c r="C258" s="69">
        <v>0</v>
      </c>
      <c r="D258" s="69">
        <v>0</v>
      </c>
      <c r="E258" s="69">
        <v>0</v>
      </c>
      <c r="F258" s="69">
        <v>0</v>
      </c>
      <c r="G258" s="69" t="s">
        <v>16</v>
      </c>
      <c r="H258" s="69" t="str">
        <f>IFERROR(VLOOKUP(Data!$G258,canon!$I$2:$K$27,2,FALSE),"")</f>
        <v>ACCESSORY</v>
      </c>
      <c r="I258" s="69" t="str">
        <f>IFERROR(VLOOKUP(Data!$G258,canon!$I$2:$K$27,3,FALSE),"")</f>
        <v>N.APPAREL</v>
      </c>
      <c r="J258" s="69">
        <f t="shared" ref="J258:J321" si="8">WEEKDAY(B258)</f>
        <v>7</v>
      </c>
      <c r="K258" s="69">
        <f t="shared" ref="K258:K321" si="9">INT(A258)</f>
        <v>1</v>
      </c>
      <c r="L258" s="69">
        <f>VLOOKUP(Table_db1_backend_Daily.accdb[[#This Row],[TradingDate]],canon!B:E,4,0)</f>
        <v>29</v>
      </c>
    </row>
    <row r="259" spans="1:12" x14ac:dyDescent="0.2">
      <c r="A259" s="69" t="s">
        <v>6</v>
      </c>
      <c r="B259" s="70">
        <v>42938</v>
      </c>
      <c r="C259" s="69">
        <v>13</v>
      </c>
      <c r="D259" s="69">
        <v>0</v>
      </c>
      <c r="E259" s="69">
        <v>0</v>
      </c>
      <c r="F259" s="69">
        <v>0</v>
      </c>
      <c r="G259" s="69" t="s">
        <v>37</v>
      </c>
      <c r="H259" s="69" t="str">
        <f>IFERROR(VLOOKUP(Data!$G259,canon!$I$2:$K$27,2,FALSE),"")</f>
        <v>SHOES</v>
      </c>
      <c r="I259" s="69" t="str">
        <f>IFERROR(VLOOKUP(Data!$G259,canon!$I$2:$K$27,3,FALSE),"")</f>
        <v>N.APPAREL</v>
      </c>
      <c r="J259" s="69">
        <f t="shared" si="8"/>
        <v>7</v>
      </c>
      <c r="K259" s="69">
        <f t="shared" si="9"/>
        <v>1</v>
      </c>
      <c r="L259" s="69">
        <f>VLOOKUP(Table_db1_backend_Daily.accdb[[#This Row],[TradingDate]],canon!B:E,4,0)</f>
        <v>29</v>
      </c>
    </row>
    <row r="260" spans="1:12" x14ac:dyDescent="0.2">
      <c r="A260" s="69" t="s">
        <v>6</v>
      </c>
      <c r="B260" s="70">
        <v>42938</v>
      </c>
      <c r="C260" s="69">
        <v>-1</v>
      </c>
      <c r="D260" s="69">
        <v>0</v>
      </c>
      <c r="E260" s="69">
        <v>0</v>
      </c>
      <c r="F260" s="69">
        <v>0</v>
      </c>
      <c r="G260" s="69" t="s">
        <v>29</v>
      </c>
      <c r="H260" s="69" t="str">
        <f>IFERROR(VLOOKUP(Data!$G260,canon!$I$2:$K$27,2,FALSE),"")</f>
        <v>SHOES</v>
      </c>
      <c r="I260" s="69" t="str">
        <f>IFERROR(VLOOKUP(Data!$G260,canon!$I$2:$K$27,3,FALSE),"")</f>
        <v>N.APPAREL</v>
      </c>
      <c r="J260" s="69">
        <f t="shared" si="8"/>
        <v>7</v>
      </c>
      <c r="K260" s="69">
        <f t="shared" si="9"/>
        <v>1</v>
      </c>
      <c r="L260" s="69">
        <f>VLOOKUP(Table_db1_backend_Daily.accdb[[#This Row],[TradingDate]],canon!B:E,4,0)</f>
        <v>29</v>
      </c>
    </row>
    <row r="261" spans="1:12" x14ac:dyDescent="0.2">
      <c r="A261" s="69" t="s">
        <v>6</v>
      </c>
      <c r="B261" s="70">
        <v>42938</v>
      </c>
      <c r="C261" s="69">
        <v>4006</v>
      </c>
      <c r="D261" s="69">
        <v>0</v>
      </c>
      <c r="E261" s="69">
        <v>0</v>
      </c>
      <c r="F261" s="69">
        <v>0</v>
      </c>
      <c r="G261" s="69" t="s">
        <v>17</v>
      </c>
      <c r="H261" s="69" t="str">
        <f>IFERROR(VLOOKUP(Data!$G261,canon!$I$2:$K$27,2,FALSE),"")</f>
        <v>OUTER</v>
      </c>
      <c r="I261" s="69" t="str">
        <f>IFERROR(VLOOKUP(Data!$G261,canon!$I$2:$K$27,3,FALSE),"")</f>
        <v>APPAREL</v>
      </c>
      <c r="J261" s="69">
        <f t="shared" si="8"/>
        <v>7</v>
      </c>
      <c r="K261" s="69">
        <f t="shared" si="9"/>
        <v>1</v>
      </c>
      <c r="L261" s="69">
        <f>VLOOKUP(Table_db1_backend_Daily.accdb[[#This Row],[TradingDate]],canon!B:E,4,0)</f>
        <v>29</v>
      </c>
    </row>
    <row r="262" spans="1:12" x14ac:dyDescent="0.2">
      <c r="A262" s="69" t="s">
        <v>6</v>
      </c>
      <c r="B262" s="70">
        <v>42938</v>
      </c>
      <c r="C262" s="69">
        <v>1468</v>
      </c>
      <c r="D262" s="69">
        <v>0</v>
      </c>
      <c r="E262" s="69">
        <v>0</v>
      </c>
      <c r="F262" s="69">
        <v>0</v>
      </c>
      <c r="G262" s="69" t="s">
        <v>19</v>
      </c>
      <c r="H262" s="69" t="str">
        <f>IFERROR(VLOOKUP(Data!$G262,canon!$I$2:$K$27,2,FALSE),"")</f>
        <v>PANT</v>
      </c>
      <c r="I262" s="69" t="str">
        <f>IFERROR(VLOOKUP(Data!$G262,canon!$I$2:$K$27,3,FALSE),"")</f>
        <v>APPAREL</v>
      </c>
      <c r="J262" s="69">
        <f t="shared" si="8"/>
        <v>7</v>
      </c>
      <c r="K262" s="69">
        <f t="shared" si="9"/>
        <v>1</v>
      </c>
      <c r="L262" s="69">
        <f>VLOOKUP(Table_db1_backend_Daily.accdb[[#This Row],[TradingDate]],canon!B:E,4,0)</f>
        <v>29</v>
      </c>
    </row>
    <row r="263" spans="1:12" x14ac:dyDescent="0.2">
      <c r="A263" s="69" t="s">
        <v>6</v>
      </c>
      <c r="B263" s="70">
        <v>42938</v>
      </c>
      <c r="C263" s="69">
        <v>49</v>
      </c>
      <c r="D263" s="69">
        <v>0</v>
      </c>
      <c r="E263" s="69">
        <v>0</v>
      </c>
      <c r="F263" s="69">
        <v>0</v>
      </c>
      <c r="G263" s="69" t="s">
        <v>21</v>
      </c>
      <c r="H263" s="69" t="str">
        <f>IFERROR(VLOOKUP(Data!$G263,canon!$I$2:$K$27,2,FALSE),"")</f>
        <v>ACCESSORY</v>
      </c>
      <c r="I263" s="69" t="str">
        <f>IFERROR(VLOOKUP(Data!$G263,canon!$I$2:$K$27,3,FALSE),"")</f>
        <v>N.APPAREL</v>
      </c>
      <c r="J263" s="69">
        <f t="shared" si="8"/>
        <v>7</v>
      </c>
      <c r="K263" s="69">
        <f t="shared" si="9"/>
        <v>1</v>
      </c>
      <c r="L263" s="69">
        <f>VLOOKUP(Table_db1_backend_Daily.accdb[[#This Row],[TradingDate]],canon!B:E,4,0)</f>
        <v>29</v>
      </c>
    </row>
    <row r="264" spans="1:12" x14ac:dyDescent="0.2">
      <c r="A264" s="69" t="s">
        <v>6</v>
      </c>
      <c r="B264" s="70">
        <v>42938</v>
      </c>
      <c r="C264" s="69">
        <v>4401</v>
      </c>
      <c r="D264" s="69">
        <v>0</v>
      </c>
      <c r="E264" s="69">
        <v>0</v>
      </c>
      <c r="F264" s="69">
        <v>0</v>
      </c>
      <c r="G264" s="69" t="s">
        <v>22</v>
      </c>
      <c r="H264" s="69" t="str">
        <f>IFERROR(VLOOKUP(Data!$G264,canon!$I$2:$K$27,2,FALSE),"")</f>
        <v>SCARF</v>
      </c>
      <c r="I264" s="69" t="str">
        <f>IFERROR(VLOOKUP(Data!$G264,canon!$I$2:$K$27,3,FALSE),"")</f>
        <v>N.APPAREL</v>
      </c>
      <c r="J264" s="69">
        <f t="shared" si="8"/>
        <v>7</v>
      </c>
      <c r="K264" s="69">
        <f t="shared" si="9"/>
        <v>1</v>
      </c>
      <c r="L264" s="69">
        <f>VLOOKUP(Table_db1_backend_Daily.accdb[[#This Row],[TradingDate]],canon!B:E,4,0)</f>
        <v>29</v>
      </c>
    </row>
    <row r="265" spans="1:12" x14ac:dyDescent="0.2">
      <c r="A265" s="69" t="s">
        <v>6</v>
      </c>
      <c r="B265" s="70">
        <v>42938</v>
      </c>
      <c r="C265" s="69">
        <v>1693</v>
      </c>
      <c r="D265" s="69">
        <v>0</v>
      </c>
      <c r="E265" s="69">
        <v>0</v>
      </c>
      <c r="F265" s="69">
        <v>0</v>
      </c>
      <c r="G265" s="69" t="s">
        <v>23</v>
      </c>
      <c r="H265" s="69" t="str">
        <f>IFERROR(VLOOKUP(Data!$G265,canon!$I$2:$K$27,2,FALSE),"")</f>
        <v>SH&amp;BL</v>
      </c>
      <c r="I265" s="69" t="str">
        <f>IFERROR(VLOOKUP(Data!$G265,canon!$I$2:$K$27,3,FALSE),"")</f>
        <v>APPAREL</v>
      </c>
      <c r="J265" s="69">
        <f t="shared" si="8"/>
        <v>7</v>
      </c>
      <c r="K265" s="69">
        <f t="shared" si="9"/>
        <v>1</v>
      </c>
      <c r="L265" s="69">
        <f>VLOOKUP(Table_db1_backend_Daily.accdb[[#This Row],[TradingDate]],canon!B:E,4,0)</f>
        <v>29</v>
      </c>
    </row>
    <row r="266" spans="1:12" x14ac:dyDescent="0.2">
      <c r="A266" s="69" t="s">
        <v>6</v>
      </c>
      <c r="B266" s="70">
        <v>42938</v>
      </c>
      <c r="C266" s="69">
        <v>1413</v>
      </c>
      <c r="D266" s="69">
        <v>0</v>
      </c>
      <c r="E266" s="69">
        <v>0</v>
      </c>
      <c r="F266" s="69">
        <v>0</v>
      </c>
      <c r="G266" s="69" t="s">
        <v>32</v>
      </c>
      <c r="H266" s="69" t="str">
        <f>IFERROR(VLOOKUP(Data!$G266,canon!$I$2:$K$27,2,FALSE),"")</f>
        <v>SKIRT</v>
      </c>
      <c r="I266" s="69" t="str">
        <f>IFERROR(VLOOKUP(Data!$G266,canon!$I$2:$K$27,3,FALSE),"")</f>
        <v>APPAREL</v>
      </c>
      <c r="J266" s="69">
        <f t="shared" si="8"/>
        <v>7</v>
      </c>
      <c r="K266" s="69">
        <f t="shared" si="9"/>
        <v>1</v>
      </c>
      <c r="L266" s="69">
        <f>VLOOKUP(Table_db1_backend_Daily.accdb[[#This Row],[TradingDate]],canon!B:E,4,0)</f>
        <v>29</v>
      </c>
    </row>
    <row r="267" spans="1:12" x14ac:dyDescent="0.2">
      <c r="A267" s="69" t="s">
        <v>6</v>
      </c>
      <c r="B267" s="70">
        <v>42938</v>
      </c>
      <c r="C267" s="69">
        <v>11009</v>
      </c>
      <c r="D267" s="69">
        <v>0</v>
      </c>
      <c r="E267" s="69">
        <v>0</v>
      </c>
      <c r="F267" s="69">
        <v>0</v>
      </c>
      <c r="G267" s="69" t="s">
        <v>25</v>
      </c>
      <c r="H267" s="69" t="str">
        <f>IFERROR(VLOOKUP(Data!$G267,canon!$I$2:$K$27,2,FALSE),"")</f>
        <v>TOP</v>
      </c>
      <c r="I267" s="69" t="str">
        <f>IFERROR(VLOOKUP(Data!$G267,canon!$I$2:$K$27,3,FALSE),"")</f>
        <v>APPAREL</v>
      </c>
      <c r="J267" s="69">
        <f t="shared" si="8"/>
        <v>7</v>
      </c>
      <c r="K267" s="69">
        <f t="shared" si="9"/>
        <v>1</v>
      </c>
      <c r="L267" s="69">
        <f>VLOOKUP(Table_db1_backend_Daily.accdb[[#This Row],[TradingDate]],canon!B:E,4,0)</f>
        <v>29</v>
      </c>
    </row>
    <row r="268" spans="1:12" x14ac:dyDescent="0.2">
      <c r="A268" s="69" t="s">
        <v>6</v>
      </c>
      <c r="B268" s="70">
        <v>42939</v>
      </c>
      <c r="C268" s="69">
        <v>0</v>
      </c>
      <c r="D268" s="69">
        <v>0</v>
      </c>
      <c r="E268" s="69">
        <v>0</v>
      </c>
      <c r="F268" s="69">
        <v>0</v>
      </c>
      <c r="G268" s="69" t="s">
        <v>27</v>
      </c>
      <c r="H268" s="69" t="str">
        <f>IFERROR(VLOOKUP(Data!$G268,canon!$I$2:$K$27,2,FALSE),"")</f>
        <v>ACCESSORY</v>
      </c>
      <c r="I268" s="69" t="str">
        <f>IFERROR(VLOOKUP(Data!$G268,canon!$I$2:$K$27,3,FALSE),"")</f>
        <v>N.APPAREL</v>
      </c>
      <c r="J268" s="69">
        <f t="shared" si="8"/>
        <v>1</v>
      </c>
      <c r="K268" s="69">
        <f t="shared" si="9"/>
        <v>1</v>
      </c>
      <c r="L268" s="69">
        <f>VLOOKUP(Table_db1_backend_Daily.accdb[[#This Row],[TradingDate]],canon!B:E,4,0)</f>
        <v>30</v>
      </c>
    </row>
    <row r="269" spans="1:12" x14ac:dyDescent="0.2">
      <c r="A269" s="69" t="s">
        <v>6</v>
      </c>
      <c r="B269" s="70">
        <v>42939</v>
      </c>
      <c r="C269" s="69">
        <v>0</v>
      </c>
      <c r="D269" s="69">
        <v>0</v>
      </c>
      <c r="E269" s="69">
        <v>0</v>
      </c>
      <c r="F269" s="69">
        <v>0</v>
      </c>
      <c r="G269" s="69" t="s">
        <v>7</v>
      </c>
      <c r="H269" s="69" t="str">
        <f>IFERROR(VLOOKUP(Data!$G269,canon!$I$2:$K$27,2,FALSE),"")</f>
        <v>ACCESSORY</v>
      </c>
      <c r="I269" s="69" t="str">
        <f>IFERROR(VLOOKUP(Data!$G269,canon!$I$2:$K$27,3,FALSE),"")</f>
        <v>N.APPAREL</v>
      </c>
      <c r="J269" s="69">
        <f t="shared" si="8"/>
        <v>1</v>
      </c>
      <c r="K269" s="69">
        <f t="shared" si="9"/>
        <v>1</v>
      </c>
      <c r="L269" s="69">
        <f>VLOOKUP(Table_db1_backend_Daily.accdb[[#This Row],[TradingDate]],canon!B:E,4,0)</f>
        <v>30</v>
      </c>
    </row>
    <row r="270" spans="1:12" x14ac:dyDescent="0.2">
      <c r="A270" s="69" t="s">
        <v>6</v>
      </c>
      <c r="B270" s="70">
        <v>42939</v>
      </c>
      <c r="C270" s="69">
        <v>-6</v>
      </c>
      <c r="D270" s="69">
        <v>0</v>
      </c>
      <c r="E270" s="69">
        <v>0</v>
      </c>
      <c r="F270" s="69">
        <v>0</v>
      </c>
      <c r="G270" s="69" t="s">
        <v>34</v>
      </c>
      <c r="H270" s="69" t="str">
        <f>IFERROR(VLOOKUP(Data!$G270,canon!$I$2:$K$27,2,FALSE),"")</f>
        <v>SHOES</v>
      </c>
      <c r="I270" s="69" t="str">
        <f>IFERROR(VLOOKUP(Data!$G270,canon!$I$2:$K$27,3,FALSE),"")</f>
        <v>N.APPAREL</v>
      </c>
      <c r="J270" s="69">
        <f t="shared" si="8"/>
        <v>1</v>
      </c>
      <c r="K270" s="69">
        <f t="shared" si="9"/>
        <v>1</v>
      </c>
      <c r="L270" s="69">
        <f>VLOOKUP(Table_db1_backend_Daily.accdb[[#This Row],[TradingDate]],canon!B:E,4,0)</f>
        <v>30</v>
      </c>
    </row>
    <row r="271" spans="1:12" x14ac:dyDescent="0.2">
      <c r="A271" s="69" t="s">
        <v>6</v>
      </c>
      <c r="B271" s="70">
        <v>42939</v>
      </c>
      <c r="C271" s="69">
        <v>6</v>
      </c>
      <c r="D271" s="69">
        <v>0</v>
      </c>
      <c r="E271" s="69">
        <v>0</v>
      </c>
      <c r="F271" s="69">
        <v>0</v>
      </c>
      <c r="G271" s="69" t="s">
        <v>38</v>
      </c>
      <c r="H271" s="69" t="str">
        <f>IFERROR(VLOOKUP(Data!$G271,canon!$I$2:$K$27,2,FALSE),"")</f>
        <v>SHOES</v>
      </c>
      <c r="I271" s="69" t="str">
        <f>IFERROR(VLOOKUP(Data!$G271,canon!$I$2:$K$27,3,FALSE),"")</f>
        <v>N.APPAREL</v>
      </c>
      <c r="J271" s="69">
        <f t="shared" si="8"/>
        <v>1</v>
      </c>
      <c r="K271" s="69">
        <f t="shared" si="9"/>
        <v>1</v>
      </c>
      <c r="L271" s="69">
        <f>VLOOKUP(Table_db1_backend_Daily.accdb[[#This Row],[TradingDate]],canon!B:E,4,0)</f>
        <v>30</v>
      </c>
    </row>
    <row r="272" spans="1:12" x14ac:dyDescent="0.2">
      <c r="A272" s="69" t="s">
        <v>6</v>
      </c>
      <c r="B272" s="70">
        <v>42939</v>
      </c>
      <c r="C272" s="69">
        <v>5099</v>
      </c>
      <c r="D272" s="69">
        <v>0</v>
      </c>
      <c r="E272" s="69">
        <v>0</v>
      </c>
      <c r="F272" s="69">
        <v>0</v>
      </c>
      <c r="G272" s="69" t="s">
        <v>35</v>
      </c>
      <c r="H272" s="69" t="str">
        <f>IFERROR(VLOOKUP(Data!$G272,canon!$I$2:$K$27,2,FALSE),"")</f>
        <v>DRESS</v>
      </c>
      <c r="I272" s="69" t="str">
        <f>IFERROR(VLOOKUP(Data!$G272,canon!$I$2:$K$27,3,FALSE),"")</f>
        <v>APPAREL</v>
      </c>
      <c r="J272" s="69">
        <f t="shared" si="8"/>
        <v>1</v>
      </c>
      <c r="K272" s="69">
        <f t="shared" si="9"/>
        <v>1</v>
      </c>
      <c r="L272" s="69">
        <f>VLOOKUP(Table_db1_backend_Daily.accdb[[#This Row],[TradingDate]],canon!B:E,4,0)</f>
        <v>30</v>
      </c>
    </row>
    <row r="273" spans="1:12" x14ac:dyDescent="0.2">
      <c r="A273" s="69" t="s">
        <v>6</v>
      </c>
      <c r="B273" s="70">
        <v>42939</v>
      </c>
      <c r="C273" s="69">
        <v>1</v>
      </c>
      <c r="D273" s="69">
        <v>0</v>
      </c>
      <c r="E273" s="69">
        <v>0</v>
      </c>
      <c r="F273" s="69">
        <v>0</v>
      </c>
      <c r="G273" s="69" t="s">
        <v>10</v>
      </c>
      <c r="H273" s="69" t="str">
        <f>IFERROR(VLOOKUP(Data!$G273,canon!$I$2:$K$27,2,FALSE),"")</f>
        <v>ACCESSORY</v>
      </c>
      <c r="I273" s="69" t="str">
        <f>IFERROR(VLOOKUP(Data!$G273,canon!$I$2:$K$27,3,FALSE),"")</f>
        <v>N.APPAREL</v>
      </c>
      <c r="J273" s="69">
        <f t="shared" si="8"/>
        <v>1</v>
      </c>
      <c r="K273" s="69">
        <f t="shared" si="9"/>
        <v>1</v>
      </c>
      <c r="L273" s="69">
        <f>VLOOKUP(Table_db1_backend_Daily.accdb[[#This Row],[TradingDate]],canon!B:E,4,0)</f>
        <v>30</v>
      </c>
    </row>
    <row r="274" spans="1:12" x14ac:dyDescent="0.2">
      <c r="A274" s="69" t="s">
        <v>6</v>
      </c>
      <c r="B274" s="70">
        <v>42939</v>
      </c>
      <c r="C274" s="69">
        <v>215</v>
      </c>
      <c r="D274" s="69">
        <v>0</v>
      </c>
      <c r="E274" s="69">
        <v>0</v>
      </c>
      <c r="F274" s="69">
        <v>0</v>
      </c>
      <c r="G274" s="69" t="s">
        <v>28</v>
      </c>
      <c r="H274" s="69" t="str">
        <f>IFERROR(VLOOKUP(Data!$G274,canon!$I$2:$K$27,2,FALSE),"")</f>
        <v>ACCESSORY</v>
      </c>
      <c r="I274" s="69" t="str">
        <f>IFERROR(VLOOKUP(Data!$G274,canon!$I$2:$K$27,3,FALSE),"")</f>
        <v>N.APPAREL</v>
      </c>
      <c r="J274" s="69">
        <f t="shared" si="8"/>
        <v>1</v>
      </c>
      <c r="K274" s="69">
        <f t="shared" si="9"/>
        <v>1</v>
      </c>
      <c r="L274" s="69">
        <f>VLOOKUP(Table_db1_backend_Daily.accdb[[#This Row],[TradingDate]],canon!B:E,4,0)</f>
        <v>30</v>
      </c>
    </row>
    <row r="275" spans="1:12" x14ac:dyDescent="0.2">
      <c r="A275" s="69" t="s">
        <v>6</v>
      </c>
      <c r="B275" s="70">
        <v>42939</v>
      </c>
      <c r="C275" s="69">
        <v>10715</v>
      </c>
      <c r="D275" s="69">
        <v>0</v>
      </c>
      <c r="E275" s="69">
        <v>0</v>
      </c>
      <c r="F275" s="69">
        <v>0</v>
      </c>
      <c r="G275" s="69" t="s">
        <v>11</v>
      </c>
      <c r="H275" s="69" t="str">
        <f>IFERROR(VLOOKUP(Data!$G275,canon!$I$2:$K$27,2,FALSE),"")</f>
        <v>KNIT</v>
      </c>
      <c r="I275" s="69" t="str">
        <f>IFERROR(VLOOKUP(Data!$G275,canon!$I$2:$K$27,3,FALSE),"")</f>
        <v>APPAREL</v>
      </c>
      <c r="J275" s="69">
        <f t="shared" si="8"/>
        <v>1</v>
      </c>
      <c r="K275" s="69">
        <f t="shared" si="9"/>
        <v>1</v>
      </c>
      <c r="L275" s="69">
        <f>VLOOKUP(Table_db1_backend_Daily.accdb[[#This Row],[TradingDate]],canon!B:E,4,0)</f>
        <v>30</v>
      </c>
    </row>
    <row r="276" spans="1:12" x14ac:dyDescent="0.2">
      <c r="A276" s="69" t="s">
        <v>6</v>
      </c>
      <c r="B276" s="70">
        <v>42939</v>
      </c>
      <c r="C276" s="69">
        <v>4643</v>
      </c>
      <c r="D276" s="69">
        <v>0</v>
      </c>
      <c r="E276" s="69">
        <v>0</v>
      </c>
      <c r="F276" s="69">
        <v>0</v>
      </c>
      <c r="G276" s="69" t="s">
        <v>14</v>
      </c>
      <c r="H276" s="69" t="str">
        <f>IFERROR(VLOOKUP(Data!$G276,canon!$I$2:$K$27,2,FALSE),"")</f>
        <v>LEGGING</v>
      </c>
      <c r="I276" s="69" t="str">
        <f>IFERROR(VLOOKUP(Data!$G276,canon!$I$2:$K$27,3,FALSE),"")</f>
        <v>APPAREL</v>
      </c>
      <c r="J276" s="69">
        <f t="shared" si="8"/>
        <v>1</v>
      </c>
      <c r="K276" s="69">
        <f t="shared" si="9"/>
        <v>1</v>
      </c>
      <c r="L276" s="69">
        <f>VLOOKUP(Table_db1_backend_Daily.accdb[[#This Row],[TradingDate]],canon!B:E,4,0)</f>
        <v>30</v>
      </c>
    </row>
    <row r="277" spans="1:12" x14ac:dyDescent="0.2">
      <c r="A277" s="69" t="s">
        <v>6</v>
      </c>
      <c r="B277" s="70">
        <v>42939</v>
      </c>
      <c r="C277" s="69">
        <v>0</v>
      </c>
      <c r="D277" s="69">
        <v>0</v>
      </c>
      <c r="E277" s="69">
        <v>0</v>
      </c>
      <c r="F277" s="69">
        <v>0</v>
      </c>
      <c r="G277" s="69" t="s">
        <v>16</v>
      </c>
      <c r="H277" s="69" t="str">
        <f>IFERROR(VLOOKUP(Data!$G277,canon!$I$2:$K$27,2,FALSE),"")</f>
        <v>ACCESSORY</v>
      </c>
      <c r="I277" s="69" t="str">
        <f>IFERROR(VLOOKUP(Data!$G277,canon!$I$2:$K$27,3,FALSE),"")</f>
        <v>N.APPAREL</v>
      </c>
      <c r="J277" s="69">
        <f t="shared" si="8"/>
        <v>1</v>
      </c>
      <c r="K277" s="69">
        <f t="shared" si="9"/>
        <v>1</v>
      </c>
      <c r="L277" s="69">
        <f>VLOOKUP(Table_db1_backend_Daily.accdb[[#This Row],[TradingDate]],canon!B:E,4,0)</f>
        <v>30</v>
      </c>
    </row>
    <row r="278" spans="1:12" x14ac:dyDescent="0.2">
      <c r="A278" s="69" t="s">
        <v>6</v>
      </c>
      <c r="B278" s="70">
        <v>42939</v>
      </c>
      <c r="C278" s="69">
        <v>13</v>
      </c>
      <c r="D278" s="69">
        <v>0</v>
      </c>
      <c r="E278" s="69">
        <v>0</v>
      </c>
      <c r="F278" s="69">
        <v>0</v>
      </c>
      <c r="G278" s="69" t="s">
        <v>37</v>
      </c>
      <c r="H278" s="69" t="str">
        <f>IFERROR(VLOOKUP(Data!$G278,canon!$I$2:$K$27,2,FALSE),"")</f>
        <v>SHOES</v>
      </c>
      <c r="I278" s="69" t="str">
        <f>IFERROR(VLOOKUP(Data!$G278,canon!$I$2:$K$27,3,FALSE),"")</f>
        <v>N.APPAREL</v>
      </c>
      <c r="J278" s="69">
        <f t="shared" si="8"/>
        <v>1</v>
      </c>
      <c r="K278" s="69">
        <f t="shared" si="9"/>
        <v>1</v>
      </c>
      <c r="L278" s="69">
        <f>VLOOKUP(Table_db1_backend_Daily.accdb[[#This Row],[TradingDate]],canon!B:E,4,0)</f>
        <v>30</v>
      </c>
    </row>
    <row r="279" spans="1:12" x14ac:dyDescent="0.2">
      <c r="A279" s="69" t="s">
        <v>6</v>
      </c>
      <c r="B279" s="70">
        <v>42939</v>
      </c>
      <c r="C279" s="69">
        <v>-1</v>
      </c>
      <c r="D279" s="69">
        <v>0</v>
      </c>
      <c r="E279" s="69">
        <v>0</v>
      </c>
      <c r="F279" s="69">
        <v>0</v>
      </c>
      <c r="G279" s="69" t="s">
        <v>29</v>
      </c>
      <c r="H279" s="69" t="str">
        <f>IFERROR(VLOOKUP(Data!$G279,canon!$I$2:$K$27,2,FALSE),"")</f>
        <v>SHOES</v>
      </c>
      <c r="I279" s="69" t="str">
        <f>IFERROR(VLOOKUP(Data!$G279,canon!$I$2:$K$27,3,FALSE),"")</f>
        <v>N.APPAREL</v>
      </c>
      <c r="J279" s="69">
        <f t="shared" si="8"/>
        <v>1</v>
      </c>
      <c r="K279" s="69">
        <f t="shared" si="9"/>
        <v>1</v>
      </c>
      <c r="L279" s="69">
        <f>VLOOKUP(Table_db1_backend_Daily.accdb[[#This Row],[TradingDate]],canon!B:E,4,0)</f>
        <v>30</v>
      </c>
    </row>
    <row r="280" spans="1:12" x14ac:dyDescent="0.2">
      <c r="A280" s="69" t="s">
        <v>6</v>
      </c>
      <c r="B280" s="70">
        <v>42939</v>
      </c>
      <c r="C280" s="69">
        <v>4006</v>
      </c>
      <c r="D280" s="69">
        <v>0</v>
      </c>
      <c r="E280" s="69">
        <v>0</v>
      </c>
      <c r="F280" s="69">
        <v>0</v>
      </c>
      <c r="G280" s="69" t="s">
        <v>17</v>
      </c>
      <c r="H280" s="69" t="str">
        <f>IFERROR(VLOOKUP(Data!$G280,canon!$I$2:$K$27,2,FALSE),"")</f>
        <v>OUTER</v>
      </c>
      <c r="I280" s="69" t="str">
        <f>IFERROR(VLOOKUP(Data!$G280,canon!$I$2:$K$27,3,FALSE),"")</f>
        <v>APPAREL</v>
      </c>
      <c r="J280" s="69">
        <f t="shared" si="8"/>
        <v>1</v>
      </c>
      <c r="K280" s="69">
        <f t="shared" si="9"/>
        <v>1</v>
      </c>
      <c r="L280" s="69">
        <f>VLOOKUP(Table_db1_backend_Daily.accdb[[#This Row],[TradingDate]],canon!B:E,4,0)</f>
        <v>30</v>
      </c>
    </row>
    <row r="281" spans="1:12" x14ac:dyDescent="0.2">
      <c r="A281" s="69" t="s">
        <v>6</v>
      </c>
      <c r="B281" s="70">
        <v>42939</v>
      </c>
      <c r="C281" s="69">
        <v>1468</v>
      </c>
      <c r="D281" s="69">
        <v>0</v>
      </c>
      <c r="E281" s="69">
        <v>0</v>
      </c>
      <c r="F281" s="69">
        <v>0</v>
      </c>
      <c r="G281" s="69" t="s">
        <v>19</v>
      </c>
      <c r="H281" s="69" t="str">
        <f>IFERROR(VLOOKUP(Data!$G281,canon!$I$2:$K$27,2,FALSE),"")</f>
        <v>PANT</v>
      </c>
      <c r="I281" s="69" t="str">
        <f>IFERROR(VLOOKUP(Data!$G281,canon!$I$2:$K$27,3,FALSE),"")</f>
        <v>APPAREL</v>
      </c>
      <c r="J281" s="69">
        <f t="shared" si="8"/>
        <v>1</v>
      </c>
      <c r="K281" s="69">
        <f t="shared" si="9"/>
        <v>1</v>
      </c>
      <c r="L281" s="69">
        <f>VLOOKUP(Table_db1_backend_Daily.accdb[[#This Row],[TradingDate]],canon!B:E,4,0)</f>
        <v>30</v>
      </c>
    </row>
    <row r="282" spans="1:12" x14ac:dyDescent="0.2">
      <c r="A282" s="69" t="s">
        <v>6</v>
      </c>
      <c r="B282" s="70">
        <v>42939</v>
      </c>
      <c r="C282" s="69">
        <v>49</v>
      </c>
      <c r="D282" s="69">
        <v>0</v>
      </c>
      <c r="E282" s="69">
        <v>0</v>
      </c>
      <c r="F282" s="69">
        <v>0</v>
      </c>
      <c r="G282" s="69" t="s">
        <v>21</v>
      </c>
      <c r="H282" s="69" t="str">
        <f>IFERROR(VLOOKUP(Data!$G282,canon!$I$2:$K$27,2,FALSE),"")</f>
        <v>ACCESSORY</v>
      </c>
      <c r="I282" s="69" t="str">
        <f>IFERROR(VLOOKUP(Data!$G282,canon!$I$2:$K$27,3,FALSE),"")</f>
        <v>N.APPAREL</v>
      </c>
      <c r="J282" s="69">
        <f t="shared" si="8"/>
        <v>1</v>
      </c>
      <c r="K282" s="69">
        <f t="shared" si="9"/>
        <v>1</v>
      </c>
      <c r="L282" s="69">
        <f>VLOOKUP(Table_db1_backend_Daily.accdb[[#This Row],[TradingDate]],canon!B:E,4,0)</f>
        <v>30</v>
      </c>
    </row>
    <row r="283" spans="1:12" x14ac:dyDescent="0.2">
      <c r="A283" s="69" t="s">
        <v>6</v>
      </c>
      <c r="B283" s="70">
        <v>42939</v>
      </c>
      <c r="C283" s="69">
        <v>4401</v>
      </c>
      <c r="D283" s="69">
        <v>0</v>
      </c>
      <c r="E283" s="69">
        <v>0</v>
      </c>
      <c r="F283" s="69">
        <v>0</v>
      </c>
      <c r="G283" s="69" t="s">
        <v>22</v>
      </c>
      <c r="H283" s="69" t="str">
        <f>IFERROR(VLOOKUP(Data!$G283,canon!$I$2:$K$27,2,FALSE),"")</f>
        <v>SCARF</v>
      </c>
      <c r="I283" s="69" t="str">
        <f>IFERROR(VLOOKUP(Data!$G283,canon!$I$2:$K$27,3,FALSE),"")</f>
        <v>N.APPAREL</v>
      </c>
      <c r="J283" s="69">
        <f t="shared" si="8"/>
        <v>1</v>
      </c>
      <c r="K283" s="69">
        <f t="shared" si="9"/>
        <v>1</v>
      </c>
      <c r="L283" s="69">
        <f>VLOOKUP(Table_db1_backend_Daily.accdb[[#This Row],[TradingDate]],canon!B:E,4,0)</f>
        <v>30</v>
      </c>
    </row>
    <row r="284" spans="1:12" x14ac:dyDescent="0.2">
      <c r="A284" s="69" t="s">
        <v>6</v>
      </c>
      <c r="B284" s="70">
        <v>42939</v>
      </c>
      <c r="C284" s="69">
        <v>1693</v>
      </c>
      <c r="D284" s="69">
        <v>0</v>
      </c>
      <c r="E284" s="69">
        <v>0</v>
      </c>
      <c r="F284" s="69">
        <v>0</v>
      </c>
      <c r="G284" s="69" t="s">
        <v>23</v>
      </c>
      <c r="H284" s="69" t="str">
        <f>IFERROR(VLOOKUP(Data!$G284,canon!$I$2:$K$27,2,FALSE),"")</f>
        <v>SH&amp;BL</v>
      </c>
      <c r="I284" s="69" t="str">
        <f>IFERROR(VLOOKUP(Data!$G284,canon!$I$2:$K$27,3,FALSE),"")</f>
        <v>APPAREL</v>
      </c>
      <c r="J284" s="69">
        <f t="shared" si="8"/>
        <v>1</v>
      </c>
      <c r="K284" s="69">
        <f t="shared" si="9"/>
        <v>1</v>
      </c>
      <c r="L284" s="69">
        <f>VLOOKUP(Table_db1_backend_Daily.accdb[[#This Row],[TradingDate]],canon!B:E,4,0)</f>
        <v>30</v>
      </c>
    </row>
    <row r="285" spans="1:12" x14ac:dyDescent="0.2">
      <c r="A285" s="69" t="s">
        <v>6</v>
      </c>
      <c r="B285" s="70">
        <v>42939</v>
      </c>
      <c r="C285" s="69">
        <v>1413</v>
      </c>
      <c r="D285" s="69">
        <v>0</v>
      </c>
      <c r="E285" s="69">
        <v>0</v>
      </c>
      <c r="F285" s="69">
        <v>0</v>
      </c>
      <c r="G285" s="69" t="s">
        <v>32</v>
      </c>
      <c r="H285" s="69" t="str">
        <f>IFERROR(VLOOKUP(Data!$G285,canon!$I$2:$K$27,2,FALSE),"")</f>
        <v>SKIRT</v>
      </c>
      <c r="I285" s="69" t="str">
        <f>IFERROR(VLOOKUP(Data!$G285,canon!$I$2:$K$27,3,FALSE),"")</f>
        <v>APPAREL</v>
      </c>
      <c r="J285" s="69">
        <f t="shared" si="8"/>
        <v>1</v>
      </c>
      <c r="K285" s="69">
        <f t="shared" si="9"/>
        <v>1</v>
      </c>
      <c r="L285" s="69">
        <f>VLOOKUP(Table_db1_backend_Daily.accdb[[#This Row],[TradingDate]],canon!B:E,4,0)</f>
        <v>30</v>
      </c>
    </row>
    <row r="286" spans="1:12" x14ac:dyDescent="0.2">
      <c r="A286" s="69" t="s">
        <v>6</v>
      </c>
      <c r="B286" s="70">
        <v>42939</v>
      </c>
      <c r="C286" s="69">
        <v>11009</v>
      </c>
      <c r="D286" s="69">
        <v>0</v>
      </c>
      <c r="E286" s="69">
        <v>0</v>
      </c>
      <c r="F286" s="69">
        <v>0</v>
      </c>
      <c r="G286" s="69" t="s">
        <v>25</v>
      </c>
      <c r="H286" s="69" t="str">
        <f>IFERROR(VLOOKUP(Data!$G286,canon!$I$2:$K$27,2,FALSE),"")</f>
        <v>TOP</v>
      </c>
      <c r="I286" s="69" t="str">
        <f>IFERROR(VLOOKUP(Data!$G286,canon!$I$2:$K$27,3,FALSE),"")</f>
        <v>APPAREL</v>
      </c>
      <c r="J286" s="69">
        <f t="shared" si="8"/>
        <v>1</v>
      </c>
      <c r="K286" s="69">
        <f t="shared" si="9"/>
        <v>1</v>
      </c>
      <c r="L286" s="69">
        <f>VLOOKUP(Table_db1_backend_Daily.accdb[[#This Row],[TradingDate]],canon!B:E,4,0)</f>
        <v>30</v>
      </c>
    </row>
    <row r="287" spans="1:12" x14ac:dyDescent="0.2">
      <c r="A287" s="69" t="s">
        <v>6</v>
      </c>
      <c r="B287" s="70">
        <v>42940</v>
      </c>
      <c r="C287" s="69">
        <v>0</v>
      </c>
      <c r="D287" s="69">
        <v>0</v>
      </c>
      <c r="E287" s="69">
        <v>0</v>
      </c>
      <c r="F287" s="69">
        <v>0</v>
      </c>
      <c r="G287" s="69" t="s">
        <v>27</v>
      </c>
      <c r="H287" s="69" t="str">
        <f>IFERROR(VLOOKUP(Data!$G287,canon!$I$2:$K$27,2,FALSE),"")</f>
        <v>ACCESSORY</v>
      </c>
      <c r="I287" s="69" t="str">
        <f>IFERROR(VLOOKUP(Data!$G287,canon!$I$2:$K$27,3,FALSE),"")</f>
        <v>N.APPAREL</v>
      </c>
      <c r="J287" s="69">
        <f t="shared" si="8"/>
        <v>2</v>
      </c>
      <c r="K287" s="69">
        <f t="shared" si="9"/>
        <v>1</v>
      </c>
      <c r="L287" s="69">
        <f>VLOOKUP(Table_db1_backend_Daily.accdb[[#This Row],[TradingDate]],canon!B:E,4,0)</f>
        <v>30</v>
      </c>
    </row>
    <row r="288" spans="1:12" x14ac:dyDescent="0.2">
      <c r="A288" s="69" t="s">
        <v>6</v>
      </c>
      <c r="B288" s="70">
        <v>42940</v>
      </c>
      <c r="C288" s="69">
        <v>0</v>
      </c>
      <c r="D288" s="69">
        <v>0</v>
      </c>
      <c r="E288" s="69">
        <v>0</v>
      </c>
      <c r="F288" s="69">
        <v>0</v>
      </c>
      <c r="G288" s="69" t="s">
        <v>7</v>
      </c>
      <c r="H288" s="69" t="str">
        <f>IFERROR(VLOOKUP(Data!$G288,canon!$I$2:$K$27,2,FALSE),"")</f>
        <v>ACCESSORY</v>
      </c>
      <c r="I288" s="69" t="str">
        <f>IFERROR(VLOOKUP(Data!$G288,canon!$I$2:$K$27,3,FALSE),"")</f>
        <v>N.APPAREL</v>
      </c>
      <c r="J288" s="69">
        <f t="shared" si="8"/>
        <v>2</v>
      </c>
      <c r="K288" s="69">
        <f t="shared" si="9"/>
        <v>1</v>
      </c>
      <c r="L288" s="69">
        <f>VLOOKUP(Table_db1_backend_Daily.accdb[[#This Row],[TradingDate]],canon!B:E,4,0)</f>
        <v>30</v>
      </c>
    </row>
    <row r="289" spans="1:12" x14ac:dyDescent="0.2">
      <c r="A289" s="69" t="s">
        <v>6</v>
      </c>
      <c r="B289" s="70">
        <v>42940</v>
      </c>
      <c r="C289" s="69">
        <v>-6</v>
      </c>
      <c r="D289" s="69">
        <v>0</v>
      </c>
      <c r="E289" s="69">
        <v>0</v>
      </c>
      <c r="F289" s="69">
        <v>0</v>
      </c>
      <c r="G289" s="69" t="s">
        <v>34</v>
      </c>
      <c r="H289" s="69" t="str">
        <f>IFERROR(VLOOKUP(Data!$G289,canon!$I$2:$K$27,2,FALSE),"")</f>
        <v>SHOES</v>
      </c>
      <c r="I289" s="69" t="str">
        <f>IFERROR(VLOOKUP(Data!$G289,canon!$I$2:$K$27,3,FALSE),"")</f>
        <v>N.APPAREL</v>
      </c>
      <c r="J289" s="69">
        <f t="shared" si="8"/>
        <v>2</v>
      </c>
      <c r="K289" s="69">
        <f t="shared" si="9"/>
        <v>1</v>
      </c>
      <c r="L289" s="69">
        <f>VLOOKUP(Table_db1_backend_Daily.accdb[[#This Row],[TradingDate]],canon!B:E,4,0)</f>
        <v>30</v>
      </c>
    </row>
    <row r="290" spans="1:12" x14ac:dyDescent="0.2">
      <c r="A290" s="69" t="s">
        <v>6</v>
      </c>
      <c r="B290" s="70">
        <v>42940</v>
      </c>
      <c r="C290" s="69">
        <v>6</v>
      </c>
      <c r="D290" s="69">
        <v>0</v>
      </c>
      <c r="E290" s="69">
        <v>0</v>
      </c>
      <c r="F290" s="69">
        <v>0</v>
      </c>
      <c r="G290" s="69" t="s">
        <v>38</v>
      </c>
      <c r="H290" s="69" t="str">
        <f>IFERROR(VLOOKUP(Data!$G290,canon!$I$2:$K$27,2,FALSE),"")</f>
        <v>SHOES</v>
      </c>
      <c r="I290" s="69" t="str">
        <f>IFERROR(VLOOKUP(Data!$G290,canon!$I$2:$K$27,3,FALSE),"")</f>
        <v>N.APPAREL</v>
      </c>
      <c r="J290" s="69">
        <f t="shared" si="8"/>
        <v>2</v>
      </c>
      <c r="K290" s="69">
        <f t="shared" si="9"/>
        <v>1</v>
      </c>
      <c r="L290" s="69">
        <f>VLOOKUP(Table_db1_backend_Daily.accdb[[#This Row],[TradingDate]],canon!B:E,4,0)</f>
        <v>30</v>
      </c>
    </row>
    <row r="291" spans="1:12" x14ac:dyDescent="0.2">
      <c r="A291" s="69" t="s">
        <v>6</v>
      </c>
      <c r="B291" s="70">
        <v>42940</v>
      </c>
      <c r="C291" s="69">
        <v>4241</v>
      </c>
      <c r="D291" s="69">
        <v>0</v>
      </c>
      <c r="E291" s="69">
        <v>0</v>
      </c>
      <c r="F291" s="69">
        <v>0</v>
      </c>
      <c r="G291" s="69" t="s">
        <v>35</v>
      </c>
      <c r="H291" s="69" t="str">
        <f>IFERROR(VLOOKUP(Data!$G291,canon!$I$2:$K$27,2,FALSE),"")</f>
        <v>DRESS</v>
      </c>
      <c r="I291" s="69" t="str">
        <f>IFERROR(VLOOKUP(Data!$G291,canon!$I$2:$K$27,3,FALSE),"")</f>
        <v>APPAREL</v>
      </c>
      <c r="J291" s="69">
        <f t="shared" si="8"/>
        <v>2</v>
      </c>
      <c r="K291" s="69">
        <f t="shared" si="9"/>
        <v>1</v>
      </c>
      <c r="L291" s="69">
        <f>VLOOKUP(Table_db1_backend_Daily.accdb[[#This Row],[TradingDate]],canon!B:E,4,0)</f>
        <v>30</v>
      </c>
    </row>
    <row r="292" spans="1:12" x14ac:dyDescent="0.2">
      <c r="A292" s="69" t="s">
        <v>6</v>
      </c>
      <c r="B292" s="70">
        <v>42940</v>
      </c>
      <c r="C292" s="69">
        <v>1</v>
      </c>
      <c r="D292" s="69">
        <v>0</v>
      </c>
      <c r="E292" s="69">
        <v>0</v>
      </c>
      <c r="F292" s="69">
        <v>0</v>
      </c>
      <c r="G292" s="69" t="s">
        <v>10</v>
      </c>
      <c r="H292" s="69" t="str">
        <f>IFERROR(VLOOKUP(Data!$G292,canon!$I$2:$K$27,2,FALSE),"")</f>
        <v>ACCESSORY</v>
      </c>
      <c r="I292" s="69" t="str">
        <f>IFERROR(VLOOKUP(Data!$G292,canon!$I$2:$K$27,3,FALSE),"")</f>
        <v>N.APPAREL</v>
      </c>
      <c r="J292" s="69">
        <f t="shared" si="8"/>
        <v>2</v>
      </c>
      <c r="K292" s="69">
        <f t="shared" si="9"/>
        <v>1</v>
      </c>
      <c r="L292" s="69">
        <f>VLOOKUP(Table_db1_backend_Daily.accdb[[#This Row],[TradingDate]],canon!B:E,4,0)</f>
        <v>30</v>
      </c>
    </row>
    <row r="293" spans="1:12" x14ac:dyDescent="0.2">
      <c r="A293" s="69" t="s">
        <v>6</v>
      </c>
      <c r="B293" s="70">
        <v>42940</v>
      </c>
      <c r="C293" s="69">
        <v>215</v>
      </c>
      <c r="D293" s="69">
        <v>0</v>
      </c>
      <c r="E293" s="69">
        <v>0</v>
      </c>
      <c r="F293" s="69">
        <v>0</v>
      </c>
      <c r="G293" s="69" t="s">
        <v>28</v>
      </c>
      <c r="H293" s="69" t="str">
        <f>IFERROR(VLOOKUP(Data!$G293,canon!$I$2:$K$27,2,FALSE),"")</f>
        <v>ACCESSORY</v>
      </c>
      <c r="I293" s="69" t="str">
        <f>IFERROR(VLOOKUP(Data!$G293,canon!$I$2:$K$27,3,FALSE),"")</f>
        <v>N.APPAREL</v>
      </c>
      <c r="J293" s="69">
        <f t="shared" si="8"/>
        <v>2</v>
      </c>
      <c r="K293" s="69">
        <f t="shared" si="9"/>
        <v>1</v>
      </c>
      <c r="L293" s="69">
        <f>VLOOKUP(Table_db1_backend_Daily.accdb[[#This Row],[TradingDate]],canon!B:E,4,0)</f>
        <v>30</v>
      </c>
    </row>
    <row r="294" spans="1:12" x14ac:dyDescent="0.2">
      <c r="A294" s="69" t="s">
        <v>6</v>
      </c>
      <c r="B294" s="70">
        <v>42940</v>
      </c>
      <c r="C294" s="69">
        <v>10347</v>
      </c>
      <c r="D294" s="69">
        <v>0</v>
      </c>
      <c r="E294" s="69">
        <v>0</v>
      </c>
      <c r="F294" s="69">
        <v>0</v>
      </c>
      <c r="G294" s="69" t="s">
        <v>11</v>
      </c>
      <c r="H294" s="69" t="str">
        <f>IFERROR(VLOOKUP(Data!$G294,canon!$I$2:$K$27,2,FALSE),"")</f>
        <v>KNIT</v>
      </c>
      <c r="I294" s="69" t="str">
        <f>IFERROR(VLOOKUP(Data!$G294,canon!$I$2:$K$27,3,FALSE),"")</f>
        <v>APPAREL</v>
      </c>
      <c r="J294" s="69">
        <f t="shared" si="8"/>
        <v>2</v>
      </c>
      <c r="K294" s="69">
        <f t="shared" si="9"/>
        <v>1</v>
      </c>
      <c r="L294" s="69">
        <f>VLOOKUP(Table_db1_backend_Daily.accdb[[#This Row],[TradingDate]],canon!B:E,4,0)</f>
        <v>30</v>
      </c>
    </row>
    <row r="295" spans="1:12" x14ac:dyDescent="0.2">
      <c r="A295" s="69" t="s">
        <v>6</v>
      </c>
      <c r="B295" s="70">
        <v>42940</v>
      </c>
      <c r="C295" s="69">
        <v>4265</v>
      </c>
      <c r="D295" s="69">
        <v>0</v>
      </c>
      <c r="E295" s="69">
        <v>0</v>
      </c>
      <c r="F295" s="69">
        <v>0</v>
      </c>
      <c r="G295" s="69" t="s">
        <v>14</v>
      </c>
      <c r="H295" s="69" t="str">
        <f>IFERROR(VLOOKUP(Data!$G295,canon!$I$2:$K$27,2,FALSE),"")</f>
        <v>LEGGING</v>
      </c>
      <c r="I295" s="69" t="str">
        <f>IFERROR(VLOOKUP(Data!$G295,canon!$I$2:$K$27,3,FALSE),"")</f>
        <v>APPAREL</v>
      </c>
      <c r="J295" s="69">
        <f t="shared" si="8"/>
        <v>2</v>
      </c>
      <c r="K295" s="69">
        <f t="shared" si="9"/>
        <v>1</v>
      </c>
      <c r="L295" s="69">
        <f>VLOOKUP(Table_db1_backend_Daily.accdb[[#This Row],[TradingDate]],canon!B:E,4,0)</f>
        <v>30</v>
      </c>
    </row>
    <row r="296" spans="1:12" x14ac:dyDescent="0.2">
      <c r="A296" s="69" t="s">
        <v>6</v>
      </c>
      <c r="B296" s="70">
        <v>42940</v>
      </c>
      <c r="C296" s="69">
        <v>0</v>
      </c>
      <c r="D296" s="69">
        <v>0</v>
      </c>
      <c r="E296" s="69">
        <v>0</v>
      </c>
      <c r="F296" s="69">
        <v>0</v>
      </c>
      <c r="G296" s="69" t="s">
        <v>16</v>
      </c>
      <c r="H296" s="69" t="str">
        <f>IFERROR(VLOOKUP(Data!$G296,canon!$I$2:$K$27,2,FALSE),"")</f>
        <v>ACCESSORY</v>
      </c>
      <c r="I296" s="69" t="str">
        <f>IFERROR(VLOOKUP(Data!$G296,canon!$I$2:$K$27,3,FALSE),"")</f>
        <v>N.APPAREL</v>
      </c>
      <c r="J296" s="69">
        <f t="shared" si="8"/>
        <v>2</v>
      </c>
      <c r="K296" s="69">
        <f t="shared" si="9"/>
        <v>1</v>
      </c>
      <c r="L296" s="69">
        <f>VLOOKUP(Table_db1_backend_Daily.accdb[[#This Row],[TradingDate]],canon!B:E,4,0)</f>
        <v>30</v>
      </c>
    </row>
    <row r="297" spans="1:12" x14ac:dyDescent="0.2">
      <c r="A297" s="69" t="s">
        <v>6</v>
      </c>
      <c r="B297" s="70">
        <v>42940</v>
      </c>
      <c r="C297" s="69">
        <v>13</v>
      </c>
      <c r="D297" s="69">
        <v>0</v>
      </c>
      <c r="E297" s="69">
        <v>0</v>
      </c>
      <c r="F297" s="69">
        <v>0</v>
      </c>
      <c r="G297" s="69" t="s">
        <v>37</v>
      </c>
      <c r="H297" s="69" t="str">
        <f>IFERROR(VLOOKUP(Data!$G297,canon!$I$2:$K$27,2,FALSE),"")</f>
        <v>SHOES</v>
      </c>
      <c r="I297" s="69" t="str">
        <f>IFERROR(VLOOKUP(Data!$G297,canon!$I$2:$K$27,3,FALSE),"")</f>
        <v>N.APPAREL</v>
      </c>
      <c r="J297" s="69">
        <f t="shared" si="8"/>
        <v>2</v>
      </c>
      <c r="K297" s="69">
        <f t="shared" si="9"/>
        <v>1</v>
      </c>
      <c r="L297" s="69">
        <f>VLOOKUP(Table_db1_backend_Daily.accdb[[#This Row],[TradingDate]],canon!B:E,4,0)</f>
        <v>30</v>
      </c>
    </row>
    <row r="298" spans="1:12" x14ac:dyDescent="0.2">
      <c r="A298" s="69" t="s">
        <v>6</v>
      </c>
      <c r="B298" s="70">
        <v>42940</v>
      </c>
      <c r="C298" s="69">
        <v>-1</v>
      </c>
      <c r="D298" s="69">
        <v>0</v>
      </c>
      <c r="E298" s="69">
        <v>0</v>
      </c>
      <c r="F298" s="69">
        <v>0</v>
      </c>
      <c r="G298" s="69" t="s">
        <v>29</v>
      </c>
      <c r="H298" s="69" t="str">
        <f>IFERROR(VLOOKUP(Data!$G298,canon!$I$2:$K$27,2,FALSE),"")</f>
        <v>SHOES</v>
      </c>
      <c r="I298" s="69" t="str">
        <f>IFERROR(VLOOKUP(Data!$G298,canon!$I$2:$K$27,3,FALSE),"")</f>
        <v>N.APPAREL</v>
      </c>
      <c r="J298" s="69">
        <f t="shared" si="8"/>
        <v>2</v>
      </c>
      <c r="K298" s="69">
        <f t="shared" si="9"/>
        <v>1</v>
      </c>
      <c r="L298" s="69">
        <f>VLOOKUP(Table_db1_backend_Daily.accdb[[#This Row],[TradingDate]],canon!B:E,4,0)</f>
        <v>30</v>
      </c>
    </row>
    <row r="299" spans="1:12" x14ac:dyDescent="0.2">
      <c r="A299" s="69" t="s">
        <v>6</v>
      </c>
      <c r="B299" s="70">
        <v>42940</v>
      </c>
      <c r="C299" s="69">
        <v>3532</v>
      </c>
      <c r="D299" s="69">
        <v>0</v>
      </c>
      <c r="E299" s="69">
        <v>0</v>
      </c>
      <c r="F299" s="69">
        <v>0</v>
      </c>
      <c r="G299" s="69" t="s">
        <v>17</v>
      </c>
      <c r="H299" s="69" t="str">
        <f>IFERROR(VLOOKUP(Data!$G299,canon!$I$2:$K$27,2,FALSE),"")</f>
        <v>OUTER</v>
      </c>
      <c r="I299" s="69" t="str">
        <f>IFERROR(VLOOKUP(Data!$G299,canon!$I$2:$K$27,3,FALSE),"")</f>
        <v>APPAREL</v>
      </c>
      <c r="J299" s="69">
        <f t="shared" si="8"/>
        <v>2</v>
      </c>
      <c r="K299" s="69">
        <f t="shared" si="9"/>
        <v>1</v>
      </c>
      <c r="L299" s="69">
        <f>VLOOKUP(Table_db1_backend_Daily.accdb[[#This Row],[TradingDate]],canon!B:E,4,0)</f>
        <v>30</v>
      </c>
    </row>
    <row r="300" spans="1:12" x14ac:dyDescent="0.2">
      <c r="A300" s="69" t="s">
        <v>6</v>
      </c>
      <c r="B300" s="70">
        <v>42940</v>
      </c>
      <c r="C300" s="69">
        <v>1323</v>
      </c>
      <c r="D300" s="69">
        <v>0</v>
      </c>
      <c r="E300" s="69">
        <v>0</v>
      </c>
      <c r="F300" s="69">
        <v>0</v>
      </c>
      <c r="G300" s="69" t="s">
        <v>19</v>
      </c>
      <c r="H300" s="69" t="str">
        <f>IFERROR(VLOOKUP(Data!$G300,canon!$I$2:$K$27,2,FALSE),"")</f>
        <v>PANT</v>
      </c>
      <c r="I300" s="69" t="str">
        <f>IFERROR(VLOOKUP(Data!$G300,canon!$I$2:$K$27,3,FALSE),"")</f>
        <v>APPAREL</v>
      </c>
      <c r="J300" s="69">
        <f t="shared" si="8"/>
        <v>2</v>
      </c>
      <c r="K300" s="69">
        <f t="shared" si="9"/>
        <v>1</v>
      </c>
      <c r="L300" s="69">
        <f>VLOOKUP(Table_db1_backend_Daily.accdb[[#This Row],[TradingDate]],canon!B:E,4,0)</f>
        <v>30</v>
      </c>
    </row>
    <row r="301" spans="1:12" x14ac:dyDescent="0.2">
      <c r="A301" s="69" t="s">
        <v>6</v>
      </c>
      <c r="B301" s="70">
        <v>42940</v>
      </c>
      <c r="C301" s="69">
        <v>49</v>
      </c>
      <c r="D301" s="69">
        <v>0</v>
      </c>
      <c r="E301" s="69">
        <v>0</v>
      </c>
      <c r="F301" s="69">
        <v>0</v>
      </c>
      <c r="G301" s="69" t="s">
        <v>21</v>
      </c>
      <c r="H301" s="69" t="str">
        <f>IFERROR(VLOOKUP(Data!$G301,canon!$I$2:$K$27,2,FALSE),"")</f>
        <v>ACCESSORY</v>
      </c>
      <c r="I301" s="69" t="str">
        <f>IFERROR(VLOOKUP(Data!$G301,canon!$I$2:$K$27,3,FALSE),"")</f>
        <v>N.APPAREL</v>
      </c>
      <c r="J301" s="69">
        <f t="shared" si="8"/>
        <v>2</v>
      </c>
      <c r="K301" s="69">
        <f t="shared" si="9"/>
        <v>1</v>
      </c>
      <c r="L301" s="69">
        <f>VLOOKUP(Table_db1_backend_Daily.accdb[[#This Row],[TradingDate]],canon!B:E,4,0)</f>
        <v>30</v>
      </c>
    </row>
    <row r="302" spans="1:12" x14ac:dyDescent="0.2">
      <c r="A302" s="69" t="s">
        <v>6</v>
      </c>
      <c r="B302" s="70">
        <v>42940</v>
      </c>
      <c r="C302" s="69">
        <v>4401</v>
      </c>
      <c r="D302" s="69">
        <v>0</v>
      </c>
      <c r="E302" s="69">
        <v>0</v>
      </c>
      <c r="F302" s="69">
        <v>0</v>
      </c>
      <c r="G302" s="69" t="s">
        <v>22</v>
      </c>
      <c r="H302" s="69" t="str">
        <f>IFERROR(VLOOKUP(Data!$G302,canon!$I$2:$K$27,2,FALSE),"")</f>
        <v>SCARF</v>
      </c>
      <c r="I302" s="69" t="str">
        <f>IFERROR(VLOOKUP(Data!$G302,canon!$I$2:$K$27,3,FALSE),"")</f>
        <v>N.APPAREL</v>
      </c>
      <c r="J302" s="69">
        <f t="shared" si="8"/>
        <v>2</v>
      </c>
      <c r="K302" s="69">
        <f t="shared" si="9"/>
        <v>1</v>
      </c>
      <c r="L302" s="69">
        <f>VLOOKUP(Table_db1_backend_Daily.accdb[[#This Row],[TradingDate]],canon!B:E,4,0)</f>
        <v>30</v>
      </c>
    </row>
    <row r="303" spans="1:12" x14ac:dyDescent="0.2">
      <c r="A303" s="69" t="s">
        <v>6</v>
      </c>
      <c r="B303" s="70">
        <v>42940</v>
      </c>
      <c r="C303" s="69">
        <v>1531</v>
      </c>
      <c r="D303" s="69">
        <v>0</v>
      </c>
      <c r="E303" s="69">
        <v>0</v>
      </c>
      <c r="F303" s="69">
        <v>0</v>
      </c>
      <c r="G303" s="69" t="s">
        <v>23</v>
      </c>
      <c r="H303" s="69" t="str">
        <f>IFERROR(VLOOKUP(Data!$G303,canon!$I$2:$K$27,2,FALSE),"")</f>
        <v>SH&amp;BL</v>
      </c>
      <c r="I303" s="69" t="str">
        <f>IFERROR(VLOOKUP(Data!$G303,canon!$I$2:$K$27,3,FALSE),"")</f>
        <v>APPAREL</v>
      </c>
      <c r="J303" s="69">
        <f t="shared" si="8"/>
        <v>2</v>
      </c>
      <c r="K303" s="69">
        <f t="shared" si="9"/>
        <v>1</v>
      </c>
      <c r="L303" s="69">
        <f>VLOOKUP(Table_db1_backend_Daily.accdb[[#This Row],[TradingDate]],canon!B:E,4,0)</f>
        <v>30</v>
      </c>
    </row>
    <row r="304" spans="1:12" x14ac:dyDescent="0.2">
      <c r="A304" s="69" t="s">
        <v>6</v>
      </c>
      <c r="B304" s="70">
        <v>42940</v>
      </c>
      <c r="C304" s="69">
        <v>1143</v>
      </c>
      <c r="D304" s="69">
        <v>0</v>
      </c>
      <c r="E304" s="69">
        <v>0</v>
      </c>
      <c r="F304" s="69">
        <v>0</v>
      </c>
      <c r="G304" s="69" t="s">
        <v>32</v>
      </c>
      <c r="H304" s="69" t="str">
        <f>IFERROR(VLOOKUP(Data!$G304,canon!$I$2:$K$27,2,FALSE),"")</f>
        <v>SKIRT</v>
      </c>
      <c r="I304" s="69" t="str">
        <f>IFERROR(VLOOKUP(Data!$G304,canon!$I$2:$K$27,3,FALSE),"")</f>
        <v>APPAREL</v>
      </c>
      <c r="J304" s="69">
        <f t="shared" si="8"/>
        <v>2</v>
      </c>
      <c r="K304" s="69">
        <f t="shared" si="9"/>
        <v>1</v>
      </c>
      <c r="L304" s="69">
        <f>VLOOKUP(Table_db1_backend_Daily.accdb[[#This Row],[TradingDate]],canon!B:E,4,0)</f>
        <v>30</v>
      </c>
    </row>
    <row r="305" spans="1:12" x14ac:dyDescent="0.2">
      <c r="A305" s="69" t="s">
        <v>6</v>
      </c>
      <c r="B305" s="70">
        <v>42940</v>
      </c>
      <c r="C305" s="69">
        <v>10283</v>
      </c>
      <c r="D305" s="69">
        <v>0</v>
      </c>
      <c r="E305" s="69">
        <v>0</v>
      </c>
      <c r="F305" s="69">
        <v>0</v>
      </c>
      <c r="G305" s="69" t="s">
        <v>25</v>
      </c>
      <c r="H305" s="69" t="str">
        <f>IFERROR(VLOOKUP(Data!$G305,canon!$I$2:$K$27,2,FALSE),"")</f>
        <v>TOP</v>
      </c>
      <c r="I305" s="69" t="str">
        <f>IFERROR(VLOOKUP(Data!$G305,canon!$I$2:$K$27,3,FALSE),"")</f>
        <v>APPAREL</v>
      </c>
      <c r="J305" s="69">
        <f t="shared" si="8"/>
        <v>2</v>
      </c>
      <c r="K305" s="69">
        <f t="shared" si="9"/>
        <v>1</v>
      </c>
      <c r="L305" s="69">
        <f>VLOOKUP(Table_db1_backend_Daily.accdb[[#This Row],[TradingDate]],canon!B:E,4,0)</f>
        <v>30</v>
      </c>
    </row>
    <row r="306" spans="1:12" x14ac:dyDescent="0.2">
      <c r="A306" s="69" t="s">
        <v>6</v>
      </c>
      <c r="B306" s="70">
        <v>42941</v>
      </c>
      <c r="C306" s="69">
        <v>0</v>
      </c>
      <c r="D306" s="69">
        <v>0</v>
      </c>
      <c r="E306" s="69">
        <v>0</v>
      </c>
      <c r="F306" s="69">
        <v>0</v>
      </c>
      <c r="G306" s="69" t="s">
        <v>27</v>
      </c>
      <c r="H306" s="69" t="str">
        <f>IFERROR(VLOOKUP(Data!$G306,canon!$I$2:$K$27,2,FALSE),"")</f>
        <v>ACCESSORY</v>
      </c>
      <c r="I306" s="69" t="str">
        <f>IFERROR(VLOOKUP(Data!$G306,canon!$I$2:$K$27,3,FALSE),"")</f>
        <v>N.APPAREL</v>
      </c>
      <c r="J306" s="69">
        <f t="shared" si="8"/>
        <v>3</v>
      </c>
      <c r="K306" s="69">
        <f t="shared" si="9"/>
        <v>1</v>
      </c>
      <c r="L306" s="69">
        <f>VLOOKUP(Table_db1_backend_Daily.accdb[[#This Row],[TradingDate]],canon!B:E,4,0)</f>
        <v>30</v>
      </c>
    </row>
    <row r="307" spans="1:12" x14ac:dyDescent="0.2">
      <c r="A307" s="69" t="s">
        <v>6</v>
      </c>
      <c r="B307" s="70">
        <v>42941</v>
      </c>
      <c r="C307" s="69">
        <v>0</v>
      </c>
      <c r="D307" s="69">
        <v>0</v>
      </c>
      <c r="E307" s="69">
        <v>0</v>
      </c>
      <c r="F307" s="69">
        <v>0</v>
      </c>
      <c r="G307" s="69" t="s">
        <v>7</v>
      </c>
      <c r="H307" s="69" t="str">
        <f>IFERROR(VLOOKUP(Data!$G307,canon!$I$2:$K$27,2,FALSE),"")</f>
        <v>ACCESSORY</v>
      </c>
      <c r="I307" s="69" t="str">
        <f>IFERROR(VLOOKUP(Data!$G307,canon!$I$2:$K$27,3,FALSE),"")</f>
        <v>N.APPAREL</v>
      </c>
      <c r="J307" s="69">
        <f t="shared" si="8"/>
        <v>3</v>
      </c>
      <c r="K307" s="69">
        <f t="shared" si="9"/>
        <v>1</v>
      </c>
      <c r="L307" s="69">
        <f>VLOOKUP(Table_db1_backend_Daily.accdb[[#This Row],[TradingDate]],canon!B:E,4,0)</f>
        <v>30</v>
      </c>
    </row>
    <row r="308" spans="1:12" x14ac:dyDescent="0.2">
      <c r="A308" s="69" t="s">
        <v>6</v>
      </c>
      <c r="B308" s="70">
        <v>42941</v>
      </c>
      <c r="C308" s="69">
        <v>-6</v>
      </c>
      <c r="D308" s="69">
        <v>0</v>
      </c>
      <c r="E308" s="69">
        <v>0</v>
      </c>
      <c r="F308" s="69">
        <v>0</v>
      </c>
      <c r="G308" s="69" t="s">
        <v>34</v>
      </c>
      <c r="H308" s="69" t="str">
        <f>IFERROR(VLOOKUP(Data!$G308,canon!$I$2:$K$27,2,FALSE),"")</f>
        <v>SHOES</v>
      </c>
      <c r="I308" s="69" t="str">
        <f>IFERROR(VLOOKUP(Data!$G308,canon!$I$2:$K$27,3,FALSE),"")</f>
        <v>N.APPAREL</v>
      </c>
      <c r="J308" s="69">
        <f t="shared" si="8"/>
        <v>3</v>
      </c>
      <c r="K308" s="69">
        <f t="shared" si="9"/>
        <v>1</v>
      </c>
      <c r="L308" s="69">
        <f>VLOOKUP(Table_db1_backend_Daily.accdb[[#This Row],[TradingDate]],canon!B:E,4,0)</f>
        <v>30</v>
      </c>
    </row>
    <row r="309" spans="1:12" x14ac:dyDescent="0.2">
      <c r="A309" s="69" t="s">
        <v>6</v>
      </c>
      <c r="B309" s="70">
        <v>42941</v>
      </c>
      <c r="C309" s="69">
        <v>6</v>
      </c>
      <c r="D309" s="69">
        <v>0</v>
      </c>
      <c r="E309" s="69">
        <v>0</v>
      </c>
      <c r="F309" s="69">
        <v>0</v>
      </c>
      <c r="G309" s="69" t="s">
        <v>38</v>
      </c>
      <c r="H309" s="69" t="str">
        <f>IFERROR(VLOOKUP(Data!$G309,canon!$I$2:$K$27,2,FALSE),"")</f>
        <v>SHOES</v>
      </c>
      <c r="I309" s="69" t="str">
        <f>IFERROR(VLOOKUP(Data!$G309,canon!$I$2:$K$27,3,FALSE),"")</f>
        <v>N.APPAREL</v>
      </c>
      <c r="J309" s="69">
        <f t="shared" si="8"/>
        <v>3</v>
      </c>
      <c r="K309" s="69">
        <f t="shared" si="9"/>
        <v>1</v>
      </c>
      <c r="L309" s="69">
        <f>VLOOKUP(Table_db1_backend_Daily.accdb[[#This Row],[TradingDate]],canon!B:E,4,0)</f>
        <v>30</v>
      </c>
    </row>
    <row r="310" spans="1:12" x14ac:dyDescent="0.2">
      <c r="A310" s="69" t="s">
        <v>6</v>
      </c>
      <c r="B310" s="70">
        <v>42941</v>
      </c>
      <c r="C310" s="69">
        <v>4241</v>
      </c>
      <c r="D310" s="69">
        <v>0</v>
      </c>
      <c r="E310" s="69">
        <v>0</v>
      </c>
      <c r="F310" s="69">
        <v>0</v>
      </c>
      <c r="G310" s="69" t="s">
        <v>35</v>
      </c>
      <c r="H310" s="69" t="str">
        <f>IFERROR(VLOOKUP(Data!$G310,canon!$I$2:$K$27,2,FALSE),"")</f>
        <v>DRESS</v>
      </c>
      <c r="I310" s="69" t="str">
        <f>IFERROR(VLOOKUP(Data!$G310,canon!$I$2:$K$27,3,FALSE),"")</f>
        <v>APPAREL</v>
      </c>
      <c r="J310" s="69">
        <f t="shared" si="8"/>
        <v>3</v>
      </c>
      <c r="K310" s="69">
        <f t="shared" si="9"/>
        <v>1</v>
      </c>
      <c r="L310" s="69">
        <f>VLOOKUP(Table_db1_backend_Daily.accdb[[#This Row],[TradingDate]],canon!B:E,4,0)</f>
        <v>30</v>
      </c>
    </row>
    <row r="311" spans="1:12" x14ac:dyDescent="0.2">
      <c r="A311" s="69" t="s">
        <v>6</v>
      </c>
      <c r="B311" s="70">
        <v>42941</v>
      </c>
      <c r="C311" s="69">
        <v>1</v>
      </c>
      <c r="D311" s="69">
        <v>0</v>
      </c>
      <c r="E311" s="69">
        <v>0</v>
      </c>
      <c r="F311" s="69">
        <v>0</v>
      </c>
      <c r="G311" s="69" t="s">
        <v>10</v>
      </c>
      <c r="H311" s="69" t="str">
        <f>IFERROR(VLOOKUP(Data!$G311,canon!$I$2:$K$27,2,FALSE),"")</f>
        <v>ACCESSORY</v>
      </c>
      <c r="I311" s="69" t="str">
        <f>IFERROR(VLOOKUP(Data!$G311,canon!$I$2:$K$27,3,FALSE),"")</f>
        <v>N.APPAREL</v>
      </c>
      <c r="J311" s="69">
        <f t="shared" si="8"/>
        <v>3</v>
      </c>
      <c r="K311" s="69">
        <f t="shared" si="9"/>
        <v>1</v>
      </c>
      <c r="L311" s="69">
        <f>VLOOKUP(Table_db1_backend_Daily.accdb[[#This Row],[TradingDate]],canon!B:E,4,0)</f>
        <v>30</v>
      </c>
    </row>
    <row r="312" spans="1:12" x14ac:dyDescent="0.2">
      <c r="A312" s="69" t="s">
        <v>6</v>
      </c>
      <c r="B312" s="70">
        <v>42941</v>
      </c>
      <c r="C312" s="69">
        <v>215</v>
      </c>
      <c r="D312" s="69">
        <v>0</v>
      </c>
      <c r="E312" s="69">
        <v>0</v>
      </c>
      <c r="F312" s="69">
        <v>0</v>
      </c>
      <c r="G312" s="69" t="s">
        <v>28</v>
      </c>
      <c r="H312" s="69" t="str">
        <f>IFERROR(VLOOKUP(Data!$G312,canon!$I$2:$K$27,2,FALSE),"")</f>
        <v>ACCESSORY</v>
      </c>
      <c r="I312" s="69" t="str">
        <f>IFERROR(VLOOKUP(Data!$G312,canon!$I$2:$K$27,3,FALSE),"")</f>
        <v>N.APPAREL</v>
      </c>
      <c r="J312" s="69">
        <f t="shared" si="8"/>
        <v>3</v>
      </c>
      <c r="K312" s="69">
        <f t="shared" si="9"/>
        <v>1</v>
      </c>
      <c r="L312" s="69">
        <f>VLOOKUP(Table_db1_backend_Daily.accdb[[#This Row],[TradingDate]],canon!B:E,4,0)</f>
        <v>30</v>
      </c>
    </row>
    <row r="313" spans="1:12" x14ac:dyDescent="0.2">
      <c r="A313" s="69" t="s">
        <v>6</v>
      </c>
      <c r="B313" s="70">
        <v>42941</v>
      </c>
      <c r="C313" s="69">
        <v>10139</v>
      </c>
      <c r="D313" s="69">
        <v>0</v>
      </c>
      <c r="E313" s="69">
        <v>0</v>
      </c>
      <c r="F313" s="69">
        <v>0</v>
      </c>
      <c r="G313" s="69" t="s">
        <v>11</v>
      </c>
      <c r="H313" s="69" t="str">
        <f>IFERROR(VLOOKUP(Data!$G313,canon!$I$2:$K$27,2,FALSE),"")</f>
        <v>KNIT</v>
      </c>
      <c r="I313" s="69" t="str">
        <f>IFERROR(VLOOKUP(Data!$G313,canon!$I$2:$K$27,3,FALSE),"")</f>
        <v>APPAREL</v>
      </c>
      <c r="J313" s="69">
        <f t="shared" si="8"/>
        <v>3</v>
      </c>
      <c r="K313" s="69">
        <f t="shared" si="9"/>
        <v>1</v>
      </c>
      <c r="L313" s="69">
        <f>VLOOKUP(Table_db1_backend_Daily.accdb[[#This Row],[TradingDate]],canon!B:E,4,0)</f>
        <v>30</v>
      </c>
    </row>
    <row r="314" spans="1:12" x14ac:dyDescent="0.2">
      <c r="A314" s="69" t="s">
        <v>6</v>
      </c>
      <c r="B314" s="70">
        <v>42941</v>
      </c>
      <c r="C314" s="69">
        <v>4265</v>
      </c>
      <c r="D314" s="69">
        <v>0</v>
      </c>
      <c r="E314" s="69">
        <v>0</v>
      </c>
      <c r="F314" s="69">
        <v>0</v>
      </c>
      <c r="G314" s="69" t="s">
        <v>14</v>
      </c>
      <c r="H314" s="69" t="str">
        <f>IFERROR(VLOOKUP(Data!$G314,canon!$I$2:$K$27,2,FALSE),"")</f>
        <v>LEGGING</v>
      </c>
      <c r="I314" s="69" t="str">
        <f>IFERROR(VLOOKUP(Data!$G314,canon!$I$2:$K$27,3,FALSE),"")</f>
        <v>APPAREL</v>
      </c>
      <c r="J314" s="69">
        <f t="shared" si="8"/>
        <v>3</v>
      </c>
      <c r="K314" s="69">
        <f t="shared" si="9"/>
        <v>1</v>
      </c>
      <c r="L314" s="69">
        <f>VLOOKUP(Table_db1_backend_Daily.accdb[[#This Row],[TradingDate]],canon!B:E,4,0)</f>
        <v>30</v>
      </c>
    </row>
    <row r="315" spans="1:12" x14ac:dyDescent="0.2">
      <c r="A315" s="69" t="s">
        <v>6</v>
      </c>
      <c r="B315" s="70">
        <v>42941</v>
      </c>
      <c r="C315" s="69">
        <v>0</v>
      </c>
      <c r="D315" s="69">
        <v>0</v>
      </c>
      <c r="E315" s="69">
        <v>0</v>
      </c>
      <c r="F315" s="69">
        <v>0</v>
      </c>
      <c r="G315" s="69" t="s">
        <v>16</v>
      </c>
      <c r="H315" s="69" t="str">
        <f>IFERROR(VLOOKUP(Data!$G315,canon!$I$2:$K$27,2,FALSE),"")</f>
        <v>ACCESSORY</v>
      </c>
      <c r="I315" s="69" t="str">
        <f>IFERROR(VLOOKUP(Data!$G315,canon!$I$2:$K$27,3,FALSE),"")</f>
        <v>N.APPAREL</v>
      </c>
      <c r="J315" s="69">
        <f t="shared" si="8"/>
        <v>3</v>
      </c>
      <c r="K315" s="69">
        <f t="shared" si="9"/>
        <v>1</v>
      </c>
      <c r="L315" s="69">
        <f>VLOOKUP(Table_db1_backend_Daily.accdb[[#This Row],[TradingDate]],canon!B:E,4,0)</f>
        <v>30</v>
      </c>
    </row>
    <row r="316" spans="1:12" x14ac:dyDescent="0.2">
      <c r="A316" s="69" t="s">
        <v>6</v>
      </c>
      <c r="B316" s="70">
        <v>42941</v>
      </c>
      <c r="C316" s="69">
        <v>13</v>
      </c>
      <c r="D316" s="69">
        <v>0</v>
      </c>
      <c r="E316" s="69">
        <v>0</v>
      </c>
      <c r="F316" s="69">
        <v>0</v>
      </c>
      <c r="G316" s="69" t="s">
        <v>37</v>
      </c>
      <c r="H316" s="69" t="str">
        <f>IFERROR(VLOOKUP(Data!$G316,canon!$I$2:$K$27,2,FALSE),"")</f>
        <v>SHOES</v>
      </c>
      <c r="I316" s="69" t="str">
        <f>IFERROR(VLOOKUP(Data!$G316,canon!$I$2:$K$27,3,FALSE),"")</f>
        <v>N.APPAREL</v>
      </c>
      <c r="J316" s="69">
        <f t="shared" si="8"/>
        <v>3</v>
      </c>
      <c r="K316" s="69">
        <f t="shared" si="9"/>
        <v>1</v>
      </c>
      <c r="L316" s="69">
        <f>VLOOKUP(Table_db1_backend_Daily.accdb[[#This Row],[TradingDate]],canon!B:E,4,0)</f>
        <v>30</v>
      </c>
    </row>
    <row r="317" spans="1:12" x14ac:dyDescent="0.2">
      <c r="A317" s="69" t="s">
        <v>6</v>
      </c>
      <c r="B317" s="70">
        <v>42941</v>
      </c>
      <c r="C317" s="69">
        <v>-1</v>
      </c>
      <c r="D317" s="69">
        <v>0</v>
      </c>
      <c r="E317" s="69">
        <v>0</v>
      </c>
      <c r="F317" s="69">
        <v>0</v>
      </c>
      <c r="G317" s="69" t="s">
        <v>29</v>
      </c>
      <c r="H317" s="69" t="str">
        <f>IFERROR(VLOOKUP(Data!$G317,canon!$I$2:$K$27,2,FALSE),"")</f>
        <v>SHOES</v>
      </c>
      <c r="I317" s="69" t="str">
        <f>IFERROR(VLOOKUP(Data!$G317,canon!$I$2:$K$27,3,FALSE),"")</f>
        <v>N.APPAREL</v>
      </c>
      <c r="J317" s="69">
        <f t="shared" si="8"/>
        <v>3</v>
      </c>
      <c r="K317" s="69">
        <f t="shared" si="9"/>
        <v>1</v>
      </c>
      <c r="L317" s="69">
        <f>VLOOKUP(Table_db1_backend_Daily.accdb[[#This Row],[TradingDate]],canon!B:E,4,0)</f>
        <v>30</v>
      </c>
    </row>
    <row r="318" spans="1:12" x14ac:dyDescent="0.2">
      <c r="A318" s="69" t="s">
        <v>6</v>
      </c>
      <c r="B318" s="70">
        <v>42941</v>
      </c>
      <c r="C318" s="69">
        <v>3418</v>
      </c>
      <c r="D318" s="69">
        <v>0</v>
      </c>
      <c r="E318" s="69">
        <v>0</v>
      </c>
      <c r="F318" s="69">
        <v>0</v>
      </c>
      <c r="G318" s="69" t="s">
        <v>17</v>
      </c>
      <c r="H318" s="69" t="str">
        <f>IFERROR(VLOOKUP(Data!$G318,canon!$I$2:$K$27,2,FALSE),"")</f>
        <v>OUTER</v>
      </c>
      <c r="I318" s="69" t="str">
        <f>IFERROR(VLOOKUP(Data!$G318,canon!$I$2:$K$27,3,FALSE),"")</f>
        <v>APPAREL</v>
      </c>
      <c r="J318" s="69">
        <f t="shared" si="8"/>
        <v>3</v>
      </c>
      <c r="K318" s="69">
        <f t="shared" si="9"/>
        <v>1</v>
      </c>
      <c r="L318" s="69">
        <f>VLOOKUP(Table_db1_backend_Daily.accdb[[#This Row],[TradingDate]],canon!B:E,4,0)</f>
        <v>30</v>
      </c>
    </row>
    <row r="319" spans="1:12" x14ac:dyDescent="0.2">
      <c r="A319" s="69" t="s">
        <v>6</v>
      </c>
      <c r="B319" s="70">
        <v>42941</v>
      </c>
      <c r="C319" s="69">
        <v>1323</v>
      </c>
      <c r="D319" s="69">
        <v>0</v>
      </c>
      <c r="E319" s="69">
        <v>0</v>
      </c>
      <c r="F319" s="69">
        <v>0</v>
      </c>
      <c r="G319" s="69" t="s">
        <v>19</v>
      </c>
      <c r="H319" s="69" t="str">
        <f>IFERROR(VLOOKUP(Data!$G319,canon!$I$2:$K$27,2,FALSE),"")</f>
        <v>PANT</v>
      </c>
      <c r="I319" s="69" t="str">
        <f>IFERROR(VLOOKUP(Data!$G319,canon!$I$2:$K$27,3,FALSE),"")</f>
        <v>APPAREL</v>
      </c>
      <c r="J319" s="69">
        <f t="shared" si="8"/>
        <v>3</v>
      </c>
      <c r="K319" s="69">
        <f t="shared" si="9"/>
        <v>1</v>
      </c>
      <c r="L319" s="69">
        <f>VLOOKUP(Table_db1_backend_Daily.accdb[[#This Row],[TradingDate]],canon!B:E,4,0)</f>
        <v>30</v>
      </c>
    </row>
    <row r="320" spans="1:12" x14ac:dyDescent="0.2">
      <c r="A320" s="69" t="s">
        <v>6</v>
      </c>
      <c r="B320" s="70">
        <v>42941</v>
      </c>
      <c r="C320" s="69">
        <v>49</v>
      </c>
      <c r="D320" s="69">
        <v>0</v>
      </c>
      <c r="E320" s="69">
        <v>0</v>
      </c>
      <c r="F320" s="69">
        <v>0</v>
      </c>
      <c r="G320" s="69" t="s">
        <v>21</v>
      </c>
      <c r="H320" s="69" t="str">
        <f>IFERROR(VLOOKUP(Data!$G320,canon!$I$2:$K$27,2,FALSE),"")</f>
        <v>ACCESSORY</v>
      </c>
      <c r="I320" s="69" t="str">
        <f>IFERROR(VLOOKUP(Data!$G320,canon!$I$2:$K$27,3,FALSE),"")</f>
        <v>N.APPAREL</v>
      </c>
      <c r="J320" s="69">
        <f t="shared" si="8"/>
        <v>3</v>
      </c>
      <c r="K320" s="69">
        <f t="shared" si="9"/>
        <v>1</v>
      </c>
      <c r="L320" s="69">
        <f>VLOOKUP(Table_db1_backend_Daily.accdb[[#This Row],[TradingDate]],canon!B:E,4,0)</f>
        <v>30</v>
      </c>
    </row>
    <row r="321" spans="1:12" x14ac:dyDescent="0.2">
      <c r="A321" s="69" t="s">
        <v>6</v>
      </c>
      <c r="B321" s="70">
        <v>42941</v>
      </c>
      <c r="C321" s="69">
        <v>4401</v>
      </c>
      <c r="D321" s="69">
        <v>0</v>
      </c>
      <c r="E321" s="69">
        <v>0</v>
      </c>
      <c r="F321" s="69">
        <v>0</v>
      </c>
      <c r="G321" s="69" t="s">
        <v>22</v>
      </c>
      <c r="H321" s="69" t="str">
        <f>IFERROR(VLOOKUP(Data!$G321,canon!$I$2:$K$27,2,FALSE),"")</f>
        <v>SCARF</v>
      </c>
      <c r="I321" s="69" t="str">
        <f>IFERROR(VLOOKUP(Data!$G321,canon!$I$2:$K$27,3,FALSE),"")</f>
        <v>N.APPAREL</v>
      </c>
      <c r="J321" s="69">
        <f t="shared" si="8"/>
        <v>3</v>
      </c>
      <c r="K321" s="69">
        <f t="shared" si="9"/>
        <v>1</v>
      </c>
      <c r="L321" s="69">
        <f>VLOOKUP(Table_db1_backend_Daily.accdb[[#This Row],[TradingDate]],canon!B:E,4,0)</f>
        <v>30</v>
      </c>
    </row>
    <row r="322" spans="1:12" x14ac:dyDescent="0.2">
      <c r="A322" s="69" t="s">
        <v>6</v>
      </c>
      <c r="B322" s="70">
        <v>42941</v>
      </c>
      <c r="C322" s="69">
        <v>1531</v>
      </c>
      <c r="D322" s="69">
        <v>0</v>
      </c>
      <c r="E322" s="69">
        <v>0</v>
      </c>
      <c r="F322" s="69">
        <v>0</v>
      </c>
      <c r="G322" s="69" t="s">
        <v>23</v>
      </c>
      <c r="H322" s="69" t="str">
        <f>IFERROR(VLOOKUP(Data!$G322,canon!$I$2:$K$27,2,FALSE),"")</f>
        <v>SH&amp;BL</v>
      </c>
      <c r="I322" s="69" t="str">
        <f>IFERROR(VLOOKUP(Data!$G322,canon!$I$2:$K$27,3,FALSE),"")</f>
        <v>APPAREL</v>
      </c>
      <c r="J322" s="69">
        <f t="shared" ref="J322:J385" si="10">WEEKDAY(B322)</f>
        <v>3</v>
      </c>
      <c r="K322" s="69">
        <f t="shared" ref="K322:K385" si="11">INT(A322)</f>
        <v>1</v>
      </c>
      <c r="L322" s="69">
        <f>VLOOKUP(Table_db1_backend_Daily.accdb[[#This Row],[TradingDate]],canon!B:E,4,0)</f>
        <v>30</v>
      </c>
    </row>
    <row r="323" spans="1:12" x14ac:dyDescent="0.2">
      <c r="A323" s="69" t="s">
        <v>6</v>
      </c>
      <c r="B323" s="70">
        <v>42941</v>
      </c>
      <c r="C323" s="69">
        <v>1143</v>
      </c>
      <c r="D323" s="69">
        <v>0</v>
      </c>
      <c r="E323" s="69">
        <v>0</v>
      </c>
      <c r="F323" s="69">
        <v>0</v>
      </c>
      <c r="G323" s="69" t="s">
        <v>32</v>
      </c>
      <c r="H323" s="69" t="str">
        <f>IFERROR(VLOOKUP(Data!$G323,canon!$I$2:$K$27,2,FALSE),"")</f>
        <v>SKIRT</v>
      </c>
      <c r="I323" s="69" t="str">
        <f>IFERROR(VLOOKUP(Data!$G323,canon!$I$2:$K$27,3,FALSE),"")</f>
        <v>APPAREL</v>
      </c>
      <c r="J323" s="69">
        <f t="shared" si="10"/>
        <v>3</v>
      </c>
      <c r="K323" s="69">
        <f t="shared" si="11"/>
        <v>1</v>
      </c>
      <c r="L323" s="69">
        <f>VLOOKUP(Table_db1_backend_Daily.accdb[[#This Row],[TradingDate]],canon!B:E,4,0)</f>
        <v>30</v>
      </c>
    </row>
    <row r="324" spans="1:12" x14ac:dyDescent="0.2">
      <c r="A324" s="69" t="s">
        <v>6</v>
      </c>
      <c r="B324" s="70">
        <v>42941</v>
      </c>
      <c r="C324" s="69">
        <v>10283</v>
      </c>
      <c r="D324" s="69">
        <v>0</v>
      </c>
      <c r="E324" s="69">
        <v>0</v>
      </c>
      <c r="F324" s="69">
        <v>0</v>
      </c>
      <c r="G324" s="69" t="s">
        <v>25</v>
      </c>
      <c r="H324" s="69" t="str">
        <f>IFERROR(VLOOKUP(Data!$G324,canon!$I$2:$K$27,2,FALSE),"")</f>
        <v>TOP</v>
      </c>
      <c r="I324" s="69" t="str">
        <f>IFERROR(VLOOKUP(Data!$G324,canon!$I$2:$K$27,3,FALSE),"")</f>
        <v>APPAREL</v>
      </c>
      <c r="J324" s="69">
        <f t="shared" si="10"/>
        <v>3</v>
      </c>
      <c r="K324" s="69">
        <f t="shared" si="11"/>
        <v>1</v>
      </c>
      <c r="L324" s="69">
        <f>VLOOKUP(Table_db1_backend_Daily.accdb[[#This Row],[TradingDate]],canon!B:E,4,0)</f>
        <v>30</v>
      </c>
    </row>
    <row r="325" spans="1:12" x14ac:dyDescent="0.2">
      <c r="A325" s="69" t="s">
        <v>6</v>
      </c>
      <c r="B325" s="70">
        <v>42942</v>
      </c>
      <c r="C325" s="69">
        <v>0</v>
      </c>
      <c r="D325" s="69">
        <v>0</v>
      </c>
      <c r="E325" s="69">
        <v>0</v>
      </c>
      <c r="F325" s="69">
        <v>0</v>
      </c>
      <c r="G325" s="69" t="s">
        <v>27</v>
      </c>
      <c r="H325" s="69" t="str">
        <f>IFERROR(VLOOKUP(Data!$G325,canon!$I$2:$K$27,2,FALSE),"")</f>
        <v>ACCESSORY</v>
      </c>
      <c r="I325" s="69" t="str">
        <f>IFERROR(VLOOKUP(Data!$G325,canon!$I$2:$K$27,3,FALSE),"")</f>
        <v>N.APPAREL</v>
      </c>
      <c r="J325" s="69">
        <f t="shared" si="10"/>
        <v>4</v>
      </c>
      <c r="K325" s="69">
        <f t="shared" si="11"/>
        <v>1</v>
      </c>
      <c r="L325" s="69">
        <f>VLOOKUP(Table_db1_backend_Daily.accdb[[#This Row],[TradingDate]],canon!B:E,4,0)</f>
        <v>30</v>
      </c>
    </row>
    <row r="326" spans="1:12" x14ac:dyDescent="0.2">
      <c r="A326" s="69" t="s">
        <v>6</v>
      </c>
      <c r="B326" s="70">
        <v>42942</v>
      </c>
      <c r="C326" s="69">
        <v>0</v>
      </c>
      <c r="D326" s="69">
        <v>0</v>
      </c>
      <c r="E326" s="69">
        <v>0</v>
      </c>
      <c r="F326" s="69">
        <v>0</v>
      </c>
      <c r="G326" s="69" t="s">
        <v>7</v>
      </c>
      <c r="H326" s="69" t="str">
        <f>IFERROR(VLOOKUP(Data!$G326,canon!$I$2:$K$27,2,FALSE),"")</f>
        <v>ACCESSORY</v>
      </c>
      <c r="I326" s="69" t="str">
        <f>IFERROR(VLOOKUP(Data!$G326,canon!$I$2:$K$27,3,FALSE),"")</f>
        <v>N.APPAREL</v>
      </c>
      <c r="J326" s="69">
        <f t="shared" si="10"/>
        <v>4</v>
      </c>
      <c r="K326" s="69">
        <f t="shared" si="11"/>
        <v>1</v>
      </c>
      <c r="L326" s="69">
        <f>VLOOKUP(Table_db1_backend_Daily.accdb[[#This Row],[TradingDate]],canon!B:E,4,0)</f>
        <v>30</v>
      </c>
    </row>
    <row r="327" spans="1:12" x14ac:dyDescent="0.2">
      <c r="A327" s="69" t="s">
        <v>6</v>
      </c>
      <c r="B327" s="70">
        <v>42942</v>
      </c>
      <c r="C327" s="69">
        <v>-6</v>
      </c>
      <c r="D327" s="69">
        <v>0</v>
      </c>
      <c r="E327" s="69">
        <v>0</v>
      </c>
      <c r="F327" s="69">
        <v>0</v>
      </c>
      <c r="G327" s="69" t="s">
        <v>34</v>
      </c>
      <c r="H327" s="69" t="str">
        <f>IFERROR(VLOOKUP(Data!$G327,canon!$I$2:$K$27,2,FALSE),"")</f>
        <v>SHOES</v>
      </c>
      <c r="I327" s="69" t="str">
        <f>IFERROR(VLOOKUP(Data!$G327,canon!$I$2:$K$27,3,FALSE),"")</f>
        <v>N.APPAREL</v>
      </c>
      <c r="J327" s="69">
        <f t="shared" si="10"/>
        <v>4</v>
      </c>
      <c r="K327" s="69">
        <f t="shared" si="11"/>
        <v>1</v>
      </c>
      <c r="L327" s="69">
        <f>VLOOKUP(Table_db1_backend_Daily.accdb[[#This Row],[TradingDate]],canon!B:E,4,0)</f>
        <v>30</v>
      </c>
    </row>
    <row r="328" spans="1:12" x14ac:dyDescent="0.2">
      <c r="A328" s="69" t="s">
        <v>6</v>
      </c>
      <c r="B328" s="70">
        <v>42942</v>
      </c>
      <c r="C328" s="69">
        <v>6</v>
      </c>
      <c r="D328" s="69">
        <v>0</v>
      </c>
      <c r="E328" s="69">
        <v>0</v>
      </c>
      <c r="F328" s="69">
        <v>0</v>
      </c>
      <c r="G328" s="69" t="s">
        <v>38</v>
      </c>
      <c r="H328" s="69" t="str">
        <f>IFERROR(VLOOKUP(Data!$G328,canon!$I$2:$K$27,2,FALSE),"")</f>
        <v>SHOES</v>
      </c>
      <c r="I328" s="69" t="str">
        <f>IFERROR(VLOOKUP(Data!$G328,canon!$I$2:$K$27,3,FALSE),"")</f>
        <v>N.APPAREL</v>
      </c>
      <c r="J328" s="69">
        <f t="shared" si="10"/>
        <v>4</v>
      </c>
      <c r="K328" s="69">
        <f t="shared" si="11"/>
        <v>1</v>
      </c>
      <c r="L328" s="69">
        <f>VLOOKUP(Table_db1_backend_Daily.accdb[[#This Row],[TradingDate]],canon!B:E,4,0)</f>
        <v>30</v>
      </c>
    </row>
    <row r="329" spans="1:12" x14ac:dyDescent="0.2">
      <c r="A329" s="69" t="s">
        <v>6</v>
      </c>
      <c r="B329" s="70">
        <v>42942</v>
      </c>
      <c r="C329" s="69">
        <v>4241</v>
      </c>
      <c r="D329" s="69">
        <v>0</v>
      </c>
      <c r="E329" s="69">
        <v>0</v>
      </c>
      <c r="F329" s="69">
        <v>0</v>
      </c>
      <c r="G329" s="69" t="s">
        <v>35</v>
      </c>
      <c r="H329" s="69" t="str">
        <f>IFERROR(VLOOKUP(Data!$G329,canon!$I$2:$K$27,2,FALSE),"")</f>
        <v>DRESS</v>
      </c>
      <c r="I329" s="69" t="str">
        <f>IFERROR(VLOOKUP(Data!$G329,canon!$I$2:$K$27,3,FALSE),"")</f>
        <v>APPAREL</v>
      </c>
      <c r="J329" s="69">
        <f t="shared" si="10"/>
        <v>4</v>
      </c>
      <c r="K329" s="69">
        <f t="shared" si="11"/>
        <v>1</v>
      </c>
      <c r="L329" s="69">
        <f>VLOOKUP(Table_db1_backend_Daily.accdb[[#This Row],[TradingDate]],canon!B:E,4,0)</f>
        <v>30</v>
      </c>
    </row>
    <row r="330" spans="1:12" x14ac:dyDescent="0.2">
      <c r="A330" s="69" t="s">
        <v>6</v>
      </c>
      <c r="B330" s="70">
        <v>42942</v>
      </c>
      <c r="C330" s="69">
        <v>1</v>
      </c>
      <c r="D330" s="69">
        <v>0</v>
      </c>
      <c r="E330" s="69">
        <v>0</v>
      </c>
      <c r="F330" s="69">
        <v>0</v>
      </c>
      <c r="G330" s="69" t="s">
        <v>10</v>
      </c>
      <c r="H330" s="69" t="str">
        <f>IFERROR(VLOOKUP(Data!$G330,canon!$I$2:$K$27,2,FALSE),"")</f>
        <v>ACCESSORY</v>
      </c>
      <c r="I330" s="69" t="str">
        <f>IFERROR(VLOOKUP(Data!$G330,canon!$I$2:$K$27,3,FALSE),"")</f>
        <v>N.APPAREL</v>
      </c>
      <c r="J330" s="69">
        <f t="shared" si="10"/>
        <v>4</v>
      </c>
      <c r="K330" s="69">
        <f t="shared" si="11"/>
        <v>1</v>
      </c>
      <c r="L330" s="69">
        <f>VLOOKUP(Table_db1_backend_Daily.accdb[[#This Row],[TradingDate]],canon!B:E,4,0)</f>
        <v>30</v>
      </c>
    </row>
    <row r="331" spans="1:12" x14ac:dyDescent="0.2">
      <c r="A331" s="69" t="s">
        <v>6</v>
      </c>
      <c r="B331" s="70">
        <v>42942</v>
      </c>
      <c r="C331" s="69">
        <v>215</v>
      </c>
      <c r="D331" s="69">
        <v>0</v>
      </c>
      <c r="E331" s="69">
        <v>0</v>
      </c>
      <c r="F331" s="69">
        <v>0</v>
      </c>
      <c r="G331" s="69" t="s">
        <v>28</v>
      </c>
      <c r="H331" s="69" t="str">
        <f>IFERROR(VLOOKUP(Data!$G331,canon!$I$2:$K$27,2,FALSE),"")</f>
        <v>ACCESSORY</v>
      </c>
      <c r="I331" s="69" t="str">
        <f>IFERROR(VLOOKUP(Data!$G331,canon!$I$2:$K$27,3,FALSE),"")</f>
        <v>N.APPAREL</v>
      </c>
      <c r="J331" s="69">
        <f t="shared" si="10"/>
        <v>4</v>
      </c>
      <c r="K331" s="69">
        <f t="shared" si="11"/>
        <v>1</v>
      </c>
      <c r="L331" s="69">
        <f>VLOOKUP(Table_db1_backend_Daily.accdb[[#This Row],[TradingDate]],canon!B:E,4,0)</f>
        <v>30</v>
      </c>
    </row>
    <row r="332" spans="1:12" x14ac:dyDescent="0.2">
      <c r="A332" s="69" t="s">
        <v>6</v>
      </c>
      <c r="B332" s="70">
        <v>42942</v>
      </c>
      <c r="C332" s="69">
        <v>10139</v>
      </c>
      <c r="D332" s="69">
        <v>0</v>
      </c>
      <c r="E332" s="69">
        <v>0</v>
      </c>
      <c r="F332" s="69">
        <v>0</v>
      </c>
      <c r="G332" s="69" t="s">
        <v>11</v>
      </c>
      <c r="H332" s="69" t="str">
        <f>IFERROR(VLOOKUP(Data!$G332,canon!$I$2:$K$27,2,FALSE),"")</f>
        <v>KNIT</v>
      </c>
      <c r="I332" s="69" t="str">
        <f>IFERROR(VLOOKUP(Data!$G332,canon!$I$2:$K$27,3,FALSE),"")</f>
        <v>APPAREL</v>
      </c>
      <c r="J332" s="69">
        <f t="shared" si="10"/>
        <v>4</v>
      </c>
      <c r="K332" s="69">
        <f t="shared" si="11"/>
        <v>1</v>
      </c>
      <c r="L332" s="69">
        <f>VLOOKUP(Table_db1_backend_Daily.accdb[[#This Row],[TradingDate]],canon!B:E,4,0)</f>
        <v>30</v>
      </c>
    </row>
    <row r="333" spans="1:12" x14ac:dyDescent="0.2">
      <c r="A333" s="69" t="s">
        <v>6</v>
      </c>
      <c r="B333" s="70">
        <v>42942</v>
      </c>
      <c r="C333" s="69">
        <v>4265</v>
      </c>
      <c r="D333" s="69">
        <v>0</v>
      </c>
      <c r="E333" s="69">
        <v>0</v>
      </c>
      <c r="F333" s="69">
        <v>0</v>
      </c>
      <c r="G333" s="69" t="s">
        <v>14</v>
      </c>
      <c r="H333" s="69" t="str">
        <f>IFERROR(VLOOKUP(Data!$G333,canon!$I$2:$K$27,2,FALSE),"")</f>
        <v>LEGGING</v>
      </c>
      <c r="I333" s="69" t="str">
        <f>IFERROR(VLOOKUP(Data!$G333,canon!$I$2:$K$27,3,FALSE),"")</f>
        <v>APPAREL</v>
      </c>
      <c r="J333" s="69">
        <f t="shared" si="10"/>
        <v>4</v>
      </c>
      <c r="K333" s="69">
        <f t="shared" si="11"/>
        <v>1</v>
      </c>
      <c r="L333" s="69">
        <f>VLOOKUP(Table_db1_backend_Daily.accdb[[#This Row],[TradingDate]],canon!B:E,4,0)</f>
        <v>30</v>
      </c>
    </row>
    <row r="334" spans="1:12" x14ac:dyDescent="0.2">
      <c r="A334" s="69" t="s">
        <v>6</v>
      </c>
      <c r="B334" s="70">
        <v>42942</v>
      </c>
      <c r="C334" s="69">
        <v>0</v>
      </c>
      <c r="D334" s="69">
        <v>0</v>
      </c>
      <c r="E334" s="69">
        <v>0</v>
      </c>
      <c r="F334" s="69">
        <v>0</v>
      </c>
      <c r="G334" s="69" t="s">
        <v>16</v>
      </c>
      <c r="H334" s="69" t="str">
        <f>IFERROR(VLOOKUP(Data!$G334,canon!$I$2:$K$27,2,FALSE),"")</f>
        <v>ACCESSORY</v>
      </c>
      <c r="I334" s="69" t="str">
        <f>IFERROR(VLOOKUP(Data!$G334,canon!$I$2:$K$27,3,FALSE),"")</f>
        <v>N.APPAREL</v>
      </c>
      <c r="J334" s="69">
        <f t="shared" si="10"/>
        <v>4</v>
      </c>
      <c r="K334" s="69">
        <f t="shared" si="11"/>
        <v>1</v>
      </c>
      <c r="L334" s="69">
        <f>VLOOKUP(Table_db1_backend_Daily.accdb[[#This Row],[TradingDate]],canon!B:E,4,0)</f>
        <v>30</v>
      </c>
    </row>
    <row r="335" spans="1:12" x14ac:dyDescent="0.2">
      <c r="A335" s="69" t="s">
        <v>6</v>
      </c>
      <c r="B335" s="70">
        <v>42942</v>
      </c>
      <c r="C335" s="69">
        <v>13</v>
      </c>
      <c r="D335" s="69">
        <v>0</v>
      </c>
      <c r="E335" s="69">
        <v>0</v>
      </c>
      <c r="F335" s="69">
        <v>0</v>
      </c>
      <c r="G335" s="69" t="s">
        <v>37</v>
      </c>
      <c r="H335" s="69" t="str">
        <f>IFERROR(VLOOKUP(Data!$G335,canon!$I$2:$K$27,2,FALSE),"")</f>
        <v>SHOES</v>
      </c>
      <c r="I335" s="69" t="str">
        <f>IFERROR(VLOOKUP(Data!$G335,canon!$I$2:$K$27,3,FALSE),"")</f>
        <v>N.APPAREL</v>
      </c>
      <c r="J335" s="69">
        <f t="shared" si="10"/>
        <v>4</v>
      </c>
      <c r="K335" s="69">
        <f t="shared" si="11"/>
        <v>1</v>
      </c>
      <c r="L335" s="69">
        <f>VLOOKUP(Table_db1_backend_Daily.accdb[[#This Row],[TradingDate]],canon!B:E,4,0)</f>
        <v>30</v>
      </c>
    </row>
    <row r="336" spans="1:12" x14ac:dyDescent="0.2">
      <c r="A336" s="69" t="s">
        <v>6</v>
      </c>
      <c r="B336" s="70">
        <v>42942</v>
      </c>
      <c r="C336" s="69">
        <v>-1</v>
      </c>
      <c r="D336" s="69">
        <v>0</v>
      </c>
      <c r="E336" s="69">
        <v>0</v>
      </c>
      <c r="F336" s="69">
        <v>0</v>
      </c>
      <c r="G336" s="69" t="s">
        <v>29</v>
      </c>
      <c r="H336" s="69" t="str">
        <f>IFERROR(VLOOKUP(Data!$G336,canon!$I$2:$K$27,2,FALSE),"")</f>
        <v>SHOES</v>
      </c>
      <c r="I336" s="69" t="str">
        <f>IFERROR(VLOOKUP(Data!$G336,canon!$I$2:$K$27,3,FALSE),"")</f>
        <v>N.APPAREL</v>
      </c>
      <c r="J336" s="69">
        <f t="shared" si="10"/>
        <v>4</v>
      </c>
      <c r="K336" s="69">
        <f t="shared" si="11"/>
        <v>1</v>
      </c>
      <c r="L336" s="69">
        <f>VLOOKUP(Table_db1_backend_Daily.accdb[[#This Row],[TradingDate]],canon!B:E,4,0)</f>
        <v>30</v>
      </c>
    </row>
    <row r="337" spans="1:12" x14ac:dyDescent="0.2">
      <c r="A337" s="69" t="s">
        <v>6</v>
      </c>
      <c r="B337" s="70">
        <v>42942</v>
      </c>
      <c r="C337" s="69">
        <v>3418</v>
      </c>
      <c r="D337" s="69">
        <v>0</v>
      </c>
      <c r="E337" s="69">
        <v>0</v>
      </c>
      <c r="F337" s="69">
        <v>0</v>
      </c>
      <c r="G337" s="69" t="s">
        <v>17</v>
      </c>
      <c r="H337" s="69" t="str">
        <f>IFERROR(VLOOKUP(Data!$G337,canon!$I$2:$K$27,2,FALSE),"")</f>
        <v>OUTER</v>
      </c>
      <c r="I337" s="69" t="str">
        <f>IFERROR(VLOOKUP(Data!$G337,canon!$I$2:$K$27,3,FALSE),"")</f>
        <v>APPAREL</v>
      </c>
      <c r="J337" s="69">
        <f t="shared" si="10"/>
        <v>4</v>
      </c>
      <c r="K337" s="69">
        <f t="shared" si="11"/>
        <v>1</v>
      </c>
      <c r="L337" s="69">
        <f>VLOOKUP(Table_db1_backend_Daily.accdb[[#This Row],[TradingDate]],canon!B:E,4,0)</f>
        <v>30</v>
      </c>
    </row>
    <row r="338" spans="1:12" x14ac:dyDescent="0.2">
      <c r="A338" s="69" t="s">
        <v>6</v>
      </c>
      <c r="B338" s="70">
        <v>42942</v>
      </c>
      <c r="C338" s="69">
        <v>1323</v>
      </c>
      <c r="D338" s="69">
        <v>0</v>
      </c>
      <c r="E338" s="69">
        <v>0</v>
      </c>
      <c r="F338" s="69">
        <v>0</v>
      </c>
      <c r="G338" s="69" t="s">
        <v>19</v>
      </c>
      <c r="H338" s="69" t="str">
        <f>IFERROR(VLOOKUP(Data!$G338,canon!$I$2:$K$27,2,FALSE),"")</f>
        <v>PANT</v>
      </c>
      <c r="I338" s="69" t="str">
        <f>IFERROR(VLOOKUP(Data!$G338,canon!$I$2:$K$27,3,FALSE),"")</f>
        <v>APPAREL</v>
      </c>
      <c r="J338" s="69">
        <f t="shared" si="10"/>
        <v>4</v>
      </c>
      <c r="K338" s="69">
        <f t="shared" si="11"/>
        <v>1</v>
      </c>
      <c r="L338" s="69">
        <f>VLOOKUP(Table_db1_backend_Daily.accdb[[#This Row],[TradingDate]],canon!B:E,4,0)</f>
        <v>30</v>
      </c>
    </row>
    <row r="339" spans="1:12" x14ac:dyDescent="0.2">
      <c r="A339" s="69" t="s">
        <v>6</v>
      </c>
      <c r="B339" s="70">
        <v>42942</v>
      </c>
      <c r="C339" s="69">
        <v>49</v>
      </c>
      <c r="D339" s="69">
        <v>0</v>
      </c>
      <c r="E339" s="69">
        <v>0</v>
      </c>
      <c r="F339" s="69">
        <v>0</v>
      </c>
      <c r="G339" s="69" t="s">
        <v>21</v>
      </c>
      <c r="H339" s="69" t="str">
        <f>IFERROR(VLOOKUP(Data!$G339,canon!$I$2:$K$27,2,FALSE),"")</f>
        <v>ACCESSORY</v>
      </c>
      <c r="I339" s="69" t="str">
        <f>IFERROR(VLOOKUP(Data!$G339,canon!$I$2:$K$27,3,FALSE),"")</f>
        <v>N.APPAREL</v>
      </c>
      <c r="J339" s="69">
        <f t="shared" si="10"/>
        <v>4</v>
      </c>
      <c r="K339" s="69">
        <f t="shared" si="11"/>
        <v>1</v>
      </c>
      <c r="L339" s="69">
        <f>VLOOKUP(Table_db1_backend_Daily.accdb[[#This Row],[TradingDate]],canon!B:E,4,0)</f>
        <v>30</v>
      </c>
    </row>
    <row r="340" spans="1:12" x14ac:dyDescent="0.2">
      <c r="A340" s="69" t="s">
        <v>6</v>
      </c>
      <c r="B340" s="70">
        <v>42942</v>
      </c>
      <c r="C340" s="69">
        <v>4401</v>
      </c>
      <c r="D340" s="69">
        <v>0</v>
      </c>
      <c r="E340" s="69">
        <v>0</v>
      </c>
      <c r="F340" s="69">
        <v>0</v>
      </c>
      <c r="G340" s="69" t="s">
        <v>22</v>
      </c>
      <c r="H340" s="69" t="str">
        <f>IFERROR(VLOOKUP(Data!$G340,canon!$I$2:$K$27,2,FALSE),"")</f>
        <v>SCARF</v>
      </c>
      <c r="I340" s="69" t="str">
        <f>IFERROR(VLOOKUP(Data!$G340,canon!$I$2:$K$27,3,FALSE),"")</f>
        <v>N.APPAREL</v>
      </c>
      <c r="J340" s="69">
        <f t="shared" si="10"/>
        <v>4</v>
      </c>
      <c r="K340" s="69">
        <f t="shared" si="11"/>
        <v>1</v>
      </c>
      <c r="L340" s="69">
        <f>VLOOKUP(Table_db1_backend_Daily.accdb[[#This Row],[TradingDate]],canon!B:E,4,0)</f>
        <v>30</v>
      </c>
    </row>
    <row r="341" spans="1:12" x14ac:dyDescent="0.2">
      <c r="A341" s="69" t="s">
        <v>6</v>
      </c>
      <c r="B341" s="70">
        <v>42942</v>
      </c>
      <c r="C341" s="69">
        <v>1531</v>
      </c>
      <c r="D341" s="69">
        <v>0</v>
      </c>
      <c r="E341" s="69">
        <v>0</v>
      </c>
      <c r="F341" s="69">
        <v>0</v>
      </c>
      <c r="G341" s="69" t="s">
        <v>23</v>
      </c>
      <c r="H341" s="69" t="str">
        <f>IFERROR(VLOOKUP(Data!$G341,canon!$I$2:$K$27,2,FALSE),"")</f>
        <v>SH&amp;BL</v>
      </c>
      <c r="I341" s="69" t="str">
        <f>IFERROR(VLOOKUP(Data!$G341,canon!$I$2:$K$27,3,FALSE),"")</f>
        <v>APPAREL</v>
      </c>
      <c r="J341" s="69">
        <f t="shared" si="10"/>
        <v>4</v>
      </c>
      <c r="K341" s="69">
        <f t="shared" si="11"/>
        <v>1</v>
      </c>
      <c r="L341" s="69">
        <f>VLOOKUP(Table_db1_backend_Daily.accdb[[#This Row],[TradingDate]],canon!B:E,4,0)</f>
        <v>30</v>
      </c>
    </row>
    <row r="342" spans="1:12" x14ac:dyDescent="0.2">
      <c r="A342" s="69" t="s">
        <v>6</v>
      </c>
      <c r="B342" s="70">
        <v>42942</v>
      </c>
      <c r="C342" s="69">
        <v>1143</v>
      </c>
      <c r="D342" s="69">
        <v>0</v>
      </c>
      <c r="E342" s="69">
        <v>0</v>
      </c>
      <c r="F342" s="69">
        <v>0</v>
      </c>
      <c r="G342" s="69" t="s">
        <v>32</v>
      </c>
      <c r="H342" s="69" t="str">
        <f>IFERROR(VLOOKUP(Data!$G342,canon!$I$2:$K$27,2,FALSE),"")</f>
        <v>SKIRT</v>
      </c>
      <c r="I342" s="69" t="str">
        <f>IFERROR(VLOOKUP(Data!$G342,canon!$I$2:$K$27,3,FALSE),"")</f>
        <v>APPAREL</v>
      </c>
      <c r="J342" s="69">
        <f t="shared" si="10"/>
        <v>4</v>
      </c>
      <c r="K342" s="69">
        <f t="shared" si="11"/>
        <v>1</v>
      </c>
      <c r="L342" s="69">
        <f>VLOOKUP(Table_db1_backend_Daily.accdb[[#This Row],[TradingDate]],canon!B:E,4,0)</f>
        <v>30</v>
      </c>
    </row>
    <row r="343" spans="1:12" x14ac:dyDescent="0.2">
      <c r="A343" s="69" t="s">
        <v>6</v>
      </c>
      <c r="B343" s="70">
        <v>42942</v>
      </c>
      <c r="C343" s="69">
        <v>10283</v>
      </c>
      <c r="D343" s="69">
        <v>0</v>
      </c>
      <c r="E343" s="69">
        <v>0</v>
      </c>
      <c r="F343" s="69">
        <v>0</v>
      </c>
      <c r="G343" s="69" t="s">
        <v>25</v>
      </c>
      <c r="H343" s="69" t="str">
        <f>IFERROR(VLOOKUP(Data!$G343,canon!$I$2:$K$27,2,FALSE),"")</f>
        <v>TOP</v>
      </c>
      <c r="I343" s="69" t="str">
        <f>IFERROR(VLOOKUP(Data!$G343,canon!$I$2:$K$27,3,FALSE),"")</f>
        <v>APPAREL</v>
      </c>
      <c r="J343" s="69">
        <f t="shared" si="10"/>
        <v>4</v>
      </c>
      <c r="K343" s="69">
        <f t="shared" si="11"/>
        <v>1</v>
      </c>
      <c r="L343" s="69">
        <f>VLOOKUP(Table_db1_backend_Daily.accdb[[#This Row],[TradingDate]],canon!B:E,4,0)</f>
        <v>30</v>
      </c>
    </row>
    <row r="344" spans="1:12" x14ac:dyDescent="0.2">
      <c r="A344" s="69" t="s">
        <v>6</v>
      </c>
      <c r="B344" s="70">
        <v>42943</v>
      </c>
      <c r="C344" s="69">
        <v>0</v>
      </c>
      <c r="D344" s="69">
        <v>0</v>
      </c>
      <c r="E344" s="69">
        <v>0</v>
      </c>
      <c r="F344" s="69">
        <v>0</v>
      </c>
      <c r="G344" s="69" t="s">
        <v>27</v>
      </c>
      <c r="H344" s="69" t="str">
        <f>IFERROR(VLOOKUP(Data!$G344,canon!$I$2:$K$27,2,FALSE),"")</f>
        <v>ACCESSORY</v>
      </c>
      <c r="I344" s="69" t="str">
        <f>IFERROR(VLOOKUP(Data!$G344,canon!$I$2:$K$27,3,FALSE),"")</f>
        <v>N.APPAREL</v>
      </c>
      <c r="J344" s="69">
        <f t="shared" si="10"/>
        <v>5</v>
      </c>
      <c r="K344" s="69">
        <f t="shared" si="11"/>
        <v>1</v>
      </c>
      <c r="L344" s="69">
        <f>VLOOKUP(Table_db1_backend_Daily.accdb[[#This Row],[TradingDate]],canon!B:E,4,0)</f>
        <v>30</v>
      </c>
    </row>
    <row r="345" spans="1:12" x14ac:dyDescent="0.2">
      <c r="A345" s="69" t="s">
        <v>6</v>
      </c>
      <c r="B345" s="70">
        <v>42943</v>
      </c>
      <c r="C345" s="69">
        <v>0</v>
      </c>
      <c r="D345" s="69">
        <v>0</v>
      </c>
      <c r="E345" s="69">
        <v>0</v>
      </c>
      <c r="F345" s="69">
        <v>0</v>
      </c>
      <c r="G345" s="69" t="s">
        <v>7</v>
      </c>
      <c r="H345" s="69" t="str">
        <f>IFERROR(VLOOKUP(Data!$G345,canon!$I$2:$K$27,2,FALSE),"")</f>
        <v>ACCESSORY</v>
      </c>
      <c r="I345" s="69" t="str">
        <f>IFERROR(VLOOKUP(Data!$G345,canon!$I$2:$K$27,3,FALSE),"")</f>
        <v>N.APPAREL</v>
      </c>
      <c r="J345" s="69">
        <f t="shared" si="10"/>
        <v>5</v>
      </c>
      <c r="K345" s="69">
        <f t="shared" si="11"/>
        <v>1</v>
      </c>
      <c r="L345" s="69">
        <f>VLOOKUP(Table_db1_backend_Daily.accdb[[#This Row],[TradingDate]],canon!B:E,4,0)</f>
        <v>30</v>
      </c>
    </row>
    <row r="346" spans="1:12" x14ac:dyDescent="0.2">
      <c r="A346" s="69" t="s">
        <v>6</v>
      </c>
      <c r="B346" s="70">
        <v>42943</v>
      </c>
      <c r="C346" s="69">
        <v>-6</v>
      </c>
      <c r="D346" s="69">
        <v>0</v>
      </c>
      <c r="E346" s="69">
        <v>0</v>
      </c>
      <c r="F346" s="69">
        <v>0</v>
      </c>
      <c r="G346" s="69" t="s">
        <v>34</v>
      </c>
      <c r="H346" s="69" t="str">
        <f>IFERROR(VLOOKUP(Data!$G346,canon!$I$2:$K$27,2,FALSE),"")</f>
        <v>SHOES</v>
      </c>
      <c r="I346" s="69" t="str">
        <f>IFERROR(VLOOKUP(Data!$G346,canon!$I$2:$K$27,3,FALSE),"")</f>
        <v>N.APPAREL</v>
      </c>
      <c r="J346" s="69">
        <f t="shared" si="10"/>
        <v>5</v>
      </c>
      <c r="K346" s="69">
        <f t="shared" si="11"/>
        <v>1</v>
      </c>
      <c r="L346" s="69">
        <f>VLOOKUP(Table_db1_backend_Daily.accdb[[#This Row],[TradingDate]],canon!B:E,4,0)</f>
        <v>30</v>
      </c>
    </row>
    <row r="347" spans="1:12" x14ac:dyDescent="0.2">
      <c r="A347" s="69" t="s">
        <v>6</v>
      </c>
      <c r="B347" s="70">
        <v>42943</v>
      </c>
      <c r="C347" s="69">
        <v>6</v>
      </c>
      <c r="D347" s="69">
        <v>0</v>
      </c>
      <c r="E347" s="69">
        <v>0</v>
      </c>
      <c r="F347" s="69">
        <v>0</v>
      </c>
      <c r="G347" s="69" t="s">
        <v>38</v>
      </c>
      <c r="H347" s="69" t="str">
        <f>IFERROR(VLOOKUP(Data!$G347,canon!$I$2:$K$27,2,FALSE),"")</f>
        <v>SHOES</v>
      </c>
      <c r="I347" s="69" t="str">
        <f>IFERROR(VLOOKUP(Data!$G347,canon!$I$2:$K$27,3,FALSE),"")</f>
        <v>N.APPAREL</v>
      </c>
      <c r="J347" s="69">
        <f t="shared" si="10"/>
        <v>5</v>
      </c>
      <c r="K347" s="69">
        <f t="shared" si="11"/>
        <v>1</v>
      </c>
      <c r="L347" s="69">
        <f>VLOOKUP(Table_db1_backend_Daily.accdb[[#This Row],[TradingDate]],canon!B:E,4,0)</f>
        <v>30</v>
      </c>
    </row>
    <row r="348" spans="1:12" x14ac:dyDescent="0.2">
      <c r="A348" s="69" t="s">
        <v>6</v>
      </c>
      <c r="B348" s="70">
        <v>42943</v>
      </c>
      <c r="C348" s="69">
        <v>4241</v>
      </c>
      <c r="D348" s="69">
        <v>0</v>
      </c>
      <c r="E348" s="69">
        <v>0</v>
      </c>
      <c r="F348" s="69">
        <v>0</v>
      </c>
      <c r="G348" s="69" t="s">
        <v>35</v>
      </c>
      <c r="H348" s="69" t="str">
        <f>IFERROR(VLOOKUP(Data!$G348,canon!$I$2:$K$27,2,FALSE),"")</f>
        <v>DRESS</v>
      </c>
      <c r="I348" s="69" t="str">
        <f>IFERROR(VLOOKUP(Data!$G348,canon!$I$2:$K$27,3,FALSE),"")</f>
        <v>APPAREL</v>
      </c>
      <c r="J348" s="69">
        <f t="shared" si="10"/>
        <v>5</v>
      </c>
      <c r="K348" s="69">
        <f t="shared" si="11"/>
        <v>1</v>
      </c>
      <c r="L348" s="69">
        <f>VLOOKUP(Table_db1_backend_Daily.accdb[[#This Row],[TradingDate]],canon!B:E,4,0)</f>
        <v>30</v>
      </c>
    </row>
    <row r="349" spans="1:12" x14ac:dyDescent="0.2">
      <c r="A349" s="69" t="s">
        <v>6</v>
      </c>
      <c r="B349" s="70">
        <v>42943</v>
      </c>
      <c r="C349" s="69">
        <v>1</v>
      </c>
      <c r="D349" s="69">
        <v>0</v>
      </c>
      <c r="E349" s="69">
        <v>0</v>
      </c>
      <c r="F349" s="69">
        <v>0</v>
      </c>
      <c r="G349" s="69" t="s">
        <v>10</v>
      </c>
      <c r="H349" s="69" t="str">
        <f>IFERROR(VLOOKUP(Data!$G349,canon!$I$2:$K$27,2,FALSE),"")</f>
        <v>ACCESSORY</v>
      </c>
      <c r="I349" s="69" t="str">
        <f>IFERROR(VLOOKUP(Data!$G349,canon!$I$2:$K$27,3,FALSE),"")</f>
        <v>N.APPAREL</v>
      </c>
      <c r="J349" s="69">
        <f t="shared" si="10"/>
        <v>5</v>
      </c>
      <c r="K349" s="69">
        <f t="shared" si="11"/>
        <v>1</v>
      </c>
      <c r="L349" s="69">
        <f>VLOOKUP(Table_db1_backend_Daily.accdb[[#This Row],[TradingDate]],canon!B:E,4,0)</f>
        <v>30</v>
      </c>
    </row>
    <row r="350" spans="1:12" x14ac:dyDescent="0.2">
      <c r="A350" s="69" t="s">
        <v>6</v>
      </c>
      <c r="B350" s="70">
        <v>42943</v>
      </c>
      <c r="C350" s="69">
        <v>215</v>
      </c>
      <c r="D350" s="69">
        <v>0</v>
      </c>
      <c r="E350" s="69">
        <v>0</v>
      </c>
      <c r="F350" s="69">
        <v>0</v>
      </c>
      <c r="G350" s="69" t="s">
        <v>28</v>
      </c>
      <c r="H350" s="69" t="str">
        <f>IFERROR(VLOOKUP(Data!$G350,canon!$I$2:$K$27,2,FALSE),"")</f>
        <v>ACCESSORY</v>
      </c>
      <c r="I350" s="69" t="str">
        <f>IFERROR(VLOOKUP(Data!$G350,canon!$I$2:$K$27,3,FALSE),"")</f>
        <v>N.APPAREL</v>
      </c>
      <c r="J350" s="69">
        <f t="shared" si="10"/>
        <v>5</v>
      </c>
      <c r="K350" s="69">
        <f t="shared" si="11"/>
        <v>1</v>
      </c>
      <c r="L350" s="69">
        <f>VLOOKUP(Table_db1_backend_Daily.accdb[[#This Row],[TradingDate]],canon!B:E,4,0)</f>
        <v>30</v>
      </c>
    </row>
    <row r="351" spans="1:12" x14ac:dyDescent="0.2">
      <c r="A351" s="69" t="s">
        <v>6</v>
      </c>
      <c r="B351" s="70">
        <v>42943</v>
      </c>
      <c r="C351" s="69">
        <v>10139</v>
      </c>
      <c r="D351" s="69">
        <v>0</v>
      </c>
      <c r="E351" s="69">
        <v>0</v>
      </c>
      <c r="F351" s="69">
        <v>0</v>
      </c>
      <c r="G351" s="69" t="s">
        <v>11</v>
      </c>
      <c r="H351" s="69" t="str">
        <f>IFERROR(VLOOKUP(Data!$G351,canon!$I$2:$K$27,2,FALSE),"")</f>
        <v>KNIT</v>
      </c>
      <c r="I351" s="69" t="str">
        <f>IFERROR(VLOOKUP(Data!$G351,canon!$I$2:$K$27,3,FALSE),"")</f>
        <v>APPAREL</v>
      </c>
      <c r="J351" s="69">
        <f t="shared" si="10"/>
        <v>5</v>
      </c>
      <c r="K351" s="69">
        <f t="shared" si="11"/>
        <v>1</v>
      </c>
      <c r="L351" s="69">
        <f>VLOOKUP(Table_db1_backend_Daily.accdb[[#This Row],[TradingDate]],canon!B:E,4,0)</f>
        <v>30</v>
      </c>
    </row>
    <row r="352" spans="1:12" x14ac:dyDescent="0.2">
      <c r="A352" s="69" t="s">
        <v>6</v>
      </c>
      <c r="B352" s="70">
        <v>42943</v>
      </c>
      <c r="C352" s="69">
        <v>4265</v>
      </c>
      <c r="D352" s="69">
        <v>0</v>
      </c>
      <c r="E352" s="69">
        <v>0</v>
      </c>
      <c r="F352" s="69">
        <v>0</v>
      </c>
      <c r="G352" s="69" t="s">
        <v>14</v>
      </c>
      <c r="H352" s="69" t="str">
        <f>IFERROR(VLOOKUP(Data!$G352,canon!$I$2:$K$27,2,FALSE),"")</f>
        <v>LEGGING</v>
      </c>
      <c r="I352" s="69" t="str">
        <f>IFERROR(VLOOKUP(Data!$G352,canon!$I$2:$K$27,3,FALSE),"")</f>
        <v>APPAREL</v>
      </c>
      <c r="J352" s="69">
        <f t="shared" si="10"/>
        <v>5</v>
      </c>
      <c r="K352" s="69">
        <f t="shared" si="11"/>
        <v>1</v>
      </c>
      <c r="L352" s="69">
        <f>VLOOKUP(Table_db1_backend_Daily.accdb[[#This Row],[TradingDate]],canon!B:E,4,0)</f>
        <v>30</v>
      </c>
    </row>
    <row r="353" spans="1:12" x14ac:dyDescent="0.2">
      <c r="A353" s="69" t="s">
        <v>6</v>
      </c>
      <c r="B353" s="70">
        <v>42943</v>
      </c>
      <c r="C353" s="69">
        <v>0</v>
      </c>
      <c r="D353" s="69">
        <v>0</v>
      </c>
      <c r="E353" s="69">
        <v>0</v>
      </c>
      <c r="F353" s="69">
        <v>0</v>
      </c>
      <c r="G353" s="69" t="s">
        <v>16</v>
      </c>
      <c r="H353" s="69" t="str">
        <f>IFERROR(VLOOKUP(Data!$G353,canon!$I$2:$K$27,2,FALSE),"")</f>
        <v>ACCESSORY</v>
      </c>
      <c r="I353" s="69" t="str">
        <f>IFERROR(VLOOKUP(Data!$G353,canon!$I$2:$K$27,3,FALSE),"")</f>
        <v>N.APPAREL</v>
      </c>
      <c r="J353" s="69">
        <f t="shared" si="10"/>
        <v>5</v>
      </c>
      <c r="K353" s="69">
        <f t="shared" si="11"/>
        <v>1</v>
      </c>
      <c r="L353" s="69">
        <f>VLOOKUP(Table_db1_backend_Daily.accdb[[#This Row],[TradingDate]],canon!B:E,4,0)</f>
        <v>30</v>
      </c>
    </row>
    <row r="354" spans="1:12" x14ac:dyDescent="0.2">
      <c r="A354" s="69" t="s">
        <v>6</v>
      </c>
      <c r="B354" s="70">
        <v>42943</v>
      </c>
      <c r="C354" s="69">
        <v>13</v>
      </c>
      <c r="D354" s="69">
        <v>0</v>
      </c>
      <c r="E354" s="69">
        <v>0</v>
      </c>
      <c r="F354" s="69">
        <v>0</v>
      </c>
      <c r="G354" s="69" t="s">
        <v>37</v>
      </c>
      <c r="H354" s="69" t="str">
        <f>IFERROR(VLOOKUP(Data!$G354,canon!$I$2:$K$27,2,FALSE),"")</f>
        <v>SHOES</v>
      </c>
      <c r="I354" s="69" t="str">
        <f>IFERROR(VLOOKUP(Data!$G354,canon!$I$2:$K$27,3,FALSE),"")</f>
        <v>N.APPAREL</v>
      </c>
      <c r="J354" s="69">
        <f t="shared" si="10"/>
        <v>5</v>
      </c>
      <c r="K354" s="69">
        <f t="shared" si="11"/>
        <v>1</v>
      </c>
      <c r="L354" s="69">
        <f>VLOOKUP(Table_db1_backend_Daily.accdb[[#This Row],[TradingDate]],canon!B:E,4,0)</f>
        <v>30</v>
      </c>
    </row>
    <row r="355" spans="1:12" x14ac:dyDescent="0.2">
      <c r="A355" s="69" t="s">
        <v>6</v>
      </c>
      <c r="B355" s="70">
        <v>42943</v>
      </c>
      <c r="C355" s="69">
        <v>-1</v>
      </c>
      <c r="D355" s="69">
        <v>0</v>
      </c>
      <c r="E355" s="69">
        <v>0</v>
      </c>
      <c r="F355" s="69">
        <v>0</v>
      </c>
      <c r="G355" s="69" t="s">
        <v>29</v>
      </c>
      <c r="H355" s="69" t="str">
        <f>IFERROR(VLOOKUP(Data!$G355,canon!$I$2:$K$27,2,FALSE),"")</f>
        <v>SHOES</v>
      </c>
      <c r="I355" s="69" t="str">
        <f>IFERROR(VLOOKUP(Data!$G355,canon!$I$2:$K$27,3,FALSE),"")</f>
        <v>N.APPAREL</v>
      </c>
      <c r="J355" s="69">
        <f t="shared" si="10"/>
        <v>5</v>
      </c>
      <c r="K355" s="69">
        <f t="shared" si="11"/>
        <v>1</v>
      </c>
      <c r="L355" s="69">
        <f>VLOOKUP(Table_db1_backend_Daily.accdb[[#This Row],[TradingDate]],canon!B:E,4,0)</f>
        <v>30</v>
      </c>
    </row>
    <row r="356" spans="1:12" x14ac:dyDescent="0.2">
      <c r="A356" s="69" t="s">
        <v>6</v>
      </c>
      <c r="B356" s="70">
        <v>42943</v>
      </c>
      <c r="C356" s="69">
        <v>3418</v>
      </c>
      <c r="D356" s="69">
        <v>0</v>
      </c>
      <c r="E356" s="69">
        <v>0</v>
      </c>
      <c r="F356" s="69">
        <v>0</v>
      </c>
      <c r="G356" s="69" t="s">
        <v>17</v>
      </c>
      <c r="H356" s="69" t="str">
        <f>IFERROR(VLOOKUP(Data!$G356,canon!$I$2:$K$27,2,FALSE),"")</f>
        <v>OUTER</v>
      </c>
      <c r="I356" s="69" t="str">
        <f>IFERROR(VLOOKUP(Data!$G356,canon!$I$2:$K$27,3,FALSE),"")</f>
        <v>APPAREL</v>
      </c>
      <c r="J356" s="69">
        <f t="shared" si="10"/>
        <v>5</v>
      </c>
      <c r="K356" s="69">
        <f t="shared" si="11"/>
        <v>1</v>
      </c>
      <c r="L356" s="69">
        <f>VLOOKUP(Table_db1_backend_Daily.accdb[[#This Row],[TradingDate]],canon!B:E,4,0)</f>
        <v>30</v>
      </c>
    </row>
    <row r="357" spans="1:12" x14ac:dyDescent="0.2">
      <c r="A357" s="69" t="s">
        <v>6</v>
      </c>
      <c r="B357" s="70">
        <v>42943</v>
      </c>
      <c r="C357" s="69">
        <v>1323</v>
      </c>
      <c r="D357" s="69">
        <v>0</v>
      </c>
      <c r="E357" s="69">
        <v>0</v>
      </c>
      <c r="F357" s="69">
        <v>0</v>
      </c>
      <c r="G357" s="69" t="s">
        <v>19</v>
      </c>
      <c r="H357" s="69" t="str">
        <f>IFERROR(VLOOKUP(Data!$G357,canon!$I$2:$K$27,2,FALSE),"")</f>
        <v>PANT</v>
      </c>
      <c r="I357" s="69" t="str">
        <f>IFERROR(VLOOKUP(Data!$G357,canon!$I$2:$K$27,3,FALSE),"")</f>
        <v>APPAREL</v>
      </c>
      <c r="J357" s="69">
        <f t="shared" si="10"/>
        <v>5</v>
      </c>
      <c r="K357" s="69">
        <f t="shared" si="11"/>
        <v>1</v>
      </c>
      <c r="L357" s="69">
        <f>VLOOKUP(Table_db1_backend_Daily.accdb[[#This Row],[TradingDate]],canon!B:E,4,0)</f>
        <v>30</v>
      </c>
    </row>
    <row r="358" spans="1:12" x14ac:dyDescent="0.2">
      <c r="A358" s="69" t="s">
        <v>6</v>
      </c>
      <c r="B358" s="70">
        <v>42943</v>
      </c>
      <c r="C358" s="69">
        <v>49</v>
      </c>
      <c r="D358" s="69">
        <v>0</v>
      </c>
      <c r="E358" s="69">
        <v>0</v>
      </c>
      <c r="F358" s="69">
        <v>0</v>
      </c>
      <c r="G358" s="69" t="s">
        <v>21</v>
      </c>
      <c r="H358" s="69" t="str">
        <f>IFERROR(VLOOKUP(Data!$G358,canon!$I$2:$K$27,2,FALSE),"")</f>
        <v>ACCESSORY</v>
      </c>
      <c r="I358" s="69" t="str">
        <f>IFERROR(VLOOKUP(Data!$G358,canon!$I$2:$K$27,3,FALSE),"")</f>
        <v>N.APPAREL</v>
      </c>
      <c r="J358" s="69">
        <f t="shared" si="10"/>
        <v>5</v>
      </c>
      <c r="K358" s="69">
        <f t="shared" si="11"/>
        <v>1</v>
      </c>
      <c r="L358" s="69">
        <f>VLOOKUP(Table_db1_backend_Daily.accdb[[#This Row],[TradingDate]],canon!B:E,4,0)</f>
        <v>30</v>
      </c>
    </row>
    <row r="359" spans="1:12" x14ac:dyDescent="0.2">
      <c r="A359" s="69" t="s">
        <v>6</v>
      </c>
      <c r="B359" s="70">
        <v>42943</v>
      </c>
      <c r="C359" s="69">
        <v>4401</v>
      </c>
      <c r="D359" s="69">
        <v>0</v>
      </c>
      <c r="E359" s="69">
        <v>0</v>
      </c>
      <c r="F359" s="69">
        <v>0</v>
      </c>
      <c r="G359" s="69" t="s">
        <v>22</v>
      </c>
      <c r="H359" s="69" t="str">
        <f>IFERROR(VLOOKUP(Data!$G359,canon!$I$2:$K$27,2,FALSE),"")</f>
        <v>SCARF</v>
      </c>
      <c r="I359" s="69" t="str">
        <f>IFERROR(VLOOKUP(Data!$G359,canon!$I$2:$K$27,3,FALSE),"")</f>
        <v>N.APPAREL</v>
      </c>
      <c r="J359" s="69">
        <f t="shared" si="10"/>
        <v>5</v>
      </c>
      <c r="K359" s="69">
        <f t="shared" si="11"/>
        <v>1</v>
      </c>
      <c r="L359" s="69">
        <f>VLOOKUP(Table_db1_backend_Daily.accdb[[#This Row],[TradingDate]],canon!B:E,4,0)</f>
        <v>30</v>
      </c>
    </row>
    <row r="360" spans="1:12" x14ac:dyDescent="0.2">
      <c r="A360" s="69" t="s">
        <v>6</v>
      </c>
      <c r="B360" s="70">
        <v>42943</v>
      </c>
      <c r="C360" s="69">
        <v>1531</v>
      </c>
      <c r="D360" s="69">
        <v>0</v>
      </c>
      <c r="E360" s="69">
        <v>0</v>
      </c>
      <c r="F360" s="69">
        <v>0</v>
      </c>
      <c r="G360" s="69" t="s">
        <v>23</v>
      </c>
      <c r="H360" s="69" t="str">
        <f>IFERROR(VLOOKUP(Data!$G360,canon!$I$2:$K$27,2,FALSE),"")</f>
        <v>SH&amp;BL</v>
      </c>
      <c r="I360" s="69" t="str">
        <f>IFERROR(VLOOKUP(Data!$G360,canon!$I$2:$K$27,3,FALSE),"")</f>
        <v>APPAREL</v>
      </c>
      <c r="J360" s="69">
        <f t="shared" si="10"/>
        <v>5</v>
      </c>
      <c r="K360" s="69">
        <f t="shared" si="11"/>
        <v>1</v>
      </c>
      <c r="L360" s="69">
        <f>VLOOKUP(Table_db1_backend_Daily.accdb[[#This Row],[TradingDate]],canon!B:E,4,0)</f>
        <v>30</v>
      </c>
    </row>
    <row r="361" spans="1:12" x14ac:dyDescent="0.2">
      <c r="A361" s="69" t="s">
        <v>6</v>
      </c>
      <c r="B361" s="70">
        <v>42943</v>
      </c>
      <c r="C361" s="69">
        <v>1143</v>
      </c>
      <c r="D361" s="69">
        <v>0</v>
      </c>
      <c r="E361" s="69">
        <v>0</v>
      </c>
      <c r="F361" s="69">
        <v>0</v>
      </c>
      <c r="G361" s="69" t="s">
        <v>32</v>
      </c>
      <c r="H361" s="69" t="str">
        <f>IFERROR(VLOOKUP(Data!$G361,canon!$I$2:$K$27,2,FALSE),"")</f>
        <v>SKIRT</v>
      </c>
      <c r="I361" s="69" t="str">
        <f>IFERROR(VLOOKUP(Data!$G361,canon!$I$2:$K$27,3,FALSE),"")</f>
        <v>APPAREL</v>
      </c>
      <c r="J361" s="69">
        <f t="shared" si="10"/>
        <v>5</v>
      </c>
      <c r="K361" s="69">
        <f t="shared" si="11"/>
        <v>1</v>
      </c>
      <c r="L361" s="69">
        <f>VLOOKUP(Table_db1_backend_Daily.accdb[[#This Row],[TradingDate]],canon!B:E,4,0)</f>
        <v>30</v>
      </c>
    </row>
    <row r="362" spans="1:12" x14ac:dyDescent="0.2">
      <c r="A362" s="69" t="s">
        <v>6</v>
      </c>
      <c r="B362" s="70">
        <v>42943</v>
      </c>
      <c r="C362" s="69">
        <v>10283</v>
      </c>
      <c r="D362" s="69">
        <v>0</v>
      </c>
      <c r="E362" s="69">
        <v>0</v>
      </c>
      <c r="F362" s="69">
        <v>0</v>
      </c>
      <c r="G362" s="69" t="s">
        <v>25</v>
      </c>
      <c r="H362" s="69" t="str">
        <f>IFERROR(VLOOKUP(Data!$G362,canon!$I$2:$K$27,2,FALSE),"")</f>
        <v>TOP</v>
      </c>
      <c r="I362" s="69" t="str">
        <f>IFERROR(VLOOKUP(Data!$G362,canon!$I$2:$K$27,3,FALSE),"")</f>
        <v>APPAREL</v>
      </c>
      <c r="J362" s="69">
        <f t="shared" si="10"/>
        <v>5</v>
      </c>
      <c r="K362" s="69">
        <f t="shared" si="11"/>
        <v>1</v>
      </c>
      <c r="L362" s="69">
        <f>VLOOKUP(Table_db1_backend_Daily.accdb[[#This Row],[TradingDate]],canon!B:E,4,0)</f>
        <v>30</v>
      </c>
    </row>
    <row r="363" spans="1:12" x14ac:dyDescent="0.2">
      <c r="A363" s="69" t="s">
        <v>6</v>
      </c>
      <c r="B363" s="70">
        <v>42944</v>
      </c>
      <c r="C363" s="69">
        <v>0</v>
      </c>
      <c r="D363" s="69">
        <v>0</v>
      </c>
      <c r="E363" s="69">
        <v>0</v>
      </c>
      <c r="F363" s="69">
        <v>0</v>
      </c>
      <c r="G363" s="69" t="s">
        <v>27</v>
      </c>
      <c r="H363" s="69" t="str">
        <f>IFERROR(VLOOKUP(Data!$G363,canon!$I$2:$K$27,2,FALSE),"")</f>
        <v>ACCESSORY</v>
      </c>
      <c r="I363" s="69" t="str">
        <f>IFERROR(VLOOKUP(Data!$G363,canon!$I$2:$K$27,3,FALSE),"")</f>
        <v>N.APPAREL</v>
      </c>
      <c r="J363" s="69">
        <f t="shared" si="10"/>
        <v>6</v>
      </c>
      <c r="K363" s="69">
        <f t="shared" si="11"/>
        <v>1</v>
      </c>
      <c r="L363" s="69">
        <f>VLOOKUP(Table_db1_backend_Daily.accdb[[#This Row],[TradingDate]],canon!B:E,4,0)</f>
        <v>30</v>
      </c>
    </row>
    <row r="364" spans="1:12" x14ac:dyDescent="0.2">
      <c r="A364" s="69" t="s">
        <v>6</v>
      </c>
      <c r="B364" s="70">
        <v>42944</v>
      </c>
      <c r="C364" s="69">
        <v>0</v>
      </c>
      <c r="D364" s="69">
        <v>0</v>
      </c>
      <c r="E364" s="69">
        <v>0</v>
      </c>
      <c r="F364" s="69">
        <v>0</v>
      </c>
      <c r="G364" s="69" t="s">
        <v>7</v>
      </c>
      <c r="H364" s="69" t="str">
        <f>IFERROR(VLOOKUP(Data!$G364,canon!$I$2:$K$27,2,FALSE),"")</f>
        <v>ACCESSORY</v>
      </c>
      <c r="I364" s="69" t="str">
        <f>IFERROR(VLOOKUP(Data!$G364,canon!$I$2:$K$27,3,FALSE),"")</f>
        <v>N.APPAREL</v>
      </c>
      <c r="J364" s="69">
        <f t="shared" si="10"/>
        <v>6</v>
      </c>
      <c r="K364" s="69">
        <f t="shared" si="11"/>
        <v>1</v>
      </c>
      <c r="L364" s="69">
        <f>VLOOKUP(Table_db1_backend_Daily.accdb[[#This Row],[TradingDate]],canon!B:E,4,0)</f>
        <v>30</v>
      </c>
    </row>
    <row r="365" spans="1:12" x14ac:dyDescent="0.2">
      <c r="A365" s="69" t="s">
        <v>6</v>
      </c>
      <c r="B365" s="70">
        <v>42944</v>
      </c>
      <c r="C365" s="69">
        <v>-6</v>
      </c>
      <c r="D365" s="69">
        <v>0</v>
      </c>
      <c r="E365" s="69">
        <v>0</v>
      </c>
      <c r="F365" s="69">
        <v>0</v>
      </c>
      <c r="G365" s="69" t="s">
        <v>34</v>
      </c>
      <c r="H365" s="69" t="str">
        <f>IFERROR(VLOOKUP(Data!$G365,canon!$I$2:$K$27,2,FALSE),"")</f>
        <v>SHOES</v>
      </c>
      <c r="I365" s="69" t="str">
        <f>IFERROR(VLOOKUP(Data!$G365,canon!$I$2:$K$27,3,FALSE),"")</f>
        <v>N.APPAREL</v>
      </c>
      <c r="J365" s="69">
        <f t="shared" si="10"/>
        <v>6</v>
      </c>
      <c r="K365" s="69">
        <f t="shared" si="11"/>
        <v>1</v>
      </c>
      <c r="L365" s="69">
        <f>VLOOKUP(Table_db1_backend_Daily.accdb[[#This Row],[TradingDate]],canon!B:E,4,0)</f>
        <v>30</v>
      </c>
    </row>
    <row r="366" spans="1:12" x14ac:dyDescent="0.2">
      <c r="A366" s="69" t="s">
        <v>6</v>
      </c>
      <c r="B366" s="70">
        <v>42944</v>
      </c>
      <c r="C366" s="69">
        <v>6</v>
      </c>
      <c r="D366" s="69">
        <v>0</v>
      </c>
      <c r="E366" s="69">
        <v>0</v>
      </c>
      <c r="F366" s="69">
        <v>0</v>
      </c>
      <c r="G366" s="69" t="s">
        <v>38</v>
      </c>
      <c r="H366" s="69" t="str">
        <f>IFERROR(VLOOKUP(Data!$G366,canon!$I$2:$K$27,2,FALSE),"")</f>
        <v>SHOES</v>
      </c>
      <c r="I366" s="69" t="str">
        <f>IFERROR(VLOOKUP(Data!$G366,canon!$I$2:$K$27,3,FALSE),"")</f>
        <v>N.APPAREL</v>
      </c>
      <c r="J366" s="69">
        <f t="shared" si="10"/>
        <v>6</v>
      </c>
      <c r="K366" s="69">
        <f t="shared" si="11"/>
        <v>1</v>
      </c>
      <c r="L366" s="69">
        <f>VLOOKUP(Table_db1_backend_Daily.accdb[[#This Row],[TradingDate]],canon!B:E,4,0)</f>
        <v>30</v>
      </c>
    </row>
    <row r="367" spans="1:12" x14ac:dyDescent="0.2">
      <c r="A367" s="69" t="s">
        <v>6</v>
      </c>
      <c r="B367" s="70">
        <v>42944</v>
      </c>
      <c r="C367" s="69">
        <v>4235</v>
      </c>
      <c r="D367" s="69">
        <v>0</v>
      </c>
      <c r="E367" s="69">
        <v>0</v>
      </c>
      <c r="F367" s="69">
        <v>0</v>
      </c>
      <c r="G367" s="69" t="s">
        <v>35</v>
      </c>
      <c r="H367" s="69" t="str">
        <f>IFERROR(VLOOKUP(Data!$G367,canon!$I$2:$K$27,2,FALSE),"")</f>
        <v>DRESS</v>
      </c>
      <c r="I367" s="69" t="str">
        <f>IFERROR(VLOOKUP(Data!$G367,canon!$I$2:$K$27,3,FALSE),"")</f>
        <v>APPAREL</v>
      </c>
      <c r="J367" s="69">
        <f t="shared" si="10"/>
        <v>6</v>
      </c>
      <c r="K367" s="69">
        <f t="shared" si="11"/>
        <v>1</v>
      </c>
      <c r="L367" s="69">
        <f>VLOOKUP(Table_db1_backend_Daily.accdb[[#This Row],[TradingDate]],canon!B:E,4,0)</f>
        <v>30</v>
      </c>
    </row>
    <row r="368" spans="1:12" x14ac:dyDescent="0.2">
      <c r="A368" s="69" t="s">
        <v>6</v>
      </c>
      <c r="B368" s="70">
        <v>42944</v>
      </c>
      <c r="C368" s="69">
        <v>1</v>
      </c>
      <c r="D368" s="69">
        <v>0</v>
      </c>
      <c r="E368" s="69">
        <v>0</v>
      </c>
      <c r="F368" s="69">
        <v>0</v>
      </c>
      <c r="G368" s="69" t="s">
        <v>10</v>
      </c>
      <c r="H368" s="69" t="str">
        <f>IFERROR(VLOOKUP(Data!$G368,canon!$I$2:$K$27,2,FALSE),"")</f>
        <v>ACCESSORY</v>
      </c>
      <c r="I368" s="69" t="str">
        <f>IFERROR(VLOOKUP(Data!$G368,canon!$I$2:$K$27,3,FALSE),"")</f>
        <v>N.APPAREL</v>
      </c>
      <c r="J368" s="69">
        <f t="shared" si="10"/>
        <v>6</v>
      </c>
      <c r="K368" s="69">
        <f t="shared" si="11"/>
        <v>1</v>
      </c>
      <c r="L368" s="69">
        <f>VLOOKUP(Table_db1_backend_Daily.accdb[[#This Row],[TradingDate]],canon!B:E,4,0)</f>
        <v>30</v>
      </c>
    </row>
    <row r="369" spans="1:12" x14ac:dyDescent="0.2">
      <c r="A369" s="69" t="s">
        <v>6</v>
      </c>
      <c r="B369" s="70">
        <v>42944</v>
      </c>
      <c r="C369" s="69">
        <v>215</v>
      </c>
      <c r="D369" s="69">
        <v>0</v>
      </c>
      <c r="E369" s="69">
        <v>0</v>
      </c>
      <c r="F369" s="69">
        <v>0</v>
      </c>
      <c r="G369" s="69" t="s">
        <v>28</v>
      </c>
      <c r="H369" s="69" t="str">
        <f>IFERROR(VLOOKUP(Data!$G369,canon!$I$2:$K$27,2,FALSE),"")</f>
        <v>ACCESSORY</v>
      </c>
      <c r="I369" s="69" t="str">
        <f>IFERROR(VLOOKUP(Data!$G369,canon!$I$2:$K$27,3,FALSE),"")</f>
        <v>N.APPAREL</v>
      </c>
      <c r="J369" s="69">
        <f t="shared" si="10"/>
        <v>6</v>
      </c>
      <c r="K369" s="69">
        <f t="shared" si="11"/>
        <v>1</v>
      </c>
      <c r="L369" s="69">
        <f>VLOOKUP(Table_db1_backend_Daily.accdb[[#This Row],[TradingDate]],canon!B:E,4,0)</f>
        <v>30</v>
      </c>
    </row>
    <row r="370" spans="1:12" x14ac:dyDescent="0.2">
      <c r="A370" s="69" t="s">
        <v>6</v>
      </c>
      <c r="B370" s="70">
        <v>42944</v>
      </c>
      <c r="C370" s="69">
        <v>10139</v>
      </c>
      <c r="D370" s="69">
        <v>0</v>
      </c>
      <c r="E370" s="69">
        <v>0</v>
      </c>
      <c r="F370" s="69">
        <v>0</v>
      </c>
      <c r="G370" s="69" t="s">
        <v>11</v>
      </c>
      <c r="H370" s="69" t="str">
        <f>IFERROR(VLOOKUP(Data!$G370,canon!$I$2:$K$27,2,FALSE),"")</f>
        <v>KNIT</v>
      </c>
      <c r="I370" s="69" t="str">
        <f>IFERROR(VLOOKUP(Data!$G370,canon!$I$2:$K$27,3,FALSE),"")</f>
        <v>APPAREL</v>
      </c>
      <c r="J370" s="69">
        <f t="shared" si="10"/>
        <v>6</v>
      </c>
      <c r="K370" s="69">
        <f t="shared" si="11"/>
        <v>1</v>
      </c>
      <c r="L370" s="69">
        <f>VLOOKUP(Table_db1_backend_Daily.accdb[[#This Row],[TradingDate]],canon!B:E,4,0)</f>
        <v>30</v>
      </c>
    </row>
    <row r="371" spans="1:12" x14ac:dyDescent="0.2">
      <c r="A371" s="69" t="s">
        <v>6</v>
      </c>
      <c r="B371" s="70">
        <v>42944</v>
      </c>
      <c r="C371" s="69">
        <v>4263</v>
      </c>
      <c r="D371" s="69">
        <v>0</v>
      </c>
      <c r="E371" s="69">
        <v>0</v>
      </c>
      <c r="F371" s="69">
        <v>0</v>
      </c>
      <c r="G371" s="69" t="s">
        <v>14</v>
      </c>
      <c r="H371" s="69" t="str">
        <f>IFERROR(VLOOKUP(Data!$G371,canon!$I$2:$K$27,2,FALSE),"")</f>
        <v>LEGGING</v>
      </c>
      <c r="I371" s="69" t="str">
        <f>IFERROR(VLOOKUP(Data!$G371,canon!$I$2:$K$27,3,FALSE),"")</f>
        <v>APPAREL</v>
      </c>
      <c r="J371" s="69">
        <f t="shared" si="10"/>
        <v>6</v>
      </c>
      <c r="K371" s="69">
        <f t="shared" si="11"/>
        <v>1</v>
      </c>
      <c r="L371" s="69">
        <f>VLOOKUP(Table_db1_backend_Daily.accdb[[#This Row],[TradingDate]],canon!B:E,4,0)</f>
        <v>30</v>
      </c>
    </row>
    <row r="372" spans="1:12" x14ac:dyDescent="0.2">
      <c r="A372" s="69" t="s">
        <v>6</v>
      </c>
      <c r="B372" s="70">
        <v>42944</v>
      </c>
      <c r="C372" s="69">
        <v>0</v>
      </c>
      <c r="D372" s="69">
        <v>0</v>
      </c>
      <c r="E372" s="69">
        <v>0</v>
      </c>
      <c r="F372" s="69">
        <v>0</v>
      </c>
      <c r="G372" s="69" t="s">
        <v>16</v>
      </c>
      <c r="H372" s="69" t="str">
        <f>IFERROR(VLOOKUP(Data!$G372,canon!$I$2:$K$27,2,FALSE),"")</f>
        <v>ACCESSORY</v>
      </c>
      <c r="I372" s="69" t="str">
        <f>IFERROR(VLOOKUP(Data!$G372,canon!$I$2:$K$27,3,FALSE),"")</f>
        <v>N.APPAREL</v>
      </c>
      <c r="J372" s="69">
        <f t="shared" si="10"/>
        <v>6</v>
      </c>
      <c r="K372" s="69">
        <f t="shared" si="11"/>
        <v>1</v>
      </c>
      <c r="L372" s="69">
        <f>VLOOKUP(Table_db1_backend_Daily.accdb[[#This Row],[TradingDate]],canon!B:E,4,0)</f>
        <v>30</v>
      </c>
    </row>
    <row r="373" spans="1:12" x14ac:dyDescent="0.2">
      <c r="A373" s="69" t="s">
        <v>6</v>
      </c>
      <c r="B373" s="70">
        <v>42944</v>
      </c>
      <c r="C373" s="69">
        <v>13</v>
      </c>
      <c r="D373" s="69">
        <v>0</v>
      </c>
      <c r="E373" s="69">
        <v>0</v>
      </c>
      <c r="F373" s="69">
        <v>0</v>
      </c>
      <c r="G373" s="69" t="s">
        <v>37</v>
      </c>
      <c r="H373" s="69" t="str">
        <f>IFERROR(VLOOKUP(Data!$G373,canon!$I$2:$K$27,2,FALSE),"")</f>
        <v>SHOES</v>
      </c>
      <c r="I373" s="69" t="str">
        <f>IFERROR(VLOOKUP(Data!$G373,canon!$I$2:$K$27,3,FALSE),"")</f>
        <v>N.APPAREL</v>
      </c>
      <c r="J373" s="69">
        <f t="shared" si="10"/>
        <v>6</v>
      </c>
      <c r="K373" s="69">
        <f t="shared" si="11"/>
        <v>1</v>
      </c>
      <c r="L373" s="69">
        <f>VLOOKUP(Table_db1_backend_Daily.accdb[[#This Row],[TradingDate]],canon!B:E,4,0)</f>
        <v>30</v>
      </c>
    </row>
    <row r="374" spans="1:12" x14ac:dyDescent="0.2">
      <c r="A374" s="69" t="s">
        <v>6</v>
      </c>
      <c r="B374" s="70">
        <v>42944</v>
      </c>
      <c r="C374" s="69">
        <v>-1</v>
      </c>
      <c r="D374" s="69">
        <v>0</v>
      </c>
      <c r="E374" s="69">
        <v>0</v>
      </c>
      <c r="F374" s="69">
        <v>0</v>
      </c>
      <c r="G374" s="69" t="s">
        <v>29</v>
      </c>
      <c r="H374" s="69" t="str">
        <f>IFERROR(VLOOKUP(Data!$G374,canon!$I$2:$K$27,2,FALSE),"")</f>
        <v>SHOES</v>
      </c>
      <c r="I374" s="69" t="str">
        <f>IFERROR(VLOOKUP(Data!$G374,canon!$I$2:$K$27,3,FALSE),"")</f>
        <v>N.APPAREL</v>
      </c>
      <c r="J374" s="69">
        <f t="shared" si="10"/>
        <v>6</v>
      </c>
      <c r="K374" s="69">
        <f t="shared" si="11"/>
        <v>1</v>
      </c>
      <c r="L374" s="69">
        <f>VLOOKUP(Table_db1_backend_Daily.accdb[[#This Row],[TradingDate]],canon!B:E,4,0)</f>
        <v>30</v>
      </c>
    </row>
    <row r="375" spans="1:12" x14ac:dyDescent="0.2">
      <c r="A375" s="69" t="s">
        <v>6</v>
      </c>
      <c r="B375" s="70">
        <v>42944</v>
      </c>
      <c r="C375" s="69">
        <v>3416</v>
      </c>
      <c r="D375" s="69">
        <v>0</v>
      </c>
      <c r="E375" s="69">
        <v>0</v>
      </c>
      <c r="F375" s="69">
        <v>0</v>
      </c>
      <c r="G375" s="69" t="s">
        <v>17</v>
      </c>
      <c r="H375" s="69" t="str">
        <f>IFERROR(VLOOKUP(Data!$G375,canon!$I$2:$K$27,2,FALSE),"")</f>
        <v>OUTER</v>
      </c>
      <c r="I375" s="69" t="str">
        <f>IFERROR(VLOOKUP(Data!$G375,canon!$I$2:$K$27,3,FALSE),"")</f>
        <v>APPAREL</v>
      </c>
      <c r="J375" s="69">
        <f t="shared" si="10"/>
        <v>6</v>
      </c>
      <c r="K375" s="69">
        <f t="shared" si="11"/>
        <v>1</v>
      </c>
      <c r="L375" s="69">
        <f>VLOOKUP(Table_db1_backend_Daily.accdb[[#This Row],[TradingDate]],canon!B:E,4,0)</f>
        <v>30</v>
      </c>
    </row>
    <row r="376" spans="1:12" x14ac:dyDescent="0.2">
      <c r="A376" s="69" t="s">
        <v>6</v>
      </c>
      <c r="B376" s="70">
        <v>42944</v>
      </c>
      <c r="C376" s="69">
        <v>1321</v>
      </c>
      <c r="D376" s="69">
        <v>0</v>
      </c>
      <c r="E376" s="69">
        <v>0</v>
      </c>
      <c r="F376" s="69">
        <v>0</v>
      </c>
      <c r="G376" s="69" t="s">
        <v>19</v>
      </c>
      <c r="H376" s="69" t="str">
        <f>IFERROR(VLOOKUP(Data!$G376,canon!$I$2:$K$27,2,FALSE),"")</f>
        <v>PANT</v>
      </c>
      <c r="I376" s="69" t="str">
        <f>IFERROR(VLOOKUP(Data!$G376,canon!$I$2:$K$27,3,FALSE),"")</f>
        <v>APPAREL</v>
      </c>
      <c r="J376" s="69">
        <f t="shared" si="10"/>
        <v>6</v>
      </c>
      <c r="K376" s="69">
        <f t="shared" si="11"/>
        <v>1</v>
      </c>
      <c r="L376" s="69">
        <f>VLOOKUP(Table_db1_backend_Daily.accdb[[#This Row],[TradingDate]],canon!B:E,4,0)</f>
        <v>30</v>
      </c>
    </row>
    <row r="377" spans="1:12" x14ac:dyDescent="0.2">
      <c r="A377" s="69" t="s">
        <v>6</v>
      </c>
      <c r="B377" s="70">
        <v>42944</v>
      </c>
      <c r="C377" s="69">
        <v>49</v>
      </c>
      <c r="D377" s="69">
        <v>0</v>
      </c>
      <c r="E377" s="69">
        <v>0</v>
      </c>
      <c r="F377" s="69">
        <v>0</v>
      </c>
      <c r="G377" s="69" t="s">
        <v>21</v>
      </c>
      <c r="H377" s="69" t="str">
        <f>IFERROR(VLOOKUP(Data!$G377,canon!$I$2:$K$27,2,FALSE),"")</f>
        <v>ACCESSORY</v>
      </c>
      <c r="I377" s="69" t="str">
        <f>IFERROR(VLOOKUP(Data!$G377,canon!$I$2:$K$27,3,FALSE),"")</f>
        <v>N.APPAREL</v>
      </c>
      <c r="J377" s="69">
        <f t="shared" si="10"/>
        <v>6</v>
      </c>
      <c r="K377" s="69">
        <f t="shared" si="11"/>
        <v>1</v>
      </c>
      <c r="L377" s="69">
        <f>VLOOKUP(Table_db1_backend_Daily.accdb[[#This Row],[TradingDate]],canon!B:E,4,0)</f>
        <v>30</v>
      </c>
    </row>
    <row r="378" spans="1:12" x14ac:dyDescent="0.2">
      <c r="A378" s="69" t="s">
        <v>6</v>
      </c>
      <c r="B378" s="70">
        <v>42944</v>
      </c>
      <c r="C378" s="69">
        <v>4401</v>
      </c>
      <c r="D378" s="69">
        <v>0</v>
      </c>
      <c r="E378" s="69">
        <v>0</v>
      </c>
      <c r="F378" s="69">
        <v>0</v>
      </c>
      <c r="G378" s="69" t="s">
        <v>22</v>
      </c>
      <c r="H378" s="69" t="str">
        <f>IFERROR(VLOOKUP(Data!$G378,canon!$I$2:$K$27,2,FALSE),"")</f>
        <v>SCARF</v>
      </c>
      <c r="I378" s="69" t="str">
        <f>IFERROR(VLOOKUP(Data!$G378,canon!$I$2:$K$27,3,FALSE),"")</f>
        <v>N.APPAREL</v>
      </c>
      <c r="J378" s="69">
        <f t="shared" si="10"/>
        <v>6</v>
      </c>
      <c r="K378" s="69">
        <f t="shared" si="11"/>
        <v>1</v>
      </c>
      <c r="L378" s="69">
        <f>VLOOKUP(Table_db1_backend_Daily.accdb[[#This Row],[TradingDate]],canon!B:E,4,0)</f>
        <v>30</v>
      </c>
    </row>
    <row r="379" spans="1:12" x14ac:dyDescent="0.2">
      <c r="A379" s="69" t="s">
        <v>6</v>
      </c>
      <c r="B379" s="70">
        <v>42944</v>
      </c>
      <c r="C379" s="69">
        <v>1530</v>
      </c>
      <c r="D379" s="69">
        <v>0</v>
      </c>
      <c r="E379" s="69">
        <v>0</v>
      </c>
      <c r="F379" s="69">
        <v>0</v>
      </c>
      <c r="G379" s="69" t="s">
        <v>23</v>
      </c>
      <c r="H379" s="69" t="str">
        <f>IFERROR(VLOOKUP(Data!$G379,canon!$I$2:$K$27,2,FALSE),"")</f>
        <v>SH&amp;BL</v>
      </c>
      <c r="I379" s="69" t="str">
        <f>IFERROR(VLOOKUP(Data!$G379,canon!$I$2:$K$27,3,FALSE),"")</f>
        <v>APPAREL</v>
      </c>
      <c r="J379" s="69">
        <f t="shared" si="10"/>
        <v>6</v>
      </c>
      <c r="K379" s="69">
        <f t="shared" si="11"/>
        <v>1</v>
      </c>
      <c r="L379" s="69">
        <f>VLOOKUP(Table_db1_backend_Daily.accdb[[#This Row],[TradingDate]],canon!B:E,4,0)</f>
        <v>30</v>
      </c>
    </row>
    <row r="380" spans="1:12" x14ac:dyDescent="0.2">
      <c r="A380" s="69" t="s">
        <v>6</v>
      </c>
      <c r="B380" s="70">
        <v>42944</v>
      </c>
      <c r="C380" s="69">
        <v>1141</v>
      </c>
      <c r="D380" s="69">
        <v>0</v>
      </c>
      <c r="E380" s="69">
        <v>0</v>
      </c>
      <c r="F380" s="69">
        <v>0</v>
      </c>
      <c r="G380" s="69" t="s">
        <v>32</v>
      </c>
      <c r="H380" s="69" t="str">
        <f>IFERROR(VLOOKUP(Data!$G380,canon!$I$2:$K$27,2,FALSE),"")</f>
        <v>SKIRT</v>
      </c>
      <c r="I380" s="69" t="str">
        <f>IFERROR(VLOOKUP(Data!$G380,canon!$I$2:$K$27,3,FALSE),"")</f>
        <v>APPAREL</v>
      </c>
      <c r="J380" s="69">
        <f t="shared" si="10"/>
        <v>6</v>
      </c>
      <c r="K380" s="69">
        <f t="shared" si="11"/>
        <v>1</v>
      </c>
      <c r="L380" s="69">
        <f>VLOOKUP(Table_db1_backend_Daily.accdb[[#This Row],[TradingDate]],canon!B:E,4,0)</f>
        <v>30</v>
      </c>
    </row>
    <row r="381" spans="1:12" x14ac:dyDescent="0.2">
      <c r="A381" s="69" t="s">
        <v>6</v>
      </c>
      <c r="B381" s="70">
        <v>42944</v>
      </c>
      <c r="C381" s="69">
        <v>10269</v>
      </c>
      <c r="D381" s="69">
        <v>0</v>
      </c>
      <c r="E381" s="69">
        <v>0</v>
      </c>
      <c r="F381" s="69">
        <v>0</v>
      </c>
      <c r="G381" s="69" t="s">
        <v>25</v>
      </c>
      <c r="H381" s="69" t="str">
        <f>IFERROR(VLOOKUP(Data!$G381,canon!$I$2:$K$27,2,FALSE),"")</f>
        <v>TOP</v>
      </c>
      <c r="I381" s="69" t="str">
        <f>IFERROR(VLOOKUP(Data!$G381,canon!$I$2:$K$27,3,FALSE),"")</f>
        <v>APPAREL</v>
      </c>
      <c r="J381" s="69">
        <f t="shared" si="10"/>
        <v>6</v>
      </c>
      <c r="K381" s="69">
        <f t="shared" si="11"/>
        <v>1</v>
      </c>
      <c r="L381" s="69">
        <f>VLOOKUP(Table_db1_backend_Daily.accdb[[#This Row],[TradingDate]],canon!B:E,4,0)</f>
        <v>30</v>
      </c>
    </row>
    <row r="382" spans="1:12" x14ac:dyDescent="0.2">
      <c r="A382" s="69" t="s">
        <v>6</v>
      </c>
      <c r="B382" s="70">
        <v>42945</v>
      </c>
      <c r="C382" s="69">
        <v>0</v>
      </c>
      <c r="D382" s="69">
        <v>0</v>
      </c>
      <c r="E382" s="69">
        <v>0</v>
      </c>
      <c r="F382" s="69">
        <v>0</v>
      </c>
      <c r="G382" s="69" t="s">
        <v>27</v>
      </c>
      <c r="H382" s="69" t="str">
        <f>IFERROR(VLOOKUP(Data!$G382,canon!$I$2:$K$27,2,FALSE),"")</f>
        <v>ACCESSORY</v>
      </c>
      <c r="I382" s="69" t="str">
        <f>IFERROR(VLOOKUP(Data!$G382,canon!$I$2:$K$27,3,FALSE),"")</f>
        <v>N.APPAREL</v>
      </c>
      <c r="J382" s="69">
        <f t="shared" si="10"/>
        <v>7</v>
      </c>
      <c r="K382" s="69">
        <f t="shared" si="11"/>
        <v>1</v>
      </c>
      <c r="L382" s="69">
        <f>VLOOKUP(Table_db1_backend_Daily.accdb[[#This Row],[TradingDate]],canon!B:E,4,0)</f>
        <v>30</v>
      </c>
    </row>
    <row r="383" spans="1:12" x14ac:dyDescent="0.2">
      <c r="A383" s="69" t="s">
        <v>6</v>
      </c>
      <c r="B383" s="70">
        <v>42945</v>
      </c>
      <c r="C383" s="69">
        <v>0</v>
      </c>
      <c r="D383" s="69">
        <v>0</v>
      </c>
      <c r="E383" s="69">
        <v>0</v>
      </c>
      <c r="F383" s="69">
        <v>0</v>
      </c>
      <c r="G383" s="69" t="s">
        <v>7</v>
      </c>
      <c r="H383" s="69" t="str">
        <f>IFERROR(VLOOKUP(Data!$G383,canon!$I$2:$K$27,2,FALSE),"")</f>
        <v>ACCESSORY</v>
      </c>
      <c r="I383" s="69" t="str">
        <f>IFERROR(VLOOKUP(Data!$G383,canon!$I$2:$K$27,3,FALSE),"")</f>
        <v>N.APPAREL</v>
      </c>
      <c r="J383" s="69">
        <f t="shared" si="10"/>
        <v>7</v>
      </c>
      <c r="K383" s="69">
        <f t="shared" si="11"/>
        <v>1</v>
      </c>
      <c r="L383" s="69">
        <f>VLOOKUP(Table_db1_backend_Daily.accdb[[#This Row],[TradingDate]],canon!B:E,4,0)</f>
        <v>30</v>
      </c>
    </row>
    <row r="384" spans="1:12" x14ac:dyDescent="0.2">
      <c r="A384" s="69" t="s">
        <v>6</v>
      </c>
      <c r="B384" s="70">
        <v>42945</v>
      </c>
      <c r="C384" s="69">
        <v>-6</v>
      </c>
      <c r="D384" s="69">
        <v>0</v>
      </c>
      <c r="E384" s="69">
        <v>0</v>
      </c>
      <c r="F384" s="69">
        <v>0</v>
      </c>
      <c r="G384" s="69" t="s">
        <v>34</v>
      </c>
      <c r="H384" s="69" t="str">
        <f>IFERROR(VLOOKUP(Data!$G384,canon!$I$2:$K$27,2,FALSE),"")</f>
        <v>SHOES</v>
      </c>
      <c r="I384" s="69" t="str">
        <f>IFERROR(VLOOKUP(Data!$G384,canon!$I$2:$K$27,3,FALSE),"")</f>
        <v>N.APPAREL</v>
      </c>
      <c r="J384" s="69">
        <f t="shared" si="10"/>
        <v>7</v>
      </c>
      <c r="K384" s="69">
        <f t="shared" si="11"/>
        <v>1</v>
      </c>
      <c r="L384" s="69">
        <f>VLOOKUP(Table_db1_backend_Daily.accdb[[#This Row],[TradingDate]],canon!B:E,4,0)</f>
        <v>30</v>
      </c>
    </row>
    <row r="385" spans="1:12" x14ac:dyDescent="0.2">
      <c r="A385" s="69" t="s">
        <v>6</v>
      </c>
      <c r="B385" s="70">
        <v>42945</v>
      </c>
      <c r="C385" s="69">
        <v>6</v>
      </c>
      <c r="D385" s="69">
        <v>0</v>
      </c>
      <c r="E385" s="69">
        <v>0</v>
      </c>
      <c r="F385" s="69">
        <v>0</v>
      </c>
      <c r="G385" s="69" t="s">
        <v>38</v>
      </c>
      <c r="H385" s="69" t="str">
        <f>IFERROR(VLOOKUP(Data!$G385,canon!$I$2:$K$27,2,FALSE),"")</f>
        <v>SHOES</v>
      </c>
      <c r="I385" s="69" t="str">
        <f>IFERROR(VLOOKUP(Data!$G385,canon!$I$2:$K$27,3,FALSE),"")</f>
        <v>N.APPAREL</v>
      </c>
      <c r="J385" s="69">
        <f t="shared" si="10"/>
        <v>7</v>
      </c>
      <c r="K385" s="69">
        <f t="shared" si="11"/>
        <v>1</v>
      </c>
      <c r="L385" s="69">
        <f>VLOOKUP(Table_db1_backend_Daily.accdb[[#This Row],[TradingDate]],canon!B:E,4,0)</f>
        <v>30</v>
      </c>
    </row>
    <row r="386" spans="1:12" x14ac:dyDescent="0.2">
      <c r="A386" s="69" t="s">
        <v>6</v>
      </c>
      <c r="B386" s="70">
        <v>42945</v>
      </c>
      <c r="C386" s="69">
        <v>4235</v>
      </c>
      <c r="D386" s="69">
        <v>0</v>
      </c>
      <c r="E386" s="69">
        <v>0</v>
      </c>
      <c r="F386" s="69">
        <v>0</v>
      </c>
      <c r="G386" s="69" t="s">
        <v>35</v>
      </c>
      <c r="H386" s="69" t="str">
        <f>IFERROR(VLOOKUP(Data!$G386,canon!$I$2:$K$27,2,FALSE),"")</f>
        <v>DRESS</v>
      </c>
      <c r="I386" s="69" t="str">
        <f>IFERROR(VLOOKUP(Data!$G386,canon!$I$2:$K$27,3,FALSE),"")</f>
        <v>APPAREL</v>
      </c>
      <c r="J386" s="69">
        <f t="shared" ref="J386:J449" si="12">WEEKDAY(B386)</f>
        <v>7</v>
      </c>
      <c r="K386" s="69">
        <f t="shared" ref="K386:K449" si="13">INT(A386)</f>
        <v>1</v>
      </c>
      <c r="L386" s="69">
        <f>VLOOKUP(Table_db1_backend_Daily.accdb[[#This Row],[TradingDate]],canon!B:E,4,0)</f>
        <v>30</v>
      </c>
    </row>
    <row r="387" spans="1:12" x14ac:dyDescent="0.2">
      <c r="A387" s="69" t="s">
        <v>6</v>
      </c>
      <c r="B387" s="70">
        <v>42945</v>
      </c>
      <c r="C387" s="69">
        <v>1</v>
      </c>
      <c r="D387" s="69">
        <v>0</v>
      </c>
      <c r="E387" s="69">
        <v>0</v>
      </c>
      <c r="F387" s="69">
        <v>0</v>
      </c>
      <c r="G387" s="69" t="s">
        <v>10</v>
      </c>
      <c r="H387" s="69" t="str">
        <f>IFERROR(VLOOKUP(Data!$G387,canon!$I$2:$K$27,2,FALSE),"")</f>
        <v>ACCESSORY</v>
      </c>
      <c r="I387" s="69" t="str">
        <f>IFERROR(VLOOKUP(Data!$G387,canon!$I$2:$K$27,3,FALSE),"")</f>
        <v>N.APPAREL</v>
      </c>
      <c r="J387" s="69">
        <f t="shared" si="12"/>
        <v>7</v>
      </c>
      <c r="K387" s="69">
        <f t="shared" si="13"/>
        <v>1</v>
      </c>
      <c r="L387" s="69">
        <f>VLOOKUP(Table_db1_backend_Daily.accdb[[#This Row],[TradingDate]],canon!B:E,4,0)</f>
        <v>30</v>
      </c>
    </row>
    <row r="388" spans="1:12" x14ac:dyDescent="0.2">
      <c r="A388" s="69" t="s">
        <v>6</v>
      </c>
      <c r="B388" s="70">
        <v>42945</v>
      </c>
      <c r="C388" s="69">
        <v>215</v>
      </c>
      <c r="D388" s="69">
        <v>0</v>
      </c>
      <c r="E388" s="69">
        <v>0</v>
      </c>
      <c r="F388" s="69">
        <v>0</v>
      </c>
      <c r="G388" s="69" t="s">
        <v>28</v>
      </c>
      <c r="H388" s="69" t="str">
        <f>IFERROR(VLOOKUP(Data!$G388,canon!$I$2:$K$27,2,FALSE),"")</f>
        <v>ACCESSORY</v>
      </c>
      <c r="I388" s="69" t="str">
        <f>IFERROR(VLOOKUP(Data!$G388,canon!$I$2:$K$27,3,FALSE),"")</f>
        <v>N.APPAREL</v>
      </c>
      <c r="J388" s="69">
        <f t="shared" si="12"/>
        <v>7</v>
      </c>
      <c r="K388" s="69">
        <f t="shared" si="13"/>
        <v>1</v>
      </c>
      <c r="L388" s="69">
        <f>VLOOKUP(Table_db1_backend_Daily.accdb[[#This Row],[TradingDate]],canon!B:E,4,0)</f>
        <v>30</v>
      </c>
    </row>
    <row r="389" spans="1:12" x14ac:dyDescent="0.2">
      <c r="A389" s="69" t="s">
        <v>6</v>
      </c>
      <c r="B389" s="70">
        <v>42945</v>
      </c>
      <c r="C389" s="69">
        <v>10139</v>
      </c>
      <c r="D389" s="69">
        <v>0</v>
      </c>
      <c r="E389" s="69">
        <v>0</v>
      </c>
      <c r="F389" s="69">
        <v>0</v>
      </c>
      <c r="G389" s="69" t="s">
        <v>11</v>
      </c>
      <c r="H389" s="69" t="str">
        <f>IFERROR(VLOOKUP(Data!$G389,canon!$I$2:$K$27,2,FALSE),"")</f>
        <v>KNIT</v>
      </c>
      <c r="I389" s="69" t="str">
        <f>IFERROR(VLOOKUP(Data!$G389,canon!$I$2:$K$27,3,FALSE),"")</f>
        <v>APPAREL</v>
      </c>
      <c r="J389" s="69">
        <f t="shared" si="12"/>
        <v>7</v>
      </c>
      <c r="K389" s="69">
        <f t="shared" si="13"/>
        <v>1</v>
      </c>
      <c r="L389" s="69">
        <f>VLOOKUP(Table_db1_backend_Daily.accdb[[#This Row],[TradingDate]],canon!B:E,4,0)</f>
        <v>30</v>
      </c>
    </row>
    <row r="390" spans="1:12" x14ac:dyDescent="0.2">
      <c r="A390" s="69" t="s">
        <v>6</v>
      </c>
      <c r="B390" s="70">
        <v>42945</v>
      </c>
      <c r="C390" s="69">
        <v>4263</v>
      </c>
      <c r="D390" s="69">
        <v>0</v>
      </c>
      <c r="E390" s="69">
        <v>0</v>
      </c>
      <c r="F390" s="69">
        <v>0</v>
      </c>
      <c r="G390" s="69" t="s">
        <v>14</v>
      </c>
      <c r="H390" s="69" t="str">
        <f>IFERROR(VLOOKUP(Data!$G390,canon!$I$2:$K$27,2,FALSE),"")</f>
        <v>LEGGING</v>
      </c>
      <c r="I390" s="69" t="str">
        <f>IFERROR(VLOOKUP(Data!$G390,canon!$I$2:$K$27,3,FALSE),"")</f>
        <v>APPAREL</v>
      </c>
      <c r="J390" s="69">
        <f t="shared" si="12"/>
        <v>7</v>
      </c>
      <c r="K390" s="69">
        <f t="shared" si="13"/>
        <v>1</v>
      </c>
      <c r="L390" s="69">
        <f>VLOOKUP(Table_db1_backend_Daily.accdb[[#This Row],[TradingDate]],canon!B:E,4,0)</f>
        <v>30</v>
      </c>
    </row>
    <row r="391" spans="1:12" x14ac:dyDescent="0.2">
      <c r="A391" s="69" t="s">
        <v>6</v>
      </c>
      <c r="B391" s="70">
        <v>42945</v>
      </c>
      <c r="C391" s="69">
        <v>0</v>
      </c>
      <c r="D391" s="69">
        <v>0</v>
      </c>
      <c r="E391" s="69">
        <v>0</v>
      </c>
      <c r="F391" s="69">
        <v>0</v>
      </c>
      <c r="G391" s="69" t="s">
        <v>16</v>
      </c>
      <c r="H391" s="69" t="str">
        <f>IFERROR(VLOOKUP(Data!$G391,canon!$I$2:$K$27,2,FALSE),"")</f>
        <v>ACCESSORY</v>
      </c>
      <c r="I391" s="69" t="str">
        <f>IFERROR(VLOOKUP(Data!$G391,canon!$I$2:$K$27,3,FALSE),"")</f>
        <v>N.APPAREL</v>
      </c>
      <c r="J391" s="69">
        <f t="shared" si="12"/>
        <v>7</v>
      </c>
      <c r="K391" s="69">
        <f t="shared" si="13"/>
        <v>1</v>
      </c>
      <c r="L391" s="69">
        <f>VLOOKUP(Table_db1_backend_Daily.accdb[[#This Row],[TradingDate]],canon!B:E,4,0)</f>
        <v>30</v>
      </c>
    </row>
    <row r="392" spans="1:12" x14ac:dyDescent="0.2">
      <c r="A392" s="69" t="s">
        <v>6</v>
      </c>
      <c r="B392" s="70">
        <v>42945</v>
      </c>
      <c r="C392" s="69">
        <v>13</v>
      </c>
      <c r="D392" s="69">
        <v>0</v>
      </c>
      <c r="E392" s="69">
        <v>0</v>
      </c>
      <c r="F392" s="69">
        <v>0</v>
      </c>
      <c r="G392" s="69" t="s">
        <v>37</v>
      </c>
      <c r="H392" s="69" t="str">
        <f>IFERROR(VLOOKUP(Data!$G392,canon!$I$2:$K$27,2,FALSE),"")</f>
        <v>SHOES</v>
      </c>
      <c r="I392" s="69" t="str">
        <f>IFERROR(VLOOKUP(Data!$G392,canon!$I$2:$K$27,3,FALSE),"")</f>
        <v>N.APPAREL</v>
      </c>
      <c r="J392" s="69">
        <f t="shared" si="12"/>
        <v>7</v>
      </c>
      <c r="K392" s="69">
        <f t="shared" si="13"/>
        <v>1</v>
      </c>
      <c r="L392" s="69">
        <f>VLOOKUP(Table_db1_backend_Daily.accdb[[#This Row],[TradingDate]],canon!B:E,4,0)</f>
        <v>30</v>
      </c>
    </row>
    <row r="393" spans="1:12" x14ac:dyDescent="0.2">
      <c r="A393" s="69" t="s">
        <v>6</v>
      </c>
      <c r="B393" s="70">
        <v>42945</v>
      </c>
      <c r="C393" s="69">
        <v>-1</v>
      </c>
      <c r="D393" s="69">
        <v>0</v>
      </c>
      <c r="E393" s="69">
        <v>0</v>
      </c>
      <c r="F393" s="69">
        <v>0</v>
      </c>
      <c r="G393" s="69" t="s">
        <v>29</v>
      </c>
      <c r="H393" s="69" t="str">
        <f>IFERROR(VLOOKUP(Data!$G393,canon!$I$2:$K$27,2,FALSE),"")</f>
        <v>SHOES</v>
      </c>
      <c r="I393" s="69" t="str">
        <f>IFERROR(VLOOKUP(Data!$G393,canon!$I$2:$K$27,3,FALSE),"")</f>
        <v>N.APPAREL</v>
      </c>
      <c r="J393" s="69">
        <f t="shared" si="12"/>
        <v>7</v>
      </c>
      <c r="K393" s="69">
        <f t="shared" si="13"/>
        <v>1</v>
      </c>
      <c r="L393" s="69">
        <f>VLOOKUP(Table_db1_backend_Daily.accdb[[#This Row],[TradingDate]],canon!B:E,4,0)</f>
        <v>30</v>
      </c>
    </row>
    <row r="394" spans="1:12" x14ac:dyDescent="0.2">
      <c r="A394" s="69" t="s">
        <v>6</v>
      </c>
      <c r="B394" s="70">
        <v>42945</v>
      </c>
      <c r="C394" s="69">
        <v>3416</v>
      </c>
      <c r="D394" s="69">
        <v>0</v>
      </c>
      <c r="E394" s="69">
        <v>0</v>
      </c>
      <c r="F394" s="69">
        <v>0</v>
      </c>
      <c r="G394" s="69" t="s">
        <v>17</v>
      </c>
      <c r="H394" s="69" t="str">
        <f>IFERROR(VLOOKUP(Data!$G394,canon!$I$2:$K$27,2,FALSE),"")</f>
        <v>OUTER</v>
      </c>
      <c r="I394" s="69" t="str">
        <f>IFERROR(VLOOKUP(Data!$G394,canon!$I$2:$K$27,3,FALSE),"")</f>
        <v>APPAREL</v>
      </c>
      <c r="J394" s="69">
        <f t="shared" si="12"/>
        <v>7</v>
      </c>
      <c r="K394" s="69">
        <f t="shared" si="13"/>
        <v>1</v>
      </c>
      <c r="L394" s="69">
        <f>VLOOKUP(Table_db1_backend_Daily.accdb[[#This Row],[TradingDate]],canon!B:E,4,0)</f>
        <v>30</v>
      </c>
    </row>
    <row r="395" spans="1:12" x14ac:dyDescent="0.2">
      <c r="A395" s="69" t="s">
        <v>6</v>
      </c>
      <c r="B395" s="70">
        <v>42945</v>
      </c>
      <c r="C395" s="69">
        <v>1321</v>
      </c>
      <c r="D395" s="69">
        <v>0</v>
      </c>
      <c r="E395" s="69">
        <v>0</v>
      </c>
      <c r="F395" s="69">
        <v>0</v>
      </c>
      <c r="G395" s="69" t="s">
        <v>19</v>
      </c>
      <c r="H395" s="69" t="str">
        <f>IFERROR(VLOOKUP(Data!$G395,canon!$I$2:$K$27,2,FALSE),"")</f>
        <v>PANT</v>
      </c>
      <c r="I395" s="69" t="str">
        <f>IFERROR(VLOOKUP(Data!$G395,canon!$I$2:$K$27,3,FALSE),"")</f>
        <v>APPAREL</v>
      </c>
      <c r="J395" s="69">
        <f t="shared" si="12"/>
        <v>7</v>
      </c>
      <c r="K395" s="69">
        <f t="shared" si="13"/>
        <v>1</v>
      </c>
      <c r="L395" s="69">
        <f>VLOOKUP(Table_db1_backend_Daily.accdb[[#This Row],[TradingDate]],canon!B:E,4,0)</f>
        <v>30</v>
      </c>
    </row>
    <row r="396" spans="1:12" x14ac:dyDescent="0.2">
      <c r="A396" s="69" t="s">
        <v>6</v>
      </c>
      <c r="B396" s="70">
        <v>42945</v>
      </c>
      <c r="C396" s="69">
        <v>49</v>
      </c>
      <c r="D396" s="69">
        <v>0</v>
      </c>
      <c r="E396" s="69">
        <v>0</v>
      </c>
      <c r="F396" s="69">
        <v>0</v>
      </c>
      <c r="G396" s="69" t="s">
        <v>21</v>
      </c>
      <c r="H396" s="69" t="str">
        <f>IFERROR(VLOOKUP(Data!$G396,canon!$I$2:$K$27,2,FALSE),"")</f>
        <v>ACCESSORY</v>
      </c>
      <c r="I396" s="69" t="str">
        <f>IFERROR(VLOOKUP(Data!$G396,canon!$I$2:$K$27,3,FALSE),"")</f>
        <v>N.APPAREL</v>
      </c>
      <c r="J396" s="69">
        <f t="shared" si="12"/>
        <v>7</v>
      </c>
      <c r="K396" s="69">
        <f t="shared" si="13"/>
        <v>1</v>
      </c>
      <c r="L396" s="69">
        <f>VLOOKUP(Table_db1_backend_Daily.accdb[[#This Row],[TradingDate]],canon!B:E,4,0)</f>
        <v>30</v>
      </c>
    </row>
    <row r="397" spans="1:12" x14ac:dyDescent="0.2">
      <c r="A397" s="69" t="s">
        <v>6</v>
      </c>
      <c r="B397" s="70">
        <v>42945</v>
      </c>
      <c r="C397" s="69">
        <v>4401</v>
      </c>
      <c r="D397" s="69">
        <v>0</v>
      </c>
      <c r="E397" s="69">
        <v>0</v>
      </c>
      <c r="F397" s="69">
        <v>0</v>
      </c>
      <c r="G397" s="69" t="s">
        <v>22</v>
      </c>
      <c r="H397" s="69" t="str">
        <f>IFERROR(VLOOKUP(Data!$G397,canon!$I$2:$K$27,2,FALSE),"")</f>
        <v>SCARF</v>
      </c>
      <c r="I397" s="69" t="str">
        <f>IFERROR(VLOOKUP(Data!$G397,canon!$I$2:$K$27,3,FALSE),"")</f>
        <v>N.APPAREL</v>
      </c>
      <c r="J397" s="69">
        <f t="shared" si="12"/>
        <v>7</v>
      </c>
      <c r="K397" s="69">
        <f t="shared" si="13"/>
        <v>1</v>
      </c>
      <c r="L397" s="69">
        <f>VLOOKUP(Table_db1_backend_Daily.accdb[[#This Row],[TradingDate]],canon!B:E,4,0)</f>
        <v>30</v>
      </c>
    </row>
    <row r="398" spans="1:12" x14ac:dyDescent="0.2">
      <c r="A398" s="69" t="s">
        <v>6</v>
      </c>
      <c r="B398" s="70">
        <v>42945</v>
      </c>
      <c r="C398" s="69">
        <v>1530</v>
      </c>
      <c r="D398" s="69">
        <v>0</v>
      </c>
      <c r="E398" s="69">
        <v>0</v>
      </c>
      <c r="F398" s="69">
        <v>0</v>
      </c>
      <c r="G398" s="69" t="s">
        <v>23</v>
      </c>
      <c r="H398" s="69" t="str">
        <f>IFERROR(VLOOKUP(Data!$G398,canon!$I$2:$K$27,2,FALSE),"")</f>
        <v>SH&amp;BL</v>
      </c>
      <c r="I398" s="69" t="str">
        <f>IFERROR(VLOOKUP(Data!$G398,canon!$I$2:$K$27,3,FALSE),"")</f>
        <v>APPAREL</v>
      </c>
      <c r="J398" s="69">
        <f t="shared" si="12"/>
        <v>7</v>
      </c>
      <c r="K398" s="69">
        <f t="shared" si="13"/>
        <v>1</v>
      </c>
      <c r="L398" s="69">
        <f>VLOOKUP(Table_db1_backend_Daily.accdb[[#This Row],[TradingDate]],canon!B:E,4,0)</f>
        <v>30</v>
      </c>
    </row>
    <row r="399" spans="1:12" x14ac:dyDescent="0.2">
      <c r="A399" s="69" t="s">
        <v>6</v>
      </c>
      <c r="B399" s="70">
        <v>42945</v>
      </c>
      <c r="C399" s="69">
        <v>1141</v>
      </c>
      <c r="D399" s="69">
        <v>0</v>
      </c>
      <c r="E399" s="69">
        <v>0</v>
      </c>
      <c r="F399" s="69">
        <v>0</v>
      </c>
      <c r="G399" s="69" t="s">
        <v>32</v>
      </c>
      <c r="H399" s="69" t="str">
        <f>IFERROR(VLOOKUP(Data!$G399,canon!$I$2:$K$27,2,FALSE),"")</f>
        <v>SKIRT</v>
      </c>
      <c r="I399" s="69" t="str">
        <f>IFERROR(VLOOKUP(Data!$G399,canon!$I$2:$K$27,3,FALSE),"")</f>
        <v>APPAREL</v>
      </c>
      <c r="J399" s="69">
        <f t="shared" si="12"/>
        <v>7</v>
      </c>
      <c r="K399" s="69">
        <f t="shared" si="13"/>
        <v>1</v>
      </c>
      <c r="L399" s="69">
        <f>VLOOKUP(Table_db1_backend_Daily.accdb[[#This Row],[TradingDate]],canon!B:E,4,0)</f>
        <v>30</v>
      </c>
    </row>
    <row r="400" spans="1:12" x14ac:dyDescent="0.2">
      <c r="A400" s="69" t="s">
        <v>6</v>
      </c>
      <c r="B400" s="70">
        <v>42945</v>
      </c>
      <c r="C400" s="69">
        <v>10269</v>
      </c>
      <c r="D400" s="69">
        <v>0</v>
      </c>
      <c r="E400" s="69">
        <v>0</v>
      </c>
      <c r="F400" s="69">
        <v>0</v>
      </c>
      <c r="G400" s="69" t="s">
        <v>25</v>
      </c>
      <c r="H400" s="69" t="str">
        <f>IFERROR(VLOOKUP(Data!$G400,canon!$I$2:$K$27,2,FALSE),"")</f>
        <v>TOP</v>
      </c>
      <c r="I400" s="69" t="str">
        <f>IFERROR(VLOOKUP(Data!$G400,canon!$I$2:$K$27,3,FALSE),"")</f>
        <v>APPAREL</v>
      </c>
      <c r="J400" s="69">
        <f t="shared" si="12"/>
        <v>7</v>
      </c>
      <c r="K400" s="69">
        <f t="shared" si="13"/>
        <v>1</v>
      </c>
      <c r="L400" s="69">
        <f>VLOOKUP(Table_db1_backend_Daily.accdb[[#This Row],[TradingDate]],canon!B:E,4,0)</f>
        <v>30</v>
      </c>
    </row>
    <row r="401" spans="1:12" x14ac:dyDescent="0.2">
      <c r="A401" s="69" t="s">
        <v>6</v>
      </c>
      <c r="B401" s="70">
        <v>42946</v>
      </c>
      <c r="C401" s="69">
        <v>0</v>
      </c>
      <c r="D401" s="69">
        <v>0</v>
      </c>
      <c r="E401" s="69">
        <v>0</v>
      </c>
      <c r="F401" s="69">
        <v>0</v>
      </c>
      <c r="G401" s="69" t="s">
        <v>27</v>
      </c>
      <c r="H401" s="69" t="str">
        <f>IFERROR(VLOOKUP(Data!$G401,canon!$I$2:$K$27,2,FALSE),"")</f>
        <v>ACCESSORY</v>
      </c>
      <c r="I401" s="69" t="str">
        <f>IFERROR(VLOOKUP(Data!$G401,canon!$I$2:$K$27,3,FALSE),"")</f>
        <v>N.APPAREL</v>
      </c>
      <c r="J401" s="69">
        <f t="shared" si="12"/>
        <v>1</v>
      </c>
      <c r="K401" s="69">
        <f t="shared" si="13"/>
        <v>1</v>
      </c>
      <c r="L401" s="69">
        <f>VLOOKUP(Table_db1_backend_Daily.accdb[[#This Row],[TradingDate]],canon!B:E,4,0)</f>
        <v>31</v>
      </c>
    </row>
    <row r="402" spans="1:12" x14ac:dyDescent="0.2">
      <c r="A402" s="69" t="s">
        <v>6</v>
      </c>
      <c r="B402" s="70">
        <v>42946</v>
      </c>
      <c r="C402" s="69">
        <v>0</v>
      </c>
      <c r="D402" s="69">
        <v>0</v>
      </c>
      <c r="E402" s="69">
        <v>0</v>
      </c>
      <c r="F402" s="69">
        <v>0</v>
      </c>
      <c r="G402" s="69" t="s">
        <v>7</v>
      </c>
      <c r="H402" s="69" t="str">
        <f>IFERROR(VLOOKUP(Data!$G402,canon!$I$2:$K$27,2,FALSE),"")</f>
        <v>ACCESSORY</v>
      </c>
      <c r="I402" s="69" t="str">
        <f>IFERROR(VLOOKUP(Data!$G402,canon!$I$2:$K$27,3,FALSE),"")</f>
        <v>N.APPAREL</v>
      </c>
      <c r="J402" s="69">
        <f t="shared" si="12"/>
        <v>1</v>
      </c>
      <c r="K402" s="69">
        <f t="shared" si="13"/>
        <v>1</v>
      </c>
      <c r="L402" s="69">
        <f>VLOOKUP(Table_db1_backend_Daily.accdb[[#This Row],[TradingDate]],canon!B:E,4,0)</f>
        <v>31</v>
      </c>
    </row>
    <row r="403" spans="1:12" x14ac:dyDescent="0.2">
      <c r="A403" s="69" t="s">
        <v>6</v>
      </c>
      <c r="B403" s="70">
        <v>42946</v>
      </c>
      <c r="C403" s="69">
        <v>-6</v>
      </c>
      <c r="D403" s="69">
        <v>0</v>
      </c>
      <c r="E403" s="69">
        <v>0</v>
      </c>
      <c r="F403" s="69">
        <v>0</v>
      </c>
      <c r="G403" s="69" t="s">
        <v>34</v>
      </c>
      <c r="H403" s="69" t="str">
        <f>IFERROR(VLOOKUP(Data!$G403,canon!$I$2:$K$27,2,FALSE),"")</f>
        <v>SHOES</v>
      </c>
      <c r="I403" s="69" t="str">
        <f>IFERROR(VLOOKUP(Data!$G403,canon!$I$2:$K$27,3,FALSE),"")</f>
        <v>N.APPAREL</v>
      </c>
      <c r="J403" s="69">
        <f t="shared" si="12"/>
        <v>1</v>
      </c>
      <c r="K403" s="69">
        <f t="shared" si="13"/>
        <v>1</v>
      </c>
      <c r="L403" s="69">
        <f>VLOOKUP(Table_db1_backend_Daily.accdb[[#This Row],[TradingDate]],canon!B:E,4,0)</f>
        <v>31</v>
      </c>
    </row>
    <row r="404" spans="1:12" x14ac:dyDescent="0.2">
      <c r="A404" s="69" t="s">
        <v>6</v>
      </c>
      <c r="B404" s="70">
        <v>42946</v>
      </c>
      <c r="C404" s="69">
        <v>6</v>
      </c>
      <c r="D404" s="69">
        <v>0</v>
      </c>
      <c r="E404" s="69">
        <v>0</v>
      </c>
      <c r="F404" s="69">
        <v>0</v>
      </c>
      <c r="G404" s="69" t="s">
        <v>38</v>
      </c>
      <c r="H404" s="69" t="str">
        <f>IFERROR(VLOOKUP(Data!$G404,canon!$I$2:$K$27,2,FALSE),"")</f>
        <v>SHOES</v>
      </c>
      <c r="I404" s="69" t="str">
        <f>IFERROR(VLOOKUP(Data!$G404,canon!$I$2:$K$27,3,FALSE),"")</f>
        <v>N.APPAREL</v>
      </c>
      <c r="J404" s="69">
        <f t="shared" si="12"/>
        <v>1</v>
      </c>
      <c r="K404" s="69">
        <f t="shared" si="13"/>
        <v>1</v>
      </c>
      <c r="L404" s="69">
        <f>VLOOKUP(Table_db1_backend_Daily.accdb[[#This Row],[TradingDate]],canon!B:E,4,0)</f>
        <v>31</v>
      </c>
    </row>
    <row r="405" spans="1:12" x14ac:dyDescent="0.2">
      <c r="A405" s="69" t="s">
        <v>6</v>
      </c>
      <c r="B405" s="70">
        <v>42946</v>
      </c>
      <c r="C405" s="69">
        <v>4235</v>
      </c>
      <c r="D405" s="69">
        <v>0</v>
      </c>
      <c r="E405" s="69">
        <v>0</v>
      </c>
      <c r="F405" s="69">
        <v>0</v>
      </c>
      <c r="G405" s="69" t="s">
        <v>35</v>
      </c>
      <c r="H405" s="69" t="str">
        <f>IFERROR(VLOOKUP(Data!$G405,canon!$I$2:$K$27,2,FALSE),"")</f>
        <v>DRESS</v>
      </c>
      <c r="I405" s="69" t="str">
        <f>IFERROR(VLOOKUP(Data!$G405,canon!$I$2:$K$27,3,FALSE),"")</f>
        <v>APPAREL</v>
      </c>
      <c r="J405" s="69">
        <f t="shared" si="12"/>
        <v>1</v>
      </c>
      <c r="K405" s="69">
        <f t="shared" si="13"/>
        <v>1</v>
      </c>
      <c r="L405" s="69">
        <f>VLOOKUP(Table_db1_backend_Daily.accdb[[#This Row],[TradingDate]],canon!B:E,4,0)</f>
        <v>31</v>
      </c>
    </row>
    <row r="406" spans="1:12" x14ac:dyDescent="0.2">
      <c r="A406" s="69" t="s">
        <v>6</v>
      </c>
      <c r="B406" s="70">
        <v>42946</v>
      </c>
      <c r="C406" s="69">
        <v>1</v>
      </c>
      <c r="D406" s="69">
        <v>0</v>
      </c>
      <c r="E406" s="69">
        <v>0</v>
      </c>
      <c r="F406" s="69">
        <v>0</v>
      </c>
      <c r="G406" s="69" t="s">
        <v>10</v>
      </c>
      <c r="H406" s="69" t="str">
        <f>IFERROR(VLOOKUP(Data!$G406,canon!$I$2:$K$27,2,FALSE),"")</f>
        <v>ACCESSORY</v>
      </c>
      <c r="I406" s="69" t="str">
        <f>IFERROR(VLOOKUP(Data!$G406,canon!$I$2:$K$27,3,FALSE),"")</f>
        <v>N.APPAREL</v>
      </c>
      <c r="J406" s="69">
        <f t="shared" si="12"/>
        <v>1</v>
      </c>
      <c r="K406" s="69">
        <f t="shared" si="13"/>
        <v>1</v>
      </c>
      <c r="L406" s="69">
        <f>VLOOKUP(Table_db1_backend_Daily.accdb[[#This Row],[TradingDate]],canon!B:E,4,0)</f>
        <v>31</v>
      </c>
    </row>
    <row r="407" spans="1:12" x14ac:dyDescent="0.2">
      <c r="A407" s="69" t="s">
        <v>6</v>
      </c>
      <c r="B407" s="70">
        <v>42946</v>
      </c>
      <c r="C407" s="69">
        <v>215</v>
      </c>
      <c r="D407" s="69">
        <v>0</v>
      </c>
      <c r="E407" s="69">
        <v>0</v>
      </c>
      <c r="F407" s="69">
        <v>0</v>
      </c>
      <c r="G407" s="69" t="s">
        <v>28</v>
      </c>
      <c r="H407" s="69" t="str">
        <f>IFERROR(VLOOKUP(Data!$G407,canon!$I$2:$K$27,2,FALSE),"")</f>
        <v>ACCESSORY</v>
      </c>
      <c r="I407" s="69" t="str">
        <f>IFERROR(VLOOKUP(Data!$G407,canon!$I$2:$K$27,3,FALSE),"")</f>
        <v>N.APPAREL</v>
      </c>
      <c r="J407" s="69">
        <f t="shared" si="12"/>
        <v>1</v>
      </c>
      <c r="K407" s="69">
        <f t="shared" si="13"/>
        <v>1</v>
      </c>
      <c r="L407" s="69">
        <f>VLOOKUP(Table_db1_backend_Daily.accdb[[#This Row],[TradingDate]],canon!B:E,4,0)</f>
        <v>31</v>
      </c>
    </row>
    <row r="408" spans="1:12" x14ac:dyDescent="0.2">
      <c r="A408" s="69" t="s">
        <v>6</v>
      </c>
      <c r="B408" s="70">
        <v>42946</v>
      </c>
      <c r="C408" s="69">
        <v>10139</v>
      </c>
      <c r="D408" s="69">
        <v>0</v>
      </c>
      <c r="E408" s="69">
        <v>0</v>
      </c>
      <c r="F408" s="69">
        <v>0</v>
      </c>
      <c r="G408" s="69" t="s">
        <v>11</v>
      </c>
      <c r="H408" s="69" t="str">
        <f>IFERROR(VLOOKUP(Data!$G408,canon!$I$2:$K$27,2,FALSE),"")</f>
        <v>KNIT</v>
      </c>
      <c r="I408" s="69" t="str">
        <f>IFERROR(VLOOKUP(Data!$G408,canon!$I$2:$K$27,3,FALSE),"")</f>
        <v>APPAREL</v>
      </c>
      <c r="J408" s="69">
        <f t="shared" si="12"/>
        <v>1</v>
      </c>
      <c r="K408" s="69">
        <f t="shared" si="13"/>
        <v>1</v>
      </c>
      <c r="L408" s="69">
        <f>VLOOKUP(Table_db1_backend_Daily.accdb[[#This Row],[TradingDate]],canon!B:E,4,0)</f>
        <v>31</v>
      </c>
    </row>
    <row r="409" spans="1:12" x14ac:dyDescent="0.2">
      <c r="A409" s="69" t="s">
        <v>6</v>
      </c>
      <c r="B409" s="70">
        <v>42946</v>
      </c>
      <c r="C409" s="69">
        <v>4263</v>
      </c>
      <c r="D409" s="69">
        <v>0</v>
      </c>
      <c r="E409" s="69">
        <v>0</v>
      </c>
      <c r="F409" s="69">
        <v>0</v>
      </c>
      <c r="G409" s="69" t="s">
        <v>14</v>
      </c>
      <c r="H409" s="69" t="str">
        <f>IFERROR(VLOOKUP(Data!$G409,canon!$I$2:$K$27,2,FALSE),"")</f>
        <v>LEGGING</v>
      </c>
      <c r="I409" s="69" t="str">
        <f>IFERROR(VLOOKUP(Data!$G409,canon!$I$2:$K$27,3,FALSE),"")</f>
        <v>APPAREL</v>
      </c>
      <c r="J409" s="69">
        <f t="shared" si="12"/>
        <v>1</v>
      </c>
      <c r="K409" s="69">
        <f t="shared" si="13"/>
        <v>1</v>
      </c>
      <c r="L409" s="69">
        <f>VLOOKUP(Table_db1_backend_Daily.accdb[[#This Row],[TradingDate]],canon!B:E,4,0)</f>
        <v>31</v>
      </c>
    </row>
    <row r="410" spans="1:12" x14ac:dyDescent="0.2">
      <c r="A410" s="69" t="s">
        <v>6</v>
      </c>
      <c r="B410" s="70">
        <v>42946</v>
      </c>
      <c r="C410" s="69">
        <v>0</v>
      </c>
      <c r="D410" s="69">
        <v>0</v>
      </c>
      <c r="E410" s="69">
        <v>0</v>
      </c>
      <c r="F410" s="69">
        <v>0</v>
      </c>
      <c r="G410" s="69" t="s">
        <v>16</v>
      </c>
      <c r="H410" s="69" t="str">
        <f>IFERROR(VLOOKUP(Data!$G410,canon!$I$2:$K$27,2,FALSE),"")</f>
        <v>ACCESSORY</v>
      </c>
      <c r="I410" s="69" t="str">
        <f>IFERROR(VLOOKUP(Data!$G410,canon!$I$2:$K$27,3,FALSE),"")</f>
        <v>N.APPAREL</v>
      </c>
      <c r="J410" s="69">
        <f t="shared" si="12"/>
        <v>1</v>
      </c>
      <c r="K410" s="69">
        <f t="shared" si="13"/>
        <v>1</v>
      </c>
      <c r="L410" s="69">
        <f>VLOOKUP(Table_db1_backend_Daily.accdb[[#This Row],[TradingDate]],canon!B:E,4,0)</f>
        <v>31</v>
      </c>
    </row>
    <row r="411" spans="1:12" x14ac:dyDescent="0.2">
      <c r="A411" s="69" t="s">
        <v>6</v>
      </c>
      <c r="B411" s="70">
        <v>42946</v>
      </c>
      <c r="C411" s="69">
        <v>13</v>
      </c>
      <c r="D411" s="69">
        <v>0</v>
      </c>
      <c r="E411" s="69">
        <v>0</v>
      </c>
      <c r="F411" s="69">
        <v>0</v>
      </c>
      <c r="G411" s="69" t="s">
        <v>37</v>
      </c>
      <c r="H411" s="69" t="str">
        <f>IFERROR(VLOOKUP(Data!$G411,canon!$I$2:$K$27,2,FALSE),"")</f>
        <v>SHOES</v>
      </c>
      <c r="I411" s="69" t="str">
        <f>IFERROR(VLOOKUP(Data!$G411,canon!$I$2:$K$27,3,FALSE),"")</f>
        <v>N.APPAREL</v>
      </c>
      <c r="J411" s="69">
        <f t="shared" si="12"/>
        <v>1</v>
      </c>
      <c r="K411" s="69">
        <f t="shared" si="13"/>
        <v>1</v>
      </c>
      <c r="L411" s="69">
        <f>VLOOKUP(Table_db1_backend_Daily.accdb[[#This Row],[TradingDate]],canon!B:E,4,0)</f>
        <v>31</v>
      </c>
    </row>
    <row r="412" spans="1:12" x14ac:dyDescent="0.2">
      <c r="A412" s="69" t="s">
        <v>6</v>
      </c>
      <c r="B412" s="70">
        <v>42946</v>
      </c>
      <c r="C412" s="69">
        <v>-1</v>
      </c>
      <c r="D412" s="69">
        <v>0</v>
      </c>
      <c r="E412" s="69">
        <v>0</v>
      </c>
      <c r="F412" s="69">
        <v>0</v>
      </c>
      <c r="G412" s="69" t="s">
        <v>29</v>
      </c>
      <c r="H412" s="69" t="str">
        <f>IFERROR(VLOOKUP(Data!$G412,canon!$I$2:$K$27,2,FALSE),"")</f>
        <v>SHOES</v>
      </c>
      <c r="I412" s="69" t="str">
        <f>IFERROR(VLOOKUP(Data!$G412,canon!$I$2:$K$27,3,FALSE),"")</f>
        <v>N.APPAREL</v>
      </c>
      <c r="J412" s="69">
        <f t="shared" si="12"/>
        <v>1</v>
      </c>
      <c r="K412" s="69">
        <f t="shared" si="13"/>
        <v>1</v>
      </c>
      <c r="L412" s="69">
        <f>VLOOKUP(Table_db1_backend_Daily.accdb[[#This Row],[TradingDate]],canon!B:E,4,0)</f>
        <v>31</v>
      </c>
    </row>
    <row r="413" spans="1:12" x14ac:dyDescent="0.2">
      <c r="A413" s="69" t="s">
        <v>6</v>
      </c>
      <c r="B413" s="70">
        <v>42946</v>
      </c>
      <c r="C413" s="69">
        <v>3416</v>
      </c>
      <c r="D413" s="69">
        <v>0</v>
      </c>
      <c r="E413" s="69">
        <v>0</v>
      </c>
      <c r="F413" s="69">
        <v>0</v>
      </c>
      <c r="G413" s="69" t="s">
        <v>17</v>
      </c>
      <c r="H413" s="69" t="str">
        <f>IFERROR(VLOOKUP(Data!$G413,canon!$I$2:$K$27,2,FALSE),"")</f>
        <v>OUTER</v>
      </c>
      <c r="I413" s="69" t="str">
        <f>IFERROR(VLOOKUP(Data!$G413,canon!$I$2:$K$27,3,FALSE),"")</f>
        <v>APPAREL</v>
      </c>
      <c r="J413" s="69">
        <f t="shared" si="12"/>
        <v>1</v>
      </c>
      <c r="K413" s="69">
        <f t="shared" si="13"/>
        <v>1</v>
      </c>
      <c r="L413" s="69">
        <f>VLOOKUP(Table_db1_backend_Daily.accdb[[#This Row],[TradingDate]],canon!B:E,4,0)</f>
        <v>31</v>
      </c>
    </row>
    <row r="414" spans="1:12" x14ac:dyDescent="0.2">
      <c r="A414" s="69" t="s">
        <v>6</v>
      </c>
      <c r="B414" s="70">
        <v>42946</v>
      </c>
      <c r="C414" s="69">
        <v>1321</v>
      </c>
      <c r="D414" s="69">
        <v>0</v>
      </c>
      <c r="E414" s="69">
        <v>0</v>
      </c>
      <c r="F414" s="69">
        <v>0</v>
      </c>
      <c r="G414" s="69" t="s">
        <v>19</v>
      </c>
      <c r="H414" s="69" t="str">
        <f>IFERROR(VLOOKUP(Data!$G414,canon!$I$2:$K$27,2,FALSE),"")</f>
        <v>PANT</v>
      </c>
      <c r="I414" s="69" t="str">
        <f>IFERROR(VLOOKUP(Data!$G414,canon!$I$2:$K$27,3,FALSE),"")</f>
        <v>APPAREL</v>
      </c>
      <c r="J414" s="69">
        <f t="shared" si="12"/>
        <v>1</v>
      </c>
      <c r="K414" s="69">
        <f t="shared" si="13"/>
        <v>1</v>
      </c>
      <c r="L414" s="69">
        <f>VLOOKUP(Table_db1_backend_Daily.accdb[[#This Row],[TradingDate]],canon!B:E,4,0)</f>
        <v>31</v>
      </c>
    </row>
    <row r="415" spans="1:12" x14ac:dyDescent="0.2">
      <c r="A415" s="69" t="s">
        <v>6</v>
      </c>
      <c r="B415" s="70">
        <v>42946</v>
      </c>
      <c r="C415" s="69">
        <v>49</v>
      </c>
      <c r="D415" s="69">
        <v>0</v>
      </c>
      <c r="E415" s="69">
        <v>0</v>
      </c>
      <c r="F415" s="69">
        <v>0</v>
      </c>
      <c r="G415" s="69" t="s">
        <v>21</v>
      </c>
      <c r="H415" s="69" t="str">
        <f>IFERROR(VLOOKUP(Data!$G415,canon!$I$2:$K$27,2,FALSE),"")</f>
        <v>ACCESSORY</v>
      </c>
      <c r="I415" s="69" t="str">
        <f>IFERROR(VLOOKUP(Data!$G415,canon!$I$2:$K$27,3,FALSE),"")</f>
        <v>N.APPAREL</v>
      </c>
      <c r="J415" s="69">
        <f t="shared" si="12"/>
        <v>1</v>
      </c>
      <c r="K415" s="69">
        <f t="shared" si="13"/>
        <v>1</v>
      </c>
      <c r="L415" s="69">
        <f>VLOOKUP(Table_db1_backend_Daily.accdb[[#This Row],[TradingDate]],canon!B:E,4,0)</f>
        <v>31</v>
      </c>
    </row>
    <row r="416" spans="1:12" x14ac:dyDescent="0.2">
      <c r="A416" s="69" t="s">
        <v>6</v>
      </c>
      <c r="B416" s="70">
        <v>42946</v>
      </c>
      <c r="C416" s="69">
        <v>4401</v>
      </c>
      <c r="D416" s="69">
        <v>0</v>
      </c>
      <c r="E416" s="69">
        <v>0</v>
      </c>
      <c r="F416" s="69">
        <v>0</v>
      </c>
      <c r="G416" s="69" t="s">
        <v>22</v>
      </c>
      <c r="H416" s="69" t="str">
        <f>IFERROR(VLOOKUP(Data!$G416,canon!$I$2:$K$27,2,FALSE),"")</f>
        <v>SCARF</v>
      </c>
      <c r="I416" s="69" t="str">
        <f>IFERROR(VLOOKUP(Data!$G416,canon!$I$2:$K$27,3,FALSE),"")</f>
        <v>N.APPAREL</v>
      </c>
      <c r="J416" s="69">
        <f t="shared" si="12"/>
        <v>1</v>
      </c>
      <c r="K416" s="69">
        <f t="shared" si="13"/>
        <v>1</v>
      </c>
      <c r="L416" s="69">
        <f>VLOOKUP(Table_db1_backend_Daily.accdb[[#This Row],[TradingDate]],canon!B:E,4,0)</f>
        <v>31</v>
      </c>
    </row>
    <row r="417" spans="1:12" x14ac:dyDescent="0.2">
      <c r="A417" s="69" t="s">
        <v>6</v>
      </c>
      <c r="B417" s="70">
        <v>42946</v>
      </c>
      <c r="C417" s="69">
        <v>1530</v>
      </c>
      <c r="D417" s="69">
        <v>0</v>
      </c>
      <c r="E417" s="69">
        <v>0</v>
      </c>
      <c r="F417" s="69">
        <v>0</v>
      </c>
      <c r="G417" s="69" t="s">
        <v>23</v>
      </c>
      <c r="H417" s="69" t="str">
        <f>IFERROR(VLOOKUP(Data!$G417,canon!$I$2:$K$27,2,FALSE),"")</f>
        <v>SH&amp;BL</v>
      </c>
      <c r="I417" s="69" t="str">
        <f>IFERROR(VLOOKUP(Data!$G417,canon!$I$2:$K$27,3,FALSE),"")</f>
        <v>APPAREL</v>
      </c>
      <c r="J417" s="69">
        <f t="shared" si="12"/>
        <v>1</v>
      </c>
      <c r="K417" s="69">
        <f t="shared" si="13"/>
        <v>1</v>
      </c>
      <c r="L417" s="69">
        <f>VLOOKUP(Table_db1_backend_Daily.accdb[[#This Row],[TradingDate]],canon!B:E,4,0)</f>
        <v>31</v>
      </c>
    </row>
    <row r="418" spans="1:12" x14ac:dyDescent="0.2">
      <c r="A418" s="69" t="s">
        <v>6</v>
      </c>
      <c r="B418" s="70">
        <v>42946</v>
      </c>
      <c r="C418" s="69">
        <v>1141</v>
      </c>
      <c r="D418" s="69">
        <v>0</v>
      </c>
      <c r="E418" s="69">
        <v>0</v>
      </c>
      <c r="F418" s="69">
        <v>0</v>
      </c>
      <c r="G418" s="69" t="s">
        <v>32</v>
      </c>
      <c r="H418" s="69" t="str">
        <f>IFERROR(VLOOKUP(Data!$G418,canon!$I$2:$K$27,2,FALSE),"")</f>
        <v>SKIRT</v>
      </c>
      <c r="I418" s="69" t="str">
        <f>IFERROR(VLOOKUP(Data!$G418,canon!$I$2:$K$27,3,FALSE),"")</f>
        <v>APPAREL</v>
      </c>
      <c r="J418" s="69">
        <f t="shared" si="12"/>
        <v>1</v>
      </c>
      <c r="K418" s="69">
        <f t="shared" si="13"/>
        <v>1</v>
      </c>
      <c r="L418" s="69">
        <f>VLOOKUP(Table_db1_backend_Daily.accdb[[#This Row],[TradingDate]],canon!B:E,4,0)</f>
        <v>31</v>
      </c>
    </row>
    <row r="419" spans="1:12" x14ac:dyDescent="0.2">
      <c r="A419" s="69" t="s">
        <v>6</v>
      </c>
      <c r="B419" s="70">
        <v>42946</v>
      </c>
      <c r="C419" s="69">
        <v>10269</v>
      </c>
      <c r="D419" s="69">
        <v>0</v>
      </c>
      <c r="E419" s="69">
        <v>0</v>
      </c>
      <c r="F419" s="69">
        <v>0</v>
      </c>
      <c r="G419" s="69" t="s">
        <v>25</v>
      </c>
      <c r="H419" s="69" t="str">
        <f>IFERROR(VLOOKUP(Data!$G419,canon!$I$2:$K$27,2,FALSE),"")</f>
        <v>TOP</v>
      </c>
      <c r="I419" s="69" t="str">
        <f>IFERROR(VLOOKUP(Data!$G419,canon!$I$2:$K$27,3,FALSE),"")</f>
        <v>APPAREL</v>
      </c>
      <c r="J419" s="69">
        <f t="shared" si="12"/>
        <v>1</v>
      </c>
      <c r="K419" s="69">
        <f t="shared" si="13"/>
        <v>1</v>
      </c>
      <c r="L419" s="69">
        <f>VLOOKUP(Table_db1_backend_Daily.accdb[[#This Row],[TradingDate]],canon!B:E,4,0)</f>
        <v>31</v>
      </c>
    </row>
    <row r="420" spans="1:12" x14ac:dyDescent="0.2">
      <c r="A420" s="69" t="s">
        <v>6</v>
      </c>
      <c r="B420" s="70">
        <v>42947</v>
      </c>
      <c r="C420" s="69">
        <v>0</v>
      </c>
      <c r="D420" s="69">
        <v>0</v>
      </c>
      <c r="E420" s="69">
        <v>0</v>
      </c>
      <c r="F420" s="69">
        <v>0</v>
      </c>
      <c r="G420" s="69" t="s">
        <v>27</v>
      </c>
      <c r="H420" s="69" t="str">
        <f>IFERROR(VLOOKUP(Data!$G420,canon!$I$2:$K$27,2,FALSE),"")</f>
        <v>ACCESSORY</v>
      </c>
      <c r="I420" s="69" t="str">
        <f>IFERROR(VLOOKUP(Data!$G420,canon!$I$2:$K$27,3,FALSE),"")</f>
        <v>N.APPAREL</v>
      </c>
      <c r="J420" s="69">
        <f t="shared" si="12"/>
        <v>2</v>
      </c>
      <c r="K420" s="69">
        <f t="shared" si="13"/>
        <v>1</v>
      </c>
      <c r="L420" s="69">
        <f>VLOOKUP(Table_db1_backend_Daily.accdb[[#This Row],[TradingDate]],canon!B:E,4,0)</f>
        <v>31</v>
      </c>
    </row>
    <row r="421" spans="1:12" x14ac:dyDescent="0.2">
      <c r="A421" s="69" t="s">
        <v>6</v>
      </c>
      <c r="B421" s="70">
        <v>42947</v>
      </c>
      <c r="C421" s="69">
        <v>0</v>
      </c>
      <c r="D421" s="69">
        <v>0</v>
      </c>
      <c r="E421" s="69">
        <v>0</v>
      </c>
      <c r="F421" s="69">
        <v>0</v>
      </c>
      <c r="G421" s="69" t="s">
        <v>7</v>
      </c>
      <c r="H421" s="69" t="str">
        <f>IFERROR(VLOOKUP(Data!$G421,canon!$I$2:$K$27,2,FALSE),"")</f>
        <v>ACCESSORY</v>
      </c>
      <c r="I421" s="69" t="str">
        <f>IFERROR(VLOOKUP(Data!$G421,canon!$I$2:$K$27,3,FALSE),"")</f>
        <v>N.APPAREL</v>
      </c>
      <c r="J421" s="69">
        <f t="shared" si="12"/>
        <v>2</v>
      </c>
      <c r="K421" s="69">
        <f t="shared" si="13"/>
        <v>1</v>
      </c>
      <c r="L421" s="69">
        <f>VLOOKUP(Table_db1_backend_Daily.accdb[[#This Row],[TradingDate]],canon!B:E,4,0)</f>
        <v>31</v>
      </c>
    </row>
    <row r="422" spans="1:12" x14ac:dyDescent="0.2">
      <c r="A422" s="69" t="s">
        <v>6</v>
      </c>
      <c r="B422" s="70">
        <v>42947</v>
      </c>
      <c r="C422" s="69">
        <v>-6</v>
      </c>
      <c r="D422" s="69">
        <v>0</v>
      </c>
      <c r="E422" s="69">
        <v>0</v>
      </c>
      <c r="F422" s="69">
        <v>0</v>
      </c>
      <c r="G422" s="69" t="s">
        <v>34</v>
      </c>
      <c r="H422" s="69" t="str">
        <f>IFERROR(VLOOKUP(Data!$G422,canon!$I$2:$K$27,2,FALSE),"")</f>
        <v>SHOES</v>
      </c>
      <c r="I422" s="69" t="str">
        <f>IFERROR(VLOOKUP(Data!$G422,canon!$I$2:$K$27,3,FALSE),"")</f>
        <v>N.APPAREL</v>
      </c>
      <c r="J422" s="69">
        <f t="shared" si="12"/>
        <v>2</v>
      </c>
      <c r="K422" s="69">
        <f t="shared" si="13"/>
        <v>1</v>
      </c>
      <c r="L422" s="69">
        <f>VLOOKUP(Table_db1_backend_Daily.accdb[[#This Row],[TradingDate]],canon!B:E,4,0)</f>
        <v>31</v>
      </c>
    </row>
    <row r="423" spans="1:12" x14ac:dyDescent="0.2">
      <c r="A423" s="69" t="s">
        <v>6</v>
      </c>
      <c r="B423" s="70">
        <v>42947</v>
      </c>
      <c r="C423" s="69">
        <v>6</v>
      </c>
      <c r="D423" s="69">
        <v>0</v>
      </c>
      <c r="E423" s="69">
        <v>0</v>
      </c>
      <c r="F423" s="69">
        <v>0</v>
      </c>
      <c r="G423" s="69" t="s">
        <v>38</v>
      </c>
      <c r="H423" s="69" t="str">
        <f>IFERROR(VLOOKUP(Data!$G423,canon!$I$2:$K$27,2,FALSE),"")</f>
        <v>SHOES</v>
      </c>
      <c r="I423" s="69" t="str">
        <f>IFERROR(VLOOKUP(Data!$G423,canon!$I$2:$K$27,3,FALSE),"")</f>
        <v>N.APPAREL</v>
      </c>
      <c r="J423" s="69">
        <f t="shared" si="12"/>
        <v>2</v>
      </c>
      <c r="K423" s="69">
        <f t="shared" si="13"/>
        <v>1</v>
      </c>
      <c r="L423" s="69">
        <f>VLOOKUP(Table_db1_backend_Daily.accdb[[#This Row],[TradingDate]],canon!B:E,4,0)</f>
        <v>31</v>
      </c>
    </row>
    <row r="424" spans="1:12" x14ac:dyDescent="0.2">
      <c r="A424" s="69" t="s">
        <v>6</v>
      </c>
      <c r="B424" s="70">
        <v>42947</v>
      </c>
      <c r="C424" s="69">
        <v>4067</v>
      </c>
      <c r="D424" s="69">
        <v>0</v>
      </c>
      <c r="E424" s="69">
        <v>0</v>
      </c>
      <c r="F424" s="69">
        <v>0</v>
      </c>
      <c r="G424" s="69" t="s">
        <v>35</v>
      </c>
      <c r="H424" s="69" t="str">
        <f>IFERROR(VLOOKUP(Data!$G424,canon!$I$2:$K$27,2,FALSE),"")</f>
        <v>DRESS</v>
      </c>
      <c r="I424" s="69" t="str">
        <f>IFERROR(VLOOKUP(Data!$G424,canon!$I$2:$K$27,3,FALSE),"")</f>
        <v>APPAREL</v>
      </c>
      <c r="J424" s="69">
        <f t="shared" si="12"/>
        <v>2</v>
      </c>
      <c r="K424" s="69">
        <f t="shared" si="13"/>
        <v>1</v>
      </c>
      <c r="L424" s="69">
        <f>VLOOKUP(Table_db1_backend_Daily.accdb[[#This Row],[TradingDate]],canon!B:E,4,0)</f>
        <v>31</v>
      </c>
    </row>
    <row r="425" spans="1:12" x14ac:dyDescent="0.2">
      <c r="A425" s="69" t="s">
        <v>6</v>
      </c>
      <c r="B425" s="70">
        <v>42947</v>
      </c>
      <c r="C425" s="69">
        <v>1</v>
      </c>
      <c r="D425" s="69">
        <v>0</v>
      </c>
      <c r="E425" s="69">
        <v>0</v>
      </c>
      <c r="F425" s="69">
        <v>0</v>
      </c>
      <c r="G425" s="69" t="s">
        <v>10</v>
      </c>
      <c r="H425" s="69" t="str">
        <f>IFERROR(VLOOKUP(Data!$G425,canon!$I$2:$K$27,2,FALSE),"")</f>
        <v>ACCESSORY</v>
      </c>
      <c r="I425" s="69" t="str">
        <f>IFERROR(VLOOKUP(Data!$G425,canon!$I$2:$K$27,3,FALSE),"")</f>
        <v>N.APPAREL</v>
      </c>
      <c r="J425" s="69">
        <f t="shared" si="12"/>
        <v>2</v>
      </c>
      <c r="K425" s="69">
        <f t="shared" si="13"/>
        <v>1</v>
      </c>
      <c r="L425" s="69">
        <f>VLOOKUP(Table_db1_backend_Daily.accdb[[#This Row],[TradingDate]],canon!B:E,4,0)</f>
        <v>31</v>
      </c>
    </row>
    <row r="426" spans="1:12" x14ac:dyDescent="0.2">
      <c r="A426" s="69" t="s">
        <v>6</v>
      </c>
      <c r="B426" s="70">
        <v>42947</v>
      </c>
      <c r="C426" s="69">
        <v>215</v>
      </c>
      <c r="D426" s="69">
        <v>0</v>
      </c>
      <c r="E426" s="69">
        <v>0</v>
      </c>
      <c r="F426" s="69">
        <v>0</v>
      </c>
      <c r="G426" s="69" t="s">
        <v>28</v>
      </c>
      <c r="H426" s="69" t="str">
        <f>IFERROR(VLOOKUP(Data!$G426,canon!$I$2:$K$27,2,FALSE),"")</f>
        <v>ACCESSORY</v>
      </c>
      <c r="I426" s="69" t="str">
        <f>IFERROR(VLOOKUP(Data!$G426,canon!$I$2:$K$27,3,FALSE),"")</f>
        <v>N.APPAREL</v>
      </c>
      <c r="J426" s="69">
        <f t="shared" si="12"/>
        <v>2</v>
      </c>
      <c r="K426" s="69">
        <f t="shared" si="13"/>
        <v>1</v>
      </c>
      <c r="L426" s="69">
        <f>VLOOKUP(Table_db1_backend_Daily.accdb[[#This Row],[TradingDate]],canon!B:E,4,0)</f>
        <v>31</v>
      </c>
    </row>
    <row r="427" spans="1:12" x14ac:dyDescent="0.2">
      <c r="A427" s="69" t="s">
        <v>6</v>
      </c>
      <c r="B427" s="70">
        <v>42947</v>
      </c>
      <c r="C427" s="69">
        <v>9719</v>
      </c>
      <c r="D427" s="69">
        <v>0</v>
      </c>
      <c r="E427" s="69">
        <v>0</v>
      </c>
      <c r="F427" s="69">
        <v>0</v>
      </c>
      <c r="G427" s="69" t="s">
        <v>11</v>
      </c>
      <c r="H427" s="69" t="str">
        <f>IFERROR(VLOOKUP(Data!$G427,canon!$I$2:$K$27,2,FALSE),"")</f>
        <v>KNIT</v>
      </c>
      <c r="I427" s="69" t="str">
        <f>IFERROR(VLOOKUP(Data!$G427,canon!$I$2:$K$27,3,FALSE),"")</f>
        <v>APPAREL</v>
      </c>
      <c r="J427" s="69">
        <f t="shared" si="12"/>
        <v>2</v>
      </c>
      <c r="K427" s="69">
        <f t="shared" si="13"/>
        <v>1</v>
      </c>
      <c r="L427" s="69">
        <f>VLOOKUP(Table_db1_backend_Daily.accdb[[#This Row],[TradingDate]],canon!B:E,4,0)</f>
        <v>31</v>
      </c>
    </row>
    <row r="428" spans="1:12" x14ac:dyDescent="0.2">
      <c r="A428" s="69" t="s">
        <v>6</v>
      </c>
      <c r="B428" s="70">
        <v>42947</v>
      </c>
      <c r="C428" s="69">
        <v>4179</v>
      </c>
      <c r="D428" s="69">
        <v>0</v>
      </c>
      <c r="E428" s="69">
        <v>0</v>
      </c>
      <c r="F428" s="69">
        <v>0</v>
      </c>
      <c r="G428" s="69" t="s">
        <v>14</v>
      </c>
      <c r="H428" s="69" t="str">
        <f>IFERROR(VLOOKUP(Data!$G428,canon!$I$2:$K$27,2,FALSE),"")</f>
        <v>LEGGING</v>
      </c>
      <c r="I428" s="69" t="str">
        <f>IFERROR(VLOOKUP(Data!$G428,canon!$I$2:$K$27,3,FALSE),"")</f>
        <v>APPAREL</v>
      </c>
      <c r="J428" s="69">
        <f t="shared" si="12"/>
        <v>2</v>
      </c>
      <c r="K428" s="69">
        <f t="shared" si="13"/>
        <v>1</v>
      </c>
      <c r="L428" s="69">
        <f>VLOOKUP(Table_db1_backend_Daily.accdb[[#This Row],[TradingDate]],canon!B:E,4,0)</f>
        <v>31</v>
      </c>
    </row>
    <row r="429" spans="1:12" x14ac:dyDescent="0.2">
      <c r="A429" s="69" t="s">
        <v>6</v>
      </c>
      <c r="B429" s="70">
        <v>42947</v>
      </c>
      <c r="C429" s="69">
        <v>0</v>
      </c>
      <c r="D429" s="69">
        <v>0</v>
      </c>
      <c r="E429" s="69">
        <v>0</v>
      </c>
      <c r="F429" s="69">
        <v>0</v>
      </c>
      <c r="G429" s="69" t="s">
        <v>16</v>
      </c>
      <c r="H429" s="69" t="str">
        <f>IFERROR(VLOOKUP(Data!$G429,canon!$I$2:$K$27,2,FALSE),"")</f>
        <v>ACCESSORY</v>
      </c>
      <c r="I429" s="69" t="str">
        <f>IFERROR(VLOOKUP(Data!$G429,canon!$I$2:$K$27,3,FALSE),"")</f>
        <v>N.APPAREL</v>
      </c>
      <c r="J429" s="69">
        <f t="shared" si="12"/>
        <v>2</v>
      </c>
      <c r="K429" s="69">
        <f t="shared" si="13"/>
        <v>1</v>
      </c>
      <c r="L429" s="69">
        <f>VLOOKUP(Table_db1_backend_Daily.accdb[[#This Row],[TradingDate]],canon!B:E,4,0)</f>
        <v>31</v>
      </c>
    </row>
    <row r="430" spans="1:12" x14ac:dyDescent="0.2">
      <c r="A430" s="69" t="s">
        <v>6</v>
      </c>
      <c r="B430" s="70">
        <v>42947</v>
      </c>
      <c r="C430" s="69">
        <v>13</v>
      </c>
      <c r="D430" s="69">
        <v>0</v>
      </c>
      <c r="E430" s="69">
        <v>0</v>
      </c>
      <c r="F430" s="69">
        <v>0</v>
      </c>
      <c r="G430" s="69" t="s">
        <v>37</v>
      </c>
      <c r="H430" s="69" t="str">
        <f>IFERROR(VLOOKUP(Data!$G430,canon!$I$2:$K$27,2,FALSE),"")</f>
        <v>SHOES</v>
      </c>
      <c r="I430" s="69" t="str">
        <f>IFERROR(VLOOKUP(Data!$G430,canon!$I$2:$K$27,3,FALSE),"")</f>
        <v>N.APPAREL</v>
      </c>
      <c r="J430" s="69">
        <f t="shared" si="12"/>
        <v>2</v>
      </c>
      <c r="K430" s="69">
        <f t="shared" si="13"/>
        <v>1</v>
      </c>
      <c r="L430" s="69">
        <f>VLOOKUP(Table_db1_backend_Daily.accdb[[#This Row],[TradingDate]],canon!B:E,4,0)</f>
        <v>31</v>
      </c>
    </row>
    <row r="431" spans="1:12" x14ac:dyDescent="0.2">
      <c r="A431" s="69" t="s">
        <v>6</v>
      </c>
      <c r="B431" s="70">
        <v>42947</v>
      </c>
      <c r="C431" s="69">
        <v>-1</v>
      </c>
      <c r="D431" s="69">
        <v>0</v>
      </c>
      <c r="E431" s="69">
        <v>0</v>
      </c>
      <c r="F431" s="69">
        <v>0</v>
      </c>
      <c r="G431" s="69" t="s">
        <v>29</v>
      </c>
      <c r="H431" s="69" t="str">
        <f>IFERROR(VLOOKUP(Data!$G431,canon!$I$2:$K$27,2,FALSE),"")</f>
        <v>SHOES</v>
      </c>
      <c r="I431" s="69" t="str">
        <f>IFERROR(VLOOKUP(Data!$G431,canon!$I$2:$K$27,3,FALSE),"")</f>
        <v>N.APPAREL</v>
      </c>
      <c r="J431" s="69">
        <f t="shared" si="12"/>
        <v>2</v>
      </c>
      <c r="K431" s="69">
        <f t="shared" si="13"/>
        <v>1</v>
      </c>
      <c r="L431" s="69">
        <f>VLOOKUP(Table_db1_backend_Daily.accdb[[#This Row],[TradingDate]],canon!B:E,4,0)</f>
        <v>31</v>
      </c>
    </row>
    <row r="432" spans="1:12" x14ac:dyDescent="0.2">
      <c r="A432" s="69" t="s">
        <v>6</v>
      </c>
      <c r="B432" s="70">
        <v>42947</v>
      </c>
      <c r="C432" s="69">
        <v>3416</v>
      </c>
      <c r="D432" s="69">
        <v>0</v>
      </c>
      <c r="E432" s="69">
        <v>0</v>
      </c>
      <c r="F432" s="69">
        <v>0</v>
      </c>
      <c r="G432" s="69" t="s">
        <v>17</v>
      </c>
      <c r="H432" s="69" t="str">
        <f>IFERROR(VLOOKUP(Data!$G432,canon!$I$2:$K$27,2,FALSE),"")</f>
        <v>OUTER</v>
      </c>
      <c r="I432" s="69" t="str">
        <f>IFERROR(VLOOKUP(Data!$G432,canon!$I$2:$K$27,3,FALSE),"")</f>
        <v>APPAREL</v>
      </c>
      <c r="J432" s="69">
        <f t="shared" si="12"/>
        <v>2</v>
      </c>
      <c r="K432" s="69">
        <f t="shared" si="13"/>
        <v>1</v>
      </c>
      <c r="L432" s="69">
        <f>VLOOKUP(Table_db1_backend_Daily.accdb[[#This Row],[TradingDate]],canon!B:E,4,0)</f>
        <v>31</v>
      </c>
    </row>
    <row r="433" spans="1:12" x14ac:dyDescent="0.2">
      <c r="A433" s="69" t="s">
        <v>6</v>
      </c>
      <c r="B433" s="70">
        <v>42947</v>
      </c>
      <c r="C433" s="69">
        <v>1321</v>
      </c>
      <c r="D433" s="69">
        <v>0</v>
      </c>
      <c r="E433" s="69">
        <v>0</v>
      </c>
      <c r="F433" s="69">
        <v>0</v>
      </c>
      <c r="G433" s="69" t="s">
        <v>19</v>
      </c>
      <c r="H433" s="69" t="str">
        <f>IFERROR(VLOOKUP(Data!$G433,canon!$I$2:$K$27,2,FALSE),"")</f>
        <v>PANT</v>
      </c>
      <c r="I433" s="69" t="str">
        <f>IFERROR(VLOOKUP(Data!$G433,canon!$I$2:$K$27,3,FALSE),"")</f>
        <v>APPAREL</v>
      </c>
      <c r="J433" s="69">
        <f t="shared" si="12"/>
        <v>2</v>
      </c>
      <c r="K433" s="69">
        <f t="shared" si="13"/>
        <v>1</v>
      </c>
      <c r="L433" s="69">
        <f>VLOOKUP(Table_db1_backend_Daily.accdb[[#This Row],[TradingDate]],canon!B:E,4,0)</f>
        <v>31</v>
      </c>
    </row>
    <row r="434" spans="1:12" x14ac:dyDescent="0.2">
      <c r="A434" s="69" t="s">
        <v>6</v>
      </c>
      <c r="B434" s="70">
        <v>42947</v>
      </c>
      <c r="C434" s="69">
        <v>49</v>
      </c>
      <c r="D434" s="69">
        <v>0</v>
      </c>
      <c r="E434" s="69">
        <v>0</v>
      </c>
      <c r="F434" s="69">
        <v>0</v>
      </c>
      <c r="G434" s="69" t="s">
        <v>21</v>
      </c>
      <c r="H434" s="69" t="str">
        <f>IFERROR(VLOOKUP(Data!$G434,canon!$I$2:$K$27,2,FALSE),"")</f>
        <v>ACCESSORY</v>
      </c>
      <c r="I434" s="69" t="str">
        <f>IFERROR(VLOOKUP(Data!$G434,canon!$I$2:$K$27,3,FALSE),"")</f>
        <v>N.APPAREL</v>
      </c>
      <c r="J434" s="69">
        <f t="shared" si="12"/>
        <v>2</v>
      </c>
      <c r="K434" s="69">
        <f t="shared" si="13"/>
        <v>1</v>
      </c>
      <c r="L434" s="69">
        <f>VLOOKUP(Table_db1_backend_Daily.accdb[[#This Row],[TradingDate]],canon!B:E,4,0)</f>
        <v>31</v>
      </c>
    </row>
    <row r="435" spans="1:12" x14ac:dyDescent="0.2">
      <c r="A435" s="69" t="s">
        <v>6</v>
      </c>
      <c r="B435" s="70">
        <v>42947</v>
      </c>
      <c r="C435" s="69">
        <v>4401</v>
      </c>
      <c r="D435" s="69">
        <v>0</v>
      </c>
      <c r="E435" s="69">
        <v>0</v>
      </c>
      <c r="F435" s="69">
        <v>0</v>
      </c>
      <c r="G435" s="69" t="s">
        <v>22</v>
      </c>
      <c r="H435" s="69" t="str">
        <f>IFERROR(VLOOKUP(Data!$G435,canon!$I$2:$K$27,2,FALSE),"")</f>
        <v>SCARF</v>
      </c>
      <c r="I435" s="69" t="str">
        <f>IFERROR(VLOOKUP(Data!$G435,canon!$I$2:$K$27,3,FALSE),"")</f>
        <v>N.APPAREL</v>
      </c>
      <c r="J435" s="69">
        <f t="shared" si="12"/>
        <v>2</v>
      </c>
      <c r="K435" s="69">
        <f t="shared" si="13"/>
        <v>1</v>
      </c>
      <c r="L435" s="69">
        <f>VLOOKUP(Table_db1_backend_Daily.accdb[[#This Row],[TradingDate]],canon!B:E,4,0)</f>
        <v>31</v>
      </c>
    </row>
    <row r="436" spans="1:12" x14ac:dyDescent="0.2">
      <c r="A436" s="69" t="s">
        <v>6</v>
      </c>
      <c r="B436" s="70">
        <v>42947</v>
      </c>
      <c r="C436" s="69">
        <v>774</v>
      </c>
      <c r="D436" s="69">
        <v>0</v>
      </c>
      <c r="E436" s="69">
        <v>0</v>
      </c>
      <c r="F436" s="69">
        <v>0</v>
      </c>
      <c r="G436" s="69" t="s">
        <v>23</v>
      </c>
      <c r="H436" s="69" t="str">
        <f>IFERROR(VLOOKUP(Data!$G436,canon!$I$2:$K$27,2,FALSE),"")</f>
        <v>SH&amp;BL</v>
      </c>
      <c r="I436" s="69" t="str">
        <f>IFERROR(VLOOKUP(Data!$G436,canon!$I$2:$K$27,3,FALSE),"")</f>
        <v>APPAREL</v>
      </c>
      <c r="J436" s="69">
        <f t="shared" si="12"/>
        <v>2</v>
      </c>
      <c r="K436" s="69">
        <f t="shared" si="13"/>
        <v>1</v>
      </c>
      <c r="L436" s="69">
        <f>VLOOKUP(Table_db1_backend_Daily.accdb[[#This Row],[TradingDate]],canon!B:E,4,0)</f>
        <v>31</v>
      </c>
    </row>
    <row r="437" spans="1:12" x14ac:dyDescent="0.2">
      <c r="A437" s="69" t="s">
        <v>6</v>
      </c>
      <c r="B437" s="70">
        <v>42947</v>
      </c>
      <c r="C437" s="69">
        <v>973</v>
      </c>
      <c r="D437" s="69">
        <v>0</v>
      </c>
      <c r="E437" s="69">
        <v>0</v>
      </c>
      <c r="F437" s="69">
        <v>0</v>
      </c>
      <c r="G437" s="69" t="s">
        <v>32</v>
      </c>
      <c r="H437" s="69" t="str">
        <f>IFERROR(VLOOKUP(Data!$G437,canon!$I$2:$K$27,2,FALSE),"")</f>
        <v>SKIRT</v>
      </c>
      <c r="I437" s="69" t="str">
        <f>IFERROR(VLOOKUP(Data!$G437,canon!$I$2:$K$27,3,FALSE),"")</f>
        <v>APPAREL</v>
      </c>
      <c r="J437" s="69">
        <f t="shared" si="12"/>
        <v>2</v>
      </c>
      <c r="K437" s="69">
        <f t="shared" si="13"/>
        <v>1</v>
      </c>
      <c r="L437" s="69">
        <f>VLOOKUP(Table_db1_backend_Daily.accdb[[#This Row],[TradingDate]],canon!B:E,4,0)</f>
        <v>31</v>
      </c>
    </row>
    <row r="438" spans="1:12" x14ac:dyDescent="0.2">
      <c r="A438" s="69" t="s">
        <v>6</v>
      </c>
      <c r="B438" s="70">
        <v>42947</v>
      </c>
      <c r="C438" s="69">
        <v>8541</v>
      </c>
      <c r="D438" s="69">
        <v>0</v>
      </c>
      <c r="E438" s="69">
        <v>0</v>
      </c>
      <c r="F438" s="69">
        <v>0</v>
      </c>
      <c r="G438" s="69" t="s">
        <v>25</v>
      </c>
      <c r="H438" s="69" t="str">
        <f>IFERROR(VLOOKUP(Data!$G438,canon!$I$2:$K$27,2,FALSE),"")</f>
        <v>TOP</v>
      </c>
      <c r="I438" s="69" t="str">
        <f>IFERROR(VLOOKUP(Data!$G438,canon!$I$2:$K$27,3,FALSE),"")</f>
        <v>APPAREL</v>
      </c>
      <c r="J438" s="69">
        <f t="shared" si="12"/>
        <v>2</v>
      </c>
      <c r="K438" s="69">
        <f t="shared" si="13"/>
        <v>1</v>
      </c>
      <c r="L438" s="69">
        <f>VLOOKUP(Table_db1_backend_Daily.accdb[[#This Row],[TradingDate]],canon!B:E,4,0)</f>
        <v>31</v>
      </c>
    </row>
    <row r="439" spans="1:12" x14ac:dyDescent="0.2">
      <c r="A439" s="69" t="s">
        <v>6</v>
      </c>
      <c r="B439" s="70">
        <v>42948</v>
      </c>
      <c r="C439" s="69">
        <v>0</v>
      </c>
      <c r="D439" s="69">
        <v>0</v>
      </c>
      <c r="E439" s="69">
        <v>0</v>
      </c>
      <c r="F439" s="69">
        <v>0</v>
      </c>
      <c r="G439" s="69" t="s">
        <v>27</v>
      </c>
      <c r="H439" s="69" t="str">
        <f>IFERROR(VLOOKUP(Data!$G439,canon!$I$2:$K$27,2,FALSE),"")</f>
        <v>ACCESSORY</v>
      </c>
      <c r="I439" s="69" t="str">
        <f>IFERROR(VLOOKUP(Data!$G439,canon!$I$2:$K$27,3,FALSE),"")</f>
        <v>N.APPAREL</v>
      </c>
      <c r="J439" s="69">
        <f t="shared" si="12"/>
        <v>3</v>
      </c>
      <c r="K439" s="69">
        <f t="shared" si="13"/>
        <v>1</v>
      </c>
      <c r="L439" s="69">
        <f>VLOOKUP(Table_db1_backend_Daily.accdb[[#This Row],[TradingDate]],canon!B:E,4,0)</f>
        <v>31</v>
      </c>
    </row>
    <row r="440" spans="1:12" x14ac:dyDescent="0.2">
      <c r="A440" s="69" t="s">
        <v>6</v>
      </c>
      <c r="B440" s="70">
        <v>42948</v>
      </c>
      <c r="C440" s="69">
        <v>0</v>
      </c>
      <c r="D440" s="69">
        <v>0</v>
      </c>
      <c r="E440" s="69">
        <v>0</v>
      </c>
      <c r="F440" s="69">
        <v>0</v>
      </c>
      <c r="G440" s="69" t="s">
        <v>7</v>
      </c>
      <c r="H440" s="69" t="str">
        <f>IFERROR(VLOOKUP(Data!$G440,canon!$I$2:$K$27,2,FALSE),"")</f>
        <v>ACCESSORY</v>
      </c>
      <c r="I440" s="69" t="str">
        <f>IFERROR(VLOOKUP(Data!$G440,canon!$I$2:$K$27,3,FALSE),"")</f>
        <v>N.APPAREL</v>
      </c>
      <c r="J440" s="69">
        <f t="shared" si="12"/>
        <v>3</v>
      </c>
      <c r="K440" s="69">
        <f t="shared" si="13"/>
        <v>1</v>
      </c>
      <c r="L440" s="69">
        <f>VLOOKUP(Table_db1_backend_Daily.accdb[[#This Row],[TradingDate]],canon!B:E,4,0)</f>
        <v>31</v>
      </c>
    </row>
    <row r="441" spans="1:12" x14ac:dyDescent="0.2">
      <c r="A441" s="69" t="s">
        <v>6</v>
      </c>
      <c r="B441" s="70">
        <v>42948</v>
      </c>
      <c r="C441" s="69">
        <v>-6</v>
      </c>
      <c r="D441" s="69">
        <v>0</v>
      </c>
      <c r="E441" s="69">
        <v>0</v>
      </c>
      <c r="F441" s="69">
        <v>0</v>
      </c>
      <c r="G441" s="69" t="s">
        <v>34</v>
      </c>
      <c r="H441" s="69" t="str">
        <f>IFERROR(VLOOKUP(Data!$G441,canon!$I$2:$K$27,2,FALSE),"")</f>
        <v>SHOES</v>
      </c>
      <c r="I441" s="69" t="str">
        <f>IFERROR(VLOOKUP(Data!$G441,canon!$I$2:$K$27,3,FALSE),"")</f>
        <v>N.APPAREL</v>
      </c>
      <c r="J441" s="69">
        <f t="shared" si="12"/>
        <v>3</v>
      </c>
      <c r="K441" s="69">
        <f t="shared" si="13"/>
        <v>1</v>
      </c>
      <c r="L441" s="69">
        <f>VLOOKUP(Table_db1_backend_Daily.accdb[[#This Row],[TradingDate]],canon!B:E,4,0)</f>
        <v>31</v>
      </c>
    </row>
    <row r="442" spans="1:12" x14ac:dyDescent="0.2">
      <c r="A442" s="69" t="s">
        <v>6</v>
      </c>
      <c r="B442" s="70">
        <v>42948</v>
      </c>
      <c r="C442" s="69">
        <v>6</v>
      </c>
      <c r="D442" s="69">
        <v>0</v>
      </c>
      <c r="E442" s="69">
        <v>0</v>
      </c>
      <c r="F442" s="69">
        <v>0</v>
      </c>
      <c r="G442" s="69" t="s">
        <v>38</v>
      </c>
      <c r="H442" s="69" t="str">
        <f>IFERROR(VLOOKUP(Data!$G442,canon!$I$2:$K$27,2,FALSE),"")</f>
        <v>SHOES</v>
      </c>
      <c r="I442" s="69" t="str">
        <f>IFERROR(VLOOKUP(Data!$G442,canon!$I$2:$K$27,3,FALSE),"")</f>
        <v>N.APPAREL</v>
      </c>
      <c r="J442" s="69">
        <f t="shared" si="12"/>
        <v>3</v>
      </c>
      <c r="K442" s="69">
        <f t="shared" si="13"/>
        <v>1</v>
      </c>
      <c r="L442" s="69">
        <f>VLOOKUP(Table_db1_backend_Daily.accdb[[#This Row],[TradingDate]],canon!B:E,4,0)</f>
        <v>31</v>
      </c>
    </row>
    <row r="443" spans="1:12" x14ac:dyDescent="0.2">
      <c r="A443" s="69" t="s">
        <v>6</v>
      </c>
      <c r="B443" s="70">
        <v>42948</v>
      </c>
      <c r="C443" s="69">
        <v>3905</v>
      </c>
      <c r="D443" s="69">
        <v>0</v>
      </c>
      <c r="E443" s="69">
        <v>0</v>
      </c>
      <c r="F443" s="69">
        <v>0</v>
      </c>
      <c r="G443" s="69" t="s">
        <v>35</v>
      </c>
      <c r="H443" s="69" t="str">
        <f>IFERROR(VLOOKUP(Data!$G443,canon!$I$2:$K$27,2,FALSE),"")</f>
        <v>DRESS</v>
      </c>
      <c r="I443" s="69" t="str">
        <f>IFERROR(VLOOKUP(Data!$G443,canon!$I$2:$K$27,3,FALSE),"")</f>
        <v>APPAREL</v>
      </c>
      <c r="J443" s="69">
        <f t="shared" si="12"/>
        <v>3</v>
      </c>
      <c r="K443" s="69">
        <f t="shared" si="13"/>
        <v>1</v>
      </c>
      <c r="L443" s="69">
        <f>VLOOKUP(Table_db1_backend_Daily.accdb[[#This Row],[TradingDate]],canon!B:E,4,0)</f>
        <v>31</v>
      </c>
    </row>
    <row r="444" spans="1:12" x14ac:dyDescent="0.2">
      <c r="A444" s="69" t="s">
        <v>6</v>
      </c>
      <c r="B444" s="70">
        <v>42948</v>
      </c>
      <c r="C444" s="69">
        <v>1</v>
      </c>
      <c r="D444" s="69">
        <v>0</v>
      </c>
      <c r="E444" s="69">
        <v>0</v>
      </c>
      <c r="F444" s="69">
        <v>0</v>
      </c>
      <c r="G444" s="69" t="s">
        <v>10</v>
      </c>
      <c r="H444" s="69" t="str">
        <f>IFERROR(VLOOKUP(Data!$G444,canon!$I$2:$K$27,2,FALSE),"")</f>
        <v>ACCESSORY</v>
      </c>
      <c r="I444" s="69" t="str">
        <f>IFERROR(VLOOKUP(Data!$G444,canon!$I$2:$K$27,3,FALSE),"")</f>
        <v>N.APPAREL</v>
      </c>
      <c r="J444" s="69">
        <f t="shared" si="12"/>
        <v>3</v>
      </c>
      <c r="K444" s="69">
        <f t="shared" si="13"/>
        <v>1</v>
      </c>
      <c r="L444" s="69">
        <f>VLOOKUP(Table_db1_backend_Daily.accdb[[#This Row],[TradingDate]],canon!B:E,4,0)</f>
        <v>31</v>
      </c>
    </row>
    <row r="445" spans="1:12" x14ac:dyDescent="0.2">
      <c r="A445" s="69" t="s">
        <v>6</v>
      </c>
      <c r="B445" s="70">
        <v>42948</v>
      </c>
      <c r="C445" s="69">
        <v>215</v>
      </c>
      <c r="D445" s="69">
        <v>0</v>
      </c>
      <c r="E445" s="69">
        <v>0</v>
      </c>
      <c r="F445" s="69">
        <v>0</v>
      </c>
      <c r="G445" s="69" t="s">
        <v>28</v>
      </c>
      <c r="H445" s="69" t="str">
        <f>IFERROR(VLOOKUP(Data!$G445,canon!$I$2:$K$27,2,FALSE),"")</f>
        <v>ACCESSORY</v>
      </c>
      <c r="I445" s="69" t="str">
        <f>IFERROR(VLOOKUP(Data!$G445,canon!$I$2:$K$27,3,FALSE),"")</f>
        <v>N.APPAREL</v>
      </c>
      <c r="J445" s="69">
        <f t="shared" si="12"/>
        <v>3</v>
      </c>
      <c r="K445" s="69">
        <f t="shared" si="13"/>
        <v>1</v>
      </c>
      <c r="L445" s="69">
        <f>VLOOKUP(Table_db1_backend_Daily.accdb[[#This Row],[TradingDate]],canon!B:E,4,0)</f>
        <v>31</v>
      </c>
    </row>
    <row r="446" spans="1:12" x14ac:dyDescent="0.2">
      <c r="A446" s="69" t="s">
        <v>6</v>
      </c>
      <c r="B446" s="70">
        <v>42948</v>
      </c>
      <c r="C446" s="69">
        <v>9543</v>
      </c>
      <c r="D446" s="69">
        <v>0</v>
      </c>
      <c r="E446" s="69">
        <v>0</v>
      </c>
      <c r="F446" s="69">
        <v>0</v>
      </c>
      <c r="G446" s="69" t="s">
        <v>11</v>
      </c>
      <c r="H446" s="69" t="str">
        <f>IFERROR(VLOOKUP(Data!$G446,canon!$I$2:$K$27,2,FALSE),"")</f>
        <v>KNIT</v>
      </c>
      <c r="I446" s="69" t="str">
        <f>IFERROR(VLOOKUP(Data!$G446,canon!$I$2:$K$27,3,FALSE),"")</f>
        <v>APPAREL</v>
      </c>
      <c r="J446" s="69">
        <f t="shared" si="12"/>
        <v>3</v>
      </c>
      <c r="K446" s="69">
        <f t="shared" si="13"/>
        <v>1</v>
      </c>
      <c r="L446" s="69">
        <f>VLOOKUP(Table_db1_backend_Daily.accdb[[#This Row],[TradingDate]],canon!B:E,4,0)</f>
        <v>31</v>
      </c>
    </row>
    <row r="447" spans="1:12" x14ac:dyDescent="0.2">
      <c r="A447" s="69" t="s">
        <v>6</v>
      </c>
      <c r="B447" s="70">
        <v>42948</v>
      </c>
      <c r="C447" s="69">
        <v>4173</v>
      </c>
      <c r="D447" s="69">
        <v>0</v>
      </c>
      <c r="E447" s="69">
        <v>0</v>
      </c>
      <c r="F447" s="69">
        <v>0</v>
      </c>
      <c r="G447" s="69" t="s">
        <v>14</v>
      </c>
      <c r="H447" s="69" t="str">
        <f>IFERROR(VLOOKUP(Data!$G447,canon!$I$2:$K$27,2,FALSE),"")</f>
        <v>LEGGING</v>
      </c>
      <c r="I447" s="69" t="str">
        <f>IFERROR(VLOOKUP(Data!$G447,canon!$I$2:$K$27,3,FALSE),"")</f>
        <v>APPAREL</v>
      </c>
      <c r="J447" s="69">
        <f t="shared" si="12"/>
        <v>3</v>
      </c>
      <c r="K447" s="69">
        <f t="shared" si="13"/>
        <v>1</v>
      </c>
      <c r="L447" s="69">
        <f>VLOOKUP(Table_db1_backend_Daily.accdb[[#This Row],[TradingDate]],canon!B:E,4,0)</f>
        <v>31</v>
      </c>
    </row>
    <row r="448" spans="1:12" x14ac:dyDescent="0.2">
      <c r="A448" s="69" t="s">
        <v>6</v>
      </c>
      <c r="B448" s="70">
        <v>42948</v>
      </c>
      <c r="C448" s="69">
        <v>0</v>
      </c>
      <c r="D448" s="69">
        <v>0</v>
      </c>
      <c r="E448" s="69">
        <v>0</v>
      </c>
      <c r="F448" s="69">
        <v>0</v>
      </c>
      <c r="G448" s="69" t="s">
        <v>16</v>
      </c>
      <c r="H448" s="69" t="str">
        <f>IFERROR(VLOOKUP(Data!$G448,canon!$I$2:$K$27,2,FALSE),"")</f>
        <v>ACCESSORY</v>
      </c>
      <c r="I448" s="69" t="str">
        <f>IFERROR(VLOOKUP(Data!$G448,canon!$I$2:$K$27,3,FALSE),"")</f>
        <v>N.APPAREL</v>
      </c>
      <c r="J448" s="69">
        <f t="shared" si="12"/>
        <v>3</v>
      </c>
      <c r="K448" s="69">
        <f t="shared" si="13"/>
        <v>1</v>
      </c>
      <c r="L448" s="69">
        <f>VLOOKUP(Table_db1_backend_Daily.accdb[[#This Row],[TradingDate]],canon!B:E,4,0)</f>
        <v>31</v>
      </c>
    </row>
    <row r="449" spans="1:12" x14ac:dyDescent="0.2">
      <c r="A449" s="69" t="s">
        <v>6</v>
      </c>
      <c r="B449" s="70">
        <v>42948</v>
      </c>
      <c r="C449" s="69">
        <v>13</v>
      </c>
      <c r="D449" s="69">
        <v>0</v>
      </c>
      <c r="E449" s="69">
        <v>0</v>
      </c>
      <c r="F449" s="69">
        <v>0</v>
      </c>
      <c r="G449" s="69" t="s">
        <v>37</v>
      </c>
      <c r="H449" s="69" t="str">
        <f>IFERROR(VLOOKUP(Data!$G449,canon!$I$2:$K$27,2,FALSE),"")</f>
        <v>SHOES</v>
      </c>
      <c r="I449" s="69" t="str">
        <f>IFERROR(VLOOKUP(Data!$G449,canon!$I$2:$K$27,3,FALSE),"")</f>
        <v>N.APPAREL</v>
      </c>
      <c r="J449" s="69">
        <f t="shared" si="12"/>
        <v>3</v>
      </c>
      <c r="K449" s="69">
        <f t="shared" si="13"/>
        <v>1</v>
      </c>
      <c r="L449" s="69">
        <f>VLOOKUP(Table_db1_backend_Daily.accdb[[#This Row],[TradingDate]],canon!B:E,4,0)</f>
        <v>31</v>
      </c>
    </row>
    <row r="450" spans="1:12" x14ac:dyDescent="0.2">
      <c r="A450" s="69" t="s">
        <v>6</v>
      </c>
      <c r="B450" s="70">
        <v>42948</v>
      </c>
      <c r="C450" s="69">
        <v>-1</v>
      </c>
      <c r="D450" s="69">
        <v>0</v>
      </c>
      <c r="E450" s="69">
        <v>0</v>
      </c>
      <c r="F450" s="69">
        <v>0</v>
      </c>
      <c r="G450" s="69" t="s">
        <v>29</v>
      </c>
      <c r="H450" s="69" t="str">
        <f>IFERROR(VLOOKUP(Data!$G450,canon!$I$2:$K$27,2,FALSE),"")</f>
        <v>SHOES</v>
      </c>
      <c r="I450" s="69" t="str">
        <f>IFERROR(VLOOKUP(Data!$G450,canon!$I$2:$K$27,3,FALSE),"")</f>
        <v>N.APPAREL</v>
      </c>
      <c r="J450" s="69">
        <f t="shared" ref="J450:J513" si="14">WEEKDAY(B450)</f>
        <v>3</v>
      </c>
      <c r="K450" s="69">
        <f t="shared" ref="K450:K513" si="15">INT(A450)</f>
        <v>1</v>
      </c>
      <c r="L450" s="69">
        <f>VLOOKUP(Table_db1_backend_Daily.accdb[[#This Row],[TradingDate]],canon!B:E,4,0)</f>
        <v>31</v>
      </c>
    </row>
    <row r="451" spans="1:12" x14ac:dyDescent="0.2">
      <c r="A451" s="69" t="s">
        <v>6</v>
      </c>
      <c r="B451" s="70">
        <v>42948</v>
      </c>
      <c r="C451" s="69">
        <v>3164</v>
      </c>
      <c r="D451" s="69">
        <v>0</v>
      </c>
      <c r="E451" s="69">
        <v>0</v>
      </c>
      <c r="F451" s="69">
        <v>0</v>
      </c>
      <c r="G451" s="69" t="s">
        <v>17</v>
      </c>
      <c r="H451" s="69" t="str">
        <f>IFERROR(VLOOKUP(Data!$G451,canon!$I$2:$K$27,2,FALSE),"")</f>
        <v>OUTER</v>
      </c>
      <c r="I451" s="69" t="str">
        <f>IFERROR(VLOOKUP(Data!$G451,canon!$I$2:$K$27,3,FALSE),"")</f>
        <v>APPAREL</v>
      </c>
      <c r="J451" s="69">
        <f t="shared" si="14"/>
        <v>3</v>
      </c>
      <c r="K451" s="69">
        <f t="shared" si="15"/>
        <v>1</v>
      </c>
      <c r="L451" s="69">
        <f>VLOOKUP(Table_db1_backend_Daily.accdb[[#This Row],[TradingDate]],canon!B:E,4,0)</f>
        <v>31</v>
      </c>
    </row>
    <row r="452" spans="1:12" x14ac:dyDescent="0.2">
      <c r="A452" s="69" t="s">
        <v>6</v>
      </c>
      <c r="B452" s="70">
        <v>42948</v>
      </c>
      <c r="C452" s="69">
        <v>1297</v>
      </c>
      <c r="D452" s="69">
        <v>0</v>
      </c>
      <c r="E452" s="69">
        <v>0</v>
      </c>
      <c r="F452" s="69">
        <v>0</v>
      </c>
      <c r="G452" s="69" t="s">
        <v>19</v>
      </c>
      <c r="H452" s="69" t="str">
        <f>IFERROR(VLOOKUP(Data!$G452,canon!$I$2:$K$27,2,FALSE),"")</f>
        <v>PANT</v>
      </c>
      <c r="I452" s="69" t="str">
        <f>IFERROR(VLOOKUP(Data!$G452,canon!$I$2:$K$27,3,FALSE),"")</f>
        <v>APPAREL</v>
      </c>
      <c r="J452" s="69">
        <f t="shared" si="14"/>
        <v>3</v>
      </c>
      <c r="K452" s="69">
        <f t="shared" si="15"/>
        <v>1</v>
      </c>
      <c r="L452" s="69">
        <f>VLOOKUP(Table_db1_backend_Daily.accdb[[#This Row],[TradingDate]],canon!B:E,4,0)</f>
        <v>31</v>
      </c>
    </row>
    <row r="453" spans="1:12" x14ac:dyDescent="0.2">
      <c r="A453" s="69" t="s">
        <v>6</v>
      </c>
      <c r="B453" s="70">
        <v>42948</v>
      </c>
      <c r="C453" s="69">
        <v>49</v>
      </c>
      <c r="D453" s="69">
        <v>0</v>
      </c>
      <c r="E453" s="69">
        <v>0</v>
      </c>
      <c r="F453" s="69">
        <v>0</v>
      </c>
      <c r="G453" s="69" t="s">
        <v>21</v>
      </c>
      <c r="H453" s="69" t="str">
        <f>IFERROR(VLOOKUP(Data!$G453,canon!$I$2:$K$27,2,FALSE),"")</f>
        <v>ACCESSORY</v>
      </c>
      <c r="I453" s="69" t="str">
        <f>IFERROR(VLOOKUP(Data!$G453,canon!$I$2:$K$27,3,FALSE),"")</f>
        <v>N.APPAREL</v>
      </c>
      <c r="J453" s="69">
        <f t="shared" si="14"/>
        <v>3</v>
      </c>
      <c r="K453" s="69">
        <f t="shared" si="15"/>
        <v>1</v>
      </c>
      <c r="L453" s="69">
        <f>VLOOKUP(Table_db1_backend_Daily.accdb[[#This Row],[TradingDate]],canon!B:E,4,0)</f>
        <v>31</v>
      </c>
    </row>
    <row r="454" spans="1:12" x14ac:dyDescent="0.2">
      <c r="A454" s="69" t="s">
        <v>6</v>
      </c>
      <c r="B454" s="70">
        <v>42948</v>
      </c>
      <c r="C454" s="69">
        <v>4121</v>
      </c>
      <c r="D454" s="69">
        <v>0</v>
      </c>
      <c r="E454" s="69">
        <v>0</v>
      </c>
      <c r="F454" s="69">
        <v>0</v>
      </c>
      <c r="G454" s="69" t="s">
        <v>22</v>
      </c>
      <c r="H454" s="69" t="str">
        <f>IFERROR(VLOOKUP(Data!$G454,canon!$I$2:$K$27,2,FALSE),"")</f>
        <v>SCARF</v>
      </c>
      <c r="I454" s="69" t="str">
        <f>IFERROR(VLOOKUP(Data!$G454,canon!$I$2:$K$27,3,FALSE),"")</f>
        <v>N.APPAREL</v>
      </c>
      <c r="J454" s="69">
        <f t="shared" si="14"/>
        <v>3</v>
      </c>
      <c r="K454" s="69">
        <f t="shared" si="15"/>
        <v>1</v>
      </c>
      <c r="L454" s="69">
        <f>VLOOKUP(Table_db1_backend_Daily.accdb[[#This Row],[TradingDate]],canon!B:E,4,0)</f>
        <v>31</v>
      </c>
    </row>
    <row r="455" spans="1:12" x14ac:dyDescent="0.2">
      <c r="A455" s="69" t="s">
        <v>6</v>
      </c>
      <c r="B455" s="70">
        <v>42948</v>
      </c>
      <c r="C455" s="69">
        <v>774</v>
      </c>
      <c r="D455" s="69">
        <v>0</v>
      </c>
      <c r="E455" s="69">
        <v>0</v>
      </c>
      <c r="F455" s="69">
        <v>0</v>
      </c>
      <c r="G455" s="69" t="s">
        <v>23</v>
      </c>
      <c r="H455" s="69" t="str">
        <f>IFERROR(VLOOKUP(Data!$G455,canon!$I$2:$K$27,2,FALSE),"")</f>
        <v>SH&amp;BL</v>
      </c>
      <c r="I455" s="69" t="str">
        <f>IFERROR(VLOOKUP(Data!$G455,canon!$I$2:$K$27,3,FALSE),"")</f>
        <v>APPAREL</v>
      </c>
      <c r="J455" s="69">
        <f t="shared" si="14"/>
        <v>3</v>
      </c>
      <c r="K455" s="69">
        <f t="shared" si="15"/>
        <v>1</v>
      </c>
      <c r="L455" s="69">
        <f>VLOOKUP(Table_db1_backend_Daily.accdb[[#This Row],[TradingDate]],canon!B:E,4,0)</f>
        <v>31</v>
      </c>
    </row>
    <row r="456" spans="1:12" x14ac:dyDescent="0.2">
      <c r="A456" s="69" t="s">
        <v>6</v>
      </c>
      <c r="B456" s="70">
        <v>42948</v>
      </c>
      <c r="C456" s="69">
        <v>859</v>
      </c>
      <c r="D456" s="69">
        <v>0</v>
      </c>
      <c r="E456" s="69">
        <v>0</v>
      </c>
      <c r="F456" s="69">
        <v>0</v>
      </c>
      <c r="G456" s="69" t="s">
        <v>32</v>
      </c>
      <c r="H456" s="69" t="str">
        <f>IFERROR(VLOOKUP(Data!$G456,canon!$I$2:$K$27,2,FALSE),"")</f>
        <v>SKIRT</v>
      </c>
      <c r="I456" s="69" t="str">
        <f>IFERROR(VLOOKUP(Data!$G456,canon!$I$2:$K$27,3,FALSE),"")</f>
        <v>APPAREL</v>
      </c>
      <c r="J456" s="69">
        <f t="shared" si="14"/>
        <v>3</v>
      </c>
      <c r="K456" s="69">
        <f t="shared" si="15"/>
        <v>1</v>
      </c>
      <c r="L456" s="69">
        <f>VLOOKUP(Table_db1_backend_Daily.accdb[[#This Row],[TradingDate]],canon!B:E,4,0)</f>
        <v>31</v>
      </c>
    </row>
    <row r="457" spans="1:12" x14ac:dyDescent="0.2">
      <c r="A457" s="69" t="s">
        <v>6</v>
      </c>
      <c r="B457" s="70">
        <v>42948</v>
      </c>
      <c r="C457" s="69">
        <v>8349</v>
      </c>
      <c r="D457" s="69">
        <v>0</v>
      </c>
      <c r="E457" s="69">
        <v>0</v>
      </c>
      <c r="F457" s="69">
        <v>0</v>
      </c>
      <c r="G457" s="69" t="s">
        <v>25</v>
      </c>
      <c r="H457" s="69" t="str">
        <f>IFERROR(VLOOKUP(Data!$G457,canon!$I$2:$K$27,2,FALSE),"")</f>
        <v>TOP</v>
      </c>
      <c r="I457" s="69" t="str">
        <f>IFERROR(VLOOKUP(Data!$G457,canon!$I$2:$K$27,3,FALSE),"")</f>
        <v>APPAREL</v>
      </c>
      <c r="J457" s="69">
        <f t="shared" si="14"/>
        <v>3</v>
      </c>
      <c r="K457" s="69">
        <f t="shared" si="15"/>
        <v>1</v>
      </c>
      <c r="L457" s="69">
        <f>VLOOKUP(Table_db1_backend_Daily.accdb[[#This Row],[TradingDate]],canon!B:E,4,0)</f>
        <v>31</v>
      </c>
    </row>
    <row r="458" spans="1:12" x14ac:dyDescent="0.2">
      <c r="A458" s="69" t="s">
        <v>6</v>
      </c>
      <c r="B458" s="70">
        <v>42949</v>
      </c>
      <c r="C458" s="69">
        <v>-11</v>
      </c>
      <c r="D458" s="69">
        <v>0</v>
      </c>
      <c r="E458" s="69">
        <v>0</v>
      </c>
      <c r="F458" s="69">
        <v>0</v>
      </c>
      <c r="G458" s="69" t="s">
        <v>34</v>
      </c>
      <c r="H458" s="69" t="str">
        <f>IFERROR(VLOOKUP(Data!$G458,canon!$I$2:$K$27,2,FALSE),"")</f>
        <v>SHOES</v>
      </c>
      <c r="I458" s="69" t="str">
        <f>IFERROR(VLOOKUP(Data!$G458,canon!$I$2:$K$27,3,FALSE),"")</f>
        <v>N.APPAREL</v>
      </c>
      <c r="J458" s="69">
        <f t="shared" si="14"/>
        <v>4</v>
      </c>
      <c r="K458" s="69">
        <f t="shared" si="15"/>
        <v>1</v>
      </c>
      <c r="L458" s="69">
        <f>VLOOKUP(Table_db1_backend_Daily.accdb[[#This Row],[TradingDate]],canon!B:E,4,0)</f>
        <v>31</v>
      </c>
    </row>
    <row r="459" spans="1:12" x14ac:dyDescent="0.2">
      <c r="A459" s="69" t="s">
        <v>6</v>
      </c>
      <c r="B459" s="70">
        <v>42949</v>
      </c>
      <c r="C459" s="69">
        <v>-3</v>
      </c>
      <c r="D459" s="69">
        <v>0</v>
      </c>
      <c r="E459" s="69">
        <v>0</v>
      </c>
      <c r="F459" s="69">
        <v>0</v>
      </c>
      <c r="G459" s="69" t="s">
        <v>38</v>
      </c>
      <c r="H459" s="69" t="str">
        <f>IFERROR(VLOOKUP(Data!$G459,canon!$I$2:$K$27,2,FALSE),"")</f>
        <v>SHOES</v>
      </c>
      <c r="I459" s="69" t="str">
        <f>IFERROR(VLOOKUP(Data!$G459,canon!$I$2:$K$27,3,FALSE),"")</f>
        <v>N.APPAREL</v>
      </c>
      <c r="J459" s="69">
        <f t="shared" si="14"/>
        <v>4</v>
      </c>
      <c r="K459" s="69">
        <f t="shared" si="15"/>
        <v>1</v>
      </c>
      <c r="L459" s="69">
        <f>VLOOKUP(Table_db1_backend_Daily.accdb[[#This Row],[TradingDate]],canon!B:E,4,0)</f>
        <v>31</v>
      </c>
    </row>
    <row r="460" spans="1:12" x14ac:dyDescent="0.2">
      <c r="A460" s="69" t="s">
        <v>6</v>
      </c>
      <c r="B460" s="70">
        <v>42949</v>
      </c>
      <c r="C460" s="69">
        <v>3575</v>
      </c>
      <c r="D460" s="69">
        <v>0</v>
      </c>
      <c r="E460" s="69">
        <v>0</v>
      </c>
      <c r="F460" s="69">
        <v>0</v>
      </c>
      <c r="G460" s="69" t="s">
        <v>35</v>
      </c>
      <c r="H460" s="69" t="str">
        <f>IFERROR(VLOOKUP(Data!$G460,canon!$I$2:$K$27,2,FALSE),"")</f>
        <v>DRESS</v>
      </c>
      <c r="I460" s="69" t="str">
        <f>IFERROR(VLOOKUP(Data!$G460,canon!$I$2:$K$27,3,FALSE),"")</f>
        <v>APPAREL</v>
      </c>
      <c r="J460" s="69">
        <f t="shared" si="14"/>
        <v>4</v>
      </c>
      <c r="K460" s="69">
        <f t="shared" si="15"/>
        <v>1</v>
      </c>
      <c r="L460" s="69">
        <f>VLOOKUP(Table_db1_backend_Daily.accdb[[#This Row],[TradingDate]],canon!B:E,4,0)</f>
        <v>31</v>
      </c>
    </row>
    <row r="461" spans="1:12" x14ac:dyDescent="0.2">
      <c r="A461" s="69" t="s">
        <v>6</v>
      </c>
      <c r="B461" s="70">
        <v>42949</v>
      </c>
      <c r="C461" s="69">
        <v>0</v>
      </c>
      <c r="D461" s="69">
        <v>0</v>
      </c>
      <c r="E461" s="69">
        <v>0</v>
      </c>
      <c r="F461" s="69">
        <v>0</v>
      </c>
      <c r="G461" s="69" t="s">
        <v>10</v>
      </c>
      <c r="H461" s="69" t="str">
        <f>IFERROR(VLOOKUP(Data!$G461,canon!$I$2:$K$27,2,FALSE),"")</f>
        <v>ACCESSORY</v>
      </c>
      <c r="I461" s="69" t="str">
        <f>IFERROR(VLOOKUP(Data!$G461,canon!$I$2:$K$27,3,FALSE),"")</f>
        <v>N.APPAREL</v>
      </c>
      <c r="J461" s="69">
        <f t="shared" si="14"/>
        <v>4</v>
      </c>
      <c r="K461" s="69">
        <f t="shared" si="15"/>
        <v>1</v>
      </c>
      <c r="L461" s="69">
        <f>VLOOKUP(Table_db1_backend_Daily.accdb[[#This Row],[TradingDate]],canon!B:E,4,0)</f>
        <v>31</v>
      </c>
    </row>
    <row r="462" spans="1:12" x14ac:dyDescent="0.2">
      <c r="A462" s="69" t="s">
        <v>6</v>
      </c>
      <c r="B462" s="70">
        <v>42949</v>
      </c>
      <c r="C462" s="69">
        <v>8517</v>
      </c>
      <c r="D462" s="69">
        <v>0</v>
      </c>
      <c r="E462" s="69">
        <v>0</v>
      </c>
      <c r="F462" s="69">
        <v>0</v>
      </c>
      <c r="G462" s="69" t="s">
        <v>11</v>
      </c>
      <c r="H462" s="69" t="str">
        <f>IFERROR(VLOOKUP(Data!$G462,canon!$I$2:$K$27,2,FALSE),"")</f>
        <v>KNIT</v>
      </c>
      <c r="I462" s="69" t="str">
        <f>IFERROR(VLOOKUP(Data!$G462,canon!$I$2:$K$27,3,FALSE),"")</f>
        <v>APPAREL</v>
      </c>
      <c r="J462" s="69">
        <f t="shared" si="14"/>
        <v>4</v>
      </c>
      <c r="K462" s="69">
        <f t="shared" si="15"/>
        <v>1</v>
      </c>
      <c r="L462" s="69">
        <f>VLOOKUP(Table_db1_backend_Daily.accdb[[#This Row],[TradingDate]],canon!B:E,4,0)</f>
        <v>31</v>
      </c>
    </row>
    <row r="463" spans="1:12" x14ac:dyDescent="0.2">
      <c r="A463" s="69" t="s">
        <v>6</v>
      </c>
      <c r="B463" s="70">
        <v>42949</v>
      </c>
      <c r="C463" s="69">
        <v>4132</v>
      </c>
      <c r="D463" s="69">
        <v>0</v>
      </c>
      <c r="E463" s="69">
        <v>0</v>
      </c>
      <c r="F463" s="69">
        <v>0</v>
      </c>
      <c r="G463" s="69" t="s">
        <v>14</v>
      </c>
      <c r="H463" s="69" t="str">
        <f>IFERROR(VLOOKUP(Data!$G463,canon!$I$2:$K$27,2,FALSE),"")</f>
        <v>LEGGING</v>
      </c>
      <c r="I463" s="69" t="str">
        <f>IFERROR(VLOOKUP(Data!$G463,canon!$I$2:$K$27,3,FALSE),"")</f>
        <v>APPAREL</v>
      </c>
      <c r="J463" s="69">
        <f t="shared" si="14"/>
        <v>4</v>
      </c>
      <c r="K463" s="69">
        <f t="shared" si="15"/>
        <v>1</v>
      </c>
      <c r="L463" s="69">
        <f>VLOOKUP(Table_db1_backend_Daily.accdb[[#This Row],[TradingDate]],canon!B:E,4,0)</f>
        <v>31</v>
      </c>
    </row>
    <row r="464" spans="1:12" x14ac:dyDescent="0.2">
      <c r="A464" s="69" t="s">
        <v>6</v>
      </c>
      <c r="B464" s="70">
        <v>42949</v>
      </c>
      <c r="C464" s="69">
        <v>-2</v>
      </c>
      <c r="D464" s="69">
        <v>0</v>
      </c>
      <c r="E464" s="69">
        <v>0</v>
      </c>
      <c r="F464" s="69">
        <v>0</v>
      </c>
      <c r="G464" s="69" t="s">
        <v>37</v>
      </c>
      <c r="H464" s="69" t="str">
        <f>IFERROR(VLOOKUP(Data!$G464,canon!$I$2:$K$27,2,FALSE),"")</f>
        <v>SHOES</v>
      </c>
      <c r="I464" s="69" t="str">
        <f>IFERROR(VLOOKUP(Data!$G464,canon!$I$2:$K$27,3,FALSE),"")</f>
        <v>N.APPAREL</v>
      </c>
      <c r="J464" s="69">
        <f t="shared" si="14"/>
        <v>4</v>
      </c>
      <c r="K464" s="69">
        <f t="shared" si="15"/>
        <v>1</v>
      </c>
      <c r="L464" s="69">
        <f>VLOOKUP(Table_db1_backend_Daily.accdb[[#This Row],[TradingDate]],canon!B:E,4,0)</f>
        <v>31</v>
      </c>
    </row>
    <row r="465" spans="1:12" x14ac:dyDescent="0.2">
      <c r="A465" s="69" t="s">
        <v>6</v>
      </c>
      <c r="B465" s="70">
        <v>42949</v>
      </c>
      <c r="C465" s="69">
        <v>-35</v>
      </c>
      <c r="D465" s="69">
        <v>0</v>
      </c>
      <c r="E465" s="69">
        <v>0</v>
      </c>
      <c r="F465" s="69">
        <v>0</v>
      </c>
      <c r="G465" s="69" t="s">
        <v>29</v>
      </c>
      <c r="H465" s="69" t="str">
        <f>IFERROR(VLOOKUP(Data!$G465,canon!$I$2:$K$27,2,FALSE),"")</f>
        <v>SHOES</v>
      </c>
      <c r="I465" s="69" t="str">
        <f>IFERROR(VLOOKUP(Data!$G465,canon!$I$2:$K$27,3,FALSE),"")</f>
        <v>N.APPAREL</v>
      </c>
      <c r="J465" s="69">
        <f t="shared" si="14"/>
        <v>4</v>
      </c>
      <c r="K465" s="69">
        <f t="shared" si="15"/>
        <v>1</v>
      </c>
      <c r="L465" s="69">
        <f>VLOOKUP(Table_db1_backend_Daily.accdb[[#This Row],[TradingDate]],canon!B:E,4,0)</f>
        <v>31</v>
      </c>
    </row>
    <row r="466" spans="1:12" x14ac:dyDescent="0.2">
      <c r="A466" s="69" t="s">
        <v>6</v>
      </c>
      <c r="B466" s="70">
        <v>42949</v>
      </c>
      <c r="C466" s="69">
        <v>1974</v>
      </c>
      <c r="D466" s="69">
        <v>0</v>
      </c>
      <c r="E466" s="69">
        <v>0</v>
      </c>
      <c r="F466" s="69">
        <v>0</v>
      </c>
      <c r="G466" s="69" t="s">
        <v>17</v>
      </c>
      <c r="H466" s="69" t="str">
        <f>IFERROR(VLOOKUP(Data!$G466,canon!$I$2:$K$27,2,FALSE),"")</f>
        <v>OUTER</v>
      </c>
      <c r="I466" s="69" t="str">
        <f>IFERROR(VLOOKUP(Data!$G466,canon!$I$2:$K$27,3,FALSE),"")</f>
        <v>APPAREL</v>
      </c>
      <c r="J466" s="69">
        <f t="shared" si="14"/>
        <v>4</v>
      </c>
      <c r="K466" s="69">
        <f t="shared" si="15"/>
        <v>1</v>
      </c>
      <c r="L466" s="69">
        <f>VLOOKUP(Table_db1_backend_Daily.accdb[[#This Row],[TradingDate]],canon!B:E,4,0)</f>
        <v>31</v>
      </c>
    </row>
    <row r="467" spans="1:12" x14ac:dyDescent="0.2">
      <c r="A467" s="69" t="s">
        <v>6</v>
      </c>
      <c r="B467" s="70">
        <v>42949</v>
      </c>
      <c r="C467" s="69">
        <v>925</v>
      </c>
      <c r="D467" s="69">
        <v>0</v>
      </c>
      <c r="E467" s="69">
        <v>0</v>
      </c>
      <c r="F467" s="69">
        <v>0</v>
      </c>
      <c r="G467" s="69" t="s">
        <v>19</v>
      </c>
      <c r="H467" s="69" t="str">
        <f>IFERROR(VLOOKUP(Data!$G467,canon!$I$2:$K$27,2,FALSE),"")</f>
        <v>PANT</v>
      </c>
      <c r="I467" s="69" t="str">
        <f>IFERROR(VLOOKUP(Data!$G467,canon!$I$2:$K$27,3,FALSE),"")</f>
        <v>APPAREL</v>
      </c>
      <c r="J467" s="69">
        <f t="shared" si="14"/>
        <v>4</v>
      </c>
      <c r="K467" s="69">
        <f t="shared" si="15"/>
        <v>1</v>
      </c>
      <c r="L467" s="69">
        <f>VLOOKUP(Table_db1_backend_Daily.accdb[[#This Row],[TradingDate]],canon!B:E,4,0)</f>
        <v>31</v>
      </c>
    </row>
    <row r="468" spans="1:12" x14ac:dyDescent="0.2">
      <c r="A468" s="69" t="s">
        <v>6</v>
      </c>
      <c r="B468" s="70">
        <v>42949</v>
      </c>
      <c r="C468" s="69">
        <v>0</v>
      </c>
      <c r="D468" s="69">
        <v>0</v>
      </c>
      <c r="E468" s="69">
        <v>0</v>
      </c>
      <c r="F468" s="69">
        <v>0</v>
      </c>
      <c r="G468" s="69" t="s">
        <v>21</v>
      </c>
      <c r="H468" s="69" t="str">
        <f>IFERROR(VLOOKUP(Data!$G468,canon!$I$2:$K$27,2,FALSE),"")</f>
        <v>ACCESSORY</v>
      </c>
      <c r="I468" s="69" t="str">
        <f>IFERROR(VLOOKUP(Data!$G468,canon!$I$2:$K$27,3,FALSE),"")</f>
        <v>N.APPAREL</v>
      </c>
      <c r="J468" s="69">
        <f t="shared" si="14"/>
        <v>4</v>
      </c>
      <c r="K468" s="69">
        <f t="shared" si="15"/>
        <v>1</v>
      </c>
      <c r="L468" s="69">
        <f>VLOOKUP(Table_db1_backend_Daily.accdb[[#This Row],[TradingDate]],canon!B:E,4,0)</f>
        <v>31</v>
      </c>
    </row>
    <row r="469" spans="1:12" x14ac:dyDescent="0.2">
      <c r="A469" s="69" t="s">
        <v>6</v>
      </c>
      <c r="B469" s="70">
        <v>42949</v>
      </c>
      <c r="C469" s="69">
        <v>3722</v>
      </c>
      <c r="D469" s="69">
        <v>0</v>
      </c>
      <c r="E469" s="69">
        <v>0</v>
      </c>
      <c r="F469" s="69">
        <v>0</v>
      </c>
      <c r="G469" s="69" t="s">
        <v>22</v>
      </c>
      <c r="H469" s="69" t="str">
        <f>IFERROR(VLOOKUP(Data!$G469,canon!$I$2:$K$27,2,FALSE),"")</f>
        <v>SCARF</v>
      </c>
      <c r="I469" s="69" t="str">
        <f>IFERROR(VLOOKUP(Data!$G469,canon!$I$2:$K$27,3,FALSE),"")</f>
        <v>N.APPAREL</v>
      </c>
      <c r="J469" s="69">
        <f t="shared" si="14"/>
        <v>4</v>
      </c>
      <c r="K469" s="69">
        <f t="shared" si="15"/>
        <v>1</v>
      </c>
      <c r="L469" s="69">
        <f>VLOOKUP(Table_db1_backend_Daily.accdb[[#This Row],[TradingDate]],canon!B:E,4,0)</f>
        <v>31</v>
      </c>
    </row>
    <row r="470" spans="1:12" x14ac:dyDescent="0.2">
      <c r="A470" s="69" t="s">
        <v>6</v>
      </c>
      <c r="B470" s="70">
        <v>42949</v>
      </c>
      <c r="C470" s="69">
        <v>769</v>
      </c>
      <c r="D470" s="69">
        <v>0</v>
      </c>
      <c r="E470" s="69">
        <v>0</v>
      </c>
      <c r="F470" s="69">
        <v>0</v>
      </c>
      <c r="G470" s="69" t="s">
        <v>23</v>
      </c>
      <c r="H470" s="69" t="str">
        <f>IFERROR(VLOOKUP(Data!$G470,canon!$I$2:$K$27,2,FALSE),"")</f>
        <v>SH&amp;BL</v>
      </c>
      <c r="I470" s="69" t="str">
        <f>IFERROR(VLOOKUP(Data!$G470,canon!$I$2:$K$27,3,FALSE),"")</f>
        <v>APPAREL</v>
      </c>
      <c r="J470" s="69">
        <f t="shared" si="14"/>
        <v>4</v>
      </c>
      <c r="K470" s="69">
        <f t="shared" si="15"/>
        <v>1</v>
      </c>
      <c r="L470" s="69">
        <f>VLOOKUP(Table_db1_backend_Daily.accdb[[#This Row],[TradingDate]],canon!B:E,4,0)</f>
        <v>31</v>
      </c>
    </row>
    <row r="471" spans="1:12" x14ac:dyDescent="0.2">
      <c r="A471" s="69" t="s">
        <v>6</v>
      </c>
      <c r="B471" s="70">
        <v>42949</v>
      </c>
      <c r="C471" s="69">
        <v>728</v>
      </c>
      <c r="D471" s="69">
        <v>0</v>
      </c>
      <c r="E471" s="69">
        <v>0</v>
      </c>
      <c r="F471" s="69">
        <v>0</v>
      </c>
      <c r="G471" s="69" t="s">
        <v>32</v>
      </c>
      <c r="H471" s="69" t="str">
        <f>IFERROR(VLOOKUP(Data!$G471,canon!$I$2:$K$27,2,FALSE),"")</f>
        <v>SKIRT</v>
      </c>
      <c r="I471" s="69" t="str">
        <f>IFERROR(VLOOKUP(Data!$G471,canon!$I$2:$K$27,3,FALSE),"")</f>
        <v>APPAREL</v>
      </c>
      <c r="J471" s="69">
        <f t="shared" si="14"/>
        <v>4</v>
      </c>
      <c r="K471" s="69">
        <f t="shared" si="15"/>
        <v>1</v>
      </c>
      <c r="L471" s="69">
        <f>VLOOKUP(Table_db1_backend_Daily.accdb[[#This Row],[TradingDate]],canon!B:E,4,0)</f>
        <v>31</v>
      </c>
    </row>
    <row r="472" spans="1:12" x14ac:dyDescent="0.2">
      <c r="A472" s="69" t="s">
        <v>6</v>
      </c>
      <c r="B472" s="70">
        <v>42949</v>
      </c>
      <c r="C472" s="69">
        <v>8040</v>
      </c>
      <c r="D472" s="69">
        <v>0</v>
      </c>
      <c r="E472" s="69">
        <v>0</v>
      </c>
      <c r="F472" s="69">
        <v>0</v>
      </c>
      <c r="G472" s="69" t="s">
        <v>25</v>
      </c>
      <c r="H472" s="69" t="str">
        <f>IFERROR(VLOOKUP(Data!$G472,canon!$I$2:$K$27,2,FALSE),"")</f>
        <v>TOP</v>
      </c>
      <c r="I472" s="69" t="str">
        <f>IFERROR(VLOOKUP(Data!$G472,canon!$I$2:$K$27,3,FALSE),"")</f>
        <v>APPAREL</v>
      </c>
      <c r="J472" s="69">
        <f t="shared" si="14"/>
        <v>4</v>
      </c>
      <c r="K472" s="69">
        <f t="shared" si="15"/>
        <v>1</v>
      </c>
      <c r="L472" s="69">
        <f>VLOOKUP(Table_db1_backend_Daily.accdb[[#This Row],[TradingDate]],canon!B:E,4,0)</f>
        <v>31</v>
      </c>
    </row>
    <row r="473" spans="1:12" x14ac:dyDescent="0.2">
      <c r="A473" s="69" t="s">
        <v>6</v>
      </c>
      <c r="B473" s="70">
        <v>42950</v>
      </c>
      <c r="C473" s="69">
        <v>0</v>
      </c>
      <c r="D473" s="69">
        <v>0</v>
      </c>
      <c r="E473" s="69">
        <v>0</v>
      </c>
      <c r="F473" s="69">
        <v>0</v>
      </c>
      <c r="G473" s="69" t="s">
        <v>27</v>
      </c>
      <c r="H473" s="69" t="str">
        <f>IFERROR(VLOOKUP(Data!$G473,canon!$I$2:$K$27,2,FALSE),"")</f>
        <v>ACCESSORY</v>
      </c>
      <c r="I473" s="69" t="str">
        <f>IFERROR(VLOOKUP(Data!$G473,canon!$I$2:$K$27,3,FALSE),"")</f>
        <v>N.APPAREL</v>
      </c>
      <c r="J473" s="69">
        <f t="shared" si="14"/>
        <v>5</v>
      </c>
      <c r="K473" s="69">
        <f t="shared" si="15"/>
        <v>1</v>
      </c>
      <c r="L473" s="69">
        <f>VLOOKUP(Table_db1_backend_Daily.accdb[[#This Row],[TradingDate]],canon!B:E,4,0)</f>
        <v>31</v>
      </c>
    </row>
    <row r="474" spans="1:12" x14ac:dyDescent="0.2">
      <c r="A474" s="69" t="s">
        <v>6</v>
      </c>
      <c r="B474" s="70">
        <v>42950</v>
      </c>
      <c r="C474" s="69">
        <v>0</v>
      </c>
      <c r="D474" s="69">
        <v>0</v>
      </c>
      <c r="E474" s="69">
        <v>0</v>
      </c>
      <c r="F474" s="69">
        <v>0</v>
      </c>
      <c r="G474" s="69" t="s">
        <v>7</v>
      </c>
      <c r="H474" s="69" t="str">
        <f>IFERROR(VLOOKUP(Data!$G474,canon!$I$2:$K$27,2,FALSE),"")</f>
        <v>ACCESSORY</v>
      </c>
      <c r="I474" s="69" t="str">
        <f>IFERROR(VLOOKUP(Data!$G474,canon!$I$2:$K$27,3,FALSE),"")</f>
        <v>N.APPAREL</v>
      </c>
      <c r="J474" s="69">
        <f t="shared" si="14"/>
        <v>5</v>
      </c>
      <c r="K474" s="69">
        <f t="shared" si="15"/>
        <v>1</v>
      </c>
      <c r="L474" s="69">
        <f>VLOOKUP(Table_db1_backend_Daily.accdb[[#This Row],[TradingDate]],canon!B:E,4,0)</f>
        <v>31</v>
      </c>
    </row>
    <row r="475" spans="1:12" x14ac:dyDescent="0.2">
      <c r="A475" s="69" t="s">
        <v>6</v>
      </c>
      <c r="B475" s="70">
        <v>42950</v>
      </c>
      <c r="C475" s="69">
        <v>-6</v>
      </c>
      <c r="D475" s="69">
        <v>0</v>
      </c>
      <c r="E475" s="69">
        <v>0</v>
      </c>
      <c r="F475" s="69">
        <v>0</v>
      </c>
      <c r="G475" s="69" t="s">
        <v>34</v>
      </c>
      <c r="H475" s="69" t="str">
        <f>IFERROR(VLOOKUP(Data!$G475,canon!$I$2:$K$27,2,FALSE),"")</f>
        <v>SHOES</v>
      </c>
      <c r="I475" s="69" t="str">
        <f>IFERROR(VLOOKUP(Data!$G475,canon!$I$2:$K$27,3,FALSE),"")</f>
        <v>N.APPAREL</v>
      </c>
      <c r="J475" s="69">
        <f t="shared" si="14"/>
        <v>5</v>
      </c>
      <c r="K475" s="69">
        <f t="shared" si="15"/>
        <v>1</v>
      </c>
      <c r="L475" s="69">
        <f>VLOOKUP(Table_db1_backend_Daily.accdb[[#This Row],[TradingDate]],canon!B:E,4,0)</f>
        <v>31</v>
      </c>
    </row>
    <row r="476" spans="1:12" x14ac:dyDescent="0.2">
      <c r="A476" s="69" t="s">
        <v>6</v>
      </c>
      <c r="B476" s="70">
        <v>42950</v>
      </c>
      <c r="C476" s="69">
        <v>6</v>
      </c>
      <c r="D476" s="69">
        <v>0</v>
      </c>
      <c r="E476" s="69">
        <v>0</v>
      </c>
      <c r="F476" s="69">
        <v>0</v>
      </c>
      <c r="G476" s="69" t="s">
        <v>38</v>
      </c>
      <c r="H476" s="69" t="str">
        <f>IFERROR(VLOOKUP(Data!$G476,canon!$I$2:$K$27,2,FALSE),"")</f>
        <v>SHOES</v>
      </c>
      <c r="I476" s="69" t="str">
        <f>IFERROR(VLOOKUP(Data!$G476,canon!$I$2:$K$27,3,FALSE),"")</f>
        <v>N.APPAREL</v>
      </c>
      <c r="J476" s="69">
        <f t="shared" si="14"/>
        <v>5</v>
      </c>
      <c r="K476" s="69">
        <f t="shared" si="15"/>
        <v>1</v>
      </c>
      <c r="L476" s="69">
        <f>VLOOKUP(Table_db1_backend_Daily.accdb[[#This Row],[TradingDate]],canon!B:E,4,0)</f>
        <v>31</v>
      </c>
    </row>
    <row r="477" spans="1:12" x14ac:dyDescent="0.2">
      <c r="A477" s="69" t="s">
        <v>6</v>
      </c>
      <c r="B477" s="70">
        <v>42950</v>
      </c>
      <c r="C477" s="69">
        <v>3905</v>
      </c>
      <c r="D477" s="69">
        <v>0</v>
      </c>
      <c r="E477" s="69">
        <v>0</v>
      </c>
      <c r="F477" s="69">
        <v>0</v>
      </c>
      <c r="G477" s="69" t="s">
        <v>35</v>
      </c>
      <c r="H477" s="69" t="str">
        <f>IFERROR(VLOOKUP(Data!$G477,canon!$I$2:$K$27,2,FALSE),"")</f>
        <v>DRESS</v>
      </c>
      <c r="I477" s="69" t="str">
        <f>IFERROR(VLOOKUP(Data!$G477,canon!$I$2:$K$27,3,FALSE),"")</f>
        <v>APPAREL</v>
      </c>
      <c r="J477" s="69">
        <f t="shared" si="14"/>
        <v>5</v>
      </c>
      <c r="K477" s="69">
        <f t="shared" si="15"/>
        <v>1</v>
      </c>
      <c r="L477" s="69">
        <f>VLOOKUP(Table_db1_backend_Daily.accdb[[#This Row],[TradingDate]],canon!B:E,4,0)</f>
        <v>31</v>
      </c>
    </row>
    <row r="478" spans="1:12" x14ac:dyDescent="0.2">
      <c r="A478" s="69" t="s">
        <v>6</v>
      </c>
      <c r="B478" s="70">
        <v>42950</v>
      </c>
      <c r="C478" s="69">
        <v>1</v>
      </c>
      <c r="D478" s="69">
        <v>0</v>
      </c>
      <c r="E478" s="69">
        <v>0</v>
      </c>
      <c r="F478" s="69">
        <v>0</v>
      </c>
      <c r="G478" s="69" t="s">
        <v>10</v>
      </c>
      <c r="H478" s="69" t="str">
        <f>IFERROR(VLOOKUP(Data!$G478,canon!$I$2:$K$27,2,FALSE),"")</f>
        <v>ACCESSORY</v>
      </c>
      <c r="I478" s="69" t="str">
        <f>IFERROR(VLOOKUP(Data!$G478,canon!$I$2:$K$27,3,FALSE),"")</f>
        <v>N.APPAREL</v>
      </c>
      <c r="J478" s="69">
        <f t="shared" si="14"/>
        <v>5</v>
      </c>
      <c r="K478" s="69">
        <f t="shared" si="15"/>
        <v>1</v>
      </c>
      <c r="L478" s="69">
        <f>VLOOKUP(Table_db1_backend_Daily.accdb[[#This Row],[TradingDate]],canon!B:E,4,0)</f>
        <v>31</v>
      </c>
    </row>
    <row r="479" spans="1:12" x14ac:dyDescent="0.2">
      <c r="A479" s="69" t="s">
        <v>6</v>
      </c>
      <c r="B479" s="70">
        <v>42950</v>
      </c>
      <c r="C479" s="69">
        <v>215</v>
      </c>
      <c r="D479" s="69">
        <v>0</v>
      </c>
      <c r="E479" s="69">
        <v>0</v>
      </c>
      <c r="F479" s="69">
        <v>0</v>
      </c>
      <c r="G479" s="69" t="s">
        <v>28</v>
      </c>
      <c r="H479" s="69" t="str">
        <f>IFERROR(VLOOKUP(Data!$G479,canon!$I$2:$K$27,2,FALSE),"")</f>
        <v>ACCESSORY</v>
      </c>
      <c r="I479" s="69" t="str">
        <f>IFERROR(VLOOKUP(Data!$G479,canon!$I$2:$K$27,3,FALSE),"")</f>
        <v>N.APPAREL</v>
      </c>
      <c r="J479" s="69">
        <f t="shared" si="14"/>
        <v>5</v>
      </c>
      <c r="K479" s="69">
        <f t="shared" si="15"/>
        <v>1</v>
      </c>
      <c r="L479" s="69">
        <f>VLOOKUP(Table_db1_backend_Daily.accdb[[#This Row],[TradingDate]],canon!B:E,4,0)</f>
        <v>31</v>
      </c>
    </row>
    <row r="480" spans="1:12" x14ac:dyDescent="0.2">
      <c r="A480" s="69" t="s">
        <v>6</v>
      </c>
      <c r="B480" s="70">
        <v>42950</v>
      </c>
      <c r="C480" s="69">
        <v>9543</v>
      </c>
      <c r="D480" s="69">
        <v>0</v>
      </c>
      <c r="E480" s="69">
        <v>0</v>
      </c>
      <c r="F480" s="69">
        <v>0</v>
      </c>
      <c r="G480" s="69" t="s">
        <v>11</v>
      </c>
      <c r="H480" s="69" t="str">
        <f>IFERROR(VLOOKUP(Data!$G480,canon!$I$2:$K$27,2,FALSE),"")</f>
        <v>KNIT</v>
      </c>
      <c r="I480" s="69" t="str">
        <f>IFERROR(VLOOKUP(Data!$G480,canon!$I$2:$K$27,3,FALSE),"")</f>
        <v>APPAREL</v>
      </c>
      <c r="J480" s="69">
        <f t="shared" si="14"/>
        <v>5</v>
      </c>
      <c r="K480" s="69">
        <f t="shared" si="15"/>
        <v>1</v>
      </c>
      <c r="L480" s="69">
        <f>VLOOKUP(Table_db1_backend_Daily.accdb[[#This Row],[TradingDate]],canon!B:E,4,0)</f>
        <v>31</v>
      </c>
    </row>
    <row r="481" spans="1:12" x14ac:dyDescent="0.2">
      <c r="A481" s="69" t="s">
        <v>6</v>
      </c>
      <c r="B481" s="70">
        <v>42950</v>
      </c>
      <c r="C481" s="69">
        <v>4173</v>
      </c>
      <c r="D481" s="69">
        <v>0</v>
      </c>
      <c r="E481" s="69">
        <v>0</v>
      </c>
      <c r="F481" s="69">
        <v>0</v>
      </c>
      <c r="G481" s="69" t="s">
        <v>14</v>
      </c>
      <c r="H481" s="69" t="str">
        <f>IFERROR(VLOOKUP(Data!$G481,canon!$I$2:$K$27,2,FALSE),"")</f>
        <v>LEGGING</v>
      </c>
      <c r="I481" s="69" t="str">
        <f>IFERROR(VLOOKUP(Data!$G481,canon!$I$2:$K$27,3,FALSE),"")</f>
        <v>APPAREL</v>
      </c>
      <c r="J481" s="69">
        <f t="shared" si="14"/>
        <v>5</v>
      </c>
      <c r="K481" s="69">
        <f t="shared" si="15"/>
        <v>1</v>
      </c>
      <c r="L481" s="69">
        <f>VLOOKUP(Table_db1_backend_Daily.accdb[[#This Row],[TradingDate]],canon!B:E,4,0)</f>
        <v>31</v>
      </c>
    </row>
    <row r="482" spans="1:12" x14ac:dyDescent="0.2">
      <c r="A482" s="69" t="s">
        <v>6</v>
      </c>
      <c r="B482" s="70">
        <v>42950</v>
      </c>
      <c r="C482" s="69">
        <v>0</v>
      </c>
      <c r="D482" s="69">
        <v>0</v>
      </c>
      <c r="E482" s="69">
        <v>0</v>
      </c>
      <c r="F482" s="69">
        <v>0</v>
      </c>
      <c r="G482" s="69" t="s">
        <v>16</v>
      </c>
      <c r="H482" s="69" t="str">
        <f>IFERROR(VLOOKUP(Data!$G482,canon!$I$2:$K$27,2,FALSE),"")</f>
        <v>ACCESSORY</v>
      </c>
      <c r="I482" s="69" t="str">
        <f>IFERROR(VLOOKUP(Data!$G482,canon!$I$2:$K$27,3,FALSE),"")</f>
        <v>N.APPAREL</v>
      </c>
      <c r="J482" s="69">
        <f t="shared" si="14"/>
        <v>5</v>
      </c>
      <c r="K482" s="69">
        <f t="shared" si="15"/>
        <v>1</v>
      </c>
      <c r="L482" s="69">
        <f>VLOOKUP(Table_db1_backend_Daily.accdb[[#This Row],[TradingDate]],canon!B:E,4,0)</f>
        <v>31</v>
      </c>
    </row>
    <row r="483" spans="1:12" x14ac:dyDescent="0.2">
      <c r="A483" s="69" t="s">
        <v>6</v>
      </c>
      <c r="B483" s="70">
        <v>42950</v>
      </c>
      <c r="C483" s="69">
        <v>13</v>
      </c>
      <c r="D483" s="69">
        <v>0</v>
      </c>
      <c r="E483" s="69">
        <v>0</v>
      </c>
      <c r="F483" s="69">
        <v>0</v>
      </c>
      <c r="G483" s="69" t="s">
        <v>37</v>
      </c>
      <c r="H483" s="69" t="str">
        <f>IFERROR(VLOOKUP(Data!$G483,canon!$I$2:$K$27,2,FALSE),"")</f>
        <v>SHOES</v>
      </c>
      <c r="I483" s="69" t="str">
        <f>IFERROR(VLOOKUP(Data!$G483,canon!$I$2:$K$27,3,FALSE),"")</f>
        <v>N.APPAREL</v>
      </c>
      <c r="J483" s="69">
        <f t="shared" si="14"/>
        <v>5</v>
      </c>
      <c r="K483" s="69">
        <f t="shared" si="15"/>
        <v>1</v>
      </c>
      <c r="L483" s="69">
        <f>VLOOKUP(Table_db1_backend_Daily.accdb[[#This Row],[TradingDate]],canon!B:E,4,0)</f>
        <v>31</v>
      </c>
    </row>
    <row r="484" spans="1:12" x14ac:dyDescent="0.2">
      <c r="A484" s="69" t="s">
        <v>6</v>
      </c>
      <c r="B484" s="70">
        <v>42950</v>
      </c>
      <c r="C484" s="69">
        <v>-1</v>
      </c>
      <c r="D484" s="69">
        <v>0</v>
      </c>
      <c r="E484" s="69">
        <v>0</v>
      </c>
      <c r="F484" s="69">
        <v>0</v>
      </c>
      <c r="G484" s="69" t="s">
        <v>29</v>
      </c>
      <c r="H484" s="69" t="str">
        <f>IFERROR(VLOOKUP(Data!$G484,canon!$I$2:$K$27,2,FALSE),"")</f>
        <v>SHOES</v>
      </c>
      <c r="I484" s="69" t="str">
        <f>IFERROR(VLOOKUP(Data!$G484,canon!$I$2:$K$27,3,FALSE),"")</f>
        <v>N.APPAREL</v>
      </c>
      <c r="J484" s="69">
        <f t="shared" si="14"/>
        <v>5</v>
      </c>
      <c r="K484" s="69">
        <f t="shared" si="15"/>
        <v>1</v>
      </c>
      <c r="L484" s="69">
        <f>VLOOKUP(Table_db1_backend_Daily.accdb[[#This Row],[TradingDate]],canon!B:E,4,0)</f>
        <v>31</v>
      </c>
    </row>
    <row r="485" spans="1:12" x14ac:dyDescent="0.2">
      <c r="A485" s="69" t="s">
        <v>6</v>
      </c>
      <c r="B485" s="70">
        <v>42950</v>
      </c>
      <c r="C485" s="69">
        <v>3164</v>
      </c>
      <c r="D485" s="69">
        <v>0</v>
      </c>
      <c r="E485" s="69">
        <v>0</v>
      </c>
      <c r="F485" s="69">
        <v>0</v>
      </c>
      <c r="G485" s="69" t="s">
        <v>17</v>
      </c>
      <c r="H485" s="69" t="str">
        <f>IFERROR(VLOOKUP(Data!$G485,canon!$I$2:$K$27,2,FALSE),"")</f>
        <v>OUTER</v>
      </c>
      <c r="I485" s="69" t="str">
        <f>IFERROR(VLOOKUP(Data!$G485,canon!$I$2:$K$27,3,FALSE),"")</f>
        <v>APPAREL</v>
      </c>
      <c r="J485" s="69">
        <f t="shared" si="14"/>
        <v>5</v>
      </c>
      <c r="K485" s="69">
        <f t="shared" si="15"/>
        <v>1</v>
      </c>
      <c r="L485" s="69">
        <f>VLOOKUP(Table_db1_backend_Daily.accdb[[#This Row],[TradingDate]],canon!B:E,4,0)</f>
        <v>31</v>
      </c>
    </row>
    <row r="486" spans="1:12" x14ac:dyDescent="0.2">
      <c r="A486" s="69" t="s">
        <v>6</v>
      </c>
      <c r="B486" s="70">
        <v>42950</v>
      </c>
      <c r="C486" s="69">
        <v>1297</v>
      </c>
      <c r="D486" s="69">
        <v>0</v>
      </c>
      <c r="E486" s="69">
        <v>0</v>
      </c>
      <c r="F486" s="69">
        <v>0</v>
      </c>
      <c r="G486" s="69" t="s">
        <v>19</v>
      </c>
      <c r="H486" s="69" t="str">
        <f>IFERROR(VLOOKUP(Data!$G486,canon!$I$2:$K$27,2,FALSE),"")</f>
        <v>PANT</v>
      </c>
      <c r="I486" s="69" t="str">
        <f>IFERROR(VLOOKUP(Data!$G486,canon!$I$2:$K$27,3,FALSE),"")</f>
        <v>APPAREL</v>
      </c>
      <c r="J486" s="69">
        <f t="shared" si="14"/>
        <v>5</v>
      </c>
      <c r="K486" s="69">
        <f t="shared" si="15"/>
        <v>1</v>
      </c>
      <c r="L486" s="69">
        <f>VLOOKUP(Table_db1_backend_Daily.accdb[[#This Row],[TradingDate]],canon!B:E,4,0)</f>
        <v>31</v>
      </c>
    </row>
    <row r="487" spans="1:12" x14ac:dyDescent="0.2">
      <c r="A487" s="69" t="s">
        <v>6</v>
      </c>
      <c r="B487" s="70">
        <v>42950</v>
      </c>
      <c r="C487" s="69">
        <v>49</v>
      </c>
      <c r="D487" s="69">
        <v>0</v>
      </c>
      <c r="E487" s="69">
        <v>0</v>
      </c>
      <c r="F487" s="69">
        <v>0</v>
      </c>
      <c r="G487" s="69" t="s">
        <v>21</v>
      </c>
      <c r="H487" s="69" t="str">
        <f>IFERROR(VLOOKUP(Data!$G487,canon!$I$2:$K$27,2,FALSE),"")</f>
        <v>ACCESSORY</v>
      </c>
      <c r="I487" s="69" t="str">
        <f>IFERROR(VLOOKUP(Data!$G487,canon!$I$2:$K$27,3,FALSE),"")</f>
        <v>N.APPAREL</v>
      </c>
      <c r="J487" s="69">
        <f t="shared" si="14"/>
        <v>5</v>
      </c>
      <c r="K487" s="69">
        <f t="shared" si="15"/>
        <v>1</v>
      </c>
      <c r="L487" s="69">
        <f>VLOOKUP(Table_db1_backend_Daily.accdb[[#This Row],[TradingDate]],canon!B:E,4,0)</f>
        <v>31</v>
      </c>
    </row>
    <row r="488" spans="1:12" x14ac:dyDescent="0.2">
      <c r="A488" s="69" t="s">
        <v>6</v>
      </c>
      <c r="B488" s="70">
        <v>42950</v>
      </c>
      <c r="C488" s="69">
        <v>2121</v>
      </c>
      <c r="D488" s="69">
        <v>0</v>
      </c>
      <c r="E488" s="69">
        <v>0</v>
      </c>
      <c r="F488" s="69">
        <v>0</v>
      </c>
      <c r="G488" s="69" t="s">
        <v>22</v>
      </c>
      <c r="H488" s="69" t="str">
        <f>IFERROR(VLOOKUP(Data!$G488,canon!$I$2:$K$27,2,FALSE),"")</f>
        <v>SCARF</v>
      </c>
      <c r="I488" s="69" t="str">
        <f>IFERROR(VLOOKUP(Data!$G488,canon!$I$2:$K$27,3,FALSE),"")</f>
        <v>N.APPAREL</v>
      </c>
      <c r="J488" s="69">
        <f t="shared" si="14"/>
        <v>5</v>
      </c>
      <c r="K488" s="69">
        <f t="shared" si="15"/>
        <v>1</v>
      </c>
      <c r="L488" s="69">
        <f>VLOOKUP(Table_db1_backend_Daily.accdb[[#This Row],[TradingDate]],canon!B:E,4,0)</f>
        <v>31</v>
      </c>
    </row>
    <row r="489" spans="1:12" x14ac:dyDescent="0.2">
      <c r="A489" s="69" t="s">
        <v>6</v>
      </c>
      <c r="B489" s="70">
        <v>42950</v>
      </c>
      <c r="C489" s="69">
        <v>774</v>
      </c>
      <c r="D489" s="69">
        <v>0</v>
      </c>
      <c r="E489" s="69">
        <v>0</v>
      </c>
      <c r="F489" s="69">
        <v>0</v>
      </c>
      <c r="G489" s="69" t="s">
        <v>23</v>
      </c>
      <c r="H489" s="69" t="str">
        <f>IFERROR(VLOOKUP(Data!$G489,canon!$I$2:$K$27,2,FALSE),"")</f>
        <v>SH&amp;BL</v>
      </c>
      <c r="I489" s="69" t="str">
        <f>IFERROR(VLOOKUP(Data!$G489,canon!$I$2:$K$27,3,FALSE),"")</f>
        <v>APPAREL</v>
      </c>
      <c r="J489" s="69">
        <f t="shared" si="14"/>
        <v>5</v>
      </c>
      <c r="K489" s="69">
        <f t="shared" si="15"/>
        <v>1</v>
      </c>
      <c r="L489" s="69">
        <f>VLOOKUP(Table_db1_backend_Daily.accdb[[#This Row],[TradingDate]],canon!B:E,4,0)</f>
        <v>31</v>
      </c>
    </row>
    <row r="490" spans="1:12" x14ac:dyDescent="0.2">
      <c r="A490" s="69" t="s">
        <v>6</v>
      </c>
      <c r="B490" s="70">
        <v>42950</v>
      </c>
      <c r="C490" s="69">
        <v>859</v>
      </c>
      <c r="D490" s="69">
        <v>0</v>
      </c>
      <c r="E490" s="69">
        <v>0</v>
      </c>
      <c r="F490" s="69">
        <v>0</v>
      </c>
      <c r="G490" s="69" t="s">
        <v>32</v>
      </c>
      <c r="H490" s="69" t="str">
        <f>IFERROR(VLOOKUP(Data!$G490,canon!$I$2:$K$27,2,FALSE),"")</f>
        <v>SKIRT</v>
      </c>
      <c r="I490" s="69" t="str">
        <f>IFERROR(VLOOKUP(Data!$G490,canon!$I$2:$K$27,3,FALSE),"")</f>
        <v>APPAREL</v>
      </c>
      <c r="J490" s="69">
        <f t="shared" si="14"/>
        <v>5</v>
      </c>
      <c r="K490" s="69">
        <f t="shared" si="15"/>
        <v>1</v>
      </c>
      <c r="L490" s="69">
        <f>VLOOKUP(Table_db1_backend_Daily.accdb[[#This Row],[TradingDate]],canon!B:E,4,0)</f>
        <v>31</v>
      </c>
    </row>
    <row r="491" spans="1:12" x14ac:dyDescent="0.2">
      <c r="A491" s="69" t="s">
        <v>6</v>
      </c>
      <c r="B491" s="70">
        <v>42950</v>
      </c>
      <c r="C491" s="69">
        <v>8349</v>
      </c>
      <c r="D491" s="69">
        <v>0</v>
      </c>
      <c r="E491" s="69">
        <v>0</v>
      </c>
      <c r="F491" s="69">
        <v>0</v>
      </c>
      <c r="G491" s="69" t="s">
        <v>25</v>
      </c>
      <c r="H491" s="69" t="str">
        <f>IFERROR(VLOOKUP(Data!$G491,canon!$I$2:$K$27,2,FALSE),"")</f>
        <v>TOP</v>
      </c>
      <c r="I491" s="69" t="str">
        <f>IFERROR(VLOOKUP(Data!$G491,canon!$I$2:$K$27,3,FALSE),"")</f>
        <v>APPAREL</v>
      </c>
      <c r="J491" s="69">
        <f t="shared" si="14"/>
        <v>5</v>
      </c>
      <c r="K491" s="69">
        <f t="shared" si="15"/>
        <v>1</v>
      </c>
      <c r="L491" s="69">
        <f>VLOOKUP(Table_db1_backend_Daily.accdb[[#This Row],[TradingDate]],canon!B:E,4,0)</f>
        <v>31</v>
      </c>
    </row>
    <row r="492" spans="1:12" x14ac:dyDescent="0.2">
      <c r="A492" s="69" t="s">
        <v>6</v>
      </c>
      <c r="B492" s="70">
        <v>42951</v>
      </c>
      <c r="C492" s="69">
        <v>0</v>
      </c>
      <c r="D492" s="69">
        <v>0</v>
      </c>
      <c r="E492" s="69">
        <v>0</v>
      </c>
      <c r="F492" s="69">
        <v>0</v>
      </c>
      <c r="G492" s="69" t="s">
        <v>27</v>
      </c>
      <c r="H492" s="69" t="str">
        <f>IFERROR(VLOOKUP(Data!$G492,canon!$I$2:$K$27,2,FALSE),"")</f>
        <v>ACCESSORY</v>
      </c>
      <c r="I492" s="69" t="str">
        <f>IFERROR(VLOOKUP(Data!$G492,canon!$I$2:$K$27,3,FALSE),"")</f>
        <v>N.APPAREL</v>
      </c>
      <c r="J492" s="69">
        <f t="shared" si="14"/>
        <v>6</v>
      </c>
      <c r="K492" s="69">
        <f t="shared" si="15"/>
        <v>1</v>
      </c>
      <c r="L492" s="69">
        <f>VLOOKUP(Table_db1_backend_Daily.accdb[[#This Row],[TradingDate]],canon!B:E,4,0)</f>
        <v>31</v>
      </c>
    </row>
    <row r="493" spans="1:12" x14ac:dyDescent="0.2">
      <c r="A493" s="69" t="s">
        <v>6</v>
      </c>
      <c r="B493" s="70">
        <v>42951</v>
      </c>
      <c r="C493" s="69">
        <v>0</v>
      </c>
      <c r="D493" s="69">
        <v>0</v>
      </c>
      <c r="E493" s="69">
        <v>0</v>
      </c>
      <c r="F493" s="69">
        <v>0</v>
      </c>
      <c r="G493" s="69" t="s">
        <v>7</v>
      </c>
      <c r="H493" s="69" t="str">
        <f>IFERROR(VLOOKUP(Data!$G493,canon!$I$2:$K$27,2,FALSE),"")</f>
        <v>ACCESSORY</v>
      </c>
      <c r="I493" s="69" t="str">
        <f>IFERROR(VLOOKUP(Data!$G493,canon!$I$2:$K$27,3,FALSE),"")</f>
        <v>N.APPAREL</v>
      </c>
      <c r="J493" s="69">
        <f t="shared" si="14"/>
        <v>6</v>
      </c>
      <c r="K493" s="69">
        <f t="shared" si="15"/>
        <v>1</v>
      </c>
      <c r="L493" s="69">
        <f>VLOOKUP(Table_db1_backend_Daily.accdb[[#This Row],[TradingDate]],canon!B:E,4,0)</f>
        <v>31</v>
      </c>
    </row>
    <row r="494" spans="1:12" x14ac:dyDescent="0.2">
      <c r="A494" s="69" t="s">
        <v>6</v>
      </c>
      <c r="B494" s="70">
        <v>42951</v>
      </c>
      <c r="C494" s="69">
        <v>-6</v>
      </c>
      <c r="D494" s="69">
        <v>0</v>
      </c>
      <c r="E494" s="69">
        <v>0</v>
      </c>
      <c r="F494" s="69">
        <v>0</v>
      </c>
      <c r="G494" s="69" t="s">
        <v>34</v>
      </c>
      <c r="H494" s="69" t="str">
        <f>IFERROR(VLOOKUP(Data!$G494,canon!$I$2:$K$27,2,FALSE),"")</f>
        <v>SHOES</v>
      </c>
      <c r="I494" s="69" t="str">
        <f>IFERROR(VLOOKUP(Data!$G494,canon!$I$2:$K$27,3,FALSE),"")</f>
        <v>N.APPAREL</v>
      </c>
      <c r="J494" s="69">
        <f t="shared" si="14"/>
        <v>6</v>
      </c>
      <c r="K494" s="69">
        <f t="shared" si="15"/>
        <v>1</v>
      </c>
      <c r="L494" s="69">
        <f>VLOOKUP(Table_db1_backend_Daily.accdb[[#This Row],[TradingDate]],canon!B:E,4,0)</f>
        <v>31</v>
      </c>
    </row>
    <row r="495" spans="1:12" x14ac:dyDescent="0.2">
      <c r="A495" s="69" t="s">
        <v>6</v>
      </c>
      <c r="B495" s="70">
        <v>42951</v>
      </c>
      <c r="C495" s="69">
        <v>6</v>
      </c>
      <c r="D495" s="69">
        <v>0</v>
      </c>
      <c r="E495" s="69">
        <v>0</v>
      </c>
      <c r="F495" s="69">
        <v>0</v>
      </c>
      <c r="G495" s="69" t="s">
        <v>38</v>
      </c>
      <c r="H495" s="69" t="str">
        <f>IFERROR(VLOOKUP(Data!$G495,canon!$I$2:$K$27,2,FALSE),"")</f>
        <v>SHOES</v>
      </c>
      <c r="I495" s="69" t="str">
        <f>IFERROR(VLOOKUP(Data!$G495,canon!$I$2:$K$27,3,FALSE),"")</f>
        <v>N.APPAREL</v>
      </c>
      <c r="J495" s="69">
        <f t="shared" si="14"/>
        <v>6</v>
      </c>
      <c r="K495" s="69">
        <f t="shared" si="15"/>
        <v>1</v>
      </c>
      <c r="L495" s="69">
        <f>VLOOKUP(Table_db1_backend_Daily.accdb[[#This Row],[TradingDate]],canon!B:E,4,0)</f>
        <v>31</v>
      </c>
    </row>
    <row r="496" spans="1:12" x14ac:dyDescent="0.2">
      <c r="A496" s="69" t="s">
        <v>6</v>
      </c>
      <c r="B496" s="70">
        <v>42951</v>
      </c>
      <c r="C496" s="69">
        <v>3898</v>
      </c>
      <c r="D496" s="69">
        <v>0</v>
      </c>
      <c r="E496" s="69">
        <v>0</v>
      </c>
      <c r="F496" s="69">
        <v>0</v>
      </c>
      <c r="G496" s="69" t="s">
        <v>35</v>
      </c>
      <c r="H496" s="69" t="str">
        <f>IFERROR(VLOOKUP(Data!$G496,canon!$I$2:$K$27,2,FALSE),"")</f>
        <v>DRESS</v>
      </c>
      <c r="I496" s="69" t="str">
        <f>IFERROR(VLOOKUP(Data!$G496,canon!$I$2:$K$27,3,FALSE),"")</f>
        <v>APPAREL</v>
      </c>
      <c r="J496" s="69">
        <f t="shared" si="14"/>
        <v>6</v>
      </c>
      <c r="K496" s="69">
        <f t="shared" si="15"/>
        <v>1</v>
      </c>
      <c r="L496" s="69">
        <f>VLOOKUP(Table_db1_backend_Daily.accdb[[#This Row],[TradingDate]],canon!B:E,4,0)</f>
        <v>31</v>
      </c>
    </row>
    <row r="497" spans="1:12" x14ac:dyDescent="0.2">
      <c r="A497" s="69" t="s">
        <v>6</v>
      </c>
      <c r="B497" s="70">
        <v>42951</v>
      </c>
      <c r="C497" s="69">
        <v>1</v>
      </c>
      <c r="D497" s="69">
        <v>0</v>
      </c>
      <c r="E497" s="69">
        <v>0</v>
      </c>
      <c r="F497" s="69">
        <v>0</v>
      </c>
      <c r="G497" s="69" t="s">
        <v>10</v>
      </c>
      <c r="H497" s="69" t="str">
        <f>IFERROR(VLOOKUP(Data!$G497,canon!$I$2:$K$27,2,FALSE),"")</f>
        <v>ACCESSORY</v>
      </c>
      <c r="I497" s="69" t="str">
        <f>IFERROR(VLOOKUP(Data!$G497,canon!$I$2:$K$27,3,FALSE),"")</f>
        <v>N.APPAREL</v>
      </c>
      <c r="J497" s="69">
        <f t="shared" si="14"/>
        <v>6</v>
      </c>
      <c r="K497" s="69">
        <f t="shared" si="15"/>
        <v>1</v>
      </c>
      <c r="L497" s="69">
        <f>VLOOKUP(Table_db1_backend_Daily.accdb[[#This Row],[TradingDate]],canon!B:E,4,0)</f>
        <v>31</v>
      </c>
    </row>
    <row r="498" spans="1:12" x14ac:dyDescent="0.2">
      <c r="A498" s="69" t="s">
        <v>6</v>
      </c>
      <c r="B498" s="70">
        <v>42951</v>
      </c>
      <c r="C498" s="69">
        <v>215</v>
      </c>
      <c r="D498" s="69">
        <v>0</v>
      </c>
      <c r="E498" s="69">
        <v>0</v>
      </c>
      <c r="F498" s="69">
        <v>0</v>
      </c>
      <c r="G498" s="69" t="s">
        <v>28</v>
      </c>
      <c r="H498" s="69" t="str">
        <f>IFERROR(VLOOKUP(Data!$G498,canon!$I$2:$K$27,2,FALSE),"")</f>
        <v>ACCESSORY</v>
      </c>
      <c r="I498" s="69" t="str">
        <f>IFERROR(VLOOKUP(Data!$G498,canon!$I$2:$K$27,3,FALSE),"")</f>
        <v>N.APPAREL</v>
      </c>
      <c r="J498" s="69">
        <f t="shared" si="14"/>
        <v>6</v>
      </c>
      <c r="K498" s="69">
        <f t="shared" si="15"/>
        <v>1</v>
      </c>
      <c r="L498" s="69">
        <f>VLOOKUP(Table_db1_backend_Daily.accdb[[#This Row],[TradingDate]],canon!B:E,4,0)</f>
        <v>31</v>
      </c>
    </row>
    <row r="499" spans="1:12" x14ac:dyDescent="0.2">
      <c r="A499" s="69" t="s">
        <v>6</v>
      </c>
      <c r="B499" s="70">
        <v>42951</v>
      </c>
      <c r="C499" s="69">
        <v>9541</v>
      </c>
      <c r="D499" s="69">
        <v>0</v>
      </c>
      <c r="E499" s="69">
        <v>0</v>
      </c>
      <c r="F499" s="69">
        <v>0</v>
      </c>
      <c r="G499" s="69" t="s">
        <v>11</v>
      </c>
      <c r="H499" s="69" t="str">
        <f>IFERROR(VLOOKUP(Data!$G499,canon!$I$2:$K$27,2,FALSE),"")</f>
        <v>KNIT</v>
      </c>
      <c r="I499" s="69" t="str">
        <f>IFERROR(VLOOKUP(Data!$G499,canon!$I$2:$K$27,3,FALSE),"")</f>
        <v>APPAREL</v>
      </c>
      <c r="J499" s="69">
        <f t="shared" si="14"/>
        <v>6</v>
      </c>
      <c r="K499" s="69">
        <f t="shared" si="15"/>
        <v>1</v>
      </c>
      <c r="L499" s="69">
        <f>VLOOKUP(Table_db1_backend_Daily.accdb[[#This Row],[TradingDate]],canon!B:E,4,0)</f>
        <v>31</v>
      </c>
    </row>
    <row r="500" spans="1:12" x14ac:dyDescent="0.2">
      <c r="A500" s="69" t="s">
        <v>6</v>
      </c>
      <c r="B500" s="70">
        <v>42951</v>
      </c>
      <c r="C500" s="69">
        <v>4173</v>
      </c>
      <c r="D500" s="69">
        <v>0</v>
      </c>
      <c r="E500" s="69">
        <v>0</v>
      </c>
      <c r="F500" s="69">
        <v>0</v>
      </c>
      <c r="G500" s="69" t="s">
        <v>14</v>
      </c>
      <c r="H500" s="69" t="str">
        <f>IFERROR(VLOOKUP(Data!$G500,canon!$I$2:$K$27,2,FALSE),"")</f>
        <v>LEGGING</v>
      </c>
      <c r="I500" s="69" t="str">
        <f>IFERROR(VLOOKUP(Data!$G500,canon!$I$2:$K$27,3,FALSE),"")</f>
        <v>APPAREL</v>
      </c>
      <c r="J500" s="69">
        <f t="shared" si="14"/>
        <v>6</v>
      </c>
      <c r="K500" s="69">
        <f t="shared" si="15"/>
        <v>1</v>
      </c>
      <c r="L500" s="69">
        <f>VLOOKUP(Table_db1_backend_Daily.accdb[[#This Row],[TradingDate]],canon!B:E,4,0)</f>
        <v>31</v>
      </c>
    </row>
    <row r="501" spans="1:12" x14ac:dyDescent="0.2">
      <c r="A501" s="69" t="s">
        <v>6</v>
      </c>
      <c r="B501" s="70">
        <v>42951</v>
      </c>
      <c r="C501" s="69">
        <v>0</v>
      </c>
      <c r="D501" s="69">
        <v>0</v>
      </c>
      <c r="E501" s="69">
        <v>0</v>
      </c>
      <c r="F501" s="69">
        <v>0</v>
      </c>
      <c r="G501" s="69" t="s">
        <v>16</v>
      </c>
      <c r="H501" s="69" t="str">
        <f>IFERROR(VLOOKUP(Data!$G501,canon!$I$2:$K$27,2,FALSE),"")</f>
        <v>ACCESSORY</v>
      </c>
      <c r="I501" s="69" t="str">
        <f>IFERROR(VLOOKUP(Data!$G501,canon!$I$2:$K$27,3,FALSE),"")</f>
        <v>N.APPAREL</v>
      </c>
      <c r="J501" s="69">
        <f t="shared" si="14"/>
        <v>6</v>
      </c>
      <c r="K501" s="69">
        <f t="shared" si="15"/>
        <v>1</v>
      </c>
      <c r="L501" s="69">
        <f>VLOOKUP(Table_db1_backend_Daily.accdb[[#This Row],[TradingDate]],canon!B:E,4,0)</f>
        <v>31</v>
      </c>
    </row>
    <row r="502" spans="1:12" x14ac:dyDescent="0.2">
      <c r="A502" s="69" t="s">
        <v>6</v>
      </c>
      <c r="B502" s="70">
        <v>42951</v>
      </c>
      <c r="C502" s="69">
        <v>13</v>
      </c>
      <c r="D502" s="69">
        <v>0</v>
      </c>
      <c r="E502" s="69">
        <v>0</v>
      </c>
      <c r="F502" s="69">
        <v>0</v>
      </c>
      <c r="G502" s="69" t="s">
        <v>37</v>
      </c>
      <c r="H502" s="69" t="str">
        <f>IFERROR(VLOOKUP(Data!$G502,canon!$I$2:$K$27,2,FALSE),"")</f>
        <v>SHOES</v>
      </c>
      <c r="I502" s="69" t="str">
        <f>IFERROR(VLOOKUP(Data!$G502,canon!$I$2:$K$27,3,FALSE),"")</f>
        <v>N.APPAREL</v>
      </c>
      <c r="J502" s="69">
        <f t="shared" si="14"/>
        <v>6</v>
      </c>
      <c r="K502" s="69">
        <f t="shared" si="15"/>
        <v>1</v>
      </c>
      <c r="L502" s="69">
        <f>VLOOKUP(Table_db1_backend_Daily.accdb[[#This Row],[TradingDate]],canon!B:E,4,0)</f>
        <v>31</v>
      </c>
    </row>
    <row r="503" spans="1:12" x14ac:dyDescent="0.2">
      <c r="A503" s="69" t="s">
        <v>6</v>
      </c>
      <c r="B503" s="70">
        <v>42951</v>
      </c>
      <c r="C503" s="69">
        <v>-1</v>
      </c>
      <c r="D503" s="69">
        <v>0</v>
      </c>
      <c r="E503" s="69">
        <v>0</v>
      </c>
      <c r="F503" s="69">
        <v>0</v>
      </c>
      <c r="G503" s="69" t="s">
        <v>29</v>
      </c>
      <c r="H503" s="69" t="str">
        <f>IFERROR(VLOOKUP(Data!$G503,canon!$I$2:$K$27,2,FALSE),"")</f>
        <v>SHOES</v>
      </c>
      <c r="I503" s="69" t="str">
        <f>IFERROR(VLOOKUP(Data!$G503,canon!$I$2:$K$27,3,FALSE),"")</f>
        <v>N.APPAREL</v>
      </c>
      <c r="J503" s="69">
        <f t="shared" si="14"/>
        <v>6</v>
      </c>
      <c r="K503" s="69">
        <f t="shared" si="15"/>
        <v>1</v>
      </c>
      <c r="L503" s="69">
        <f>VLOOKUP(Table_db1_backend_Daily.accdb[[#This Row],[TradingDate]],canon!B:E,4,0)</f>
        <v>31</v>
      </c>
    </row>
    <row r="504" spans="1:12" x14ac:dyDescent="0.2">
      <c r="A504" s="69" t="s">
        <v>6</v>
      </c>
      <c r="B504" s="70">
        <v>42951</v>
      </c>
      <c r="C504" s="69">
        <v>3162</v>
      </c>
      <c r="D504" s="69">
        <v>0</v>
      </c>
      <c r="E504" s="69">
        <v>0</v>
      </c>
      <c r="F504" s="69">
        <v>0</v>
      </c>
      <c r="G504" s="69" t="s">
        <v>17</v>
      </c>
      <c r="H504" s="69" t="str">
        <f>IFERROR(VLOOKUP(Data!$G504,canon!$I$2:$K$27,2,FALSE),"")</f>
        <v>OUTER</v>
      </c>
      <c r="I504" s="69" t="str">
        <f>IFERROR(VLOOKUP(Data!$G504,canon!$I$2:$K$27,3,FALSE),"")</f>
        <v>APPAREL</v>
      </c>
      <c r="J504" s="69">
        <f t="shared" si="14"/>
        <v>6</v>
      </c>
      <c r="K504" s="69">
        <f t="shared" si="15"/>
        <v>1</v>
      </c>
      <c r="L504" s="69">
        <f>VLOOKUP(Table_db1_backend_Daily.accdb[[#This Row],[TradingDate]],canon!B:E,4,0)</f>
        <v>31</v>
      </c>
    </row>
    <row r="505" spans="1:12" x14ac:dyDescent="0.2">
      <c r="A505" s="69" t="s">
        <v>6</v>
      </c>
      <c r="B505" s="70">
        <v>42951</v>
      </c>
      <c r="C505" s="69">
        <v>1295</v>
      </c>
      <c r="D505" s="69">
        <v>0</v>
      </c>
      <c r="E505" s="69">
        <v>0</v>
      </c>
      <c r="F505" s="69">
        <v>0</v>
      </c>
      <c r="G505" s="69" t="s">
        <v>19</v>
      </c>
      <c r="H505" s="69" t="str">
        <f>IFERROR(VLOOKUP(Data!$G505,canon!$I$2:$K$27,2,FALSE),"")</f>
        <v>PANT</v>
      </c>
      <c r="I505" s="69" t="str">
        <f>IFERROR(VLOOKUP(Data!$G505,canon!$I$2:$K$27,3,FALSE),"")</f>
        <v>APPAREL</v>
      </c>
      <c r="J505" s="69">
        <f t="shared" si="14"/>
        <v>6</v>
      </c>
      <c r="K505" s="69">
        <f t="shared" si="15"/>
        <v>1</v>
      </c>
      <c r="L505" s="69">
        <f>VLOOKUP(Table_db1_backend_Daily.accdb[[#This Row],[TradingDate]],canon!B:E,4,0)</f>
        <v>31</v>
      </c>
    </row>
    <row r="506" spans="1:12" x14ac:dyDescent="0.2">
      <c r="A506" s="69" t="s">
        <v>6</v>
      </c>
      <c r="B506" s="70">
        <v>42951</v>
      </c>
      <c r="C506" s="69">
        <v>49</v>
      </c>
      <c r="D506" s="69">
        <v>0</v>
      </c>
      <c r="E506" s="69">
        <v>0</v>
      </c>
      <c r="F506" s="69">
        <v>0</v>
      </c>
      <c r="G506" s="69" t="s">
        <v>21</v>
      </c>
      <c r="H506" s="69" t="str">
        <f>IFERROR(VLOOKUP(Data!$G506,canon!$I$2:$K$27,2,FALSE),"")</f>
        <v>ACCESSORY</v>
      </c>
      <c r="I506" s="69" t="str">
        <f>IFERROR(VLOOKUP(Data!$G506,canon!$I$2:$K$27,3,FALSE),"")</f>
        <v>N.APPAREL</v>
      </c>
      <c r="J506" s="69">
        <f t="shared" si="14"/>
        <v>6</v>
      </c>
      <c r="K506" s="69">
        <f t="shared" si="15"/>
        <v>1</v>
      </c>
      <c r="L506" s="69">
        <f>VLOOKUP(Table_db1_backend_Daily.accdb[[#This Row],[TradingDate]],canon!B:E,4,0)</f>
        <v>31</v>
      </c>
    </row>
    <row r="507" spans="1:12" x14ac:dyDescent="0.2">
      <c r="A507" s="69" t="s">
        <v>6</v>
      </c>
      <c r="B507" s="70">
        <v>42951</v>
      </c>
      <c r="C507" s="69">
        <v>2121</v>
      </c>
      <c r="D507" s="69">
        <v>0</v>
      </c>
      <c r="E507" s="69">
        <v>0</v>
      </c>
      <c r="F507" s="69">
        <v>0</v>
      </c>
      <c r="G507" s="69" t="s">
        <v>22</v>
      </c>
      <c r="H507" s="69" t="str">
        <f>IFERROR(VLOOKUP(Data!$G507,canon!$I$2:$K$27,2,FALSE),"")</f>
        <v>SCARF</v>
      </c>
      <c r="I507" s="69" t="str">
        <f>IFERROR(VLOOKUP(Data!$G507,canon!$I$2:$K$27,3,FALSE),"")</f>
        <v>N.APPAREL</v>
      </c>
      <c r="J507" s="69">
        <f t="shared" si="14"/>
        <v>6</v>
      </c>
      <c r="K507" s="69">
        <f t="shared" si="15"/>
        <v>1</v>
      </c>
      <c r="L507" s="69">
        <f>VLOOKUP(Table_db1_backend_Daily.accdb[[#This Row],[TradingDate]],canon!B:E,4,0)</f>
        <v>31</v>
      </c>
    </row>
    <row r="508" spans="1:12" x14ac:dyDescent="0.2">
      <c r="A508" s="69" t="s">
        <v>6</v>
      </c>
      <c r="B508" s="70">
        <v>42951</v>
      </c>
      <c r="C508" s="69">
        <v>772</v>
      </c>
      <c r="D508" s="69">
        <v>0</v>
      </c>
      <c r="E508" s="69">
        <v>0</v>
      </c>
      <c r="F508" s="69">
        <v>0</v>
      </c>
      <c r="G508" s="69" t="s">
        <v>23</v>
      </c>
      <c r="H508" s="69" t="str">
        <f>IFERROR(VLOOKUP(Data!$G508,canon!$I$2:$K$27,2,FALSE),"")</f>
        <v>SH&amp;BL</v>
      </c>
      <c r="I508" s="69" t="str">
        <f>IFERROR(VLOOKUP(Data!$G508,canon!$I$2:$K$27,3,FALSE),"")</f>
        <v>APPAREL</v>
      </c>
      <c r="J508" s="69">
        <f t="shared" si="14"/>
        <v>6</v>
      </c>
      <c r="K508" s="69">
        <f t="shared" si="15"/>
        <v>1</v>
      </c>
      <c r="L508" s="69">
        <f>VLOOKUP(Table_db1_backend_Daily.accdb[[#This Row],[TradingDate]],canon!B:E,4,0)</f>
        <v>31</v>
      </c>
    </row>
    <row r="509" spans="1:12" x14ac:dyDescent="0.2">
      <c r="A509" s="69" t="s">
        <v>6</v>
      </c>
      <c r="B509" s="70">
        <v>42951</v>
      </c>
      <c r="C509" s="69">
        <v>856</v>
      </c>
      <c r="D509" s="69">
        <v>0</v>
      </c>
      <c r="E509" s="69">
        <v>0</v>
      </c>
      <c r="F509" s="69">
        <v>0</v>
      </c>
      <c r="G509" s="69" t="s">
        <v>32</v>
      </c>
      <c r="H509" s="69" t="str">
        <f>IFERROR(VLOOKUP(Data!$G509,canon!$I$2:$K$27,2,FALSE),"")</f>
        <v>SKIRT</v>
      </c>
      <c r="I509" s="69" t="str">
        <f>IFERROR(VLOOKUP(Data!$G509,canon!$I$2:$K$27,3,FALSE),"")</f>
        <v>APPAREL</v>
      </c>
      <c r="J509" s="69">
        <f t="shared" si="14"/>
        <v>6</v>
      </c>
      <c r="K509" s="69">
        <f t="shared" si="15"/>
        <v>1</v>
      </c>
      <c r="L509" s="69">
        <f>VLOOKUP(Table_db1_backend_Daily.accdb[[#This Row],[TradingDate]],canon!B:E,4,0)</f>
        <v>31</v>
      </c>
    </row>
    <row r="510" spans="1:12" x14ac:dyDescent="0.2">
      <c r="A510" s="69" t="s">
        <v>6</v>
      </c>
      <c r="B510" s="70">
        <v>42951</v>
      </c>
      <c r="C510" s="69">
        <v>8342</v>
      </c>
      <c r="D510" s="69">
        <v>0</v>
      </c>
      <c r="E510" s="69">
        <v>0</v>
      </c>
      <c r="F510" s="69">
        <v>0</v>
      </c>
      <c r="G510" s="69" t="s">
        <v>25</v>
      </c>
      <c r="H510" s="69" t="str">
        <f>IFERROR(VLOOKUP(Data!$G510,canon!$I$2:$K$27,2,FALSE),"")</f>
        <v>TOP</v>
      </c>
      <c r="I510" s="69" t="str">
        <f>IFERROR(VLOOKUP(Data!$G510,canon!$I$2:$K$27,3,FALSE),"")</f>
        <v>APPAREL</v>
      </c>
      <c r="J510" s="69">
        <f t="shared" si="14"/>
        <v>6</v>
      </c>
      <c r="K510" s="69">
        <f t="shared" si="15"/>
        <v>1</v>
      </c>
      <c r="L510" s="69">
        <f>VLOOKUP(Table_db1_backend_Daily.accdb[[#This Row],[TradingDate]],canon!B:E,4,0)</f>
        <v>31</v>
      </c>
    </row>
    <row r="511" spans="1:12" x14ac:dyDescent="0.2">
      <c r="A511" s="69" t="s">
        <v>6</v>
      </c>
      <c r="B511" s="70">
        <v>42952</v>
      </c>
      <c r="C511" s="69">
        <v>0</v>
      </c>
      <c r="D511" s="69">
        <v>0</v>
      </c>
      <c r="E511" s="69">
        <v>0</v>
      </c>
      <c r="F511" s="69">
        <v>0</v>
      </c>
      <c r="G511" s="69" t="s">
        <v>27</v>
      </c>
      <c r="H511" s="69" t="str">
        <f>IFERROR(VLOOKUP(Data!$G511,canon!$I$2:$K$27,2,FALSE),"")</f>
        <v>ACCESSORY</v>
      </c>
      <c r="I511" s="69" t="str">
        <f>IFERROR(VLOOKUP(Data!$G511,canon!$I$2:$K$27,3,FALSE),"")</f>
        <v>N.APPAREL</v>
      </c>
      <c r="J511" s="69">
        <f t="shared" si="14"/>
        <v>7</v>
      </c>
      <c r="K511" s="69">
        <f t="shared" si="15"/>
        <v>1</v>
      </c>
      <c r="L511" s="69">
        <f>VLOOKUP(Table_db1_backend_Daily.accdb[[#This Row],[TradingDate]],canon!B:E,4,0)</f>
        <v>31</v>
      </c>
    </row>
    <row r="512" spans="1:12" x14ac:dyDescent="0.2">
      <c r="A512" s="69" t="s">
        <v>6</v>
      </c>
      <c r="B512" s="70">
        <v>42952</v>
      </c>
      <c r="C512" s="69">
        <v>0</v>
      </c>
      <c r="D512" s="69">
        <v>0</v>
      </c>
      <c r="E512" s="69">
        <v>0</v>
      </c>
      <c r="F512" s="69">
        <v>0</v>
      </c>
      <c r="G512" s="69" t="s">
        <v>7</v>
      </c>
      <c r="H512" s="69" t="str">
        <f>IFERROR(VLOOKUP(Data!$G512,canon!$I$2:$K$27,2,FALSE),"")</f>
        <v>ACCESSORY</v>
      </c>
      <c r="I512" s="69" t="str">
        <f>IFERROR(VLOOKUP(Data!$G512,canon!$I$2:$K$27,3,FALSE),"")</f>
        <v>N.APPAREL</v>
      </c>
      <c r="J512" s="69">
        <f t="shared" si="14"/>
        <v>7</v>
      </c>
      <c r="K512" s="69">
        <f t="shared" si="15"/>
        <v>1</v>
      </c>
      <c r="L512" s="69">
        <f>VLOOKUP(Table_db1_backend_Daily.accdb[[#This Row],[TradingDate]],canon!B:E,4,0)</f>
        <v>31</v>
      </c>
    </row>
    <row r="513" spans="1:12" x14ac:dyDescent="0.2">
      <c r="A513" s="69" t="s">
        <v>6</v>
      </c>
      <c r="B513" s="70">
        <v>42952</v>
      </c>
      <c r="C513" s="69">
        <v>-6</v>
      </c>
      <c r="D513" s="69">
        <v>0</v>
      </c>
      <c r="E513" s="69">
        <v>0</v>
      </c>
      <c r="F513" s="69">
        <v>0</v>
      </c>
      <c r="G513" s="69" t="s">
        <v>34</v>
      </c>
      <c r="H513" s="69" t="str">
        <f>IFERROR(VLOOKUP(Data!$G513,canon!$I$2:$K$27,2,FALSE),"")</f>
        <v>SHOES</v>
      </c>
      <c r="I513" s="69" t="str">
        <f>IFERROR(VLOOKUP(Data!$G513,canon!$I$2:$K$27,3,FALSE),"")</f>
        <v>N.APPAREL</v>
      </c>
      <c r="J513" s="69">
        <f t="shared" si="14"/>
        <v>7</v>
      </c>
      <c r="K513" s="69">
        <f t="shared" si="15"/>
        <v>1</v>
      </c>
      <c r="L513" s="69">
        <f>VLOOKUP(Table_db1_backend_Daily.accdb[[#This Row],[TradingDate]],canon!B:E,4,0)</f>
        <v>31</v>
      </c>
    </row>
    <row r="514" spans="1:12" x14ac:dyDescent="0.2">
      <c r="A514" s="69" t="s">
        <v>6</v>
      </c>
      <c r="B514" s="70">
        <v>42952</v>
      </c>
      <c r="C514" s="69">
        <v>6</v>
      </c>
      <c r="D514" s="69">
        <v>0</v>
      </c>
      <c r="E514" s="69">
        <v>0</v>
      </c>
      <c r="F514" s="69">
        <v>0</v>
      </c>
      <c r="G514" s="69" t="s">
        <v>38</v>
      </c>
      <c r="H514" s="69" t="str">
        <f>IFERROR(VLOOKUP(Data!$G514,canon!$I$2:$K$27,2,FALSE),"")</f>
        <v>SHOES</v>
      </c>
      <c r="I514" s="69" t="str">
        <f>IFERROR(VLOOKUP(Data!$G514,canon!$I$2:$K$27,3,FALSE),"")</f>
        <v>N.APPAREL</v>
      </c>
      <c r="J514" s="69">
        <f t="shared" ref="J514:J577" si="16">WEEKDAY(B514)</f>
        <v>7</v>
      </c>
      <c r="K514" s="69">
        <f t="shared" ref="K514:K577" si="17">INT(A514)</f>
        <v>1</v>
      </c>
      <c r="L514" s="69">
        <f>VLOOKUP(Table_db1_backend_Daily.accdb[[#This Row],[TradingDate]],canon!B:E,4,0)</f>
        <v>31</v>
      </c>
    </row>
    <row r="515" spans="1:12" x14ac:dyDescent="0.2">
      <c r="A515" s="69" t="s">
        <v>6</v>
      </c>
      <c r="B515" s="70">
        <v>42952</v>
      </c>
      <c r="C515" s="69">
        <v>3898</v>
      </c>
      <c r="D515" s="69">
        <v>0</v>
      </c>
      <c r="E515" s="69">
        <v>0</v>
      </c>
      <c r="F515" s="69">
        <v>0</v>
      </c>
      <c r="G515" s="69" t="s">
        <v>35</v>
      </c>
      <c r="H515" s="69" t="str">
        <f>IFERROR(VLOOKUP(Data!$G515,canon!$I$2:$K$27,2,FALSE),"")</f>
        <v>DRESS</v>
      </c>
      <c r="I515" s="69" t="str">
        <f>IFERROR(VLOOKUP(Data!$G515,canon!$I$2:$K$27,3,FALSE),"")</f>
        <v>APPAREL</v>
      </c>
      <c r="J515" s="69">
        <f t="shared" si="16"/>
        <v>7</v>
      </c>
      <c r="K515" s="69">
        <f t="shared" si="17"/>
        <v>1</v>
      </c>
      <c r="L515" s="69">
        <f>VLOOKUP(Table_db1_backend_Daily.accdb[[#This Row],[TradingDate]],canon!B:E,4,0)</f>
        <v>31</v>
      </c>
    </row>
    <row r="516" spans="1:12" x14ac:dyDescent="0.2">
      <c r="A516" s="69" t="s">
        <v>6</v>
      </c>
      <c r="B516" s="70">
        <v>42952</v>
      </c>
      <c r="C516" s="69">
        <v>1</v>
      </c>
      <c r="D516" s="69">
        <v>0</v>
      </c>
      <c r="E516" s="69">
        <v>0</v>
      </c>
      <c r="F516" s="69">
        <v>0</v>
      </c>
      <c r="G516" s="69" t="s">
        <v>10</v>
      </c>
      <c r="H516" s="69" t="str">
        <f>IFERROR(VLOOKUP(Data!$G516,canon!$I$2:$K$27,2,FALSE),"")</f>
        <v>ACCESSORY</v>
      </c>
      <c r="I516" s="69" t="str">
        <f>IFERROR(VLOOKUP(Data!$G516,canon!$I$2:$K$27,3,FALSE),"")</f>
        <v>N.APPAREL</v>
      </c>
      <c r="J516" s="69">
        <f t="shared" si="16"/>
        <v>7</v>
      </c>
      <c r="K516" s="69">
        <f t="shared" si="17"/>
        <v>1</v>
      </c>
      <c r="L516" s="69">
        <f>VLOOKUP(Table_db1_backend_Daily.accdb[[#This Row],[TradingDate]],canon!B:E,4,0)</f>
        <v>31</v>
      </c>
    </row>
    <row r="517" spans="1:12" x14ac:dyDescent="0.2">
      <c r="A517" s="69" t="s">
        <v>6</v>
      </c>
      <c r="B517" s="70">
        <v>42952</v>
      </c>
      <c r="C517" s="69">
        <v>215</v>
      </c>
      <c r="D517" s="69">
        <v>0</v>
      </c>
      <c r="E517" s="69">
        <v>0</v>
      </c>
      <c r="F517" s="69">
        <v>0</v>
      </c>
      <c r="G517" s="69" t="s">
        <v>28</v>
      </c>
      <c r="H517" s="69" t="str">
        <f>IFERROR(VLOOKUP(Data!$G517,canon!$I$2:$K$27,2,FALSE),"")</f>
        <v>ACCESSORY</v>
      </c>
      <c r="I517" s="69" t="str">
        <f>IFERROR(VLOOKUP(Data!$G517,canon!$I$2:$K$27,3,FALSE),"")</f>
        <v>N.APPAREL</v>
      </c>
      <c r="J517" s="69">
        <f t="shared" si="16"/>
        <v>7</v>
      </c>
      <c r="K517" s="69">
        <f t="shared" si="17"/>
        <v>1</v>
      </c>
      <c r="L517" s="69">
        <f>VLOOKUP(Table_db1_backend_Daily.accdb[[#This Row],[TradingDate]],canon!B:E,4,0)</f>
        <v>31</v>
      </c>
    </row>
    <row r="518" spans="1:12" x14ac:dyDescent="0.2">
      <c r="A518" s="69" t="s">
        <v>6</v>
      </c>
      <c r="B518" s="70">
        <v>42952</v>
      </c>
      <c r="C518" s="69">
        <v>9541</v>
      </c>
      <c r="D518" s="69">
        <v>0</v>
      </c>
      <c r="E518" s="69">
        <v>0</v>
      </c>
      <c r="F518" s="69">
        <v>0</v>
      </c>
      <c r="G518" s="69" t="s">
        <v>11</v>
      </c>
      <c r="H518" s="69" t="str">
        <f>IFERROR(VLOOKUP(Data!$G518,canon!$I$2:$K$27,2,FALSE),"")</f>
        <v>KNIT</v>
      </c>
      <c r="I518" s="69" t="str">
        <f>IFERROR(VLOOKUP(Data!$G518,canon!$I$2:$K$27,3,FALSE),"")</f>
        <v>APPAREL</v>
      </c>
      <c r="J518" s="69">
        <f t="shared" si="16"/>
        <v>7</v>
      </c>
      <c r="K518" s="69">
        <f t="shared" si="17"/>
        <v>1</v>
      </c>
      <c r="L518" s="69">
        <f>VLOOKUP(Table_db1_backend_Daily.accdb[[#This Row],[TradingDate]],canon!B:E,4,0)</f>
        <v>31</v>
      </c>
    </row>
    <row r="519" spans="1:12" x14ac:dyDescent="0.2">
      <c r="A519" s="69" t="s">
        <v>6</v>
      </c>
      <c r="B519" s="70">
        <v>42952</v>
      </c>
      <c r="C519" s="69">
        <v>4173</v>
      </c>
      <c r="D519" s="69">
        <v>0</v>
      </c>
      <c r="E519" s="69">
        <v>0</v>
      </c>
      <c r="F519" s="69">
        <v>0</v>
      </c>
      <c r="G519" s="69" t="s">
        <v>14</v>
      </c>
      <c r="H519" s="69" t="str">
        <f>IFERROR(VLOOKUP(Data!$G519,canon!$I$2:$K$27,2,FALSE),"")</f>
        <v>LEGGING</v>
      </c>
      <c r="I519" s="69" t="str">
        <f>IFERROR(VLOOKUP(Data!$G519,canon!$I$2:$K$27,3,FALSE),"")</f>
        <v>APPAREL</v>
      </c>
      <c r="J519" s="69">
        <f t="shared" si="16"/>
        <v>7</v>
      </c>
      <c r="K519" s="69">
        <f t="shared" si="17"/>
        <v>1</v>
      </c>
      <c r="L519" s="69">
        <f>VLOOKUP(Table_db1_backend_Daily.accdb[[#This Row],[TradingDate]],canon!B:E,4,0)</f>
        <v>31</v>
      </c>
    </row>
    <row r="520" spans="1:12" x14ac:dyDescent="0.2">
      <c r="A520" s="69" t="s">
        <v>6</v>
      </c>
      <c r="B520" s="70">
        <v>42952</v>
      </c>
      <c r="C520" s="69">
        <v>0</v>
      </c>
      <c r="D520" s="69">
        <v>0</v>
      </c>
      <c r="E520" s="69">
        <v>0</v>
      </c>
      <c r="F520" s="69">
        <v>0</v>
      </c>
      <c r="G520" s="69" t="s">
        <v>16</v>
      </c>
      <c r="H520" s="69" t="str">
        <f>IFERROR(VLOOKUP(Data!$G520,canon!$I$2:$K$27,2,FALSE),"")</f>
        <v>ACCESSORY</v>
      </c>
      <c r="I520" s="69" t="str">
        <f>IFERROR(VLOOKUP(Data!$G520,canon!$I$2:$K$27,3,FALSE),"")</f>
        <v>N.APPAREL</v>
      </c>
      <c r="J520" s="69">
        <f t="shared" si="16"/>
        <v>7</v>
      </c>
      <c r="K520" s="69">
        <f t="shared" si="17"/>
        <v>1</v>
      </c>
      <c r="L520" s="69">
        <f>VLOOKUP(Table_db1_backend_Daily.accdb[[#This Row],[TradingDate]],canon!B:E,4,0)</f>
        <v>31</v>
      </c>
    </row>
    <row r="521" spans="1:12" x14ac:dyDescent="0.2">
      <c r="A521" s="69" t="s">
        <v>6</v>
      </c>
      <c r="B521" s="70">
        <v>42952</v>
      </c>
      <c r="C521" s="69">
        <v>13</v>
      </c>
      <c r="D521" s="69">
        <v>0</v>
      </c>
      <c r="E521" s="69">
        <v>0</v>
      </c>
      <c r="F521" s="69">
        <v>0</v>
      </c>
      <c r="G521" s="69" t="s">
        <v>37</v>
      </c>
      <c r="H521" s="69" t="str">
        <f>IFERROR(VLOOKUP(Data!$G521,canon!$I$2:$K$27,2,FALSE),"")</f>
        <v>SHOES</v>
      </c>
      <c r="I521" s="69" t="str">
        <f>IFERROR(VLOOKUP(Data!$G521,canon!$I$2:$K$27,3,FALSE),"")</f>
        <v>N.APPAREL</v>
      </c>
      <c r="J521" s="69">
        <f t="shared" si="16"/>
        <v>7</v>
      </c>
      <c r="K521" s="69">
        <f t="shared" si="17"/>
        <v>1</v>
      </c>
      <c r="L521" s="69">
        <f>VLOOKUP(Table_db1_backend_Daily.accdb[[#This Row],[TradingDate]],canon!B:E,4,0)</f>
        <v>31</v>
      </c>
    </row>
    <row r="522" spans="1:12" x14ac:dyDescent="0.2">
      <c r="A522" s="69" t="s">
        <v>6</v>
      </c>
      <c r="B522" s="70">
        <v>42952</v>
      </c>
      <c r="C522" s="69">
        <v>-1</v>
      </c>
      <c r="D522" s="69">
        <v>0</v>
      </c>
      <c r="E522" s="69">
        <v>0</v>
      </c>
      <c r="F522" s="69">
        <v>0</v>
      </c>
      <c r="G522" s="69" t="s">
        <v>29</v>
      </c>
      <c r="H522" s="69" t="str">
        <f>IFERROR(VLOOKUP(Data!$G522,canon!$I$2:$K$27,2,FALSE),"")</f>
        <v>SHOES</v>
      </c>
      <c r="I522" s="69" t="str">
        <f>IFERROR(VLOOKUP(Data!$G522,canon!$I$2:$K$27,3,FALSE),"")</f>
        <v>N.APPAREL</v>
      </c>
      <c r="J522" s="69">
        <f t="shared" si="16"/>
        <v>7</v>
      </c>
      <c r="K522" s="69">
        <f t="shared" si="17"/>
        <v>1</v>
      </c>
      <c r="L522" s="69">
        <f>VLOOKUP(Table_db1_backend_Daily.accdb[[#This Row],[TradingDate]],canon!B:E,4,0)</f>
        <v>31</v>
      </c>
    </row>
    <row r="523" spans="1:12" x14ac:dyDescent="0.2">
      <c r="A523" s="69" t="s">
        <v>6</v>
      </c>
      <c r="B523" s="70">
        <v>42952</v>
      </c>
      <c r="C523" s="69">
        <v>3162</v>
      </c>
      <c r="D523" s="69">
        <v>0</v>
      </c>
      <c r="E523" s="69">
        <v>0</v>
      </c>
      <c r="F523" s="69">
        <v>0</v>
      </c>
      <c r="G523" s="69" t="s">
        <v>17</v>
      </c>
      <c r="H523" s="69" t="str">
        <f>IFERROR(VLOOKUP(Data!$G523,canon!$I$2:$K$27,2,FALSE),"")</f>
        <v>OUTER</v>
      </c>
      <c r="I523" s="69" t="str">
        <f>IFERROR(VLOOKUP(Data!$G523,canon!$I$2:$K$27,3,FALSE),"")</f>
        <v>APPAREL</v>
      </c>
      <c r="J523" s="69">
        <f t="shared" si="16"/>
        <v>7</v>
      </c>
      <c r="K523" s="69">
        <f t="shared" si="17"/>
        <v>1</v>
      </c>
      <c r="L523" s="69">
        <f>VLOOKUP(Table_db1_backend_Daily.accdb[[#This Row],[TradingDate]],canon!B:E,4,0)</f>
        <v>31</v>
      </c>
    </row>
    <row r="524" spans="1:12" x14ac:dyDescent="0.2">
      <c r="A524" s="69" t="s">
        <v>6</v>
      </c>
      <c r="B524" s="70">
        <v>42952</v>
      </c>
      <c r="C524" s="69">
        <v>1295</v>
      </c>
      <c r="D524" s="69">
        <v>0</v>
      </c>
      <c r="E524" s="69">
        <v>0</v>
      </c>
      <c r="F524" s="69">
        <v>0</v>
      </c>
      <c r="G524" s="69" t="s">
        <v>19</v>
      </c>
      <c r="H524" s="69" t="str">
        <f>IFERROR(VLOOKUP(Data!$G524,canon!$I$2:$K$27,2,FALSE),"")</f>
        <v>PANT</v>
      </c>
      <c r="I524" s="69" t="str">
        <f>IFERROR(VLOOKUP(Data!$G524,canon!$I$2:$K$27,3,FALSE),"")</f>
        <v>APPAREL</v>
      </c>
      <c r="J524" s="69">
        <f t="shared" si="16"/>
        <v>7</v>
      </c>
      <c r="K524" s="69">
        <f t="shared" si="17"/>
        <v>1</v>
      </c>
      <c r="L524" s="69">
        <f>VLOOKUP(Table_db1_backend_Daily.accdb[[#This Row],[TradingDate]],canon!B:E,4,0)</f>
        <v>31</v>
      </c>
    </row>
    <row r="525" spans="1:12" x14ac:dyDescent="0.2">
      <c r="A525" s="69" t="s">
        <v>6</v>
      </c>
      <c r="B525" s="70">
        <v>42952</v>
      </c>
      <c r="C525" s="69">
        <v>49</v>
      </c>
      <c r="D525" s="69">
        <v>0</v>
      </c>
      <c r="E525" s="69">
        <v>0</v>
      </c>
      <c r="F525" s="69">
        <v>0</v>
      </c>
      <c r="G525" s="69" t="s">
        <v>21</v>
      </c>
      <c r="H525" s="69" t="str">
        <f>IFERROR(VLOOKUP(Data!$G525,canon!$I$2:$K$27,2,FALSE),"")</f>
        <v>ACCESSORY</v>
      </c>
      <c r="I525" s="69" t="str">
        <f>IFERROR(VLOOKUP(Data!$G525,canon!$I$2:$K$27,3,FALSE),"")</f>
        <v>N.APPAREL</v>
      </c>
      <c r="J525" s="69">
        <f t="shared" si="16"/>
        <v>7</v>
      </c>
      <c r="K525" s="69">
        <f t="shared" si="17"/>
        <v>1</v>
      </c>
      <c r="L525" s="69">
        <f>VLOOKUP(Table_db1_backend_Daily.accdb[[#This Row],[TradingDate]],canon!B:E,4,0)</f>
        <v>31</v>
      </c>
    </row>
    <row r="526" spans="1:12" x14ac:dyDescent="0.2">
      <c r="A526" s="69" t="s">
        <v>6</v>
      </c>
      <c r="B526" s="70">
        <v>42952</v>
      </c>
      <c r="C526" s="69">
        <v>2121</v>
      </c>
      <c r="D526" s="69">
        <v>0</v>
      </c>
      <c r="E526" s="69">
        <v>0</v>
      </c>
      <c r="F526" s="69">
        <v>0</v>
      </c>
      <c r="G526" s="69" t="s">
        <v>22</v>
      </c>
      <c r="H526" s="69" t="str">
        <f>IFERROR(VLOOKUP(Data!$G526,canon!$I$2:$K$27,2,FALSE),"")</f>
        <v>SCARF</v>
      </c>
      <c r="I526" s="69" t="str">
        <f>IFERROR(VLOOKUP(Data!$G526,canon!$I$2:$K$27,3,FALSE),"")</f>
        <v>N.APPAREL</v>
      </c>
      <c r="J526" s="69">
        <f t="shared" si="16"/>
        <v>7</v>
      </c>
      <c r="K526" s="69">
        <f t="shared" si="17"/>
        <v>1</v>
      </c>
      <c r="L526" s="69">
        <f>VLOOKUP(Table_db1_backend_Daily.accdb[[#This Row],[TradingDate]],canon!B:E,4,0)</f>
        <v>31</v>
      </c>
    </row>
    <row r="527" spans="1:12" x14ac:dyDescent="0.2">
      <c r="A527" s="69" t="s">
        <v>6</v>
      </c>
      <c r="B527" s="70">
        <v>42952</v>
      </c>
      <c r="C527" s="69">
        <v>772</v>
      </c>
      <c r="D527" s="69">
        <v>0</v>
      </c>
      <c r="E527" s="69">
        <v>0</v>
      </c>
      <c r="F527" s="69">
        <v>0</v>
      </c>
      <c r="G527" s="69" t="s">
        <v>23</v>
      </c>
      <c r="H527" s="69" t="str">
        <f>IFERROR(VLOOKUP(Data!$G527,canon!$I$2:$K$27,2,FALSE),"")</f>
        <v>SH&amp;BL</v>
      </c>
      <c r="I527" s="69" t="str">
        <f>IFERROR(VLOOKUP(Data!$G527,canon!$I$2:$K$27,3,FALSE),"")</f>
        <v>APPAREL</v>
      </c>
      <c r="J527" s="69">
        <f t="shared" si="16"/>
        <v>7</v>
      </c>
      <c r="K527" s="69">
        <f t="shared" si="17"/>
        <v>1</v>
      </c>
      <c r="L527" s="69">
        <f>VLOOKUP(Table_db1_backend_Daily.accdb[[#This Row],[TradingDate]],canon!B:E,4,0)</f>
        <v>31</v>
      </c>
    </row>
    <row r="528" spans="1:12" x14ac:dyDescent="0.2">
      <c r="A528" s="69" t="s">
        <v>6</v>
      </c>
      <c r="B528" s="70">
        <v>42952</v>
      </c>
      <c r="C528" s="69">
        <v>856</v>
      </c>
      <c r="D528" s="69">
        <v>0</v>
      </c>
      <c r="E528" s="69">
        <v>0</v>
      </c>
      <c r="F528" s="69">
        <v>0</v>
      </c>
      <c r="G528" s="69" t="s">
        <v>32</v>
      </c>
      <c r="H528" s="69" t="str">
        <f>IFERROR(VLOOKUP(Data!$G528,canon!$I$2:$K$27,2,FALSE),"")</f>
        <v>SKIRT</v>
      </c>
      <c r="I528" s="69" t="str">
        <f>IFERROR(VLOOKUP(Data!$G528,canon!$I$2:$K$27,3,FALSE),"")</f>
        <v>APPAREL</v>
      </c>
      <c r="J528" s="69">
        <f t="shared" si="16"/>
        <v>7</v>
      </c>
      <c r="K528" s="69">
        <f t="shared" si="17"/>
        <v>1</v>
      </c>
      <c r="L528" s="69">
        <f>VLOOKUP(Table_db1_backend_Daily.accdb[[#This Row],[TradingDate]],canon!B:E,4,0)</f>
        <v>31</v>
      </c>
    </row>
    <row r="529" spans="1:12" x14ac:dyDescent="0.2">
      <c r="A529" s="69" t="s">
        <v>6</v>
      </c>
      <c r="B529" s="70">
        <v>42952</v>
      </c>
      <c r="C529" s="69">
        <v>8342</v>
      </c>
      <c r="D529" s="69">
        <v>0</v>
      </c>
      <c r="E529" s="69">
        <v>0</v>
      </c>
      <c r="F529" s="69">
        <v>0</v>
      </c>
      <c r="G529" s="69" t="s">
        <v>25</v>
      </c>
      <c r="H529" s="69" t="str">
        <f>IFERROR(VLOOKUP(Data!$G529,canon!$I$2:$K$27,2,FALSE),"")</f>
        <v>TOP</v>
      </c>
      <c r="I529" s="69" t="str">
        <f>IFERROR(VLOOKUP(Data!$G529,canon!$I$2:$K$27,3,FALSE),"")</f>
        <v>APPAREL</v>
      </c>
      <c r="J529" s="69">
        <f t="shared" si="16"/>
        <v>7</v>
      </c>
      <c r="K529" s="69">
        <f t="shared" si="17"/>
        <v>1</v>
      </c>
      <c r="L529" s="69">
        <f>VLOOKUP(Table_db1_backend_Daily.accdb[[#This Row],[TradingDate]],canon!B:E,4,0)</f>
        <v>31</v>
      </c>
    </row>
    <row r="530" spans="1:12" x14ac:dyDescent="0.2">
      <c r="A530" s="69" t="s">
        <v>40</v>
      </c>
      <c r="B530" s="70">
        <v>42925</v>
      </c>
      <c r="C530" s="69">
        <v>4</v>
      </c>
      <c r="D530" s="69">
        <v>0</v>
      </c>
      <c r="E530" s="69">
        <v>0</v>
      </c>
      <c r="F530" s="69">
        <v>0</v>
      </c>
      <c r="G530" s="69" t="s">
        <v>27</v>
      </c>
      <c r="H530" s="69" t="str">
        <f>IFERROR(VLOOKUP(Data!$G530,canon!$I$2:$K$27,2,FALSE),"")</f>
        <v>ACCESSORY</v>
      </c>
      <c r="I530" s="69" t="str">
        <f>IFERROR(VLOOKUP(Data!$G530,canon!$I$2:$K$27,3,FALSE),"")</f>
        <v>N.APPAREL</v>
      </c>
      <c r="J530" s="69">
        <f t="shared" si="16"/>
        <v>1</v>
      </c>
      <c r="K530" s="69">
        <f t="shared" si="17"/>
        <v>35</v>
      </c>
      <c r="L530" s="69">
        <f>VLOOKUP(Table_db1_backend_Daily.accdb[[#This Row],[TradingDate]],canon!B:E,4,0)</f>
        <v>28</v>
      </c>
    </row>
    <row r="531" spans="1:12" x14ac:dyDescent="0.2">
      <c r="A531" s="69" t="s">
        <v>40</v>
      </c>
      <c r="B531" s="70">
        <v>42925</v>
      </c>
      <c r="C531" s="69">
        <v>4</v>
      </c>
      <c r="D531" s="69">
        <v>0</v>
      </c>
      <c r="E531" s="69">
        <v>0</v>
      </c>
      <c r="F531" s="69">
        <v>0</v>
      </c>
      <c r="G531" s="69" t="s">
        <v>34</v>
      </c>
      <c r="H531" s="69" t="str">
        <f>IFERROR(VLOOKUP(Data!$G531,canon!$I$2:$K$27,2,FALSE),"")</f>
        <v>SHOES</v>
      </c>
      <c r="I531" s="69" t="str">
        <f>IFERROR(VLOOKUP(Data!$G531,canon!$I$2:$K$27,3,FALSE),"")</f>
        <v>N.APPAREL</v>
      </c>
      <c r="J531" s="69">
        <f t="shared" si="16"/>
        <v>1</v>
      </c>
      <c r="K531" s="69">
        <f t="shared" si="17"/>
        <v>35</v>
      </c>
      <c r="L531" s="69">
        <f>VLOOKUP(Table_db1_backend_Daily.accdb[[#This Row],[TradingDate]],canon!B:E,4,0)</f>
        <v>28</v>
      </c>
    </row>
    <row r="532" spans="1:12" x14ac:dyDescent="0.2">
      <c r="A532" s="69" t="s">
        <v>40</v>
      </c>
      <c r="B532" s="70">
        <v>42925</v>
      </c>
      <c r="C532" s="69">
        <v>2</v>
      </c>
      <c r="D532" s="69">
        <v>0</v>
      </c>
      <c r="E532" s="69">
        <v>0</v>
      </c>
      <c r="F532" s="69">
        <v>0</v>
      </c>
      <c r="G532" s="69" t="s">
        <v>38</v>
      </c>
      <c r="H532" s="69" t="str">
        <f>IFERROR(VLOOKUP(Data!$G532,canon!$I$2:$K$27,2,FALSE),"")</f>
        <v>SHOES</v>
      </c>
      <c r="I532" s="69" t="str">
        <f>IFERROR(VLOOKUP(Data!$G532,canon!$I$2:$K$27,3,FALSE),"")</f>
        <v>N.APPAREL</v>
      </c>
      <c r="J532" s="69">
        <f t="shared" si="16"/>
        <v>1</v>
      </c>
      <c r="K532" s="69">
        <f t="shared" si="17"/>
        <v>35</v>
      </c>
      <c r="L532" s="69">
        <f>VLOOKUP(Table_db1_backend_Daily.accdb[[#This Row],[TradingDate]],canon!B:E,4,0)</f>
        <v>28</v>
      </c>
    </row>
    <row r="533" spans="1:12" x14ac:dyDescent="0.2">
      <c r="A533" s="69" t="s">
        <v>40</v>
      </c>
      <c r="B533" s="70">
        <v>42925</v>
      </c>
      <c r="C533" s="69">
        <v>545</v>
      </c>
      <c r="D533" s="69">
        <v>6</v>
      </c>
      <c r="E533" s="69">
        <v>95.41</v>
      </c>
      <c r="F533" s="69">
        <v>45.629999999999995</v>
      </c>
      <c r="G533" s="69" t="s">
        <v>35</v>
      </c>
      <c r="H533" s="69" t="str">
        <f>IFERROR(VLOOKUP(Data!$G533,canon!$I$2:$K$27,2,FALSE),"")</f>
        <v>DRESS</v>
      </c>
      <c r="I533" s="69" t="str">
        <f>IFERROR(VLOOKUP(Data!$G533,canon!$I$2:$K$27,3,FALSE),"")</f>
        <v>APPAREL</v>
      </c>
      <c r="J533" s="69">
        <f t="shared" si="16"/>
        <v>1</v>
      </c>
      <c r="K533" s="69">
        <f t="shared" si="17"/>
        <v>35</v>
      </c>
      <c r="L533" s="69">
        <f>VLOOKUP(Table_db1_backend_Daily.accdb[[#This Row],[TradingDate]],canon!B:E,4,0)</f>
        <v>28</v>
      </c>
    </row>
    <row r="534" spans="1:12" x14ac:dyDescent="0.2">
      <c r="A534" s="69" t="s">
        <v>40</v>
      </c>
      <c r="B534" s="70">
        <v>42925</v>
      </c>
      <c r="C534" s="69">
        <v>8</v>
      </c>
      <c r="D534" s="69">
        <v>0</v>
      </c>
      <c r="E534" s="69">
        <v>0</v>
      </c>
      <c r="F534" s="69">
        <v>0</v>
      </c>
      <c r="G534" s="69" t="s">
        <v>10</v>
      </c>
      <c r="H534" s="69" t="str">
        <f>IFERROR(VLOOKUP(Data!$G534,canon!$I$2:$K$27,2,FALSE),"")</f>
        <v>ACCESSORY</v>
      </c>
      <c r="I534" s="69" t="str">
        <f>IFERROR(VLOOKUP(Data!$G534,canon!$I$2:$K$27,3,FALSE),"")</f>
        <v>N.APPAREL</v>
      </c>
      <c r="J534" s="69">
        <f t="shared" si="16"/>
        <v>1</v>
      </c>
      <c r="K534" s="69">
        <f t="shared" si="17"/>
        <v>35</v>
      </c>
      <c r="L534" s="69">
        <f>VLOOKUP(Table_db1_backend_Daily.accdb[[#This Row],[TradingDate]],canon!B:E,4,0)</f>
        <v>28</v>
      </c>
    </row>
    <row r="535" spans="1:12" x14ac:dyDescent="0.2">
      <c r="A535" s="69" t="s">
        <v>40</v>
      </c>
      <c r="B535" s="70">
        <v>42925</v>
      </c>
      <c r="C535" s="69">
        <v>-17</v>
      </c>
      <c r="D535" s="69">
        <v>0</v>
      </c>
      <c r="E535" s="69">
        <v>0</v>
      </c>
      <c r="F535" s="69">
        <v>0</v>
      </c>
      <c r="G535" s="69" t="s">
        <v>28</v>
      </c>
      <c r="H535" s="69" t="str">
        <f>IFERROR(VLOOKUP(Data!$G535,canon!$I$2:$K$27,2,FALSE),"")</f>
        <v>ACCESSORY</v>
      </c>
      <c r="I535" s="69" t="str">
        <f>IFERROR(VLOOKUP(Data!$G535,canon!$I$2:$K$27,3,FALSE),"")</f>
        <v>N.APPAREL</v>
      </c>
      <c r="J535" s="69">
        <f t="shared" si="16"/>
        <v>1</v>
      </c>
      <c r="K535" s="69">
        <f t="shared" si="17"/>
        <v>35</v>
      </c>
      <c r="L535" s="69">
        <f>VLOOKUP(Table_db1_backend_Daily.accdb[[#This Row],[TradingDate]],canon!B:E,4,0)</f>
        <v>28</v>
      </c>
    </row>
    <row r="536" spans="1:12" x14ac:dyDescent="0.2">
      <c r="A536" s="69" t="s">
        <v>40</v>
      </c>
      <c r="B536" s="70">
        <v>42925</v>
      </c>
      <c r="C536" s="69">
        <v>2125</v>
      </c>
      <c r="D536" s="69">
        <v>33</v>
      </c>
      <c r="E536" s="69">
        <v>408.80999999999995</v>
      </c>
      <c r="F536" s="69">
        <v>162.72000000000003</v>
      </c>
      <c r="G536" s="69" t="s">
        <v>11</v>
      </c>
      <c r="H536" s="69" t="str">
        <f>IFERROR(VLOOKUP(Data!$G536,canon!$I$2:$K$27,2,FALSE),"")</f>
        <v>KNIT</v>
      </c>
      <c r="I536" s="69" t="str">
        <f>IFERROR(VLOOKUP(Data!$G536,canon!$I$2:$K$27,3,FALSE),"")</f>
        <v>APPAREL</v>
      </c>
      <c r="J536" s="69">
        <f t="shared" si="16"/>
        <v>1</v>
      </c>
      <c r="K536" s="69">
        <f t="shared" si="17"/>
        <v>35</v>
      </c>
      <c r="L536" s="69">
        <f>VLOOKUP(Table_db1_backend_Daily.accdb[[#This Row],[TradingDate]],canon!B:E,4,0)</f>
        <v>28</v>
      </c>
    </row>
    <row r="537" spans="1:12" x14ac:dyDescent="0.2">
      <c r="A537" s="69" t="s">
        <v>40</v>
      </c>
      <c r="B537" s="70">
        <v>42925</v>
      </c>
      <c r="C537" s="69">
        <v>250</v>
      </c>
      <c r="D537" s="69">
        <v>2</v>
      </c>
      <c r="E537" s="69">
        <v>20.439999999999998</v>
      </c>
      <c r="F537" s="69">
        <v>9.0300000000000011</v>
      </c>
      <c r="G537" s="69" t="s">
        <v>14</v>
      </c>
      <c r="H537" s="69" t="str">
        <f>IFERROR(VLOOKUP(Data!$G537,canon!$I$2:$K$27,2,FALSE),"")</f>
        <v>LEGGING</v>
      </c>
      <c r="I537" s="69" t="str">
        <f>IFERROR(VLOOKUP(Data!$G537,canon!$I$2:$K$27,3,FALSE),"")</f>
        <v>APPAREL</v>
      </c>
      <c r="J537" s="69">
        <f t="shared" si="16"/>
        <v>1</v>
      </c>
      <c r="K537" s="69">
        <f t="shared" si="17"/>
        <v>35</v>
      </c>
      <c r="L537" s="69">
        <f>VLOOKUP(Table_db1_backend_Daily.accdb[[#This Row],[TradingDate]],canon!B:E,4,0)</f>
        <v>28</v>
      </c>
    </row>
    <row r="538" spans="1:12" x14ac:dyDescent="0.2">
      <c r="A538" s="69" t="s">
        <v>40</v>
      </c>
      <c r="B538" s="70">
        <v>42925</v>
      </c>
      <c r="C538" s="69">
        <v>1</v>
      </c>
      <c r="D538" s="69">
        <v>0</v>
      </c>
      <c r="E538" s="69">
        <v>0</v>
      </c>
      <c r="F538" s="69">
        <v>0</v>
      </c>
      <c r="G538" s="69" t="s">
        <v>37</v>
      </c>
      <c r="H538" s="69" t="str">
        <f>IFERROR(VLOOKUP(Data!$G538,canon!$I$2:$K$27,2,FALSE),"")</f>
        <v>SHOES</v>
      </c>
      <c r="I538" s="69" t="str">
        <f>IFERROR(VLOOKUP(Data!$G538,canon!$I$2:$K$27,3,FALSE),"")</f>
        <v>N.APPAREL</v>
      </c>
      <c r="J538" s="69">
        <f t="shared" si="16"/>
        <v>1</v>
      </c>
      <c r="K538" s="69">
        <f t="shared" si="17"/>
        <v>35</v>
      </c>
      <c r="L538" s="69">
        <f>VLOOKUP(Table_db1_backend_Daily.accdb[[#This Row],[TradingDate]],canon!B:E,4,0)</f>
        <v>28</v>
      </c>
    </row>
    <row r="539" spans="1:12" x14ac:dyDescent="0.2">
      <c r="A539" s="69" t="s">
        <v>40</v>
      </c>
      <c r="B539" s="70">
        <v>42925</v>
      </c>
      <c r="C539" s="69">
        <v>813</v>
      </c>
      <c r="D539" s="69">
        <v>3</v>
      </c>
      <c r="E539" s="69">
        <v>63.599999999999994</v>
      </c>
      <c r="F539" s="69">
        <v>39.26</v>
      </c>
      <c r="G539" s="69" t="s">
        <v>17</v>
      </c>
      <c r="H539" s="69" t="str">
        <f>IFERROR(VLOOKUP(Data!$G539,canon!$I$2:$K$27,2,FALSE),"")</f>
        <v>OUTER</v>
      </c>
      <c r="I539" s="69" t="str">
        <f>IFERROR(VLOOKUP(Data!$G539,canon!$I$2:$K$27,3,FALSE),"")</f>
        <v>APPAREL</v>
      </c>
      <c r="J539" s="69">
        <f t="shared" si="16"/>
        <v>1</v>
      </c>
      <c r="K539" s="69">
        <f t="shared" si="17"/>
        <v>35</v>
      </c>
      <c r="L539" s="69">
        <f>VLOOKUP(Table_db1_backend_Daily.accdb[[#This Row],[TradingDate]],canon!B:E,4,0)</f>
        <v>28</v>
      </c>
    </row>
    <row r="540" spans="1:12" x14ac:dyDescent="0.2">
      <c r="A540" s="69" t="s">
        <v>40</v>
      </c>
      <c r="B540" s="70">
        <v>42925</v>
      </c>
      <c r="C540" s="69">
        <v>452</v>
      </c>
      <c r="D540" s="69">
        <v>-1</v>
      </c>
      <c r="E540" s="69">
        <v>-9.09</v>
      </c>
      <c r="F540" s="69">
        <v>-3.11</v>
      </c>
      <c r="G540" s="69" t="s">
        <v>19</v>
      </c>
      <c r="H540" s="69" t="str">
        <f>IFERROR(VLOOKUP(Data!$G540,canon!$I$2:$K$27,2,FALSE),"")</f>
        <v>PANT</v>
      </c>
      <c r="I540" s="69" t="str">
        <f>IFERROR(VLOOKUP(Data!$G540,canon!$I$2:$K$27,3,FALSE),"")</f>
        <v>APPAREL</v>
      </c>
      <c r="J540" s="69">
        <f t="shared" si="16"/>
        <v>1</v>
      </c>
      <c r="K540" s="69">
        <f t="shared" si="17"/>
        <v>35</v>
      </c>
      <c r="L540" s="69">
        <f>VLOOKUP(Table_db1_backend_Daily.accdb[[#This Row],[TradingDate]],canon!B:E,4,0)</f>
        <v>28</v>
      </c>
    </row>
    <row r="541" spans="1:12" x14ac:dyDescent="0.2">
      <c r="A541" s="69" t="s">
        <v>40</v>
      </c>
      <c r="B541" s="70">
        <v>42925</v>
      </c>
      <c r="C541" s="69">
        <v>32</v>
      </c>
      <c r="D541" s="69">
        <v>0</v>
      </c>
      <c r="E541" s="69">
        <v>0</v>
      </c>
      <c r="F541" s="69">
        <v>0</v>
      </c>
      <c r="G541" s="69" t="s">
        <v>21</v>
      </c>
      <c r="H541" s="69" t="str">
        <f>IFERROR(VLOOKUP(Data!$G541,canon!$I$2:$K$27,2,FALSE),"")</f>
        <v>ACCESSORY</v>
      </c>
      <c r="I541" s="69" t="str">
        <f>IFERROR(VLOOKUP(Data!$G541,canon!$I$2:$K$27,3,FALSE),"")</f>
        <v>N.APPAREL</v>
      </c>
      <c r="J541" s="69">
        <f t="shared" si="16"/>
        <v>1</v>
      </c>
      <c r="K541" s="69">
        <f t="shared" si="17"/>
        <v>35</v>
      </c>
      <c r="L541" s="69">
        <f>VLOOKUP(Table_db1_backend_Daily.accdb[[#This Row],[TradingDate]],canon!B:E,4,0)</f>
        <v>28</v>
      </c>
    </row>
    <row r="542" spans="1:12" x14ac:dyDescent="0.2">
      <c r="A542" s="69" t="s">
        <v>40</v>
      </c>
      <c r="B542" s="70">
        <v>42925</v>
      </c>
      <c r="C542" s="69">
        <v>738</v>
      </c>
      <c r="D542" s="69">
        <v>10</v>
      </c>
      <c r="E542" s="69">
        <v>56.199999999999989</v>
      </c>
      <c r="F542" s="69">
        <v>41.110000000000007</v>
      </c>
      <c r="G542" s="69" t="s">
        <v>22</v>
      </c>
      <c r="H542" s="69" t="str">
        <f>IFERROR(VLOOKUP(Data!$G542,canon!$I$2:$K$27,2,FALSE),"")</f>
        <v>SCARF</v>
      </c>
      <c r="I542" s="69" t="str">
        <f>IFERROR(VLOOKUP(Data!$G542,canon!$I$2:$K$27,3,FALSE),"")</f>
        <v>N.APPAREL</v>
      </c>
      <c r="J542" s="69">
        <f t="shared" si="16"/>
        <v>1</v>
      </c>
      <c r="K542" s="69">
        <f t="shared" si="17"/>
        <v>35</v>
      </c>
      <c r="L542" s="69">
        <f>VLOOKUP(Table_db1_backend_Daily.accdb[[#This Row],[TradingDate]],canon!B:E,4,0)</f>
        <v>28</v>
      </c>
    </row>
    <row r="543" spans="1:12" x14ac:dyDescent="0.2">
      <c r="A543" s="69" t="s">
        <v>40</v>
      </c>
      <c r="B543" s="70">
        <v>42925</v>
      </c>
      <c r="C543" s="69">
        <v>97</v>
      </c>
      <c r="D543" s="69">
        <v>0</v>
      </c>
      <c r="E543" s="69">
        <v>0</v>
      </c>
      <c r="F543" s="69">
        <v>0</v>
      </c>
      <c r="G543" s="69" t="s">
        <v>23</v>
      </c>
      <c r="H543" s="69" t="str">
        <f>IFERROR(VLOOKUP(Data!$G543,canon!$I$2:$K$27,2,FALSE),"")</f>
        <v>SH&amp;BL</v>
      </c>
      <c r="I543" s="69" t="str">
        <f>IFERROR(VLOOKUP(Data!$G543,canon!$I$2:$K$27,3,FALSE),"")</f>
        <v>APPAREL</v>
      </c>
      <c r="J543" s="69">
        <f t="shared" si="16"/>
        <v>1</v>
      </c>
      <c r="K543" s="69">
        <f t="shared" si="17"/>
        <v>35</v>
      </c>
      <c r="L543" s="69">
        <f>VLOOKUP(Table_db1_backend_Daily.accdb[[#This Row],[TradingDate]],canon!B:E,4,0)</f>
        <v>28</v>
      </c>
    </row>
    <row r="544" spans="1:12" x14ac:dyDescent="0.2">
      <c r="A544" s="69" t="s">
        <v>40</v>
      </c>
      <c r="B544" s="70">
        <v>42925</v>
      </c>
      <c r="C544" s="69">
        <v>322</v>
      </c>
      <c r="D544" s="69">
        <v>0</v>
      </c>
      <c r="E544" s="69">
        <v>0</v>
      </c>
      <c r="F544" s="69">
        <v>0</v>
      </c>
      <c r="G544" s="69" t="s">
        <v>32</v>
      </c>
      <c r="H544" s="69" t="str">
        <f>IFERROR(VLOOKUP(Data!$G544,canon!$I$2:$K$27,2,FALSE),"")</f>
        <v>SKIRT</v>
      </c>
      <c r="I544" s="69" t="str">
        <f>IFERROR(VLOOKUP(Data!$G544,canon!$I$2:$K$27,3,FALSE),"")</f>
        <v>APPAREL</v>
      </c>
      <c r="J544" s="69">
        <f t="shared" si="16"/>
        <v>1</v>
      </c>
      <c r="K544" s="69">
        <f t="shared" si="17"/>
        <v>35</v>
      </c>
      <c r="L544" s="69">
        <f>VLOOKUP(Table_db1_backend_Daily.accdb[[#This Row],[TradingDate]],canon!B:E,4,0)</f>
        <v>28</v>
      </c>
    </row>
    <row r="545" spans="1:12" x14ac:dyDescent="0.2">
      <c r="A545" s="69" t="s">
        <v>40</v>
      </c>
      <c r="B545" s="70">
        <v>42925</v>
      </c>
      <c r="C545" s="69">
        <v>1318</v>
      </c>
      <c r="D545" s="69">
        <v>34</v>
      </c>
      <c r="E545" s="69">
        <v>261.17000000000007</v>
      </c>
      <c r="F545" s="69">
        <v>91.149999999999991</v>
      </c>
      <c r="G545" s="69" t="s">
        <v>25</v>
      </c>
      <c r="H545" s="69" t="str">
        <f>IFERROR(VLOOKUP(Data!$G545,canon!$I$2:$K$27,2,FALSE),"")</f>
        <v>TOP</v>
      </c>
      <c r="I545" s="69" t="str">
        <f>IFERROR(VLOOKUP(Data!$G545,canon!$I$2:$K$27,3,FALSE),"")</f>
        <v>APPAREL</v>
      </c>
      <c r="J545" s="69">
        <f t="shared" si="16"/>
        <v>1</v>
      </c>
      <c r="K545" s="69">
        <f t="shared" si="17"/>
        <v>35</v>
      </c>
      <c r="L545" s="69">
        <f>VLOOKUP(Table_db1_backend_Daily.accdb[[#This Row],[TradingDate]],canon!B:E,4,0)</f>
        <v>28</v>
      </c>
    </row>
    <row r="546" spans="1:12" x14ac:dyDescent="0.2">
      <c r="A546" s="69" t="s">
        <v>40</v>
      </c>
      <c r="B546" s="70">
        <v>42926</v>
      </c>
      <c r="C546" s="69">
        <v>4</v>
      </c>
      <c r="D546" s="69">
        <v>0</v>
      </c>
      <c r="E546" s="69">
        <v>0</v>
      </c>
      <c r="F546" s="69">
        <v>0</v>
      </c>
      <c r="G546" s="69" t="s">
        <v>27</v>
      </c>
      <c r="H546" s="69" t="str">
        <f>IFERROR(VLOOKUP(Data!$G546,canon!$I$2:$K$27,2,FALSE),"")</f>
        <v>ACCESSORY</v>
      </c>
      <c r="I546" s="69" t="str">
        <f>IFERROR(VLOOKUP(Data!$G546,canon!$I$2:$K$27,3,FALSE),"")</f>
        <v>N.APPAREL</v>
      </c>
      <c r="J546" s="69">
        <f t="shared" si="16"/>
        <v>2</v>
      </c>
      <c r="K546" s="69">
        <f t="shared" si="17"/>
        <v>35</v>
      </c>
      <c r="L546" s="69">
        <f>VLOOKUP(Table_db1_backend_Daily.accdb[[#This Row],[TradingDate]],canon!B:E,4,0)</f>
        <v>28</v>
      </c>
    </row>
    <row r="547" spans="1:12" x14ac:dyDescent="0.2">
      <c r="A547" s="69" t="s">
        <v>40</v>
      </c>
      <c r="B547" s="70">
        <v>42926</v>
      </c>
      <c r="C547" s="69">
        <v>4</v>
      </c>
      <c r="D547" s="69">
        <v>0</v>
      </c>
      <c r="E547" s="69">
        <v>0</v>
      </c>
      <c r="F547" s="69">
        <v>0</v>
      </c>
      <c r="G547" s="69" t="s">
        <v>34</v>
      </c>
      <c r="H547" s="69" t="str">
        <f>IFERROR(VLOOKUP(Data!$G547,canon!$I$2:$K$27,2,FALSE),"")</f>
        <v>SHOES</v>
      </c>
      <c r="I547" s="69" t="str">
        <f>IFERROR(VLOOKUP(Data!$G547,canon!$I$2:$K$27,3,FALSE),"")</f>
        <v>N.APPAREL</v>
      </c>
      <c r="J547" s="69">
        <f t="shared" si="16"/>
        <v>2</v>
      </c>
      <c r="K547" s="69">
        <f t="shared" si="17"/>
        <v>35</v>
      </c>
      <c r="L547" s="69">
        <f>VLOOKUP(Table_db1_backend_Daily.accdb[[#This Row],[TradingDate]],canon!B:E,4,0)</f>
        <v>28</v>
      </c>
    </row>
    <row r="548" spans="1:12" x14ac:dyDescent="0.2">
      <c r="A548" s="69" t="s">
        <v>40</v>
      </c>
      <c r="B548" s="70">
        <v>42926</v>
      </c>
      <c r="C548" s="69">
        <v>2</v>
      </c>
      <c r="D548" s="69">
        <v>0</v>
      </c>
      <c r="E548" s="69">
        <v>0</v>
      </c>
      <c r="F548" s="69">
        <v>0</v>
      </c>
      <c r="G548" s="69" t="s">
        <v>38</v>
      </c>
      <c r="H548" s="69" t="str">
        <f>IFERROR(VLOOKUP(Data!$G548,canon!$I$2:$K$27,2,FALSE),"")</f>
        <v>SHOES</v>
      </c>
      <c r="I548" s="69" t="str">
        <f>IFERROR(VLOOKUP(Data!$G548,canon!$I$2:$K$27,3,FALSE),"")</f>
        <v>N.APPAREL</v>
      </c>
      <c r="J548" s="69">
        <f t="shared" si="16"/>
        <v>2</v>
      </c>
      <c r="K548" s="69">
        <f t="shared" si="17"/>
        <v>35</v>
      </c>
      <c r="L548" s="69">
        <f>VLOOKUP(Table_db1_backend_Daily.accdb[[#This Row],[TradingDate]],canon!B:E,4,0)</f>
        <v>28</v>
      </c>
    </row>
    <row r="549" spans="1:12" x14ac:dyDescent="0.2">
      <c r="A549" s="69" t="s">
        <v>40</v>
      </c>
      <c r="B549" s="70">
        <v>42926</v>
      </c>
      <c r="C549" s="69">
        <v>539</v>
      </c>
      <c r="D549" s="69">
        <v>6</v>
      </c>
      <c r="E549" s="69">
        <v>54.5</v>
      </c>
      <c r="F549" s="69">
        <v>5.27</v>
      </c>
      <c r="G549" s="69" t="s">
        <v>35</v>
      </c>
      <c r="H549" s="69" t="str">
        <f>IFERROR(VLOOKUP(Data!$G549,canon!$I$2:$K$27,2,FALSE),"")</f>
        <v>DRESS</v>
      </c>
      <c r="I549" s="69" t="str">
        <f>IFERROR(VLOOKUP(Data!$G549,canon!$I$2:$K$27,3,FALSE),"")</f>
        <v>APPAREL</v>
      </c>
      <c r="J549" s="69">
        <f t="shared" si="16"/>
        <v>2</v>
      </c>
      <c r="K549" s="69">
        <f t="shared" si="17"/>
        <v>35</v>
      </c>
      <c r="L549" s="69">
        <f>VLOOKUP(Table_db1_backend_Daily.accdb[[#This Row],[TradingDate]],canon!B:E,4,0)</f>
        <v>28</v>
      </c>
    </row>
    <row r="550" spans="1:12" x14ac:dyDescent="0.2">
      <c r="A550" s="69" t="s">
        <v>40</v>
      </c>
      <c r="B550" s="70">
        <v>42926</v>
      </c>
      <c r="C550" s="69">
        <v>8</v>
      </c>
      <c r="D550" s="69">
        <v>0</v>
      </c>
      <c r="E550" s="69">
        <v>0</v>
      </c>
      <c r="F550" s="69">
        <v>0</v>
      </c>
      <c r="G550" s="69" t="s">
        <v>10</v>
      </c>
      <c r="H550" s="69" t="str">
        <f>IFERROR(VLOOKUP(Data!$G550,canon!$I$2:$K$27,2,FALSE),"")</f>
        <v>ACCESSORY</v>
      </c>
      <c r="I550" s="69" t="str">
        <f>IFERROR(VLOOKUP(Data!$G550,canon!$I$2:$K$27,3,FALSE),"")</f>
        <v>N.APPAREL</v>
      </c>
      <c r="J550" s="69">
        <f t="shared" si="16"/>
        <v>2</v>
      </c>
      <c r="K550" s="69">
        <f t="shared" si="17"/>
        <v>35</v>
      </c>
      <c r="L550" s="69">
        <f>VLOOKUP(Table_db1_backend_Daily.accdb[[#This Row],[TradingDate]],canon!B:E,4,0)</f>
        <v>28</v>
      </c>
    </row>
    <row r="551" spans="1:12" x14ac:dyDescent="0.2">
      <c r="A551" s="69" t="s">
        <v>40</v>
      </c>
      <c r="B551" s="70">
        <v>42926</v>
      </c>
      <c r="C551" s="69">
        <v>-17</v>
      </c>
      <c r="D551" s="69">
        <v>0</v>
      </c>
      <c r="E551" s="69">
        <v>0</v>
      </c>
      <c r="F551" s="69">
        <v>0</v>
      </c>
      <c r="G551" s="69" t="s">
        <v>28</v>
      </c>
      <c r="H551" s="69" t="str">
        <f>IFERROR(VLOOKUP(Data!$G551,canon!$I$2:$K$27,2,FALSE),"")</f>
        <v>ACCESSORY</v>
      </c>
      <c r="I551" s="69" t="str">
        <f>IFERROR(VLOOKUP(Data!$G551,canon!$I$2:$K$27,3,FALSE),"")</f>
        <v>N.APPAREL</v>
      </c>
      <c r="J551" s="69">
        <f t="shared" si="16"/>
        <v>2</v>
      </c>
      <c r="K551" s="69">
        <f t="shared" si="17"/>
        <v>35</v>
      </c>
      <c r="L551" s="69">
        <f>VLOOKUP(Table_db1_backend_Daily.accdb[[#This Row],[TradingDate]],canon!B:E,4,0)</f>
        <v>28</v>
      </c>
    </row>
    <row r="552" spans="1:12" x14ac:dyDescent="0.2">
      <c r="A552" s="69" t="s">
        <v>40</v>
      </c>
      <c r="B552" s="70">
        <v>42926</v>
      </c>
      <c r="C552" s="69">
        <v>2471</v>
      </c>
      <c r="D552" s="69">
        <v>38</v>
      </c>
      <c r="E552" s="69">
        <v>499.55000000000007</v>
      </c>
      <c r="F552" s="69">
        <v>214.30999999999992</v>
      </c>
      <c r="G552" s="69" t="s">
        <v>11</v>
      </c>
      <c r="H552" s="69" t="str">
        <f>IFERROR(VLOOKUP(Data!$G552,canon!$I$2:$K$27,2,FALSE),"")</f>
        <v>KNIT</v>
      </c>
      <c r="I552" s="69" t="str">
        <f>IFERROR(VLOOKUP(Data!$G552,canon!$I$2:$K$27,3,FALSE),"")</f>
        <v>APPAREL</v>
      </c>
      <c r="J552" s="69">
        <f t="shared" si="16"/>
        <v>2</v>
      </c>
      <c r="K552" s="69">
        <f t="shared" si="17"/>
        <v>35</v>
      </c>
      <c r="L552" s="69">
        <f>VLOOKUP(Table_db1_backend_Daily.accdb[[#This Row],[TradingDate]],canon!B:E,4,0)</f>
        <v>28</v>
      </c>
    </row>
    <row r="553" spans="1:12" x14ac:dyDescent="0.2">
      <c r="A553" s="69" t="s">
        <v>40</v>
      </c>
      <c r="B553" s="70">
        <v>42926</v>
      </c>
      <c r="C553" s="69">
        <v>245</v>
      </c>
      <c r="D553" s="69">
        <v>5</v>
      </c>
      <c r="E553" s="69">
        <v>70.44</v>
      </c>
      <c r="F553" s="69">
        <v>37.950000000000003</v>
      </c>
      <c r="G553" s="69" t="s">
        <v>14</v>
      </c>
      <c r="H553" s="69" t="str">
        <f>IFERROR(VLOOKUP(Data!$G553,canon!$I$2:$K$27,2,FALSE),"")</f>
        <v>LEGGING</v>
      </c>
      <c r="I553" s="69" t="str">
        <f>IFERROR(VLOOKUP(Data!$G553,canon!$I$2:$K$27,3,FALSE),"")</f>
        <v>APPAREL</v>
      </c>
      <c r="J553" s="69">
        <f t="shared" si="16"/>
        <v>2</v>
      </c>
      <c r="K553" s="69">
        <f t="shared" si="17"/>
        <v>35</v>
      </c>
      <c r="L553" s="69">
        <f>VLOOKUP(Table_db1_backend_Daily.accdb[[#This Row],[TradingDate]],canon!B:E,4,0)</f>
        <v>28</v>
      </c>
    </row>
    <row r="554" spans="1:12" x14ac:dyDescent="0.2">
      <c r="A554" s="69" t="s">
        <v>40</v>
      </c>
      <c r="B554" s="70">
        <v>42926</v>
      </c>
      <c r="C554" s="69">
        <v>1</v>
      </c>
      <c r="D554" s="69">
        <v>0</v>
      </c>
      <c r="E554" s="69">
        <v>0</v>
      </c>
      <c r="F554" s="69">
        <v>0</v>
      </c>
      <c r="G554" s="69" t="s">
        <v>37</v>
      </c>
      <c r="H554" s="69" t="str">
        <f>IFERROR(VLOOKUP(Data!$G554,canon!$I$2:$K$27,2,FALSE),"")</f>
        <v>SHOES</v>
      </c>
      <c r="I554" s="69" t="str">
        <f>IFERROR(VLOOKUP(Data!$G554,canon!$I$2:$K$27,3,FALSE),"")</f>
        <v>N.APPAREL</v>
      </c>
      <c r="J554" s="69">
        <f t="shared" si="16"/>
        <v>2</v>
      </c>
      <c r="K554" s="69">
        <f t="shared" si="17"/>
        <v>35</v>
      </c>
      <c r="L554" s="69">
        <f>VLOOKUP(Table_db1_backend_Daily.accdb[[#This Row],[TradingDate]],canon!B:E,4,0)</f>
        <v>28</v>
      </c>
    </row>
    <row r="555" spans="1:12" x14ac:dyDescent="0.2">
      <c r="A555" s="69" t="s">
        <v>40</v>
      </c>
      <c r="B555" s="70">
        <v>42926</v>
      </c>
      <c r="C555" s="69">
        <v>798</v>
      </c>
      <c r="D555" s="69">
        <v>15</v>
      </c>
      <c r="E555" s="69">
        <v>192.87</v>
      </c>
      <c r="F555" s="69">
        <v>75.28</v>
      </c>
      <c r="G555" s="69" t="s">
        <v>17</v>
      </c>
      <c r="H555" s="69" t="str">
        <f>IFERROR(VLOOKUP(Data!$G555,canon!$I$2:$K$27,2,FALSE),"")</f>
        <v>OUTER</v>
      </c>
      <c r="I555" s="69" t="str">
        <f>IFERROR(VLOOKUP(Data!$G555,canon!$I$2:$K$27,3,FALSE),"")</f>
        <v>APPAREL</v>
      </c>
      <c r="J555" s="69">
        <f t="shared" si="16"/>
        <v>2</v>
      </c>
      <c r="K555" s="69">
        <f t="shared" si="17"/>
        <v>35</v>
      </c>
      <c r="L555" s="69">
        <f>VLOOKUP(Table_db1_backend_Daily.accdb[[#This Row],[TradingDate]],canon!B:E,4,0)</f>
        <v>28</v>
      </c>
    </row>
    <row r="556" spans="1:12" x14ac:dyDescent="0.2">
      <c r="A556" s="69" t="s">
        <v>40</v>
      </c>
      <c r="B556" s="70">
        <v>42926</v>
      </c>
      <c r="C556" s="69">
        <v>452</v>
      </c>
      <c r="D556" s="69">
        <v>0</v>
      </c>
      <c r="E556" s="69">
        <v>0</v>
      </c>
      <c r="F556" s="69">
        <v>0</v>
      </c>
      <c r="G556" s="69" t="s">
        <v>19</v>
      </c>
      <c r="H556" s="69" t="str">
        <f>IFERROR(VLOOKUP(Data!$G556,canon!$I$2:$K$27,2,FALSE),"")</f>
        <v>PANT</v>
      </c>
      <c r="I556" s="69" t="str">
        <f>IFERROR(VLOOKUP(Data!$G556,canon!$I$2:$K$27,3,FALSE),"")</f>
        <v>APPAREL</v>
      </c>
      <c r="J556" s="69">
        <f t="shared" si="16"/>
        <v>2</v>
      </c>
      <c r="K556" s="69">
        <f t="shared" si="17"/>
        <v>35</v>
      </c>
      <c r="L556" s="69">
        <f>VLOOKUP(Table_db1_backend_Daily.accdb[[#This Row],[TradingDate]],canon!B:E,4,0)</f>
        <v>28</v>
      </c>
    </row>
    <row r="557" spans="1:12" x14ac:dyDescent="0.2">
      <c r="A557" s="69" t="s">
        <v>40</v>
      </c>
      <c r="B557" s="70">
        <v>42926</v>
      </c>
      <c r="C557" s="69">
        <v>32</v>
      </c>
      <c r="D557" s="69">
        <v>0</v>
      </c>
      <c r="E557" s="69">
        <v>0</v>
      </c>
      <c r="F557" s="69">
        <v>0</v>
      </c>
      <c r="G557" s="69" t="s">
        <v>21</v>
      </c>
      <c r="H557" s="69" t="str">
        <f>IFERROR(VLOOKUP(Data!$G557,canon!$I$2:$K$27,2,FALSE),"")</f>
        <v>ACCESSORY</v>
      </c>
      <c r="I557" s="69" t="str">
        <f>IFERROR(VLOOKUP(Data!$G557,canon!$I$2:$K$27,3,FALSE),"")</f>
        <v>N.APPAREL</v>
      </c>
      <c r="J557" s="69">
        <f t="shared" si="16"/>
        <v>2</v>
      </c>
      <c r="K557" s="69">
        <f t="shared" si="17"/>
        <v>35</v>
      </c>
      <c r="L557" s="69">
        <f>VLOOKUP(Table_db1_backend_Daily.accdb[[#This Row],[TradingDate]],canon!B:E,4,0)</f>
        <v>28</v>
      </c>
    </row>
    <row r="558" spans="1:12" x14ac:dyDescent="0.2">
      <c r="A558" s="69" t="s">
        <v>40</v>
      </c>
      <c r="B558" s="70">
        <v>42926</v>
      </c>
      <c r="C558" s="69">
        <v>735</v>
      </c>
      <c r="D558" s="69">
        <v>3</v>
      </c>
      <c r="E558" s="69">
        <v>13.649999999999999</v>
      </c>
      <c r="F558" s="69">
        <v>9.31</v>
      </c>
      <c r="G558" s="69" t="s">
        <v>22</v>
      </c>
      <c r="H558" s="69" t="str">
        <f>IFERROR(VLOOKUP(Data!$G558,canon!$I$2:$K$27,2,FALSE),"")</f>
        <v>SCARF</v>
      </c>
      <c r="I558" s="69" t="str">
        <f>IFERROR(VLOOKUP(Data!$G558,canon!$I$2:$K$27,3,FALSE),"")</f>
        <v>N.APPAREL</v>
      </c>
      <c r="J558" s="69">
        <f t="shared" si="16"/>
        <v>2</v>
      </c>
      <c r="K558" s="69">
        <f t="shared" si="17"/>
        <v>35</v>
      </c>
      <c r="L558" s="69">
        <f>VLOOKUP(Table_db1_backend_Daily.accdb[[#This Row],[TradingDate]],canon!B:E,4,0)</f>
        <v>28</v>
      </c>
    </row>
    <row r="559" spans="1:12" x14ac:dyDescent="0.2">
      <c r="A559" s="69" t="s">
        <v>40</v>
      </c>
      <c r="B559" s="70">
        <v>42926</v>
      </c>
      <c r="C559" s="69">
        <v>96</v>
      </c>
      <c r="D559" s="69">
        <v>1</v>
      </c>
      <c r="E559" s="69">
        <v>27.23</v>
      </c>
      <c r="F559" s="69">
        <v>18.32</v>
      </c>
      <c r="G559" s="69" t="s">
        <v>23</v>
      </c>
      <c r="H559" s="69" t="str">
        <f>IFERROR(VLOOKUP(Data!$G559,canon!$I$2:$K$27,2,FALSE),"")</f>
        <v>SH&amp;BL</v>
      </c>
      <c r="I559" s="69" t="str">
        <f>IFERROR(VLOOKUP(Data!$G559,canon!$I$2:$K$27,3,FALSE),"")</f>
        <v>APPAREL</v>
      </c>
      <c r="J559" s="69">
        <f t="shared" si="16"/>
        <v>2</v>
      </c>
      <c r="K559" s="69">
        <f t="shared" si="17"/>
        <v>35</v>
      </c>
      <c r="L559" s="69">
        <f>VLOOKUP(Table_db1_backend_Daily.accdb[[#This Row],[TradingDate]],canon!B:E,4,0)</f>
        <v>28</v>
      </c>
    </row>
    <row r="560" spans="1:12" x14ac:dyDescent="0.2">
      <c r="A560" s="69" t="s">
        <v>40</v>
      </c>
      <c r="B560" s="70">
        <v>42926</v>
      </c>
      <c r="C560" s="69">
        <v>321</v>
      </c>
      <c r="D560" s="69">
        <v>1</v>
      </c>
      <c r="E560" s="69">
        <v>18.16</v>
      </c>
      <c r="F560" s="69">
        <v>12.83</v>
      </c>
      <c r="G560" s="69" t="s">
        <v>32</v>
      </c>
      <c r="H560" s="69" t="str">
        <f>IFERROR(VLOOKUP(Data!$G560,canon!$I$2:$K$27,2,FALSE),"")</f>
        <v>SKIRT</v>
      </c>
      <c r="I560" s="69" t="str">
        <f>IFERROR(VLOOKUP(Data!$G560,canon!$I$2:$K$27,3,FALSE),"")</f>
        <v>APPAREL</v>
      </c>
      <c r="J560" s="69">
        <f t="shared" si="16"/>
        <v>2</v>
      </c>
      <c r="K560" s="69">
        <f t="shared" si="17"/>
        <v>35</v>
      </c>
      <c r="L560" s="69">
        <f>VLOOKUP(Table_db1_backend_Daily.accdb[[#This Row],[TradingDate]],canon!B:E,4,0)</f>
        <v>28</v>
      </c>
    </row>
    <row r="561" spans="1:12" x14ac:dyDescent="0.2">
      <c r="A561" s="69" t="s">
        <v>40</v>
      </c>
      <c r="B561" s="70">
        <v>42926</v>
      </c>
      <c r="C561" s="69">
        <v>1263</v>
      </c>
      <c r="D561" s="69">
        <v>55</v>
      </c>
      <c r="E561" s="69">
        <v>313.7</v>
      </c>
      <c r="F561" s="69">
        <v>59.169999999999995</v>
      </c>
      <c r="G561" s="69" t="s">
        <v>25</v>
      </c>
      <c r="H561" s="69" t="str">
        <f>IFERROR(VLOOKUP(Data!$G561,canon!$I$2:$K$27,2,FALSE),"")</f>
        <v>TOP</v>
      </c>
      <c r="I561" s="69" t="str">
        <f>IFERROR(VLOOKUP(Data!$G561,canon!$I$2:$K$27,3,FALSE),"")</f>
        <v>APPAREL</v>
      </c>
      <c r="J561" s="69">
        <f t="shared" si="16"/>
        <v>2</v>
      </c>
      <c r="K561" s="69">
        <f t="shared" si="17"/>
        <v>35</v>
      </c>
      <c r="L561" s="69">
        <f>VLOOKUP(Table_db1_backend_Daily.accdb[[#This Row],[TradingDate]],canon!B:E,4,0)</f>
        <v>28</v>
      </c>
    </row>
    <row r="562" spans="1:12" x14ac:dyDescent="0.2">
      <c r="A562" s="69" t="s">
        <v>40</v>
      </c>
      <c r="B562" s="70">
        <v>42927</v>
      </c>
      <c r="C562" s="69">
        <v>4</v>
      </c>
      <c r="D562" s="69">
        <v>0</v>
      </c>
      <c r="E562" s="69">
        <v>0</v>
      </c>
      <c r="F562" s="69">
        <v>0</v>
      </c>
      <c r="G562" s="69" t="s">
        <v>27</v>
      </c>
      <c r="H562" s="69" t="str">
        <f>IFERROR(VLOOKUP(Data!$G562,canon!$I$2:$K$27,2,FALSE),"")</f>
        <v>ACCESSORY</v>
      </c>
      <c r="I562" s="69" t="str">
        <f>IFERROR(VLOOKUP(Data!$G562,canon!$I$2:$K$27,3,FALSE),"")</f>
        <v>N.APPAREL</v>
      </c>
      <c r="J562" s="69">
        <f t="shared" si="16"/>
        <v>3</v>
      </c>
      <c r="K562" s="69">
        <f t="shared" si="17"/>
        <v>35</v>
      </c>
      <c r="L562" s="69">
        <f>VLOOKUP(Table_db1_backend_Daily.accdb[[#This Row],[TradingDate]],canon!B:E,4,0)</f>
        <v>28</v>
      </c>
    </row>
    <row r="563" spans="1:12" x14ac:dyDescent="0.2">
      <c r="A563" s="69" t="s">
        <v>40</v>
      </c>
      <c r="B563" s="70">
        <v>42927</v>
      </c>
      <c r="C563" s="69">
        <v>4</v>
      </c>
      <c r="D563" s="69">
        <v>0</v>
      </c>
      <c r="E563" s="69">
        <v>0</v>
      </c>
      <c r="F563" s="69">
        <v>0</v>
      </c>
      <c r="G563" s="69" t="s">
        <v>34</v>
      </c>
      <c r="H563" s="69" t="str">
        <f>IFERROR(VLOOKUP(Data!$G563,canon!$I$2:$K$27,2,FALSE),"")</f>
        <v>SHOES</v>
      </c>
      <c r="I563" s="69" t="str">
        <f>IFERROR(VLOOKUP(Data!$G563,canon!$I$2:$K$27,3,FALSE),"")</f>
        <v>N.APPAREL</v>
      </c>
      <c r="J563" s="69">
        <f t="shared" si="16"/>
        <v>3</v>
      </c>
      <c r="K563" s="69">
        <f t="shared" si="17"/>
        <v>35</v>
      </c>
      <c r="L563" s="69">
        <f>VLOOKUP(Table_db1_backend_Daily.accdb[[#This Row],[TradingDate]],canon!B:E,4,0)</f>
        <v>28</v>
      </c>
    </row>
    <row r="564" spans="1:12" x14ac:dyDescent="0.2">
      <c r="A564" s="69" t="s">
        <v>40</v>
      </c>
      <c r="B564" s="70">
        <v>42927</v>
      </c>
      <c r="C564" s="69">
        <v>2</v>
      </c>
      <c r="D564" s="69">
        <v>0</v>
      </c>
      <c r="E564" s="69">
        <v>0</v>
      </c>
      <c r="F564" s="69">
        <v>0</v>
      </c>
      <c r="G564" s="69" t="s">
        <v>38</v>
      </c>
      <c r="H564" s="69" t="str">
        <f>IFERROR(VLOOKUP(Data!$G564,canon!$I$2:$K$27,2,FALSE),"")</f>
        <v>SHOES</v>
      </c>
      <c r="I564" s="69" t="str">
        <f>IFERROR(VLOOKUP(Data!$G564,canon!$I$2:$K$27,3,FALSE),"")</f>
        <v>N.APPAREL</v>
      </c>
      <c r="J564" s="69">
        <f t="shared" si="16"/>
        <v>3</v>
      </c>
      <c r="K564" s="69">
        <f t="shared" si="17"/>
        <v>35</v>
      </c>
      <c r="L564" s="69">
        <f>VLOOKUP(Table_db1_backend_Daily.accdb[[#This Row],[TradingDate]],canon!B:E,4,0)</f>
        <v>28</v>
      </c>
    </row>
    <row r="565" spans="1:12" x14ac:dyDescent="0.2">
      <c r="A565" s="69" t="s">
        <v>40</v>
      </c>
      <c r="B565" s="70">
        <v>42927</v>
      </c>
      <c r="C565" s="69">
        <v>534</v>
      </c>
      <c r="D565" s="69">
        <v>5</v>
      </c>
      <c r="E565" s="69">
        <v>113.59</v>
      </c>
      <c r="F565" s="69">
        <v>73.37</v>
      </c>
      <c r="G565" s="69" t="s">
        <v>35</v>
      </c>
      <c r="H565" s="69" t="str">
        <f>IFERROR(VLOOKUP(Data!$G565,canon!$I$2:$K$27,2,FALSE),"")</f>
        <v>DRESS</v>
      </c>
      <c r="I565" s="69" t="str">
        <f>IFERROR(VLOOKUP(Data!$G565,canon!$I$2:$K$27,3,FALSE),"")</f>
        <v>APPAREL</v>
      </c>
      <c r="J565" s="69">
        <f t="shared" si="16"/>
        <v>3</v>
      </c>
      <c r="K565" s="69">
        <f t="shared" si="17"/>
        <v>35</v>
      </c>
      <c r="L565" s="69">
        <f>VLOOKUP(Table_db1_backend_Daily.accdb[[#This Row],[TradingDate]],canon!B:E,4,0)</f>
        <v>28</v>
      </c>
    </row>
    <row r="566" spans="1:12" x14ac:dyDescent="0.2">
      <c r="A566" s="69" t="s">
        <v>40</v>
      </c>
      <c r="B566" s="70">
        <v>42927</v>
      </c>
      <c r="C566" s="69">
        <v>8</v>
      </c>
      <c r="D566" s="69">
        <v>0</v>
      </c>
      <c r="E566" s="69">
        <v>0</v>
      </c>
      <c r="F566" s="69">
        <v>0</v>
      </c>
      <c r="G566" s="69" t="s">
        <v>10</v>
      </c>
      <c r="H566" s="69" t="str">
        <f>IFERROR(VLOOKUP(Data!$G566,canon!$I$2:$K$27,2,FALSE),"")</f>
        <v>ACCESSORY</v>
      </c>
      <c r="I566" s="69" t="str">
        <f>IFERROR(VLOOKUP(Data!$G566,canon!$I$2:$K$27,3,FALSE),"")</f>
        <v>N.APPAREL</v>
      </c>
      <c r="J566" s="69">
        <f t="shared" si="16"/>
        <v>3</v>
      </c>
      <c r="K566" s="69">
        <f t="shared" si="17"/>
        <v>35</v>
      </c>
      <c r="L566" s="69">
        <f>VLOOKUP(Table_db1_backend_Daily.accdb[[#This Row],[TradingDate]],canon!B:E,4,0)</f>
        <v>28</v>
      </c>
    </row>
    <row r="567" spans="1:12" x14ac:dyDescent="0.2">
      <c r="A567" s="69" t="s">
        <v>40</v>
      </c>
      <c r="B567" s="70">
        <v>42927</v>
      </c>
      <c r="C567" s="69">
        <v>-17</v>
      </c>
      <c r="D567" s="69">
        <v>0</v>
      </c>
      <c r="E567" s="69">
        <v>0</v>
      </c>
      <c r="F567" s="69">
        <v>0</v>
      </c>
      <c r="G567" s="69" t="s">
        <v>28</v>
      </c>
      <c r="H567" s="69" t="str">
        <f>IFERROR(VLOOKUP(Data!$G567,canon!$I$2:$K$27,2,FALSE),"")</f>
        <v>ACCESSORY</v>
      </c>
      <c r="I567" s="69" t="str">
        <f>IFERROR(VLOOKUP(Data!$G567,canon!$I$2:$K$27,3,FALSE),"")</f>
        <v>N.APPAREL</v>
      </c>
      <c r="J567" s="69">
        <f t="shared" si="16"/>
        <v>3</v>
      </c>
      <c r="K567" s="69">
        <f t="shared" si="17"/>
        <v>35</v>
      </c>
      <c r="L567" s="69">
        <f>VLOOKUP(Table_db1_backend_Daily.accdb[[#This Row],[TradingDate]],canon!B:E,4,0)</f>
        <v>28</v>
      </c>
    </row>
    <row r="568" spans="1:12" x14ac:dyDescent="0.2">
      <c r="A568" s="69" t="s">
        <v>40</v>
      </c>
      <c r="B568" s="70">
        <v>42927</v>
      </c>
      <c r="C568" s="69">
        <v>2561</v>
      </c>
      <c r="D568" s="69">
        <v>46</v>
      </c>
      <c r="E568" s="69">
        <v>481.59999999999997</v>
      </c>
      <c r="F568" s="69">
        <v>119.77</v>
      </c>
      <c r="G568" s="69" t="s">
        <v>11</v>
      </c>
      <c r="H568" s="69" t="str">
        <f>IFERROR(VLOOKUP(Data!$G568,canon!$I$2:$K$27,2,FALSE),"")</f>
        <v>KNIT</v>
      </c>
      <c r="I568" s="69" t="str">
        <f>IFERROR(VLOOKUP(Data!$G568,canon!$I$2:$K$27,3,FALSE),"")</f>
        <v>APPAREL</v>
      </c>
      <c r="J568" s="69">
        <f t="shared" si="16"/>
        <v>3</v>
      </c>
      <c r="K568" s="69">
        <f t="shared" si="17"/>
        <v>35</v>
      </c>
      <c r="L568" s="69">
        <f>VLOOKUP(Table_db1_backend_Daily.accdb[[#This Row],[TradingDate]],canon!B:E,4,0)</f>
        <v>28</v>
      </c>
    </row>
    <row r="569" spans="1:12" x14ac:dyDescent="0.2">
      <c r="A569" s="69" t="s">
        <v>40</v>
      </c>
      <c r="B569" s="70">
        <v>42927</v>
      </c>
      <c r="C569" s="69">
        <v>314</v>
      </c>
      <c r="D569" s="69">
        <v>3</v>
      </c>
      <c r="E569" s="69">
        <v>36.340000000000003</v>
      </c>
      <c r="F569" s="69">
        <v>14.28</v>
      </c>
      <c r="G569" s="69" t="s">
        <v>14</v>
      </c>
      <c r="H569" s="69" t="str">
        <f>IFERROR(VLOOKUP(Data!$G569,canon!$I$2:$K$27,2,FALSE),"")</f>
        <v>LEGGING</v>
      </c>
      <c r="I569" s="69" t="str">
        <f>IFERROR(VLOOKUP(Data!$G569,canon!$I$2:$K$27,3,FALSE),"")</f>
        <v>APPAREL</v>
      </c>
      <c r="J569" s="69">
        <f t="shared" si="16"/>
        <v>3</v>
      </c>
      <c r="K569" s="69">
        <f t="shared" si="17"/>
        <v>35</v>
      </c>
      <c r="L569" s="69">
        <f>VLOOKUP(Table_db1_backend_Daily.accdb[[#This Row],[TradingDate]],canon!B:E,4,0)</f>
        <v>28</v>
      </c>
    </row>
    <row r="570" spans="1:12" x14ac:dyDescent="0.2">
      <c r="A570" s="69" t="s">
        <v>40</v>
      </c>
      <c r="B570" s="70">
        <v>42927</v>
      </c>
      <c r="C570" s="69">
        <v>1</v>
      </c>
      <c r="D570" s="69">
        <v>0</v>
      </c>
      <c r="E570" s="69">
        <v>0</v>
      </c>
      <c r="F570" s="69">
        <v>0</v>
      </c>
      <c r="G570" s="69" t="s">
        <v>37</v>
      </c>
      <c r="H570" s="69" t="str">
        <f>IFERROR(VLOOKUP(Data!$G570,canon!$I$2:$K$27,2,FALSE),"")</f>
        <v>SHOES</v>
      </c>
      <c r="I570" s="69" t="str">
        <f>IFERROR(VLOOKUP(Data!$G570,canon!$I$2:$K$27,3,FALSE),"")</f>
        <v>N.APPAREL</v>
      </c>
      <c r="J570" s="69">
        <f t="shared" si="16"/>
        <v>3</v>
      </c>
      <c r="K570" s="69">
        <f t="shared" si="17"/>
        <v>35</v>
      </c>
      <c r="L570" s="69">
        <f>VLOOKUP(Table_db1_backend_Daily.accdb[[#This Row],[TradingDate]],canon!B:E,4,0)</f>
        <v>28</v>
      </c>
    </row>
    <row r="571" spans="1:12" x14ac:dyDescent="0.2">
      <c r="A571" s="69" t="s">
        <v>40</v>
      </c>
      <c r="B571" s="70">
        <v>42927</v>
      </c>
      <c r="C571" s="69">
        <v>826</v>
      </c>
      <c r="D571" s="69">
        <v>8</v>
      </c>
      <c r="E571" s="69">
        <v>181.69</v>
      </c>
      <c r="F571" s="69">
        <v>106.8</v>
      </c>
      <c r="G571" s="69" t="s">
        <v>17</v>
      </c>
      <c r="H571" s="69" t="str">
        <f>IFERROR(VLOOKUP(Data!$G571,canon!$I$2:$K$27,2,FALSE),"")</f>
        <v>OUTER</v>
      </c>
      <c r="I571" s="69" t="str">
        <f>IFERROR(VLOOKUP(Data!$G571,canon!$I$2:$K$27,3,FALSE),"")</f>
        <v>APPAREL</v>
      </c>
      <c r="J571" s="69">
        <f t="shared" si="16"/>
        <v>3</v>
      </c>
      <c r="K571" s="69">
        <f t="shared" si="17"/>
        <v>35</v>
      </c>
      <c r="L571" s="69">
        <f>VLOOKUP(Table_db1_backend_Daily.accdb[[#This Row],[TradingDate]],canon!B:E,4,0)</f>
        <v>28</v>
      </c>
    </row>
    <row r="572" spans="1:12" x14ac:dyDescent="0.2">
      <c r="A572" s="69" t="s">
        <v>40</v>
      </c>
      <c r="B572" s="70">
        <v>42927</v>
      </c>
      <c r="C572" s="69">
        <v>444</v>
      </c>
      <c r="D572" s="69">
        <v>8</v>
      </c>
      <c r="E572" s="69">
        <v>90.880000000000024</v>
      </c>
      <c r="F572" s="69">
        <v>42.989999999999995</v>
      </c>
      <c r="G572" s="69" t="s">
        <v>19</v>
      </c>
      <c r="H572" s="69" t="str">
        <f>IFERROR(VLOOKUP(Data!$G572,canon!$I$2:$K$27,2,FALSE),"")</f>
        <v>PANT</v>
      </c>
      <c r="I572" s="69" t="str">
        <f>IFERROR(VLOOKUP(Data!$G572,canon!$I$2:$K$27,3,FALSE),"")</f>
        <v>APPAREL</v>
      </c>
      <c r="J572" s="69">
        <f t="shared" si="16"/>
        <v>3</v>
      </c>
      <c r="K572" s="69">
        <f t="shared" si="17"/>
        <v>35</v>
      </c>
      <c r="L572" s="69">
        <f>VLOOKUP(Table_db1_backend_Daily.accdb[[#This Row],[TradingDate]],canon!B:E,4,0)</f>
        <v>28</v>
      </c>
    </row>
    <row r="573" spans="1:12" x14ac:dyDescent="0.2">
      <c r="A573" s="69" t="s">
        <v>40</v>
      </c>
      <c r="B573" s="70">
        <v>42927</v>
      </c>
      <c r="C573" s="69">
        <v>32</v>
      </c>
      <c r="D573" s="69">
        <v>0</v>
      </c>
      <c r="E573" s="69">
        <v>0</v>
      </c>
      <c r="F573" s="69">
        <v>0</v>
      </c>
      <c r="G573" s="69" t="s">
        <v>21</v>
      </c>
      <c r="H573" s="69" t="str">
        <f>IFERROR(VLOOKUP(Data!$G573,canon!$I$2:$K$27,2,FALSE),"")</f>
        <v>ACCESSORY</v>
      </c>
      <c r="I573" s="69" t="str">
        <f>IFERROR(VLOOKUP(Data!$G573,canon!$I$2:$K$27,3,FALSE),"")</f>
        <v>N.APPAREL</v>
      </c>
      <c r="J573" s="69">
        <f t="shared" si="16"/>
        <v>3</v>
      </c>
      <c r="K573" s="69">
        <f t="shared" si="17"/>
        <v>35</v>
      </c>
      <c r="L573" s="69">
        <f>VLOOKUP(Table_db1_backend_Daily.accdb[[#This Row],[TradingDate]],canon!B:E,4,0)</f>
        <v>28</v>
      </c>
    </row>
    <row r="574" spans="1:12" x14ac:dyDescent="0.2">
      <c r="A574" s="69" t="s">
        <v>40</v>
      </c>
      <c r="B574" s="70">
        <v>42927</v>
      </c>
      <c r="C574" s="69">
        <v>721</v>
      </c>
      <c r="D574" s="69">
        <v>14</v>
      </c>
      <c r="E574" s="69">
        <v>87.810000000000016</v>
      </c>
      <c r="F574" s="69">
        <v>67.17</v>
      </c>
      <c r="G574" s="69" t="s">
        <v>22</v>
      </c>
      <c r="H574" s="69" t="str">
        <f>IFERROR(VLOOKUP(Data!$G574,canon!$I$2:$K$27,2,FALSE),"")</f>
        <v>SCARF</v>
      </c>
      <c r="I574" s="69" t="str">
        <f>IFERROR(VLOOKUP(Data!$G574,canon!$I$2:$K$27,3,FALSE),"")</f>
        <v>N.APPAREL</v>
      </c>
      <c r="J574" s="69">
        <f t="shared" si="16"/>
        <v>3</v>
      </c>
      <c r="K574" s="69">
        <f t="shared" si="17"/>
        <v>35</v>
      </c>
      <c r="L574" s="69">
        <f>VLOOKUP(Table_db1_backend_Daily.accdb[[#This Row],[TradingDate]],canon!B:E,4,0)</f>
        <v>28</v>
      </c>
    </row>
    <row r="575" spans="1:12" x14ac:dyDescent="0.2">
      <c r="A575" s="69" t="s">
        <v>40</v>
      </c>
      <c r="B575" s="70">
        <v>42927</v>
      </c>
      <c r="C575" s="69">
        <v>96</v>
      </c>
      <c r="D575" s="69">
        <v>0</v>
      </c>
      <c r="E575" s="69">
        <v>0</v>
      </c>
      <c r="F575" s="69">
        <v>0</v>
      </c>
      <c r="G575" s="69" t="s">
        <v>23</v>
      </c>
      <c r="H575" s="69" t="str">
        <f>IFERROR(VLOOKUP(Data!$G575,canon!$I$2:$K$27,2,FALSE),"")</f>
        <v>SH&amp;BL</v>
      </c>
      <c r="I575" s="69" t="str">
        <f>IFERROR(VLOOKUP(Data!$G575,canon!$I$2:$K$27,3,FALSE),"")</f>
        <v>APPAREL</v>
      </c>
      <c r="J575" s="69">
        <f t="shared" si="16"/>
        <v>3</v>
      </c>
      <c r="K575" s="69">
        <f t="shared" si="17"/>
        <v>35</v>
      </c>
      <c r="L575" s="69">
        <f>VLOOKUP(Table_db1_backend_Daily.accdb[[#This Row],[TradingDate]],canon!B:E,4,0)</f>
        <v>28</v>
      </c>
    </row>
    <row r="576" spans="1:12" x14ac:dyDescent="0.2">
      <c r="A576" s="69" t="s">
        <v>40</v>
      </c>
      <c r="B576" s="70">
        <v>42927</v>
      </c>
      <c r="C576" s="69">
        <v>311</v>
      </c>
      <c r="D576" s="69">
        <v>10</v>
      </c>
      <c r="E576" s="69">
        <v>140.57</v>
      </c>
      <c r="F576" s="69">
        <v>94.039999999999992</v>
      </c>
      <c r="G576" s="69" t="s">
        <v>32</v>
      </c>
      <c r="H576" s="69" t="str">
        <f>IFERROR(VLOOKUP(Data!$G576,canon!$I$2:$K$27,2,FALSE),"")</f>
        <v>SKIRT</v>
      </c>
      <c r="I576" s="69" t="str">
        <f>IFERROR(VLOOKUP(Data!$G576,canon!$I$2:$K$27,3,FALSE),"")</f>
        <v>APPAREL</v>
      </c>
      <c r="J576" s="69">
        <f t="shared" si="16"/>
        <v>3</v>
      </c>
      <c r="K576" s="69">
        <f t="shared" si="17"/>
        <v>35</v>
      </c>
      <c r="L576" s="69">
        <f>VLOOKUP(Table_db1_backend_Daily.accdb[[#This Row],[TradingDate]],canon!B:E,4,0)</f>
        <v>28</v>
      </c>
    </row>
    <row r="577" spans="1:12" x14ac:dyDescent="0.2">
      <c r="A577" s="69" t="s">
        <v>40</v>
      </c>
      <c r="B577" s="70">
        <v>42927</v>
      </c>
      <c r="C577" s="69">
        <v>1305</v>
      </c>
      <c r="D577" s="69">
        <v>18</v>
      </c>
      <c r="E577" s="69">
        <v>172.45000000000002</v>
      </c>
      <c r="F577" s="69">
        <v>92.27000000000001</v>
      </c>
      <c r="G577" s="69" t="s">
        <v>25</v>
      </c>
      <c r="H577" s="69" t="str">
        <f>IFERROR(VLOOKUP(Data!$G577,canon!$I$2:$K$27,2,FALSE),"")</f>
        <v>TOP</v>
      </c>
      <c r="I577" s="69" t="str">
        <f>IFERROR(VLOOKUP(Data!$G577,canon!$I$2:$K$27,3,FALSE),"")</f>
        <v>APPAREL</v>
      </c>
      <c r="J577" s="69">
        <f t="shared" si="16"/>
        <v>3</v>
      </c>
      <c r="K577" s="69">
        <f t="shared" si="17"/>
        <v>35</v>
      </c>
      <c r="L577" s="69">
        <f>VLOOKUP(Table_db1_backend_Daily.accdb[[#This Row],[TradingDate]],canon!B:E,4,0)</f>
        <v>28</v>
      </c>
    </row>
    <row r="578" spans="1:12" x14ac:dyDescent="0.2">
      <c r="A578" s="69" t="s">
        <v>40</v>
      </c>
      <c r="B578" s="70">
        <v>42928</v>
      </c>
      <c r="C578" s="69">
        <v>4</v>
      </c>
      <c r="D578" s="69">
        <v>0</v>
      </c>
      <c r="E578" s="69">
        <v>0</v>
      </c>
      <c r="F578" s="69">
        <v>0</v>
      </c>
      <c r="G578" s="69" t="s">
        <v>27</v>
      </c>
      <c r="H578" s="69" t="str">
        <f>IFERROR(VLOOKUP(Data!$G578,canon!$I$2:$K$27,2,FALSE),"")</f>
        <v>ACCESSORY</v>
      </c>
      <c r="I578" s="69" t="str">
        <f>IFERROR(VLOOKUP(Data!$G578,canon!$I$2:$K$27,3,FALSE),"")</f>
        <v>N.APPAREL</v>
      </c>
      <c r="J578" s="69">
        <f t="shared" ref="J578:J641" si="18">WEEKDAY(B578)</f>
        <v>4</v>
      </c>
      <c r="K578" s="69">
        <f t="shared" ref="K578:K641" si="19">INT(A578)</f>
        <v>35</v>
      </c>
      <c r="L578" s="69">
        <f>VLOOKUP(Table_db1_backend_Daily.accdb[[#This Row],[TradingDate]],canon!B:E,4,0)</f>
        <v>28</v>
      </c>
    </row>
    <row r="579" spans="1:12" x14ac:dyDescent="0.2">
      <c r="A579" s="69" t="s">
        <v>40</v>
      </c>
      <c r="B579" s="70">
        <v>42928</v>
      </c>
      <c r="C579" s="69">
        <v>4</v>
      </c>
      <c r="D579" s="69">
        <v>0</v>
      </c>
      <c r="E579" s="69">
        <v>0</v>
      </c>
      <c r="F579" s="69">
        <v>0</v>
      </c>
      <c r="G579" s="69" t="s">
        <v>34</v>
      </c>
      <c r="H579" s="69" t="str">
        <f>IFERROR(VLOOKUP(Data!$G579,canon!$I$2:$K$27,2,FALSE),"")</f>
        <v>SHOES</v>
      </c>
      <c r="I579" s="69" t="str">
        <f>IFERROR(VLOOKUP(Data!$G579,canon!$I$2:$K$27,3,FALSE),"")</f>
        <v>N.APPAREL</v>
      </c>
      <c r="J579" s="69">
        <f t="shared" si="18"/>
        <v>4</v>
      </c>
      <c r="K579" s="69">
        <f t="shared" si="19"/>
        <v>35</v>
      </c>
      <c r="L579" s="69">
        <f>VLOOKUP(Table_db1_backend_Daily.accdb[[#This Row],[TradingDate]],canon!B:E,4,0)</f>
        <v>28</v>
      </c>
    </row>
    <row r="580" spans="1:12" x14ac:dyDescent="0.2">
      <c r="A580" s="69" t="s">
        <v>40</v>
      </c>
      <c r="B580" s="70">
        <v>42928</v>
      </c>
      <c r="C580" s="69">
        <v>2</v>
      </c>
      <c r="D580" s="69">
        <v>0</v>
      </c>
      <c r="E580" s="69">
        <v>0</v>
      </c>
      <c r="F580" s="69">
        <v>0</v>
      </c>
      <c r="G580" s="69" t="s">
        <v>38</v>
      </c>
      <c r="H580" s="69" t="str">
        <f>IFERROR(VLOOKUP(Data!$G580,canon!$I$2:$K$27,2,FALSE),"")</f>
        <v>SHOES</v>
      </c>
      <c r="I580" s="69" t="str">
        <f>IFERROR(VLOOKUP(Data!$G580,canon!$I$2:$K$27,3,FALSE),"")</f>
        <v>N.APPAREL</v>
      </c>
      <c r="J580" s="69">
        <f t="shared" si="18"/>
        <v>4</v>
      </c>
      <c r="K580" s="69">
        <f t="shared" si="19"/>
        <v>35</v>
      </c>
      <c r="L580" s="69">
        <f>VLOOKUP(Table_db1_backend_Daily.accdb[[#This Row],[TradingDate]],canon!B:E,4,0)</f>
        <v>28</v>
      </c>
    </row>
    <row r="581" spans="1:12" x14ac:dyDescent="0.2">
      <c r="A581" s="69" t="s">
        <v>40</v>
      </c>
      <c r="B581" s="70">
        <v>42928</v>
      </c>
      <c r="C581" s="69">
        <v>531</v>
      </c>
      <c r="D581" s="69">
        <v>3</v>
      </c>
      <c r="E581" s="69">
        <v>77.23</v>
      </c>
      <c r="F581" s="69">
        <v>53.31</v>
      </c>
      <c r="G581" s="69" t="s">
        <v>35</v>
      </c>
      <c r="H581" s="69" t="str">
        <f>IFERROR(VLOOKUP(Data!$G581,canon!$I$2:$K$27,2,FALSE),"")</f>
        <v>DRESS</v>
      </c>
      <c r="I581" s="69" t="str">
        <f>IFERROR(VLOOKUP(Data!$G581,canon!$I$2:$K$27,3,FALSE),"")</f>
        <v>APPAREL</v>
      </c>
      <c r="J581" s="69">
        <f t="shared" si="18"/>
        <v>4</v>
      </c>
      <c r="K581" s="69">
        <f t="shared" si="19"/>
        <v>35</v>
      </c>
      <c r="L581" s="69">
        <f>VLOOKUP(Table_db1_backend_Daily.accdb[[#This Row],[TradingDate]],canon!B:E,4,0)</f>
        <v>28</v>
      </c>
    </row>
    <row r="582" spans="1:12" x14ac:dyDescent="0.2">
      <c r="A582" s="69" t="s">
        <v>40</v>
      </c>
      <c r="B582" s="70">
        <v>42928</v>
      </c>
      <c r="C582" s="69">
        <v>6</v>
      </c>
      <c r="D582" s="69">
        <v>2</v>
      </c>
      <c r="E582" s="69">
        <v>9.1</v>
      </c>
      <c r="F582" s="69">
        <v>5.62</v>
      </c>
      <c r="G582" s="69" t="s">
        <v>10</v>
      </c>
      <c r="H582" s="69" t="str">
        <f>IFERROR(VLOOKUP(Data!$G582,canon!$I$2:$K$27,2,FALSE),"")</f>
        <v>ACCESSORY</v>
      </c>
      <c r="I582" s="69" t="str">
        <f>IFERROR(VLOOKUP(Data!$G582,canon!$I$2:$K$27,3,FALSE),"")</f>
        <v>N.APPAREL</v>
      </c>
      <c r="J582" s="69">
        <f t="shared" si="18"/>
        <v>4</v>
      </c>
      <c r="K582" s="69">
        <f t="shared" si="19"/>
        <v>35</v>
      </c>
      <c r="L582" s="69">
        <f>VLOOKUP(Table_db1_backend_Daily.accdb[[#This Row],[TradingDate]],canon!B:E,4,0)</f>
        <v>28</v>
      </c>
    </row>
    <row r="583" spans="1:12" x14ac:dyDescent="0.2">
      <c r="A583" s="69" t="s">
        <v>40</v>
      </c>
      <c r="B583" s="70">
        <v>42928</v>
      </c>
      <c r="C583" s="69">
        <v>-17</v>
      </c>
      <c r="D583" s="69">
        <v>0</v>
      </c>
      <c r="E583" s="69">
        <v>0</v>
      </c>
      <c r="F583" s="69">
        <v>0</v>
      </c>
      <c r="G583" s="69" t="s">
        <v>28</v>
      </c>
      <c r="H583" s="69" t="str">
        <f>IFERROR(VLOOKUP(Data!$G583,canon!$I$2:$K$27,2,FALSE),"")</f>
        <v>ACCESSORY</v>
      </c>
      <c r="I583" s="69" t="str">
        <f>IFERROR(VLOOKUP(Data!$G583,canon!$I$2:$K$27,3,FALSE),"")</f>
        <v>N.APPAREL</v>
      </c>
      <c r="J583" s="69">
        <f t="shared" si="18"/>
        <v>4</v>
      </c>
      <c r="K583" s="69">
        <f t="shared" si="19"/>
        <v>35</v>
      </c>
      <c r="L583" s="69">
        <f>VLOOKUP(Table_db1_backend_Daily.accdb[[#This Row],[TradingDate]],canon!B:E,4,0)</f>
        <v>28</v>
      </c>
    </row>
    <row r="584" spans="1:12" x14ac:dyDescent="0.2">
      <c r="A584" s="69" t="s">
        <v>40</v>
      </c>
      <c r="B584" s="70">
        <v>42928</v>
      </c>
      <c r="C584" s="69">
        <v>2487</v>
      </c>
      <c r="D584" s="69">
        <v>74</v>
      </c>
      <c r="E584" s="69">
        <v>899.15999999999985</v>
      </c>
      <c r="F584" s="69">
        <v>328.15999999999991</v>
      </c>
      <c r="G584" s="69" t="s">
        <v>11</v>
      </c>
      <c r="H584" s="69" t="str">
        <f>IFERROR(VLOOKUP(Data!$G584,canon!$I$2:$K$27,2,FALSE),"")</f>
        <v>KNIT</v>
      </c>
      <c r="I584" s="69" t="str">
        <f>IFERROR(VLOOKUP(Data!$G584,canon!$I$2:$K$27,3,FALSE),"")</f>
        <v>APPAREL</v>
      </c>
      <c r="J584" s="69">
        <f t="shared" si="18"/>
        <v>4</v>
      </c>
      <c r="K584" s="69">
        <f t="shared" si="19"/>
        <v>35</v>
      </c>
      <c r="L584" s="69">
        <f>VLOOKUP(Table_db1_backend_Daily.accdb[[#This Row],[TradingDate]],canon!B:E,4,0)</f>
        <v>28</v>
      </c>
    </row>
    <row r="585" spans="1:12" x14ac:dyDescent="0.2">
      <c r="A585" s="69" t="s">
        <v>40</v>
      </c>
      <c r="B585" s="70">
        <v>42928</v>
      </c>
      <c r="C585" s="69">
        <v>300</v>
      </c>
      <c r="D585" s="69">
        <v>14</v>
      </c>
      <c r="E585" s="69">
        <v>172.63</v>
      </c>
      <c r="F585" s="69">
        <v>71.239999999999995</v>
      </c>
      <c r="G585" s="69" t="s">
        <v>14</v>
      </c>
      <c r="H585" s="69" t="str">
        <f>IFERROR(VLOOKUP(Data!$G585,canon!$I$2:$K$27,2,FALSE),"")</f>
        <v>LEGGING</v>
      </c>
      <c r="I585" s="69" t="str">
        <f>IFERROR(VLOOKUP(Data!$G585,canon!$I$2:$K$27,3,FALSE),"")</f>
        <v>APPAREL</v>
      </c>
      <c r="J585" s="69">
        <f t="shared" si="18"/>
        <v>4</v>
      </c>
      <c r="K585" s="69">
        <f t="shared" si="19"/>
        <v>35</v>
      </c>
      <c r="L585" s="69">
        <f>VLOOKUP(Table_db1_backend_Daily.accdb[[#This Row],[TradingDate]],canon!B:E,4,0)</f>
        <v>28</v>
      </c>
    </row>
    <row r="586" spans="1:12" x14ac:dyDescent="0.2">
      <c r="A586" s="69" t="s">
        <v>40</v>
      </c>
      <c r="B586" s="70">
        <v>42928</v>
      </c>
      <c r="C586" s="69">
        <v>1</v>
      </c>
      <c r="D586" s="69">
        <v>0</v>
      </c>
      <c r="E586" s="69">
        <v>0</v>
      </c>
      <c r="F586" s="69">
        <v>0</v>
      </c>
      <c r="G586" s="69" t="s">
        <v>37</v>
      </c>
      <c r="H586" s="69" t="str">
        <f>IFERROR(VLOOKUP(Data!$G586,canon!$I$2:$K$27,2,FALSE),"")</f>
        <v>SHOES</v>
      </c>
      <c r="I586" s="69" t="str">
        <f>IFERROR(VLOOKUP(Data!$G586,canon!$I$2:$K$27,3,FALSE),"")</f>
        <v>N.APPAREL</v>
      </c>
      <c r="J586" s="69">
        <f t="shared" si="18"/>
        <v>4</v>
      </c>
      <c r="K586" s="69">
        <f t="shared" si="19"/>
        <v>35</v>
      </c>
      <c r="L586" s="69">
        <f>VLOOKUP(Table_db1_backend_Daily.accdb[[#This Row],[TradingDate]],canon!B:E,4,0)</f>
        <v>28</v>
      </c>
    </row>
    <row r="587" spans="1:12" x14ac:dyDescent="0.2">
      <c r="A587" s="69" t="s">
        <v>40</v>
      </c>
      <c r="B587" s="70">
        <v>42928</v>
      </c>
      <c r="C587" s="69">
        <v>817</v>
      </c>
      <c r="D587" s="69">
        <v>9</v>
      </c>
      <c r="E587" s="69">
        <v>136.34</v>
      </c>
      <c r="F587" s="69">
        <v>50.5</v>
      </c>
      <c r="G587" s="69" t="s">
        <v>17</v>
      </c>
      <c r="H587" s="69" t="str">
        <f>IFERROR(VLOOKUP(Data!$G587,canon!$I$2:$K$27,2,FALSE),"")</f>
        <v>OUTER</v>
      </c>
      <c r="I587" s="69" t="str">
        <f>IFERROR(VLOOKUP(Data!$G587,canon!$I$2:$K$27,3,FALSE),"")</f>
        <v>APPAREL</v>
      </c>
      <c r="J587" s="69">
        <f t="shared" si="18"/>
        <v>4</v>
      </c>
      <c r="K587" s="69">
        <f t="shared" si="19"/>
        <v>35</v>
      </c>
      <c r="L587" s="69">
        <f>VLOOKUP(Table_db1_backend_Daily.accdb[[#This Row],[TradingDate]],canon!B:E,4,0)</f>
        <v>28</v>
      </c>
    </row>
    <row r="588" spans="1:12" x14ac:dyDescent="0.2">
      <c r="A588" s="69" t="s">
        <v>40</v>
      </c>
      <c r="B588" s="70">
        <v>42928</v>
      </c>
      <c r="C588" s="69">
        <v>443</v>
      </c>
      <c r="D588" s="69">
        <v>1</v>
      </c>
      <c r="E588" s="69">
        <v>9.09</v>
      </c>
      <c r="F588" s="69">
        <v>3.76</v>
      </c>
      <c r="G588" s="69" t="s">
        <v>19</v>
      </c>
      <c r="H588" s="69" t="str">
        <f>IFERROR(VLOOKUP(Data!$G588,canon!$I$2:$K$27,2,FALSE),"")</f>
        <v>PANT</v>
      </c>
      <c r="I588" s="69" t="str">
        <f>IFERROR(VLOOKUP(Data!$G588,canon!$I$2:$K$27,3,FALSE),"")</f>
        <v>APPAREL</v>
      </c>
      <c r="J588" s="69">
        <f t="shared" si="18"/>
        <v>4</v>
      </c>
      <c r="K588" s="69">
        <f t="shared" si="19"/>
        <v>35</v>
      </c>
      <c r="L588" s="69">
        <f>VLOOKUP(Table_db1_backend_Daily.accdb[[#This Row],[TradingDate]],canon!B:E,4,0)</f>
        <v>28</v>
      </c>
    </row>
    <row r="589" spans="1:12" x14ac:dyDescent="0.2">
      <c r="A589" s="69" t="s">
        <v>40</v>
      </c>
      <c r="B589" s="70">
        <v>42928</v>
      </c>
      <c r="C589" s="69">
        <v>32</v>
      </c>
      <c r="D589" s="69">
        <v>0</v>
      </c>
      <c r="E589" s="69">
        <v>0</v>
      </c>
      <c r="F589" s="69">
        <v>0</v>
      </c>
      <c r="G589" s="69" t="s">
        <v>21</v>
      </c>
      <c r="H589" s="69" t="str">
        <f>IFERROR(VLOOKUP(Data!$G589,canon!$I$2:$K$27,2,FALSE),"")</f>
        <v>ACCESSORY</v>
      </c>
      <c r="I589" s="69" t="str">
        <f>IFERROR(VLOOKUP(Data!$G589,canon!$I$2:$K$27,3,FALSE),"")</f>
        <v>N.APPAREL</v>
      </c>
      <c r="J589" s="69">
        <f t="shared" si="18"/>
        <v>4</v>
      </c>
      <c r="K589" s="69">
        <f t="shared" si="19"/>
        <v>35</v>
      </c>
      <c r="L589" s="69">
        <f>VLOOKUP(Table_db1_backend_Daily.accdb[[#This Row],[TradingDate]],canon!B:E,4,0)</f>
        <v>28</v>
      </c>
    </row>
    <row r="590" spans="1:12" x14ac:dyDescent="0.2">
      <c r="A590" s="69" t="s">
        <v>40</v>
      </c>
      <c r="B590" s="70">
        <v>42928</v>
      </c>
      <c r="C590" s="69">
        <v>705</v>
      </c>
      <c r="D590" s="69">
        <v>16</v>
      </c>
      <c r="E590" s="69">
        <v>80.810000000000016</v>
      </c>
      <c r="F590" s="69">
        <v>59.09</v>
      </c>
      <c r="G590" s="69" t="s">
        <v>22</v>
      </c>
      <c r="H590" s="69" t="str">
        <f>IFERROR(VLOOKUP(Data!$G590,canon!$I$2:$K$27,2,FALSE),"")</f>
        <v>SCARF</v>
      </c>
      <c r="I590" s="69" t="str">
        <f>IFERROR(VLOOKUP(Data!$G590,canon!$I$2:$K$27,3,FALSE),"")</f>
        <v>N.APPAREL</v>
      </c>
      <c r="J590" s="69">
        <f t="shared" si="18"/>
        <v>4</v>
      </c>
      <c r="K590" s="69">
        <f t="shared" si="19"/>
        <v>35</v>
      </c>
      <c r="L590" s="69">
        <f>VLOOKUP(Table_db1_backend_Daily.accdb[[#This Row],[TradingDate]],canon!B:E,4,0)</f>
        <v>28</v>
      </c>
    </row>
    <row r="591" spans="1:12" x14ac:dyDescent="0.2">
      <c r="A591" s="69" t="s">
        <v>40</v>
      </c>
      <c r="B591" s="70">
        <v>42928</v>
      </c>
      <c r="C591" s="69">
        <v>95</v>
      </c>
      <c r="D591" s="69">
        <v>1</v>
      </c>
      <c r="E591" s="69">
        <v>9.09</v>
      </c>
      <c r="F591" s="69">
        <v>2.35</v>
      </c>
      <c r="G591" s="69" t="s">
        <v>23</v>
      </c>
      <c r="H591" s="69" t="str">
        <f>IFERROR(VLOOKUP(Data!$G591,canon!$I$2:$K$27,2,FALSE),"")</f>
        <v>SH&amp;BL</v>
      </c>
      <c r="I591" s="69" t="str">
        <f>IFERROR(VLOOKUP(Data!$G591,canon!$I$2:$K$27,3,FALSE),"")</f>
        <v>APPAREL</v>
      </c>
      <c r="J591" s="69">
        <f t="shared" si="18"/>
        <v>4</v>
      </c>
      <c r="K591" s="69">
        <f t="shared" si="19"/>
        <v>35</v>
      </c>
      <c r="L591" s="69">
        <f>VLOOKUP(Table_db1_backend_Daily.accdb[[#This Row],[TradingDate]],canon!B:E,4,0)</f>
        <v>28</v>
      </c>
    </row>
    <row r="592" spans="1:12" x14ac:dyDescent="0.2">
      <c r="A592" s="69" t="s">
        <v>40</v>
      </c>
      <c r="B592" s="70">
        <v>42928</v>
      </c>
      <c r="C592" s="69">
        <v>311</v>
      </c>
      <c r="D592" s="69">
        <v>0</v>
      </c>
      <c r="E592" s="69">
        <v>0</v>
      </c>
      <c r="F592" s="69">
        <v>0</v>
      </c>
      <c r="G592" s="69" t="s">
        <v>32</v>
      </c>
      <c r="H592" s="69" t="str">
        <f>IFERROR(VLOOKUP(Data!$G592,canon!$I$2:$K$27,2,FALSE),"")</f>
        <v>SKIRT</v>
      </c>
      <c r="I592" s="69" t="str">
        <f>IFERROR(VLOOKUP(Data!$G592,canon!$I$2:$K$27,3,FALSE),"")</f>
        <v>APPAREL</v>
      </c>
      <c r="J592" s="69">
        <f t="shared" si="18"/>
        <v>4</v>
      </c>
      <c r="K592" s="69">
        <f t="shared" si="19"/>
        <v>35</v>
      </c>
      <c r="L592" s="69">
        <f>VLOOKUP(Table_db1_backend_Daily.accdb[[#This Row],[TradingDate]],canon!B:E,4,0)</f>
        <v>28</v>
      </c>
    </row>
    <row r="593" spans="1:12" x14ac:dyDescent="0.2">
      <c r="A593" s="69" t="s">
        <v>40</v>
      </c>
      <c r="B593" s="70">
        <v>42928</v>
      </c>
      <c r="C593" s="69">
        <v>1284</v>
      </c>
      <c r="D593" s="69">
        <v>21</v>
      </c>
      <c r="E593" s="69">
        <v>263.39999999999998</v>
      </c>
      <c r="F593" s="69">
        <v>150.43</v>
      </c>
      <c r="G593" s="69" t="s">
        <v>25</v>
      </c>
      <c r="H593" s="69" t="str">
        <f>IFERROR(VLOOKUP(Data!$G593,canon!$I$2:$K$27,2,FALSE),"")</f>
        <v>TOP</v>
      </c>
      <c r="I593" s="69" t="str">
        <f>IFERROR(VLOOKUP(Data!$G593,canon!$I$2:$K$27,3,FALSE),"")</f>
        <v>APPAREL</v>
      </c>
      <c r="J593" s="69">
        <f t="shared" si="18"/>
        <v>4</v>
      </c>
      <c r="K593" s="69">
        <f t="shared" si="19"/>
        <v>35</v>
      </c>
      <c r="L593" s="69">
        <f>VLOOKUP(Table_db1_backend_Daily.accdb[[#This Row],[TradingDate]],canon!B:E,4,0)</f>
        <v>28</v>
      </c>
    </row>
    <row r="594" spans="1:12" x14ac:dyDescent="0.2">
      <c r="A594" s="69" t="s">
        <v>40</v>
      </c>
      <c r="B594" s="70">
        <v>42929</v>
      </c>
      <c r="C594" s="69">
        <v>4</v>
      </c>
      <c r="D594" s="69">
        <v>0</v>
      </c>
      <c r="E594" s="69">
        <v>0</v>
      </c>
      <c r="F594" s="69">
        <v>0</v>
      </c>
      <c r="G594" s="69" t="s">
        <v>27</v>
      </c>
      <c r="H594" s="69" t="str">
        <f>IFERROR(VLOOKUP(Data!$G594,canon!$I$2:$K$27,2,FALSE),"")</f>
        <v>ACCESSORY</v>
      </c>
      <c r="I594" s="69" t="str">
        <f>IFERROR(VLOOKUP(Data!$G594,canon!$I$2:$K$27,3,FALSE),"")</f>
        <v>N.APPAREL</v>
      </c>
      <c r="J594" s="69">
        <f t="shared" si="18"/>
        <v>5</v>
      </c>
      <c r="K594" s="69">
        <f t="shared" si="19"/>
        <v>35</v>
      </c>
      <c r="L594" s="69">
        <f>VLOOKUP(Table_db1_backend_Daily.accdb[[#This Row],[TradingDate]],canon!B:E,4,0)</f>
        <v>28</v>
      </c>
    </row>
    <row r="595" spans="1:12" x14ac:dyDescent="0.2">
      <c r="A595" s="69" t="s">
        <v>40</v>
      </c>
      <c r="B595" s="70">
        <v>42929</v>
      </c>
      <c r="C595" s="69">
        <v>4</v>
      </c>
      <c r="D595" s="69">
        <v>0</v>
      </c>
      <c r="E595" s="69">
        <v>0</v>
      </c>
      <c r="F595" s="69">
        <v>0</v>
      </c>
      <c r="G595" s="69" t="s">
        <v>34</v>
      </c>
      <c r="H595" s="69" t="str">
        <f>IFERROR(VLOOKUP(Data!$G595,canon!$I$2:$K$27,2,FALSE),"")</f>
        <v>SHOES</v>
      </c>
      <c r="I595" s="69" t="str">
        <f>IFERROR(VLOOKUP(Data!$G595,canon!$I$2:$K$27,3,FALSE),"")</f>
        <v>N.APPAREL</v>
      </c>
      <c r="J595" s="69">
        <f t="shared" si="18"/>
        <v>5</v>
      </c>
      <c r="K595" s="69">
        <f t="shared" si="19"/>
        <v>35</v>
      </c>
      <c r="L595" s="69">
        <f>VLOOKUP(Table_db1_backend_Daily.accdb[[#This Row],[TradingDate]],canon!B:E,4,0)</f>
        <v>28</v>
      </c>
    </row>
    <row r="596" spans="1:12" x14ac:dyDescent="0.2">
      <c r="A596" s="69" t="s">
        <v>40</v>
      </c>
      <c r="B596" s="70">
        <v>42929</v>
      </c>
      <c r="C596" s="69">
        <v>2</v>
      </c>
      <c r="D596" s="69">
        <v>0</v>
      </c>
      <c r="E596" s="69">
        <v>0</v>
      </c>
      <c r="F596" s="69">
        <v>0</v>
      </c>
      <c r="G596" s="69" t="s">
        <v>38</v>
      </c>
      <c r="H596" s="69" t="str">
        <f>IFERROR(VLOOKUP(Data!$G596,canon!$I$2:$K$27,2,FALSE),"")</f>
        <v>SHOES</v>
      </c>
      <c r="I596" s="69" t="str">
        <f>IFERROR(VLOOKUP(Data!$G596,canon!$I$2:$K$27,3,FALSE),"")</f>
        <v>N.APPAREL</v>
      </c>
      <c r="J596" s="69">
        <f t="shared" si="18"/>
        <v>5</v>
      </c>
      <c r="K596" s="69">
        <f t="shared" si="19"/>
        <v>35</v>
      </c>
      <c r="L596" s="69">
        <f>VLOOKUP(Table_db1_backend_Daily.accdb[[#This Row],[TradingDate]],canon!B:E,4,0)</f>
        <v>28</v>
      </c>
    </row>
    <row r="597" spans="1:12" x14ac:dyDescent="0.2">
      <c r="A597" s="69" t="s">
        <v>40</v>
      </c>
      <c r="B597" s="70">
        <v>42929</v>
      </c>
      <c r="C597" s="69">
        <v>524</v>
      </c>
      <c r="D597" s="69">
        <v>7</v>
      </c>
      <c r="E597" s="69">
        <v>190.86</v>
      </c>
      <c r="F597" s="69">
        <v>133.89999999999998</v>
      </c>
      <c r="G597" s="69" t="s">
        <v>35</v>
      </c>
      <c r="H597" s="69" t="str">
        <f>IFERROR(VLOOKUP(Data!$G597,canon!$I$2:$K$27,2,FALSE),"")</f>
        <v>DRESS</v>
      </c>
      <c r="I597" s="69" t="str">
        <f>IFERROR(VLOOKUP(Data!$G597,canon!$I$2:$K$27,3,FALSE),"")</f>
        <v>APPAREL</v>
      </c>
      <c r="J597" s="69">
        <f t="shared" si="18"/>
        <v>5</v>
      </c>
      <c r="K597" s="69">
        <f t="shared" si="19"/>
        <v>35</v>
      </c>
      <c r="L597" s="69">
        <f>VLOOKUP(Table_db1_backend_Daily.accdb[[#This Row],[TradingDate]],canon!B:E,4,0)</f>
        <v>28</v>
      </c>
    </row>
    <row r="598" spans="1:12" x14ac:dyDescent="0.2">
      <c r="A598" s="69" t="s">
        <v>40</v>
      </c>
      <c r="B598" s="70">
        <v>42929</v>
      </c>
      <c r="C598" s="69">
        <v>6</v>
      </c>
      <c r="D598" s="69">
        <v>0</v>
      </c>
      <c r="E598" s="69">
        <v>0</v>
      </c>
      <c r="F598" s="69">
        <v>0</v>
      </c>
      <c r="G598" s="69" t="s">
        <v>10</v>
      </c>
      <c r="H598" s="69" t="str">
        <f>IFERROR(VLOOKUP(Data!$G598,canon!$I$2:$K$27,2,FALSE),"")</f>
        <v>ACCESSORY</v>
      </c>
      <c r="I598" s="69" t="str">
        <f>IFERROR(VLOOKUP(Data!$G598,canon!$I$2:$K$27,3,FALSE),"")</f>
        <v>N.APPAREL</v>
      </c>
      <c r="J598" s="69">
        <f t="shared" si="18"/>
        <v>5</v>
      </c>
      <c r="K598" s="69">
        <f t="shared" si="19"/>
        <v>35</v>
      </c>
      <c r="L598" s="69">
        <f>VLOOKUP(Table_db1_backend_Daily.accdb[[#This Row],[TradingDate]],canon!B:E,4,0)</f>
        <v>28</v>
      </c>
    </row>
    <row r="599" spans="1:12" x14ac:dyDescent="0.2">
      <c r="A599" s="69" t="s">
        <v>40</v>
      </c>
      <c r="B599" s="70">
        <v>42929</v>
      </c>
      <c r="C599" s="69">
        <v>-17</v>
      </c>
      <c r="D599" s="69">
        <v>0</v>
      </c>
      <c r="E599" s="69">
        <v>0</v>
      </c>
      <c r="F599" s="69">
        <v>0</v>
      </c>
      <c r="G599" s="69" t="s">
        <v>28</v>
      </c>
      <c r="H599" s="69" t="str">
        <f>IFERROR(VLOOKUP(Data!$G599,canon!$I$2:$K$27,2,FALSE),"")</f>
        <v>ACCESSORY</v>
      </c>
      <c r="I599" s="69" t="str">
        <f>IFERROR(VLOOKUP(Data!$G599,canon!$I$2:$K$27,3,FALSE),"")</f>
        <v>N.APPAREL</v>
      </c>
      <c r="J599" s="69">
        <f t="shared" si="18"/>
        <v>5</v>
      </c>
      <c r="K599" s="69">
        <f t="shared" si="19"/>
        <v>35</v>
      </c>
      <c r="L599" s="69">
        <f>VLOOKUP(Table_db1_backend_Daily.accdb[[#This Row],[TradingDate]],canon!B:E,4,0)</f>
        <v>28</v>
      </c>
    </row>
    <row r="600" spans="1:12" x14ac:dyDescent="0.2">
      <c r="A600" s="69" t="s">
        <v>40</v>
      </c>
      <c r="B600" s="70">
        <v>42929</v>
      </c>
      <c r="C600" s="69">
        <v>2362</v>
      </c>
      <c r="D600" s="69">
        <v>125</v>
      </c>
      <c r="E600" s="69">
        <v>1425.56</v>
      </c>
      <c r="F600" s="69">
        <v>448.46999999999997</v>
      </c>
      <c r="G600" s="69" t="s">
        <v>11</v>
      </c>
      <c r="H600" s="69" t="str">
        <f>IFERROR(VLOOKUP(Data!$G600,canon!$I$2:$K$27,2,FALSE),"")</f>
        <v>KNIT</v>
      </c>
      <c r="I600" s="69" t="str">
        <f>IFERROR(VLOOKUP(Data!$G600,canon!$I$2:$K$27,3,FALSE),"")</f>
        <v>APPAREL</v>
      </c>
      <c r="J600" s="69">
        <f t="shared" si="18"/>
        <v>5</v>
      </c>
      <c r="K600" s="69">
        <f t="shared" si="19"/>
        <v>35</v>
      </c>
      <c r="L600" s="69">
        <f>VLOOKUP(Table_db1_backend_Daily.accdb[[#This Row],[TradingDate]],canon!B:E,4,0)</f>
        <v>28</v>
      </c>
    </row>
    <row r="601" spans="1:12" x14ac:dyDescent="0.2">
      <c r="A601" s="69" t="s">
        <v>40</v>
      </c>
      <c r="B601" s="70">
        <v>42929</v>
      </c>
      <c r="C601" s="69">
        <v>295</v>
      </c>
      <c r="D601" s="69">
        <v>5</v>
      </c>
      <c r="E601" s="69">
        <v>45.45</v>
      </c>
      <c r="F601" s="69">
        <v>9.0500000000000007</v>
      </c>
      <c r="G601" s="69" t="s">
        <v>14</v>
      </c>
      <c r="H601" s="69" t="str">
        <f>IFERROR(VLOOKUP(Data!$G601,canon!$I$2:$K$27,2,FALSE),"")</f>
        <v>LEGGING</v>
      </c>
      <c r="I601" s="69" t="str">
        <f>IFERROR(VLOOKUP(Data!$G601,canon!$I$2:$K$27,3,FALSE),"")</f>
        <v>APPAREL</v>
      </c>
      <c r="J601" s="69">
        <f t="shared" si="18"/>
        <v>5</v>
      </c>
      <c r="K601" s="69">
        <f t="shared" si="19"/>
        <v>35</v>
      </c>
      <c r="L601" s="69">
        <f>VLOOKUP(Table_db1_backend_Daily.accdb[[#This Row],[TradingDate]],canon!B:E,4,0)</f>
        <v>28</v>
      </c>
    </row>
    <row r="602" spans="1:12" x14ac:dyDescent="0.2">
      <c r="A602" s="69" t="s">
        <v>40</v>
      </c>
      <c r="B602" s="70">
        <v>42929</v>
      </c>
      <c r="C602" s="69">
        <v>1</v>
      </c>
      <c r="D602" s="69">
        <v>0</v>
      </c>
      <c r="E602" s="69">
        <v>0</v>
      </c>
      <c r="F602" s="69">
        <v>0</v>
      </c>
      <c r="G602" s="69" t="s">
        <v>37</v>
      </c>
      <c r="H602" s="69" t="str">
        <f>IFERROR(VLOOKUP(Data!$G602,canon!$I$2:$K$27,2,FALSE),"")</f>
        <v>SHOES</v>
      </c>
      <c r="I602" s="69" t="str">
        <f>IFERROR(VLOOKUP(Data!$G602,canon!$I$2:$K$27,3,FALSE),"")</f>
        <v>N.APPAREL</v>
      </c>
      <c r="J602" s="69">
        <f t="shared" si="18"/>
        <v>5</v>
      </c>
      <c r="K602" s="69">
        <f t="shared" si="19"/>
        <v>35</v>
      </c>
      <c r="L602" s="69">
        <f>VLOOKUP(Table_db1_backend_Daily.accdb[[#This Row],[TradingDate]],canon!B:E,4,0)</f>
        <v>28</v>
      </c>
    </row>
    <row r="603" spans="1:12" x14ac:dyDescent="0.2">
      <c r="A603" s="69" t="s">
        <v>40</v>
      </c>
      <c r="B603" s="70">
        <v>42929</v>
      </c>
      <c r="C603" s="69">
        <v>788</v>
      </c>
      <c r="D603" s="69">
        <v>29</v>
      </c>
      <c r="E603" s="69">
        <v>553.79</v>
      </c>
      <c r="F603" s="69">
        <v>291.04000000000002</v>
      </c>
      <c r="G603" s="69" t="s">
        <v>17</v>
      </c>
      <c r="H603" s="69" t="str">
        <f>IFERROR(VLOOKUP(Data!$G603,canon!$I$2:$K$27,2,FALSE),"")</f>
        <v>OUTER</v>
      </c>
      <c r="I603" s="69" t="str">
        <f>IFERROR(VLOOKUP(Data!$G603,canon!$I$2:$K$27,3,FALSE),"")</f>
        <v>APPAREL</v>
      </c>
      <c r="J603" s="69">
        <f t="shared" si="18"/>
        <v>5</v>
      </c>
      <c r="K603" s="69">
        <f t="shared" si="19"/>
        <v>35</v>
      </c>
      <c r="L603" s="69">
        <f>VLOOKUP(Table_db1_backend_Daily.accdb[[#This Row],[TradingDate]],canon!B:E,4,0)</f>
        <v>28</v>
      </c>
    </row>
    <row r="604" spans="1:12" x14ac:dyDescent="0.2">
      <c r="A604" s="69" t="s">
        <v>40</v>
      </c>
      <c r="B604" s="70">
        <v>42929</v>
      </c>
      <c r="C604" s="69">
        <v>438</v>
      </c>
      <c r="D604" s="69">
        <v>5</v>
      </c>
      <c r="E604" s="69">
        <v>118.03</v>
      </c>
      <c r="F604" s="69">
        <v>78.77000000000001</v>
      </c>
      <c r="G604" s="69" t="s">
        <v>19</v>
      </c>
      <c r="H604" s="69" t="str">
        <f>IFERROR(VLOOKUP(Data!$G604,canon!$I$2:$K$27,2,FALSE),"")</f>
        <v>PANT</v>
      </c>
      <c r="I604" s="69" t="str">
        <f>IFERROR(VLOOKUP(Data!$G604,canon!$I$2:$K$27,3,FALSE),"")</f>
        <v>APPAREL</v>
      </c>
      <c r="J604" s="69">
        <f t="shared" si="18"/>
        <v>5</v>
      </c>
      <c r="K604" s="69">
        <f t="shared" si="19"/>
        <v>35</v>
      </c>
      <c r="L604" s="69">
        <f>VLOOKUP(Table_db1_backend_Daily.accdb[[#This Row],[TradingDate]],canon!B:E,4,0)</f>
        <v>28</v>
      </c>
    </row>
    <row r="605" spans="1:12" x14ac:dyDescent="0.2">
      <c r="A605" s="69" t="s">
        <v>40</v>
      </c>
      <c r="B605" s="70">
        <v>42929</v>
      </c>
      <c r="C605" s="69">
        <v>32</v>
      </c>
      <c r="D605" s="69">
        <v>0</v>
      </c>
      <c r="E605" s="69">
        <v>0</v>
      </c>
      <c r="F605" s="69">
        <v>0</v>
      </c>
      <c r="G605" s="69" t="s">
        <v>21</v>
      </c>
      <c r="H605" s="69" t="str">
        <f>IFERROR(VLOOKUP(Data!$G605,canon!$I$2:$K$27,2,FALSE),"")</f>
        <v>ACCESSORY</v>
      </c>
      <c r="I605" s="69" t="str">
        <f>IFERROR(VLOOKUP(Data!$G605,canon!$I$2:$K$27,3,FALSE),"")</f>
        <v>N.APPAREL</v>
      </c>
      <c r="J605" s="69">
        <f t="shared" si="18"/>
        <v>5</v>
      </c>
      <c r="K605" s="69">
        <f t="shared" si="19"/>
        <v>35</v>
      </c>
      <c r="L605" s="69">
        <f>VLOOKUP(Table_db1_backend_Daily.accdb[[#This Row],[TradingDate]],canon!B:E,4,0)</f>
        <v>28</v>
      </c>
    </row>
    <row r="606" spans="1:12" x14ac:dyDescent="0.2">
      <c r="A606" s="69" t="s">
        <v>40</v>
      </c>
      <c r="B606" s="70">
        <v>42929</v>
      </c>
      <c r="C606" s="69">
        <v>691</v>
      </c>
      <c r="D606" s="69">
        <v>14</v>
      </c>
      <c r="E606" s="69">
        <v>77.100000000000009</v>
      </c>
      <c r="F606" s="69">
        <v>53.63</v>
      </c>
      <c r="G606" s="69" t="s">
        <v>22</v>
      </c>
      <c r="H606" s="69" t="str">
        <f>IFERROR(VLOOKUP(Data!$G606,canon!$I$2:$K$27,2,FALSE),"")</f>
        <v>SCARF</v>
      </c>
      <c r="I606" s="69" t="str">
        <f>IFERROR(VLOOKUP(Data!$G606,canon!$I$2:$K$27,3,FALSE),"")</f>
        <v>N.APPAREL</v>
      </c>
      <c r="J606" s="69">
        <f t="shared" si="18"/>
        <v>5</v>
      </c>
      <c r="K606" s="69">
        <f t="shared" si="19"/>
        <v>35</v>
      </c>
      <c r="L606" s="69">
        <f>VLOOKUP(Table_db1_backend_Daily.accdb[[#This Row],[TradingDate]],canon!B:E,4,0)</f>
        <v>28</v>
      </c>
    </row>
    <row r="607" spans="1:12" x14ac:dyDescent="0.2">
      <c r="A607" s="69" t="s">
        <v>40</v>
      </c>
      <c r="B607" s="70">
        <v>42929</v>
      </c>
      <c r="C607" s="69">
        <v>88</v>
      </c>
      <c r="D607" s="69">
        <v>7</v>
      </c>
      <c r="E607" s="69">
        <v>118.11</v>
      </c>
      <c r="F607" s="69">
        <v>64.960000000000008</v>
      </c>
      <c r="G607" s="69" t="s">
        <v>23</v>
      </c>
      <c r="H607" s="69" t="str">
        <f>IFERROR(VLOOKUP(Data!$G607,canon!$I$2:$K$27,2,FALSE),"")</f>
        <v>SH&amp;BL</v>
      </c>
      <c r="I607" s="69" t="str">
        <f>IFERROR(VLOOKUP(Data!$G607,canon!$I$2:$K$27,3,FALSE),"")</f>
        <v>APPAREL</v>
      </c>
      <c r="J607" s="69">
        <f t="shared" si="18"/>
        <v>5</v>
      </c>
      <c r="K607" s="69">
        <f t="shared" si="19"/>
        <v>35</v>
      </c>
      <c r="L607" s="69">
        <f>VLOOKUP(Table_db1_backend_Daily.accdb[[#This Row],[TradingDate]],canon!B:E,4,0)</f>
        <v>28</v>
      </c>
    </row>
    <row r="608" spans="1:12" x14ac:dyDescent="0.2">
      <c r="A608" s="69" t="s">
        <v>40</v>
      </c>
      <c r="B608" s="70">
        <v>42929</v>
      </c>
      <c r="C608" s="69">
        <v>308</v>
      </c>
      <c r="D608" s="69">
        <v>3</v>
      </c>
      <c r="E608" s="69">
        <v>72.62</v>
      </c>
      <c r="F608" s="69">
        <v>55.44</v>
      </c>
      <c r="G608" s="69" t="s">
        <v>32</v>
      </c>
      <c r="H608" s="69" t="str">
        <f>IFERROR(VLOOKUP(Data!$G608,canon!$I$2:$K$27,2,FALSE),"")</f>
        <v>SKIRT</v>
      </c>
      <c r="I608" s="69" t="str">
        <f>IFERROR(VLOOKUP(Data!$G608,canon!$I$2:$K$27,3,FALSE),"")</f>
        <v>APPAREL</v>
      </c>
      <c r="J608" s="69">
        <f t="shared" si="18"/>
        <v>5</v>
      </c>
      <c r="K608" s="69">
        <f t="shared" si="19"/>
        <v>35</v>
      </c>
      <c r="L608" s="69">
        <f>VLOOKUP(Table_db1_backend_Daily.accdb[[#This Row],[TradingDate]],canon!B:E,4,0)</f>
        <v>28</v>
      </c>
    </row>
    <row r="609" spans="1:12" x14ac:dyDescent="0.2">
      <c r="A609" s="69" t="s">
        <v>40</v>
      </c>
      <c r="B609" s="70">
        <v>42929</v>
      </c>
      <c r="C609" s="69">
        <v>1232</v>
      </c>
      <c r="D609" s="69">
        <v>52</v>
      </c>
      <c r="E609" s="69">
        <v>463.26</v>
      </c>
      <c r="F609" s="69">
        <v>223.82999999999998</v>
      </c>
      <c r="G609" s="69" t="s">
        <v>25</v>
      </c>
      <c r="H609" s="69" t="str">
        <f>IFERROR(VLOOKUP(Data!$G609,canon!$I$2:$K$27,2,FALSE),"")</f>
        <v>TOP</v>
      </c>
      <c r="I609" s="69" t="str">
        <f>IFERROR(VLOOKUP(Data!$G609,canon!$I$2:$K$27,3,FALSE),"")</f>
        <v>APPAREL</v>
      </c>
      <c r="J609" s="69">
        <f t="shared" si="18"/>
        <v>5</v>
      </c>
      <c r="K609" s="69">
        <f t="shared" si="19"/>
        <v>35</v>
      </c>
      <c r="L609" s="69">
        <f>VLOOKUP(Table_db1_backend_Daily.accdb[[#This Row],[TradingDate]],canon!B:E,4,0)</f>
        <v>28</v>
      </c>
    </row>
    <row r="610" spans="1:12" x14ac:dyDescent="0.2">
      <c r="A610" s="69" t="s">
        <v>40</v>
      </c>
      <c r="B610" s="70">
        <v>42930</v>
      </c>
      <c r="C610" s="69">
        <v>4</v>
      </c>
      <c r="D610" s="69">
        <v>0</v>
      </c>
      <c r="E610" s="69">
        <v>0</v>
      </c>
      <c r="F610" s="69">
        <v>0</v>
      </c>
      <c r="G610" s="69" t="s">
        <v>27</v>
      </c>
      <c r="H610" s="69" t="str">
        <f>IFERROR(VLOOKUP(Data!$G610,canon!$I$2:$K$27,2,FALSE),"")</f>
        <v>ACCESSORY</v>
      </c>
      <c r="I610" s="69" t="str">
        <f>IFERROR(VLOOKUP(Data!$G610,canon!$I$2:$K$27,3,FALSE),"")</f>
        <v>N.APPAREL</v>
      </c>
      <c r="J610" s="69">
        <f t="shared" si="18"/>
        <v>6</v>
      </c>
      <c r="K610" s="69">
        <f t="shared" si="19"/>
        <v>35</v>
      </c>
      <c r="L610" s="69">
        <f>VLOOKUP(Table_db1_backend_Daily.accdb[[#This Row],[TradingDate]],canon!B:E,4,0)</f>
        <v>28</v>
      </c>
    </row>
    <row r="611" spans="1:12" x14ac:dyDescent="0.2">
      <c r="A611" s="69" t="s">
        <v>40</v>
      </c>
      <c r="B611" s="70">
        <v>42930</v>
      </c>
      <c r="C611" s="69">
        <v>4</v>
      </c>
      <c r="D611" s="69">
        <v>0</v>
      </c>
      <c r="E611" s="69">
        <v>0</v>
      </c>
      <c r="F611" s="69">
        <v>0</v>
      </c>
      <c r="G611" s="69" t="s">
        <v>34</v>
      </c>
      <c r="H611" s="69" t="str">
        <f>IFERROR(VLOOKUP(Data!$G611,canon!$I$2:$K$27,2,FALSE),"")</f>
        <v>SHOES</v>
      </c>
      <c r="I611" s="69" t="str">
        <f>IFERROR(VLOOKUP(Data!$G611,canon!$I$2:$K$27,3,FALSE),"")</f>
        <v>N.APPAREL</v>
      </c>
      <c r="J611" s="69">
        <f t="shared" si="18"/>
        <v>6</v>
      </c>
      <c r="K611" s="69">
        <f t="shared" si="19"/>
        <v>35</v>
      </c>
      <c r="L611" s="69">
        <f>VLOOKUP(Table_db1_backend_Daily.accdb[[#This Row],[TradingDate]],canon!B:E,4,0)</f>
        <v>28</v>
      </c>
    </row>
    <row r="612" spans="1:12" x14ac:dyDescent="0.2">
      <c r="A612" s="69" t="s">
        <v>40</v>
      </c>
      <c r="B612" s="70">
        <v>42930</v>
      </c>
      <c r="C612" s="69">
        <v>2</v>
      </c>
      <c r="D612" s="69">
        <v>0</v>
      </c>
      <c r="E612" s="69">
        <v>0</v>
      </c>
      <c r="F612" s="69">
        <v>0</v>
      </c>
      <c r="G612" s="69" t="s">
        <v>38</v>
      </c>
      <c r="H612" s="69" t="str">
        <f>IFERROR(VLOOKUP(Data!$G612,canon!$I$2:$K$27,2,FALSE),"")</f>
        <v>SHOES</v>
      </c>
      <c r="I612" s="69" t="str">
        <f>IFERROR(VLOOKUP(Data!$G612,canon!$I$2:$K$27,3,FALSE),"")</f>
        <v>N.APPAREL</v>
      </c>
      <c r="J612" s="69">
        <f t="shared" si="18"/>
        <v>6</v>
      </c>
      <c r="K612" s="69">
        <f t="shared" si="19"/>
        <v>35</v>
      </c>
      <c r="L612" s="69">
        <f>VLOOKUP(Table_db1_backend_Daily.accdb[[#This Row],[TradingDate]],canon!B:E,4,0)</f>
        <v>28</v>
      </c>
    </row>
    <row r="613" spans="1:12" x14ac:dyDescent="0.2">
      <c r="A613" s="69" t="s">
        <v>40</v>
      </c>
      <c r="B613" s="70">
        <v>42930</v>
      </c>
      <c r="C613" s="69">
        <v>512</v>
      </c>
      <c r="D613" s="69">
        <v>12</v>
      </c>
      <c r="E613" s="69">
        <v>168.16</v>
      </c>
      <c r="F613" s="69">
        <v>75.12</v>
      </c>
      <c r="G613" s="69" t="s">
        <v>35</v>
      </c>
      <c r="H613" s="69" t="str">
        <f>IFERROR(VLOOKUP(Data!$G613,canon!$I$2:$K$27,2,FALSE),"")</f>
        <v>DRESS</v>
      </c>
      <c r="I613" s="69" t="str">
        <f>IFERROR(VLOOKUP(Data!$G613,canon!$I$2:$K$27,3,FALSE),"")</f>
        <v>APPAREL</v>
      </c>
      <c r="J613" s="69">
        <f t="shared" si="18"/>
        <v>6</v>
      </c>
      <c r="K613" s="69">
        <f t="shared" si="19"/>
        <v>35</v>
      </c>
      <c r="L613" s="69">
        <f>VLOOKUP(Table_db1_backend_Daily.accdb[[#This Row],[TradingDate]],canon!B:E,4,0)</f>
        <v>28</v>
      </c>
    </row>
    <row r="614" spans="1:12" x14ac:dyDescent="0.2">
      <c r="A614" s="69" t="s">
        <v>40</v>
      </c>
      <c r="B614" s="70">
        <v>42930</v>
      </c>
      <c r="C614" s="69">
        <v>6</v>
      </c>
      <c r="D614" s="69">
        <v>0</v>
      </c>
      <c r="E614" s="69">
        <v>0</v>
      </c>
      <c r="F614" s="69">
        <v>0</v>
      </c>
      <c r="G614" s="69" t="s">
        <v>10</v>
      </c>
      <c r="H614" s="69" t="str">
        <f>IFERROR(VLOOKUP(Data!$G614,canon!$I$2:$K$27,2,FALSE),"")</f>
        <v>ACCESSORY</v>
      </c>
      <c r="I614" s="69" t="str">
        <f>IFERROR(VLOOKUP(Data!$G614,canon!$I$2:$K$27,3,FALSE),"")</f>
        <v>N.APPAREL</v>
      </c>
      <c r="J614" s="69">
        <f t="shared" si="18"/>
        <v>6</v>
      </c>
      <c r="K614" s="69">
        <f t="shared" si="19"/>
        <v>35</v>
      </c>
      <c r="L614" s="69">
        <f>VLOOKUP(Table_db1_backend_Daily.accdb[[#This Row],[TradingDate]],canon!B:E,4,0)</f>
        <v>28</v>
      </c>
    </row>
    <row r="615" spans="1:12" x14ac:dyDescent="0.2">
      <c r="A615" s="69" t="s">
        <v>40</v>
      </c>
      <c r="B615" s="70">
        <v>42930</v>
      </c>
      <c r="C615" s="69">
        <v>-17</v>
      </c>
      <c r="D615" s="69">
        <v>0</v>
      </c>
      <c r="E615" s="69">
        <v>0</v>
      </c>
      <c r="F615" s="69">
        <v>0</v>
      </c>
      <c r="G615" s="69" t="s">
        <v>28</v>
      </c>
      <c r="H615" s="69" t="str">
        <f>IFERROR(VLOOKUP(Data!$G615,canon!$I$2:$K$27,2,FALSE),"")</f>
        <v>ACCESSORY</v>
      </c>
      <c r="I615" s="69" t="str">
        <f>IFERROR(VLOOKUP(Data!$G615,canon!$I$2:$K$27,3,FALSE),"")</f>
        <v>N.APPAREL</v>
      </c>
      <c r="J615" s="69">
        <f t="shared" si="18"/>
        <v>6</v>
      </c>
      <c r="K615" s="69">
        <f t="shared" si="19"/>
        <v>35</v>
      </c>
      <c r="L615" s="69">
        <f>VLOOKUP(Table_db1_backend_Daily.accdb[[#This Row],[TradingDate]],canon!B:E,4,0)</f>
        <v>28</v>
      </c>
    </row>
    <row r="616" spans="1:12" x14ac:dyDescent="0.2">
      <c r="A616" s="69" t="s">
        <v>40</v>
      </c>
      <c r="B616" s="70">
        <v>42930</v>
      </c>
      <c r="C616" s="69">
        <v>2297</v>
      </c>
      <c r="D616" s="69">
        <v>65</v>
      </c>
      <c r="E616" s="69">
        <v>726.43999999999971</v>
      </c>
      <c r="F616" s="69">
        <v>225.66000000000005</v>
      </c>
      <c r="G616" s="69" t="s">
        <v>11</v>
      </c>
      <c r="H616" s="69" t="str">
        <f>IFERROR(VLOOKUP(Data!$G616,canon!$I$2:$K$27,2,FALSE),"")</f>
        <v>KNIT</v>
      </c>
      <c r="I616" s="69" t="str">
        <f>IFERROR(VLOOKUP(Data!$G616,canon!$I$2:$K$27,3,FALSE),"")</f>
        <v>APPAREL</v>
      </c>
      <c r="J616" s="69">
        <f t="shared" si="18"/>
        <v>6</v>
      </c>
      <c r="K616" s="69">
        <f t="shared" si="19"/>
        <v>35</v>
      </c>
      <c r="L616" s="69">
        <f>VLOOKUP(Table_db1_backend_Daily.accdb[[#This Row],[TradingDate]],canon!B:E,4,0)</f>
        <v>28</v>
      </c>
    </row>
    <row r="617" spans="1:12" x14ac:dyDescent="0.2">
      <c r="A617" s="69" t="s">
        <v>40</v>
      </c>
      <c r="B617" s="70">
        <v>42930</v>
      </c>
      <c r="C617" s="69">
        <v>289</v>
      </c>
      <c r="D617" s="69">
        <v>6</v>
      </c>
      <c r="E617" s="69">
        <v>90.88</v>
      </c>
      <c r="F617" s="69">
        <v>49.260000000000005</v>
      </c>
      <c r="G617" s="69" t="s">
        <v>14</v>
      </c>
      <c r="H617" s="69" t="str">
        <f>IFERROR(VLOOKUP(Data!$G617,canon!$I$2:$K$27,2,FALSE),"")</f>
        <v>LEGGING</v>
      </c>
      <c r="I617" s="69" t="str">
        <f>IFERROR(VLOOKUP(Data!$G617,canon!$I$2:$K$27,3,FALSE),"")</f>
        <v>APPAREL</v>
      </c>
      <c r="J617" s="69">
        <f t="shared" si="18"/>
        <v>6</v>
      </c>
      <c r="K617" s="69">
        <f t="shared" si="19"/>
        <v>35</v>
      </c>
      <c r="L617" s="69">
        <f>VLOOKUP(Table_db1_backend_Daily.accdb[[#This Row],[TradingDate]],canon!B:E,4,0)</f>
        <v>28</v>
      </c>
    </row>
    <row r="618" spans="1:12" x14ac:dyDescent="0.2">
      <c r="A618" s="69" t="s">
        <v>40</v>
      </c>
      <c r="B618" s="70">
        <v>42930</v>
      </c>
      <c r="C618" s="69">
        <v>1</v>
      </c>
      <c r="D618" s="69">
        <v>0</v>
      </c>
      <c r="E618" s="69">
        <v>0</v>
      </c>
      <c r="F618" s="69">
        <v>0</v>
      </c>
      <c r="G618" s="69" t="s">
        <v>37</v>
      </c>
      <c r="H618" s="69" t="str">
        <f>IFERROR(VLOOKUP(Data!$G618,canon!$I$2:$K$27,2,FALSE),"")</f>
        <v>SHOES</v>
      </c>
      <c r="I618" s="69" t="str">
        <f>IFERROR(VLOOKUP(Data!$G618,canon!$I$2:$K$27,3,FALSE),"")</f>
        <v>N.APPAREL</v>
      </c>
      <c r="J618" s="69">
        <f t="shared" si="18"/>
        <v>6</v>
      </c>
      <c r="K618" s="69">
        <f t="shared" si="19"/>
        <v>35</v>
      </c>
      <c r="L618" s="69">
        <f>VLOOKUP(Table_db1_backend_Daily.accdb[[#This Row],[TradingDate]],canon!B:E,4,0)</f>
        <v>28</v>
      </c>
    </row>
    <row r="619" spans="1:12" x14ac:dyDescent="0.2">
      <c r="A619" s="69" t="s">
        <v>40</v>
      </c>
      <c r="B619" s="70">
        <v>42930</v>
      </c>
      <c r="C619" s="69">
        <v>780</v>
      </c>
      <c r="D619" s="69">
        <v>8</v>
      </c>
      <c r="E619" s="69">
        <v>163.47999999999999</v>
      </c>
      <c r="F619" s="69">
        <v>100.32000000000001</v>
      </c>
      <c r="G619" s="69" t="s">
        <v>17</v>
      </c>
      <c r="H619" s="69" t="str">
        <f>IFERROR(VLOOKUP(Data!$G619,canon!$I$2:$K$27,2,FALSE),"")</f>
        <v>OUTER</v>
      </c>
      <c r="I619" s="69" t="str">
        <f>IFERROR(VLOOKUP(Data!$G619,canon!$I$2:$K$27,3,FALSE),"")</f>
        <v>APPAREL</v>
      </c>
      <c r="J619" s="69">
        <f t="shared" si="18"/>
        <v>6</v>
      </c>
      <c r="K619" s="69">
        <f t="shared" si="19"/>
        <v>35</v>
      </c>
      <c r="L619" s="69">
        <f>VLOOKUP(Table_db1_backend_Daily.accdb[[#This Row],[TradingDate]],canon!B:E,4,0)</f>
        <v>28</v>
      </c>
    </row>
    <row r="620" spans="1:12" x14ac:dyDescent="0.2">
      <c r="A620" s="69" t="s">
        <v>40</v>
      </c>
      <c r="B620" s="70">
        <v>42930</v>
      </c>
      <c r="C620" s="69">
        <v>432</v>
      </c>
      <c r="D620" s="69">
        <v>6</v>
      </c>
      <c r="E620" s="69">
        <v>45.54</v>
      </c>
      <c r="F620" s="69">
        <v>10.649999999999999</v>
      </c>
      <c r="G620" s="69" t="s">
        <v>19</v>
      </c>
      <c r="H620" s="69" t="str">
        <f>IFERROR(VLOOKUP(Data!$G620,canon!$I$2:$K$27,2,FALSE),"")</f>
        <v>PANT</v>
      </c>
      <c r="I620" s="69" t="str">
        <f>IFERROR(VLOOKUP(Data!$G620,canon!$I$2:$K$27,3,FALSE),"")</f>
        <v>APPAREL</v>
      </c>
      <c r="J620" s="69">
        <f t="shared" si="18"/>
        <v>6</v>
      </c>
      <c r="K620" s="69">
        <f t="shared" si="19"/>
        <v>35</v>
      </c>
      <c r="L620" s="69">
        <f>VLOOKUP(Table_db1_backend_Daily.accdb[[#This Row],[TradingDate]],canon!B:E,4,0)</f>
        <v>28</v>
      </c>
    </row>
    <row r="621" spans="1:12" x14ac:dyDescent="0.2">
      <c r="A621" s="69" t="s">
        <v>40</v>
      </c>
      <c r="B621" s="70">
        <v>42930</v>
      </c>
      <c r="C621" s="69">
        <v>32</v>
      </c>
      <c r="D621" s="69">
        <v>0</v>
      </c>
      <c r="E621" s="69">
        <v>0</v>
      </c>
      <c r="F621" s="69">
        <v>0</v>
      </c>
      <c r="G621" s="69" t="s">
        <v>21</v>
      </c>
      <c r="H621" s="69" t="str">
        <f>IFERROR(VLOOKUP(Data!$G621,canon!$I$2:$K$27,2,FALSE),"")</f>
        <v>ACCESSORY</v>
      </c>
      <c r="I621" s="69" t="str">
        <f>IFERROR(VLOOKUP(Data!$G621,canon!$I$2:$K$27,3,FALSE),"")</f>
        <v>N.APPAREL</v>
      </c>
      <c r="J621" s="69">
        <f t="shared" si="18"/>
        <v>6</v>
      </c>
      <c r="K621" s="69">
        <f t="shared" si="19"/>
        <v>35</v>
      </c>
      <c r="L621" s="69">
        <f>VLOOKUP(Table_db1_backend_Daily.accdb[[#This Row],[TradingDate]],canon!B:E,4,0)</f>
        <v>28</v>
      </c>
    </row>
    <row r="622" spans="1:12" x14ac:dyDescent="0.2">
      <c r="A622" s="69" t="s">
        <v>40</v>
      </c>
      <c r="B622" s="70">
        <v>42930</v>
      </c>
      <c r="C622" s="69">
        <v>677</v>
      </c>
      <c r="D622" s="69">
        <v>14</v>
      </c>
      <c r="E622" s="69">
        <v>71.72</v>
      </c>
      <c r="F622" s="69">
        <v>50.870000000000005</v>
      </c>
      <c r="G622" s="69" t="s">
        <v>22</v>
      </c>
      <c r="H622" s="69" t="str">
        <f>IFERROR(VLOOKUP(Data!$G622,canon!$I$2:$K$27,2,FALSE),"")</f>
        <v>SCARF</v>
      </c>
      <c r="I622" s="69" t="str">
        <f>IFERROR(VLOOKUP(Data!$G622,canon!$I$2:$K$27,3,FALSE),"")</f>
        <v>N.APPAREL</v>
      </c>
      <c r="J622" s="69">
        <f t="shared" si="18"/>
        <v>6</v>
      </c>
      <c r="K622" s="69">
        <f t="shared" si="19"/>
        <v>35</v>
      </c>
      <c r="L622" s="69">
        <f>VLOOKUP(Table_db1_backend_Daily.accdb[[#This Row],[TradingDate]],canon!B:E,4,0)</f>
        <v>28</v>
      </c>
    </row>
    <row r="623" spans="1:12" x14ac:dyDescent="0.2">
      <c r="A623" s="69" t="s">
        <v>40</v>
      </c>
      <c r="B623" s="70">
        <v>42930</v>
      </c>
      <c r="C623" s="69">
        <v>85</v>
      </c>
      <c r="D623" s="69">
        <v>3</v>
      </c>
      <c r="E623" s="69">
        <v>63.55</v>
      </c>
      <c r="F623" s="69">
        <v>41.69</v>
      </c>
      <c r="G623" s="69" t="s">
        <v>23</v>
      </c>
      <c r="H623" s="69" t="str">
        <f>IFERROR(VLOOKUP(Data!$G623,canon!$I$2:$K$27,2,FALSE),"")</f>
        <v>SH&amp;BL</v>
      </c>
      <c r="I623" s="69" t="str">
        <f>IFERROR(VLOOKUP(Data!$G623,canon!$I$2:$K$27,3,FALSE),"")</f>
        <v>APPAREL</v>
      </c>
      <c r="J623" s="69">
        <f t="shared" si="18"/>
        <v>6</v>
      </c>
      <c r="K623" s="69">
        <f t="shared" si="19"/>
        <v>35</v>
      </c>
      <c r="L623" s="69">
        <f>VLOOKUP(Table_db1_backend_Daily.accdb[[#This Row],[TradingDate]],canon!B:E,4,0)</f>
        <v>28</v>
      </c>
    </row>
    <row r="624" spans="1:12" x14ac:dyDescent="0.2">
      <c r="A624" s="69" t="s">
        <v>40</v>
      </c>
      <c r="B624" s="70">
        <v>42930</v>
      </c>
      <c r="C624" s="69">
        <v>307</v>
      </c>
      <c r="D624" s="69">
        <v>1</v>
      </c>
      <c r="E624" s="69">
        <v>18.170000000000002</v>
      </c>
      <c r="F624" s="69">
        <v>13.6</v>
      </c>
      <c r="G624" s="69" t="s">
        <v>32</v>
      </c>
      <c r="H624" s="69" t="str">
        <f>IFERROR(VLOOKUP(Data!$G624,canon!$I$2:$K$27,2,FALSE),"")</f>
        <v>SKIRT</v>
      </c>
      <c r="I624" s="69" t="str">
        <f>IFERROR(VLOOKUP(Data!$G624,canon!$I$2:$K$27,3,FALSE),"")</f>
        <v>APPAREL</v>
      </c>
      <c r="J624" s="69">
        <f t="shared" si="18"/>
        <v>6</v>
      </c>
      <c r="K624" s="69">
        <f t="shared" si="19"/>
        <v>35</v>
      </c>
      <c r="L624" s="69">
        <f>VLOOKUP(Table_db1_backend_Daily.accdb[[#This Row],[TradingDate]],canon!B:E,4,0)</f>
        <v>28</v>
      </c>
    </row>
    <row r="625" spans="1:12" x14ac:dyDescent="0.2">
      <c r="A625" s="69" t="s">
        <v>40</v>
      </c>
      <c r="B625" s="70">
        <v>42930</v>
      </c>
      <c r="C625" s="69">
        <v>1202</v>
      </c>
      <c r="D625" s="69">
        <v>30</v>
      </c>
      <c r="E625" s="69">
        <v>299.84000000000003</v>
      </c>
      <c r="F625" s="69">
        <v>146.12999999999997</v>
      </c>
      <c r="G625" s="69" t="s">
        <v>25</v>
      </c>
      <c r="H625" s="69" t="str">
        <f>IFERROR(VLOOKUP(Data!$G625,canon!$I$2:$K$27,2,FALSE),"")</f>
        <v>TOP</v>
      </c>
      <c r="I625" s="69" t="str">
        <f>IFERROR(VLOOKUP(Data!$G625,canon!$I$2:$K$27,3,FALSE),"")</f>
        <v>APPAREL</v>
      </c>
      <c r="J625" s="69">
        <f t="shared" si="18"/>
        <v>6</v>
      </c>
      <c r="K625" s="69">
        <f t="shared" si="19"/>
        <v>35</v>
      </c>
      <c r="L625" s="69">
        <f>VLOOKUP(Table_db1_backend_Daily.accdb[[#This Row],[TradingDate]],canon!B:E,4,0)</f>
        <v>28</v>
      </c>
    </row>
    <row r="626" spans="1:12" x14ac:dyDescent="0.2">
      <c r="A626" s="69" t="s">
        <v>40</v>
      </c>
      <c r="B626" s="70">
        <v>42931</v>
      </c>
      <c r="C626" s="69">
        <v>4</v>
      </c>
      <c r="D626" s="69">
        <v>0</v>
      </c>
      <c r="E626" s="69">
        <v>0</v>
      </c>
      <c r="F626" s="69">
        <v>0</v>
      </c>
      <c r="G626" s="69" t="s">
        <v>27</v>
      </c>
      <c r="H626" s="69" t="str">
        <f>IFERROR(VLOOKUP(Data!$G626,canon!$I$2:$K$27,2,FALSE),"")</f>
        <v>ACCESSORY</v>
      </c>
      <c r="I626" s="69" t="str">
        <f>IFERROR(VLOOKUP(Data!$G626,canon!$I$2:$K$27,3,FALSE),"")</f>
        <v>N.APPAREL</v>
      </c>
      <c r="J626" s="69">
        <f t="shared" si="18"/>
        <v>7</v>
      </c>
      <c r="K626" s="69">
        <f t="shared" si="19"/>
        <v>35</v>
      </c>
      <c r="L626" s="69">
        <f>VLOOKUP(Table_db1_backend_Daily.accdb[[#This Row],[TradingDate]],canon!B:E,4,0)</f>
        <v>28</v>
      </c>
    </row>
    <row r="627" spans="1:12" x14ac:dyDescent="0.2">
      <c r="A627" s="69" t="s">
        <v>40</v>
      </c>
      <c r="B627" s="70">
        <v>42931</v>
      </c>
      <c r="C627" s="69">
        <v>4</v>
      </c>
      <c r="D627" s="69">
        <v>0</v>
      </c>
      <c r="E627" s="69">
        <v>0</v>
      </c>
      <c r="F627" s="69">
        <v>0</v>
      </c>
      <c r="G627" s="69" t="s">
        <v>34</v>
      </c>
      <c r="H627" s="69" t="str">
        <f>IFERROR(VLOOKUP(Data!$G627,canon!$I$2:$K$27,2,FALSE),"")</f>
        <v>SHOES</v>
      </c>
      <c r="I627" s="69" t="str">
        <f>IFERROR(VLOOKUP(Data!$G627,canon!$I$2:$K$27,3,FALSE),"")</f>
        <v>N.APPAREL</v>
      </c>
      <c r="J627" s="69">
        <f t="shared" si="18"/>
        <v>7</v>
      </c>
      <c r="K627" s="69">
        <f t="shared" si="19"/>
        <v>35</v>
      </c>
      <c r="L627" s="69">
        <f>VLOOKUP(Table_db1_backend_Daily.accdb[[#This Row],[TradingDate]],canon!B:E,4,0)</f>
        <v>28</v>
      </c>
    </row>
    <row r="628" spans="1:12" x14ac:dyDescent="0.2">
      <c r="A628" s="69" t="s">
        <v>40</v>
      </c>
      <c r="B628" s="70">
        <v>42931</v>
      </c>
      <c r="C628" s="69">
        <v>2</v>
      </c>
      <c r="D628" s="69">
        <v>0</v>
      </c>
      <c r="E628" s="69">
        <v>0</v>
      </c>
      <c r="F628" s="69">
        <v>0</v>
      </c>
      <c r="G628" s="69" t="s">
        <v>38</v>
      </c>
      <c r="H628" s="69" t="str">
        <f>IFERROR(VLOOKUP(Data!$G628,canon!$I$2:$K$27,2,FALSE),"")</f>
        <v>SHOES</v>
      </c>
      <c r="I628" s="69" t="str">
        <f>IFERROR(VLOOKUP(Data!$G628,canon!$I$2:$K$27,3,FALSE),"")</f>
        <v>N.APPAREL</v>
      </c>
      <c r="J628" s="69">
        <f t="shared" si="18"/>
        <v>7</v>
      </c>
      <c r="K628" s="69">
        <f t="shared" si="19"/>
        <v>35</v>
      </c>
      <c r="L628" s="69">
        <f>VLOOKUP(Table_db1_backend_Daily.accdb[[#This Row],[TradingDate]],canon!B:E,4,0)</f>
        <v>28</v>
      </c>
    </row>
    <row r="629" spans="1:12" x14ac:dyDescent="0.2">
      <c r="A629" s="69" t="s">
        <v>40</v>
      </c>
      <c r="B629" s="70">
        <v>42931</v>
      </c>
      <c r="C629" s="69">
        <v>495</v>
      </c>
      <c r="D629" s="69">
        <v>17</v>
      </c>
      <c r="E629" s="69">
        <v>236.29000000000002</v>
      </c>
      <c r="F629" s="69">
        <v>96.52</v>
      </c>
      <c r="G629" s="69" t="s">
        <v>35</v>
      </c>
      <c r="H629" s="69" t="str">
        <f>IFERROR(VLOOKUP(Data!$G629,canon!$I$2:$K$27,2,FALSE),"")</f>
        <v>DRESS</v>
      </c>
      <c r="I629" s="69" t="str">
        <f>IFERROR(VLOOKUP(Data!$G629,canon!$I$2:$K$27,3,FALSE),"")</f>
        <v>APPAREL</v>
      </c>
      <c r="J629" s="69">
        <f t="shared" si="18"/>
        <v>7</v>
      </c>
      <c r="K629" s="69">
        <f t="shared" si="19"/>
        <v>35</v>
      </c>
      <c r="L629" s="69">
        <f>VLOOKUP(Table_db1_backend_Daily.accdb[[#This Row],[TradingDate]],canon!B:E,4,0)</f>
        <v>28</v>
      </c>
    </row>
    <row r="630" spans="1:12" x14ac:dyDescent="0.2">
      <c r="A630" s="69" t="s">
        <v>40</v>
      </c>
      <c r="B630" s="70">
        <v>42931</v>
      </c>
      <c r="C630" s="69">
        <v>6</v>
      </c>
      <c r="D630" s="69">
        <v>0</v>
      </c>
      <c r="E630" s="69">
        <v>0</v>
      </c>
      <c r="F630" s="69">
        <v>0</v>
      </c>
      <c r="G630" s="69" t="s">
        <v>10</v>
      </c>
      <c r="H630" s="69" t="str">
        <f>IFERROR(VLOOKUP(Data!$G630,canon!$I$2:$K$27,2,FALSE),"")</f>
        <v>ACCESSORY</v>
      </c>
      <c r="I630" s="69" t="str">
        <f>IFERROR(VLOOKUP(Data!$G630,canon!$I$2:$K$27,3,FALSE),"")</f>
        <v>N.APPAREL</v>
      </c>
      <c r="J630" s="69">
        <f t="shared" si="18"/>
        <v>7</v>
      </c>
      <c r="K630" s="69">
        <f t="shared" si="19"/>
        <v>35</v>
      </c>
      <c r="L630" s="69">
        <f>VLOOKUP(Table_db1_backend_Daily.accdb[[#This Row],[TradingDate]],canon!B:E,4,0)</f>
        <v>28</v>
      </c>
    </row>
    <row r="631" spans="1:12" x14ac:dyDescent="0.2">
      <c r="A631" s="69" t="s">
        <v>40</v>
      </c>
      <c r="B631" s="70">
        <v>42931</v>
      </c>
      <c r="C631" s="69">
        <v>-17</v>
      </c>
      <c r="D631" s="69">
        <v>0</v>
      </c>
      <c r="E631" s="69">
        <v>0</v>
      </c>
      <c r="F631" s="69">
        <v>0</v>
      </c>
      <c r="G631" s="69" t="s">
        <v>28</v>
      </c>
      <c r="H631" s="69" t="str">
        <f>IFERROR(VLOOKUP(Data!$G631,canon!$I$2:$K$27,2,FALSE),"")</f>
        <v>ACCESSORY</v>
      </c>
      <c r="I631" s="69" t="str">
        <f>IFERROR(VLOOKUP(Data!$G631,canon!$I$2:$K$27,3,FALSE),"")</f>
        <v>N.APPAREL</v>
      </c>
      <c r="J631" s="69">
        <f t="shared" si="18"/>
        <v>7</v>
      </c>
      <c r="K631" s="69">
        <f t="shared" si="19"/>
        <v>35</v>
      </c>
      <c r="L631" s="69">
        <f>VLOOKUP(Table_db1_backend_Daily.accdb[[#This Row],[TradingDate]],canon!B:E,4,0)</f>
        <v>28</v>
      </c>
    </row>
    <row r="632" spans="1:12" x14ac:dyDescent="0.2">
      <c r="A632" s="69" t="s">
        <v>40</v>
      </c>
      <c r="B632" s="70">
        <v>42931</v>
      </c>
      <c r="C632" s="69">
        <v>2231</v>
      </c>
      <c r="D632" s="69">
        <v>66</v>
      </c>
      <c r="E632" s="69">
        <v>798.82999999999993</v>
      </c>
      <c r="F632" s="69">
        <v>305.12000000000012</v>
      </c>
      <c r="G632" s="69" t="s">
        <v>11</v>
      </c>
      <c r="H632" s="69" t="str">
        <f>IFERROR(VLOOKUP(Data!$G632,canon!$I$2:$K$27,2,FALSE),"")</f>
        <v>KNIT</v>
      </c>
      <c r="I632" s="69" t="str">
        <f>IFERROR(VLOOKUP(Data!$G632,canon!$I$2:$K$27,3,FALSE),"")</f>
        <v>APPAREL</v>
      </c>
      <c r="J632" s="69">
        <f t="shared" si="18"/>
        <v>7</v>
      </c>
      <c r="K632" s="69">
        <f t="shared" si="19"/>
        <v>35</v>
      </c>
      <c r="L632" s="69">
        <f>VLOOKUP(Table_db1_backend_Daily.accdb[[#This Row],[TradingDate]],canon!B:E,4,0)</f>
        <v>28</v>
      </c>
    </row>
    <row r="633" spans="1:12" x14ac:dyDescent="0.2">
      <c r="A633" s="69" t="s">
        <v>40</v>
      </c>
      <c r="B633" s="70">
        <v>42931</v>
      </c>
      <c r="C633" s="69">
        <v>280</v>
      </c>
      <c r="D633" s="69">
        <v>9</v>
      </c>
      <c r="E633" s="69">
        <v>136.32</v>
      </c>
      <c r="F633" s="69">
        <v>73.510000000000005</v>
      </c>
      <c r="G633" s="69" t="s">
        <v>14</v>
      </c>
      <c r="H633" s="69" t="str">
        <f>IFERROR(VLOOKUP(Data!$G633,canon!$I$2:$K$27,2,FALSE),"")</f>
        <v>LEGGING</v>
      </c>
      <c r="I633" s="69" t="str">
        <f>IFERROR(VLOOKUP(Data!$G633,canon!$I$2:$K$27,3,FALSE),"")</f>
        <v>APPAREL</v>
      </c>
      <c r="J633" s="69">
        <f t="shared" si="18"/>
        <v>7</v>
      </c>
      <c r="K633" s="69">
        <f t="shared" si="19"/>
        <v>35</v>
      </c>
      <c r="L633" s="69">
        <f>VLOOKUP(Table_db1_backend_Daily.accdb[[#This Row],[TradingDate]],canon!B:E,4,0)</f>
        <v>28</v>
      </c>
    </row>
    <row r="634" spans="1:12" x14ac:dyDescent="0.2">
      <c r="A634" s="69" t="s">
        <v>40</v>
      </c>
      <c r="B634" s="70">
        <v>42931</v>
      </c>
      <c r="C634" s="69">
        <v>1</v>
      </c>
      <c r="D634" s="69">
        <v>0</v>
      </c>
      <c r="E634" s="69">
        <v>0</v>
      </c>
      <c r="F634" s="69">
        <v>0</v>
      </c>
      <c r="G634" s="69" t="s">
        <v>37</v>
      </c>
      <c r="H634" s="69" t="str">
        <f>IFERROR(VLOOKUP(Data!$G634,canon!$I$2:$K$27,2,FALSE),"")</f>
        <v>SHOES</v>
      </c>
      <c r="I634" s="69" t="str">
        <f>IFERROR(VLOOKUP(Data!$G634,canon!$I$2:$K$27,3,FALSE),"")</f>
        <v>N.APPAREL</v>
      </c>
      <c r="J634" s="69">
        <f t="shared" si="18"/>
        <v>7</v>
      </c>
      <c r="K634" s="69">
        <f t="shared" si="19"/>
        <v>35</v>
      </c>
      <c r="L634" s="69">
        <f>VLOOKUP(Table_db1_backend_Daily.accdb[[#This Row],[TradingDate]],canon!B:E,4,0)</f>
        <v>28</v>
      </c>
    </row>
    <row r="635" spans="1:12" x14ac:dyDescent="0.2">
      <c r="A635" s="69" t="s">
        <v>40</v>
      </c>
      <c r="B635" s="70">
        <v>42931</v>
      </c>
      <c r="C635" s="69">
        <v>761</v>
      </c>
      <c r="D635" s="69">
        <v>19</v>
      </c>
      <c r="E635" s="69">
        <v>308.57</v>
      </c>
      <c r="F635" s="69">
        <v>126.31000000000002</v>
      </c>
      <c r="G635" s="69" t="s">
        <v>17</v>
      </c>
      <c r="H635" s="69" t="str">
        <f>IFERROR(VLOOKUP(Data!$G635,canon!$I$2:$K$27,2,FALSE),"")</f>
        <v>OUTER</v>
      </c>
      <c r="I635" s="69" t="str">
        <f>IFERROR(VLOOKUP(Data!$G635,canon!$I$2:$K$27,3,FALSE),"")</f>
        <v>APPAREL</v>
      </c>
      <c r="J635" s="69">
        <f t="shared" si="18"/>
        <v>7</v>
      </c>
      <c r="K635" s="69">
        <f t="shared" si="19"/>
        <v>35</v>
      </c>
      <c r="L635" s="69">
        <f>VLOOKUP(Table_db1_backend_Daily.accdb[[#This Row],[TradingDate]],canon!B:E,4,0)</f>
        <v>28</v>
      </c>
    </row>
    <row r="636" spans="1:12" x14ac:dyDescent="0.2">
      <c r="A636" s="69" t="s">
        <v>40</v>
      </c>
      <c r="B636" s="70">
        <v>42931</v>
      </c>
      <c r="C636" s="69">
        <v>431</v>
      </c>
      <c r="D636" s="69">
        <v>1</v>
      </c>
      <c r="E636" s="69">
        <v>9.09</v>
      </c>
      <c r="F636" s="69">
        <v>3.76</v>
      </c>
      <c r="G636" s="69" t="s">
        <v>19</v>
      </c>
      <c r="H636" s="69" t="str">
        <f>IFERROR(VLOOKUP(Data!$G636,canon!$I$2:$K$27,2,FALSE),"")</f>
        <v>PANT</v>
      </c>
      <c r="I636" s="69" t="str">
        <f>IFERROR(VLOOKUP(Data!$G636,canon!$I$2:$K$27,3,FALSE),"")</f>
        <v>APPAREL</v>
      </c>
      <c r="J636" s="69">
        <f t="shared" si="18"/>
        <v>7</v>
      </c>
      <c r="K636" s="69">
        <f t="shared" si="19"/>
        <v>35</v>
      </c>
      <c r="L636" s="69">
        <f>VLOOKUP(Table_db1_backend_Daily.accdb[[#This Row],[TradingDate]],canon!B:E,4,0)</f>
        <v>28</v>
      </c>
    </row>
    <row r="637" spans="1:12" x14ac:dyDescent="0.2">
      <c r="A637" s="69" t="s">
        <v>40</v>
      </c>
      <c r="B637" s="70">
        <v>42931</v>
      </c>
      <c r="C637" s="69">
        <v>32</v>
      </c>
      <c r="D637" s="69">
        <v>0</v>
      </c>
      <c r="E637" s="69">
        <v>0</v>
      </c>
      <c r="F637" s="69">
        <v>0</v>
      </c>
      <c r="G637" s="69" t="s">
        <v>21</v>
      </c>
      <c r="H637" s="69" t="str">
        <f>IFERROR(VLOOKUP(Data!$G637,canon!$I$2:$K$27,2,FALSE),"")</f>
        <v>ACCESSORY</v>
      </c>
      <c r="I637" s="69" t="str">
        <f>IFERROR(VLOOKUP(Data!$G637,canon!$I$2:$K$27,3,FALSE),"")</f>
        <v>N.APPAREL</v>
      </c>
      <c r="J637" s="69">
        <f t="shared" si="18"/>
        <v>7</v>
      </c>
      <c r="K637" s="69">
        <f t="shared" si="19"/>
        <v>35</v>
      </c>
      <c r="L637" s="69">
        <f>VLOOKUP(Table_db1_backend_Daily.accdb[[#This Row],[TradingDate]],canon!B:E,4,0)</f>
        <v>28</v>
      </c>
    </row>
    <row r="638" spans="1:12" x14ac:dyDescent="0.2">
      <c r="A638" s="69" t="s">
        <v>40</v>
      </c>
      <c r="B638" s="70">
        <v>42931</v>
      </c>
      <c r="C638" s="69">
        <v>671</v>
      </c>
      <c r="D638" s="69">
        <v>6</v>
      </c>
      <c r="E638" s="69">
        <v>35.33</v>
      </c>
      <c r="F638" s="69">
        <v>26.64</v>
      </c>
      <c r="G638" s="69" t="s">
        <v>22</v>
      </c>
      <c r="H638" s="69" t="str">
        <f>IFERROR(VLOOKUP(Data!$G638,canon!$I$2:$K$27,2,FALSE),"")</f>
        <v>SCARF</v>
      </c>
      <c r="I638" s="69" t="str">
        <f>IFERROR(VLOOKUP(Data!$G638,canon!$I$2:$K$27,3,FALSE),"")</f>
        <v>N.APPAREL</v>
      </c>
      <c r="J638" s="69">
        <f t="shared" si="18"/>
        <v>7</v>
      </c>
      <c r="K638" s="69">
        <f t="shared" si="19"/>
        <v>35</v>
      </c>
      <c r="L638" s="69">
        <f>VLOOKUP(Table_db1_backend_Daily.accdb[[#This Row],[TradingDate]],canon!B:E,4,0)</f>
        <v>28</v>
      </c>
    </row>
    <row r="639" spans="1:12" x14ac:dyDescent="0.2">
      <c r="A639" s="69" t="s">
        <v>40</v>
      </c>
      <c r="B639" s="70">
        <v>42931</v>
      </c>
      <c r="C639" s="69">
        <v>80</v>
      </c>
      <c r="D639" s="69">
        <v>5</v>
      </c>
      <c r="E639" s="69">
        <v>63.59</v>
      </c>
      <c r="F639" s="69">
        <v>29.339999999999996</v>
      </c>
      <c r="G639" s="69" t="s">
        <v>23</v>
      </c>
      <c r="H639" s="69" t="str">
        <f>IFERROR(VLOOKUP(Data!$G639,canon!$I$2:$K$27,2,FALSE),"")</f>
        <v>SH&amp;BL</v>
      </c>
      <c r="I639" s="69" t="str">
        <f>IFERROR(VLOOKUP(Data!$G639,canon!$I$2:$K$27,3,FALSE),"")</f>
        <v>APPAREL</v>
      </c>
      <c r="J639" s="69">
        <f t="shared" si="18"/>
        <v>7</v>
      </c>
      <c r="K639" s="69">
        <f t="shared" si="19"/>
        <v>35</v>
      </c>
      <c r="L639" s="69">
        <f>VLOOKUP(Table_db1_backend_Daily.accdb[[#This Row],[TradingDate]],canon!B:E,4,0)</f>
        <v>28</v>
      </c>
    </row>
    <row r="640" spans="1:12" x14ac:dyDescent="0.2">
      <c r="A640" s="69" t="s">
        <v>40</v>
      </c>
      <c r="B640" s="70">
        <v>42931</v>
      </c>
      <c r="C640" s="69">
        <v>303</v>
      </c>
      <c r="D640" s="69">
        <v>4</v>
      </c>
      <c r="E640" s="69">
        <v>58.910000000000004</v>
      </c>
      <c r="F640" s="69">
        <v>38.480000000000004</v>
      </c>
      <c r="G640" s="69" t="s">
        <v>32</v>
      </c>
      <c r="H640" s="69" t="str">
        <f>IFERROR(VLOOKUP(Data!$G640,canon!$I$2:$K$27,2,FALSE),"")</f>
        <v>SKIRT</v>
      </c>
      <c r="I640" s="69" t="str">
        <f>IFERROR(VLOOKUP(Data!$G640,canon!$I$2:$K$27,3,FALSE),"")</f>
        <v>APPAREL</v>
      </c>
      <c r="J640" s="69">
        <f t="shared" si="18"/>
        <v>7</v>
      </c>
      <c r="K640" s="69">
        <f t="shared" si="19"/>
        <v>35</v>
      </c>
      <c r="L640" s="69">
        <f>VLOOKUP(Table_db1_backend_Daily.accdb[[#This Row],[TradingDate]],canon!B:E,4,0)</f>
        <v>28</v>
      </c>
    </row>
    <row r="641" spans="1:12" x14ac:dyDescent="0.2">
      <c r="A641" s="69" t="s">
        <v>40</v>
      </c>
      <c r="B641" s="70">
        <v>42931</v>
      </c>
      <c r="C641" s="69">
        <v>1173</v>
      </c>
      <c r="D641" s="69">
        <v>29</v>
      </c>
      <c r="E641" s="69">
        <v>281.74</v>
      </c>
      <c r="F641" s="69">
        <v>120.28000000000002</v>
      </c>
      <c r="G641" s="69" t="s">
        <v>25</v>
      </c>
      <c r="H641" s="69" t="str">
        <f>IFERROR(VLOOKUP(Data!$G641,canon!$I$2:$K$27,2,FALSE),"")</f>
        <v>TOP</v>
      </c>
      <c r="I641" s="69" t="str">
        <f>IFERROR(VLOOKUP(Data!$G641,canon!$I$2:$K$27,3,FALSE),"")</f>
        <v>APPAREL</v>
      </c>
      <c r="J641" s="69">
        <f t="shared" si="18"/>
        <v>7</v>
      </c>
      <c r="K641" s="69">
        <f t="shared" si="19"/>
        <v>35</v>
      </c>
      <c r="L641" s="69">
        <f>VLOOKUP(Table_db1_backend_Daily.accdb[[#This Row],[TradingDate]],canon!B:E,4,0)</f>
        <v>28</v>
      </c>
    </row>
    <row r="642" spans="1:12" x14ac:dyDescent="0.2">
      <c r="A642" s="69" t="s">
        <v>40</v>
      </c>
      <c r="B642" s="70">
        <v>42932</v>
      </c>
      <c r="C642" s="69">
        <v>4</v>
      </c>
      <c r="D642" s="69">
        <v>0</v>
      </c>
      <c r="E642" s="69">
        <v>0</v>
      </c>
      <c r="F642" s="69">
        <v>0</v>
      </c>
      <c r="G642" s="69" t="s">
        <v>27</v>
      </c>
      <c r="H642" s="69" t="str">
        <f>IFERROR(VLOOKUP(Data!$G642,canon!$I$2:$K$27,2,FALSE),"")</f>
        <v>ACCESSORY</v>
      </c>
      <c r="I642" s="69" t="str">
        <f>IFERROR(VLOOKUP(Data!$G642,canon!$I$2:$K$27,3,FALSE),"")</f>
        <v>N.APPAREL</v>
      </c>
      <c r="J642" s="69">
        <f t="shared" ref="J642:J705" si="20">WEEKDAY(B642)</f>
        <v>1</v>
      </c>
      <c r="K642" s="69">
        <f t="shared" ref="K642:K705" si="21">INT(A642)</f>
        <v>35</v>
      </c>
      <c r="L642" s="69">
        <f>VLOOKUP(Table_db1_backend_Daily.accdb[[#This Row],[TradingDate]],canon!B:E,4,0)</f>
        <v>29</v>
      </c>
    </row>
    <row r="643" spans="1:12" x14ac:dyDescent="0.2">
      <c r="A643" s="69" t="s">
        <v>40</v>
      </c>
      <c r="B643" s="70">
        <v>42932</v>
      </c>
      <c r="C643" s="69">
        <v>4</v>
      </c>
      <c r="D643" s="69">
        <v>0</v>
      </c>
      <c r="E643" s="69">
        <v>0</v>
      </c>
      <c r="F643" s="69">
        <v>0</v>
      </c>
      <c r="G643" s="69" t="s">
        <v>34</v>
      </c>
      <c r="H643" s="69" t="str">
        <f>IFERROR(VLOOKUP(Data!$G643,canon!$I$2:$K$27,2,FALSE),"")</f>
        <v>SHOES</v>
      </c>
      <c r="I643" s="69" t="str">
        <f>IFERROR(VLOOKUP(Data!$G643,canon!$I$2:$K$27,3,FALSE),"")</f>
        <v>N.APPAREL</v>
      </c>
      <c r="J643" s="69">
        <f t="shared" si="20"/>
        <v>1</v>
      </c>
      <c r="K643" s="69">
        <f t="shared" si="21"/>
        <v>35</v>
      </c>
      <c r="L643" s="69">
        <f>VLOOKUP(Table_db1_backend_Daily.accdb[[#This Row],[TradingDate]],canon!B:E,4,0)</f>
        <v>29</v>
      </c>
    </row>
    <row r="644" spans="1:12" x14ac:dyDescent="0.2">
      <c r="A644" s="69" t="s">
        <v>40</v>
      </c>
      <c r="B644" s="70">
        <v>42932</v>
      </c>
      <c r="C644" s="69">
        <v>2</v>
      </c>
      <c r="D644" s="69">
        <v>0</v>
      </c>
      <c r="E644" s="69">
        <v>0</v>
      </c>
      <c r="F644" s="69">
        <v>0</v>
      </c>
      <c r="G644" s="69" t="s">
        <v>38</v>
      </c>
      <c r="H644" s="69" t="str">
        <f>IFERROR(VLOOKUP(Data!$G644,canon!$I$2:$K$27,2,FALSE),"")</f>
        <v>SHOES</v>
      </c>
      <c r="I644" s="69" t="str">
        <f>IFERROR(VLOOKUP(Data!$G644,canon!$I$2:$K$27,3,FALSE),"")</f>
        <v>N.APPAREL</v>
      </c>
      <c r="J644" s="69">
        <f t="shared" si="20"/>
        <v>1</v>
      </c>
      <c r="K644" s="69">
        <f t="shared" si="21"/>
        <v>35</v>
      </c>
      <c r="L644" s="69">
        <f>VLOOKUP(Table_db1_backend_Daily.accdb[[#This Row],[TradingDate]],canon!B:E,4,0)</f>
        <v>29</v>
      </c>
    </row>
    <row r="645" spans="1:12" x14ac:dyDescent="0.2">
      <c r="A645" s="69" t="s">
        <v>40</v>
      </c>
      <c r="B645" s="70">
        <v>42932</v>
      </c>
      <c r="C645" s="69">
        <v>491</v>
      </c>
      <c r="D645" s="69">
        <v>4</v>
      </c>
      <c r="E645" s="69">
        <v>104.5</v>
      </c>
      <c r="F645" s="69">
        <v>71.12</v>
      </c>
      <c r="G645" s="69" t="s">
        <v>35</v>
      </c>
      <c r="H645" s="69" t="str">
        <f>IFERROR(VLOOKUP(Data!$G645,canon!$I$2:$K$27,2,FALSE),"")</f>
        <v>DRESS</v>
      </c>
      <c r="I645" s="69" t="str">
        <f>IFERROR(VLOOKUP(Data!$G645,canon!$I$2:$K$27,3,FALSE),"")</f>
        <v>APPAREL</v>
      </c>
      <c r="J645" s="69">
        <f t="shared" si="20"/>
        <v>1</v>
      </c>
      <c r="K645" s="69">
        <f t="shared" si="21"/>
        <v>35</v>
      </c>
      <c r="L645" s="69">
        <f>VLOOKUP(Table_db1_backend_Daily.accdb[[#This Row],[TradingDate]],canon!B:E,4,0)</f>
        <v>29</v>
      </c>
    </row>
    <row r="646" spans="1:12" x14ac:dyDescent="0.2">
      <c r="A646" s="69" t="s">
        <v>40</v>
      </c>
      <c r="B646" s="70">
        <v>42932</v>
      </c>
      <c r="C646" s="69">
        <v>6</v>
      </c>
      <c r="D646" s="69">
        <v>0</v>
      </c>
      <c r="E646" s="69">
        <v>0</v>
      </c>
      <c r="F646" s="69">
        <v>0</v>
      </c>
      <c r="G646" s="69" t="s">
        <v>10</v>
      </c>
      <c r="H646" s="69" t="str">
        <f>IFERROR(VLOOKUP(Data!$G646,canon!$I$2:$K$27,2,FALSE),"")</f>
        <v>ACCESSORY</v>
      </c>
      <c r="I646" s="69" t="str">
        <f>IFERROR(VLOOKUP(Data!$G646,canon!$I$2:$K$27,3,FALSE),"")</f>
        <v>N.APPAREL</v>
      </c>
      <c r="J646" s="69">
        <f t="shared" si="20"/>
        <v>1</v>
      </c>
      <c r="K646" s="69">
        <f t="shared" si="21"/>
        <v>35</v>
      </c>
      <c r="L646" s="69">
        <f>VLOOKUP(Table_db1_backend_Daily.accdb[[#This Row],[TradingDate]],canon!B:E,4,0)</f>
        <v>29</v>
      </c>
    </row>
    <row r="647" spans="1:12" x14ac:dyDescent="0.2">
      <c r="A647" s="69" t="s">
        <v>40</v>
      </c>
      <c r="B647" s="70">
        <v>42932</v>
      </c>
      <c r="C647" s="69">
        <v>-17</v>
      </c>
      <c r="D647" s="69">
        <v>0</v>
      </c>
      <c r="E647" s="69">
        <v>0</v>
      </c>
      <c r="F647" s="69">
        <v>0</v>
      </c>
      <c r="G647" s="69" t="s">
        <v>28</v>
      </c>
      <c r="H647" s="69" t="str">
        <f>IFERROR(VLOOKUP(Data!$G647,canon!$I$2:$K$27,2,FALSE),"")</f>
        <v>ACCESSORY</v>
      </c>
      <c r="I647" s="69" t="str">
        <f>IFERROR(VLOOKUP(Data!$G647,canon!$I$2:$K$27,3,FALSE),"")</f>
        <v>N.APPAREL</v>
      </c>
      <c r="J647" s="69">
        <f t="shared" si="20"/>
        <v>1</v>
      </c>
      <c r="K647" s="69">
        <f t="shared" si="21"/>
        <v>35</v>
      </c>
      <c r="L647" s="69">
        <f>VLOOKUP(Table_db1_backend_Daily.accdb[[#This Row],[TradingDate]],canon!B:E,4,0)</f>
        <v>29</v>
      </c>
    </row>
    <row r="648" spans="1:12" x14ac:dyDescent="0.2">
      <c r="A648" s="69" t="s">
        <v>40</v>
      </c>
      <c r="B648" s="70">
        <v>42932</v>
      </c>
      <c r="C648" s="69">
        <v>2196</v>
      </c>
      <c r="D648" s="69">
        <v>35</v>
      </c>
      <c r="E648" s="69">
        <v>431.23999999999995</v>
      </c>
      <c r="F648" s="69">
        <v>166.35</v>
      </c>
      <c r="G648" s="69" t="s">
        <v>11</v>
      </c>
      <c r="H648" s="69" t="str">
        <f>IFERROR(VLOOKUP(Data!$G648,canon!$I$2:$K$27,2,FALSE),"")</f>
        <v>KNIT</v>
      </c>
      <c r="I648" s="69" t="str">
        <f>IFERROR(VLOOKUP(Data!$G648,canon!$I$2:$K$27,3,FALSE),"")</f>
        <v>APPAREL</v>
      </c>
      <c r="J648" s="69">
        <f t="shared" si="20"/>
        <v>1</v>
      </c>
      <c r="K648" s="69">
        <f t="shared" si="21"/>
        <v>35</v>
      </c>
      <c r="L648" s="69">
        <f>VLOOKUP(Table_db1_backend_Daily.accdb[[#This Row],[TradingDate]],canon!B:E,4,0)</f>
        <v>29</v>
      </c>
    </row>
    <row r="649" spans="1:12" x14ac:dyDescent="0.2">
      <c r="A649" s="69" t="s">
        <v>40</v>
      </c>
      <c r="B649" s="70">
        <v>42932</v>
      </c>
      <c r="C649" s="69">
        <v>276</v>
      </c>
      <c r="D649" s="69">
        <v>4</v>
      </c>
      <c r="E649" s="69">
        <v>72.710000000000008</v>
      </c>
      <c r="F649" s="69">
        <v>45.54</v>
      </c>
      <c r="G649" s="69" t="s">
        <v>14</v>
      </c>
      <c r="H649" s="69" t="str">
        <f>IFERROR(VLOOKUP(Data!$G649,canon!$I$2:$K$27,2,FALSE),"")</f>
        <v>LEGGING</v>
      </c>
      <c r="I649" s="69" t="str">
        <f>IFERROR(VLOOKUP(Data!$G649,canon!$I$2:$K$27,3,FALSE),"")</f>
        <v>APPAREL</v>
      </c>
      <c r="J649" s="69">
        <f t="shared" si="20"/>
        <v>1</v>
      </c>
      <c r="K649" s="69">
        <f t="shared" si="21"/>
        <v>35</v>
      </c>
      <c r="L649" s="69">
        <f>VLOOKUP(Table_db1_backend_Daily.accdb[[#This Row],[TradingDate]],canon!B:E,4,0)</f>
        <v>29</v>
      </c>
    </row>
    <row r="650" spans="1:12" x14ac:dyDescent="0.2">
      <c r="A650" s="69" t="s">
        <v>40</v>
      </c>
      <c r="B650" s="70">
        <v>42932</v>
      </c>
      <c r="C650" s="69">
        <v>1</v>
      </c>
      <c r="D650" s="69">
        <v>0</v>
      </c>
      <c r="E650" s="69">
        <v>0</v>
      </c>
      <c r="F650" s="69">
        <v>0</v>
      </c>
      <c r="G650" s="69" t="s">
        <v>37</v>
      </c>
      <c r="H650" s="69" t="str">
        <f>IFERROR(VLOOKUP(Data!$G650,canon!$I$2:$K$27,2,FALSE),"")</f>
        <v>SHOES</v>
      </c>
      <c r="I650" s="69" t="str">
        <f>IFERROR(VLOOKUP(Data!$G650,canon!$I$2:$K$27,3,FALSE),"")</f>
        <v>N.APPAREL</v>
      </c>
      <c r="J650" s="69">
        <f t="shared" si="20"/>
        <v>1</v>
      </c>
      <c r="K650" s="69">
        <f t="shared" si="21"/>
        <v>35</v>
      </c>
      <c r="L650" s="69">
        <f>VLOOKUP(Table_db1_backend_Daily.accdb[[#This Row],[TradingDate]],canon!B:E,4,0)</f>
        <v>29</v>
      </c>
    </row>
    <row r="651" spans="1:12" x14ac:dyDescent="0.2">
      <c r="A651" s="69" t="s">
        <v>40</v>
      </c>
      <c r="B651" s="70">
        <v>42932</v>
      </c>
      <c r="C651" s="69">
        <v>749</v>
      </c>
      <c r="D651" s="69">
        <v>12</v>
      </c>
      <c r="E651" s="69">
        <v>258.84000000000003</v>
      </c>
      <c r="F651" s="69">
        <v>149.27000000000001</v>
      </c>
      <c r="G651" s="69" t="s">
        <v>17</v>
      </c>
      <c r="H651" s="69" t="str">
        <f>IFERROR(VLOOKUP(Data!$G651,canon!$I$2:$K$27,2,FALSE),"")</f>
        <v>OUTER</v>
      </c>
      <c r="I651" s="69" t="str">
        <f>IFERROR(VLOOKUP(Data!$G651,canon!$I$2:$K$27,3,FALSE),"")</f>
        <v>APPAREL</v>
      </c>
      <c r="J651" s="69">
        <f t="shared" si="20"/>
        <v>1</v>
      </c>
      <c r="K651" s="69">
        <f t="shared" si="21"/>
        <v>35</v>
      </c>
      <c r="L651" s="69">
        <f>VLOOKUP(Table_db1_backend_Daily.accdb[[#This Row],[TradingDate]],canon!B:E,4,0)</f>
        <v>29</v>
      </c>
    </row>
    <row r="652" spans="1:12" x14ac:dyDescent="0.2">
      <c r="A652" s="69" t="s">
        <v>40</v>
      </c>
      <c r="B652" s="70">
        <v>42932</v>
      </c>
      <c r="C652" s="69">
        <v>431</v>
      </c>
      <c r="D652" s="69">
        <v>0</v>
      </c>
      <c r="E652" s="69">
        <v>0</v>
      </c>
      <c r="F652" s="69">
        <v>0</v>
      </c>
      <c r="G652" s="69" t="s">
        <v>19</v>
      </c>
      <c r="H652" s="69" t="str">
        <f>IFERROR(VLOOKUP(Data!$G652,canon!$I$2:$K$27,2,FALSE),"")</f>
        <v>PANT</v>
      </c>
      <c r="I652" s="69" t="str">
        <f>IFERROR(VLOOKUP(Data!$G652,canon!$I$2:$K$27,3,FALSE),"")</f>
        <v>APPAREL</v>
      </c>
      <c r="J652" s="69">
        <f t="shared" si="20"/>
        <v>1</v>
      </c>
      <c r="K652" s="69">
        <f t="shared" si="21"/>
        <v>35</v>
      </c>
      <c r="L652" s="69">
        <f>VLOOKUP(Table_db1_backend_Daily.accdb[[#This Row],[TradingDate]],canon!B:E,4,0)</f>
        <v>29</v>
      </c>
    </row>
    <row r="653" spans="1:12" x14ac:dyDescent="0.2">
      <c r="A653" s="69" t="s">
        <v>40</v>
      </c>
      <c r="B653" s="70">
        <v>42932</v>
      </c>
      <c r="C653" s="69">
        <v>32</v>
      </c>
      <c r="D653" s="69">
        <v>0</v>
      </c>
      <c r="E653" s="69">
        <v>0</v>
      </c>
      <c r="F653" s="69">
        <v>0</v>
      </c>
      <c r="G653" s="69" t="s">
        <v>21</v>
      </c>
      <c r="H653" s="69" t="str">
        <f>IFERROR(VLOOKUP(Data!$G653,canon!$I$2:$K$27,2,FALSE),"")</f>
        <v>ACCESSORY</v>
      </c>
      <c r="I653" s="69" t="str">
        <f>IFERROR(VLOOKUP(Data!$G653,canon!$I$2:$K$27,3,FALSE),"")</f>
        <v>N.APPAREL</v>
      </c>
      <c r="J653" s="69">
        <f t="shared" si="20"/>
        <v>1</v>
      </c>
      <c r="K653" s="69">
        <f t="shared" si="21"/>
        <v>35</v>
      </c>
      <c r="L653" s="69">
        <f>VLOOKUP(Table_db1_backend_Daily.accdb[[#This Row],[TradingDate]],canon!B:E,4,0)</f>
        <v>29</v>
      </c>
    </row>
    <row r="654" spans="1:12" x14ac:dyDescent="0.2">
      <c r="A654" s="69" t="s">
        <v>40</v>
      </c>
      <c r="B654" s="70">
        <v>42932</v>
      </c>
      <c r="C654" s="69">
        <v>658</v>
      </c>
      <c r="D654" s="69">
        <v>13</v>
      </c>
      <c r="E654" s="69">
        <v>75.199999999999989</v>
      </c>
      <c r="F654" s="69">
        <v>55.320000000000007</v>
      </c>
      <c r="G654" s="69" t="s">
        <v>22</v>
      </c>
      <c r="H654" s="69" t="str">
        <f>IFERROR(VLOOKUP(Data!$G654,canon!$I$2:$K$27,2,FALSE),"")</f>
        <v>SCARF</v>
      </c>
      <c r="I654" s="69" t="str">
        <f>IFERROR(VLOOKUP(Data!$G654,canon!$I$2:$K$27,3,FALSE),"")</f>
        <v>N.APPAREL</v>
      </c>
      <c r="J654" s="69">
        <f t="shared" si="20"/>
        <v>1</v>
      </c>
      <c r="K654" s="69">
        <f t="shared" si="21"/>
        <v>35</v>
      </c>
      <c r="L654" s="69">
        <f>VLOOKUP(Table_db1_backend_Daily.accdb[[#This Row],[TradingDate]],canon!B:E,4,0)</f>
        <v>29</v>
      </c>
    </row>
    <row r="655" spans="1:12" x14ac:dyDescent="0.2">
      <c r="A655" s="69" t="s">
        <v>40</v>
      </c>
      <c r="B655" s="70">
        <v>42932</v>
      </c>
      <c r="C655" s="69">
        <v>79</v>
      </c>
      <c r="D655" s="69">
        <v>1</v>
      </c>
      <c r="E655" s="69">
        <v>27.25</v>
      </c>
      <c r="F655" s="69">
        <v>19.420000000000002</v>
      </c>
      <c r="G655" s="69" t="s">
        <v>23</v>
      </c>
      <c r="H655" s="69" t="str">
        <f>IFERROR(VLOOKUP(Data!$G655,canon!$I$2:$K$27,2,FALSE),"")</f>
        <v>SH&amp;BL</v>
      </c>
      <c r="I655" s="69" t="str">
        <f>IFERROR(VLOOKUP(Data!$G655,canon!$I$2:$K$27,3,FALSE),"")</f>
        <v>APPAREL</v>
      </c>
      <c r="J655" s="69">
        <f t="shared" si="20"/>
        <v>1</v>
      </c>
      <c r="K655" s="69">
        <f t="shared" si="21"/>
        <v>35</v>
      </c>
      <c r="L655" s="69">
        <f>VLOOKUP(Table_db1_backend_Daily.accdb[[#This Row],[TradingDate]],canon!B:E,4,0)</f>
        <v>29</v>
      </c>
    </row>
    <row r="656" spans="1:12" x14ac:dyDescent="0.2">
      <c r="A656" s="69" t="s">
        <v>40</v>
      </c>
      <c r="B656" s="70">
        <v>42932</v>
      </c>
      <c r="C656" s="69">
        <v>301</v>
      </c>
      <c r="D656" s="69">
        <v>2</v>
      </c>
      <c r="E656" s="69">
        <v>54.480000000000004</v>
      </c>
      <c r="F656" s="69">
        <v>41.870000000000005</v>
      </c>
      <c r="G656" s="69" t="s">
        <v>32</v>
      </c>
      <c r="H656" s="69" t="str">
        <f>IFERROR(VLOOKUP(Data!$G656,canon!$I$2:$K$27,2,FALSE),"")</f>
        <v>SKIRT</v>
      </c>
      <c r="I656" s="69" t="str">
        <f>IFERROR(VLOOKUP(Data!$G656,canon!$I$2:$K$27,3,FALSE),"")</f>
        <v>APPAREL</v>
      </c>
      <c r="J656" s="69">
        <f t="shared" si="20"/>
        <v>1</v>
      </c>
      <c r="K656" s="69">
        <f t="shared" si="21"/>
        <v>35</v>
      </c>
      <c r="L656" s="69">
        <f>VLOOKUP(Table_db1_backend_Daily.accdb[[#This Row],[TradingDate]],canon!B:E,4,0)</f>
        <v>29</v>
      </c>
    </row>
    <row r="657" spans="1:12" x14ac:dyDescent="0.2">
      <c r="A657" s="69" t="s">
        <v>40</v>
      </c>
      <c r="B657" s="70">
        <v>42932</v>
      </c>
      <c r="C657" s="69">
        <v>1147</v>
      </c>
      <c r="D657" s="69">
        <v>26</v>
      </c>
      <c r="E657" s="69">
        <v>218.07999999999998</v>
      </c>
      <c r="F657" s="69">
        <v>95.28</v>
      </c>
      <c r="G657" s="69" t="s">
        <v>25</v>
      </c>
      <c r="H657" s="69" t="str">
        <f>IFERROR(VLOOKUP(Data!$G657,canon!$I$2:$K$27,2,FALSE),"")</f>
        <v>TOP</v>
      </c>
      <c r="I657" s="69" t="str">
        <f>IFERROR(VLOOKUP(Data!$G657,canon!$I$2:$K$27,3,FALSE),"")</f>
        <v>APPAREL</v>
      </c>
      <c r="J657" s="69">
        <f t="shared" si="20"/>
        <v>1</v>
      </c>
      <c r="K657" s="69">
        <f t="shared" si="21"/>
        <v>35</v>
      </c>
      <c r="L657" s="69">
        <f>VLOOKUP(Table_db1_backend_Daily.accdb[[#This Row],[TradingDate]],canon!B:E,4,0)</f>
        <v>29</v>
      </c>
    </row>
    <row r="658" spans="1:12" x14ac:dyDescent="0.2">
      <c r="A658" s="69" t="s">
        <v>40</v>
      </c>
      <c r="B658" s="70">
        <v>42933</v>
      </c>
      <c r="C658" s="69">
        <v>4</v>
      </c>
      <c r="D658" s="69">
        <v>0</v>
      </c>
      <c r="E658" s="69">
        <v>0</v>
      </c>
      <c r="F658" s="69">
        <v>0</v>
      </c>
      <c r="G658" s="69" t="s">
        <v>27</v>
      </c>
      <c r="H658" s="69" t="str">
        <f>IFERROR(VLOOKUP(Data!$G658,canon!$I$2:$K$27,2,FALSE),"")</f>
        <v>ACCESSORY</v>
      </c>
      <c r="I658" s="69" t="str">
        <f>IFERROR(VLOOKUP(Data!$G658,canon!$I$2:$K$27,3,FALSE),"")</f>
        <v>N.APPAREL</v>
      </c>
      <c r="J658" s="69">
        <f t="shared" si="20"/>
        <v>2</v>
      </c>
      <c r="K658" s="69">
        <f t="shared" si="21"/>
        <v>35</v>
      </c>
      <c r="L658" s="69">
        <f>VLOOKUP(Table_db1_backend_Daily.accdb[[#This Row],[TradingDate]],canon!B:E,4,0)</f>
        <v>29</v>
      </c>
    </row>
    <row r="659" spans="1:12" x14ac:dyDescent="0.2">
      <c r="A659" s="69" t="s">
        <v>40</v>
      </c>
      <c r="B659" s="70">
        <v>42933</v>
      </c>
      <c r="C659" s="69">
        <v>4</v>
      </c>
      <c r="D659" s="69">
        <v>0</v>
      </c>
      <c r="E659" s="69">
        <v>0</v>
      </c>
      <c r="F659" s="69">
        <v>0</v>
      </c>
      <c r="G659" s="69" t="s">
        <v>34</v>
      </c>
      <c r="H659" s="69" t="str">
        <f>IFERROR(VLOOKUP(Data!$G659,canon!$I$2:$K$27,2,FALSE),"")</f>
        <v>SHOES</v>
      </c>
      <c r="I659" s="69" t="str">
        <f>IFERROR(VLOOKUP(Data!$G659,canon!$I$2:$K$27,3,FALSE),"")</f>
        <v>N.APPAREL</v>
      </c>
      <c r="J659" s="69">
        <f t="shared" si="20"/>
        <v>2</v>
      </c>
      <c r="K659" s="69">
        <f t="shared" si="21"/>
        <v>35</v>
      </c>
      <c r="L659" s="69">
        <f>VLOOKUP(Table_db1_backend_Daily.accdb[[#This Row],[TradingDate]],canon!B:E,4,0)</f>
        <v>29</v>
      </c>
    </row>
    <row r="660" spans="1:12" x14ac:dyDescent="0.2">
      <c r="A660" s="69" t="s">
        <v>40</v>
      </c>
      <c r="B660" s="70">
        <v>42933</v>
      </c>
      <c r="C660" s="69">
        <v>2</v>
      </c>
      <c r="D660" s="69">
        <v>0</v>
      </c>
      <c r="E660" s="69">
        <v>0</v>
      </c>
      <c r="F660" s="69">
        <v>0</v>
      </c>
      <c r="G660" s="69" t="s">
        <v>38</v>
      </c>
      <c r="H660" s="69" t="str">
        <f>IFERROR(VLOOKUP(Data!$G660,canon!$I$2:$K$27,2,FALSE),"")</f>
        <v>SHOES</v>
      </c>
      <c r="I660" s="69" t="str">
        <f>IFERROR(VLOOKUP(Data!$G660,canon!$I$2:$K$27,3,FALSE),"")</f>
        <v>N.APPAREL</v>
      </c>
      <c r="J660" s="69">
        <f t="shared" si="20"/>
        <v>2</v>
      </c>
      <c r="K660" s="69">
        <f t="shared" si="21"/>
        <v>35</v>
      </c>
      <c r="L660" s="69">
        <f>VLOOKUP(Table_db1_backend_Daily.accdb[[#This Row],[TradingDate]],canon!B:E,4,0)</f>
        <v>29</v>
      </c>
    </row>
    <row r="661" spans="1:12" x14ac:dyDescent="0.2">
      <c r="A661" s="69" t="s">
        <v>40</v>
      </c>
      <c r="B661" s="70">
        <v>42933</v>
      </c>
      <c r="C661" s="69">
        <v>490</v>
      </c>
      <c r="D661" s="69">
        <v>1</v>
      </c>
      <c r="E661" s="69">
        <v>40.89</v>
      </c>
      <c r="F661" s="69">
        <v>32.630000000000003</v>
      </c>
      <c r="G661" s="69" t="s">
        <v>35</v>
      </c>
      <c r="H661" s="69" t="str">
        <f>IFERROR(VLOOKUP(Data!$G661,canon!$I$2:$K$27,2,FALSE),"")</f>
        <v>DRESS</v>
      </c>
      <c r="I661" s="69" t="str">
        <f>IFERROR(VLOOKUP(Data!$G661,canon!$I$2:$K$27,3,FALSE),"")</f>
        <v>APPAREL</v>
      </c>
      <c r="J661" s="69">
        <f t="shared" si="20"/>
        <v>2</v>
      </c>
      <c r="K661" s="69">
        <f t="shared" si="21"/>
        <v>35</v>
      </c>
      <c r="L661" s="69">
        <f>VLOOKUP(Table_db1_backend_Daily.accdb[[#This Row],[TradingDate]],canon!B:E,4,0)</f>
        <v>29</v>
      </c>
    </row>
    <row r="662" spans="1:12" x14ac:dyDescent="0.2">
      <c r="A662" s="69" t="s">
        <v>40</v>
      </c>
      <c r="B662" s="70">
        <v>42933</v>
      </c>
      <c r="C662" s="69">
        <v>6</v>
      </c>
      <c r="D662" s="69">
        <v>0</v>
      </c>
      <c r="E662" s="69">
        <v>0</v>
      </c>
      <c r="F662" s="69">
        <v>0</v>
      </c>
      <c r="G662" s="69" t="s">
        <v>10</v>
      </c>
      <c r="H662" s="69" t="str">
        <f>IFERROR(VLOOKUP(Data!$G662,canon!$I$2:$K$27,2,FALSE),"")</f>
        <v>ACCESSORY</v>
      </c>
      <c r="I662" s="69" t="str">
        <f>IFERROR(VLOOKUP(Data!$G662,canon!$I$2:$K$27,3,FALSE),"")</f>
        <v>N.APPAREL</v>
      </c>
      <c r="J662" s="69">
        <f t="shared" si="20"/>
        <v>2</v>
      </c>
      <c r="K662" s="69">
        <f t="shared" si="21"/>
        <v>35</v>
      </c>
      <c r="L662" s="69">
        <f>VLOOKUP(Table_db1_backend_Daily.accdb[[#This Row],[TradingDate]],canon!B:E,4,0)</f>
        <v>29</v>
      </c>
    </row>
    <row r="663" spans="1:12" x14ac:dyDescent="0.2">
      <c r="A663" s="69" t="s">
        <v>40</v>
      </c>
      <c r="B663" s="70">
        <v>42933</v>
      </c>
      <c r="C663" s="69">
        <v>-17</v>
      </c>
      <c r="D663" s="69">
        <v>0</v>
      </c>
      <c r="E663" s="69">
        <v>0</v>
      </c>
      <c r="F663" s="69">
        <v>0</v>
      </c>
      <c r="G663" s="69" t="s">
        <v>28</v>
      </c>
      <c r="H663" s="69" t="str">
        <f>IFERROR(VLOOKUP(Data!$G663,canon!$I$2:$K$27,2,FALSE),"")</f>
        <v>ACCESSORY</v>
      </c>
      <c r="I663" s="69" t="str">
        <f>IFERROR(VLOOKUP(Data!$G663,canon!$I$2:$K$27,3,FALSE),"")</f>
        <v>N.APPAREL</v>
      </c>
      <c r="J663" s="69">
        <f t="shared" si="20"/>
        <v>2</v>
      </c>
      <c r="K663" s="69">
        <f t="shared" si="21"/>
        <v>35</v>
      </c>
      <c r="L663" s="69">
        <f>VLOOKUP(Table_db1_backend_Daily.accdb[[#This Row],[TradingDate]],canon!B:E,4,0)</f>
        <v>29</v>
      </c>
    </row>
    <row r="664" spans="1:12" x14ac:dyDescent="0.2">
      <c r="A664" s="69" t="s">
        <v>40</v>
      </c>
      <c r="B664" s="70">
        <v>42933</v>
      </c>
      <c r="C664" s="69">
        <v>2170</v>
      </c>
      <c r="D664" s="69">
        <v>26</v>
      </c>
      <c r="E664" s="69">
        <v>290.41999999999996</v>
      </c>
      <c r="F664" s="69">
        <v>95.14</v>
      </c>
      <c r="G664" s="69" t="s">
        <v>11</v>
      </c>
      <c r="H664" s="69" t="str">
        <f>IFERROR(VLOOKUP(Data!$G664,canon!$I$2:$K$27,2,FALSE),"")</f>
        <v>KNIT</v>
      </c>
      <c r="I664" s="69" t="str">
        <f>IFERROR(VLOOKUP(Data!$G664,canon!$I$2:$K$27,3,FALSE),"")</f>
        <v>APPAREL</v>
      </c>
      <c r="J664" s="69">
        <f t="shared" si="20"/>
        <v>2</v>
      </c>
      <c r="K664" s="69">
        <f t="shared" si="21"/>
        <v>35</v>
      </c>
      <c r="L664" s="69">
        <f>VLOOKUP(Table_db1_backend_Daily.accdb[[#This Row],[TradingDate]],canon!B:E,4,0)</f>
        <v>29</v>
      </c>
    </row>
    <row r="665" spans="1:12" x14ac:dyDescent="0.2">
      <c r="A665" s="69" t="s">
        <v>40</v>
      </c>
      <c r="B665" s="70">
        <v>42933</v>
      </c>
      <c r="C665" s="69">
        <v>272</v>
      </c>
      <c r="D665" s="69">
        <v>4</v>
      </c>
      <c r="E665" s="69">
        <v>54.54</v>
      </c>
      <c r="F665" s="69">
        <v>27.16</v>
      </c>
      <c r="G665" s="69" t="s">
        <v>14</v>
      </c>
      <c r="H665" s="69" t="str">
        <f>IFERROR(VLOOKUP(Data!$G665,canon!$I$2:$K$27,2,FALSE),"")</f>
        <v>LEGGING</v>
      </c>
      <c r="I665" s="69" t="str">
        <f>IFERROR(VLOOKUP(Data!$G665,canon!$I$2:$K$27,3,FALSE),"")</f>
        <v>APPAREL</v>
      </c>
      <c r="J665" s="69">
        <f t="shared" si="20"/>
        <v>2</v>
      </c>
      <c r="K665" s="69">
        <f t="shared" si="21"/>
        <v>35</v>
      </c>
      <c r="L665" s="69">
        <f>VLOOKUP(Table_db1_backend_Daily.accdb[[#This Row],[TradingDate]],canon!B:E,4,0)</f>
        <v>29</v>
      </c>
    </row>
    <row r="666" spans="1:12" x14ac:dyDescent="0.2">
      <c r="A666" s="69" t="s">
        <v>40</v>
      </c>
      <c r="B666" s="70">
        <v>42933</v>
      </c>
      <c r="C666" s="69">
        <v>1</v>
      </c>
      <c r="D666" s="69">
        <v>0</v>
      </c>
      <c r="E666" s="69">
        <v>0</v>
      </c>
      <c r="F666" s="69">
        <v>0</v>
      </c>
      <c r="G666" s="69" t="s">
        <v>37</v>
      </c>
      <c r="H666" s="69" t="str">
        <f>IFERROR(VLOOKUP(Data!$G666,canon!$I$2:$K$27,2,FALSE),"")</f>
        <v>SHOES</v>
      </c>
      <c r="I666" s="69" t="str">
        <f>IFERROR(VLOOKUP(Data!$G666,canon!$I$2:$K$27,3,FALSE),"")</f>
        <v>N.APPAREL</v>
      </c>
      <c r="J666" s="69">
        <f t="shared" si="20"/>
        <v>2</v>
      </c>
      <c r="K666" s="69">
        <f t="shared" si="21"/>
        <v>35</v>
      </c>
      <c r="L666" s="69">
        <f>VLOOKUP(Table_db1_backend_Daily.accdb[[#This Row],[TradingDate]],canon!B:E,4,0)</f>
        <v>29</v>
      </c>
    </row>
    <row r="667" spans="1:12" x14ac:dyDescent="0.2">
      <c r="A667" s="69" t="s">
        <v>40</v>
      </c>
      <c r="B667" s="70">
        <v>42933</v>
      </c>
      <c r="C667" s="69">
        <v>743</v>
      </c>
      <c r="D667" s="69">
        <v>6</v>
      </c>
      <c r="E667" s="69">
        <v>72.61</v>
      </c>
      <c r="F667" s="69">
        <v>11.879999999999999</v>
      </c>
      <c r="G667" s="69" t="s">
        <v>17</v>
      </c>
      <c r="H667" s="69" t="str">
        <f>IFERROR(VLOOKUP(Data!$G667,canon!$I$2:$K$27,2,FALSE),"")</f>
        <v>OUTER</v>
      </c>
      <c r="I667" s="69" t="str">
        <f>IFERROR(VLOOKUP(Data!$G667,canon!$I$2:$K$27,3,FALSE),"")</f>
        <v>APPAREL</v>
      </c>
      <c r="J667" s="69">
        <f t="shared" si="20"/>
        <v>2</v>
      </c>
      <c r="K667" s="69">
        <f t="shared" si="21"/>
        <v>35</v>
      </c>
      <c r="L667" s="69">
        <f>VLOOKUP(Table_db1_backend_Daily.accdb[[#This Row],[TradingDate]],canon!B:E,4,0)</f>
        <v>29</v>
      </c>
    </row>
    <row r="668" spans="1:12" x14ac:dyDescent="0.2">
      <c r="A668" s="69" t="s">
        <v>40</v>
      </c>
      <c r="B668" s="70">
        <v>42933</v>
      </c>
      <c r="C668" s="69">
        <v>430</v>
      </c>
      <c r="D668" s="69">
        <v>1</v>
      </c>
      <c r="E668" s="69">
        <v>27.25</v>
      </c>
      <c r="F668" s="69">
        <v>19.47</v>
      </c>
      <c r="G668" s="69" t="s">
        <v>19</v>
      </c>
      <c r="H668" s="69" t="str">
        <f>IFERROR(VLOOKUP(Data!$G668,canon!$I$2:$K$27,2,FALSE),"")</f>
        <v>PANT</v>
      </c>
      <c r="I668" s="69" t="str">
        <f>IFERROR(VLOOKUP(Data!$G668,canon!$I$2:$K$27,3,FALSE),"")</f>
        <v>APPAREL</v>
      </c>
      <c r="J668" s="69">
        <f t="shared" si="20"/>
        <v>2</v>
      </c>
      <c r="K668" s="69">
        <f t="shared" si="21"/>
        <v>35</v>
      </c>
      <c r="L668" s="69">
        <f>VLOOKUP(Table_db1_backend_Daily.accdb[[#This Row],[TradingDate]],canon!B:E,4,0)</f>
        <v>29</v>
      </c>
    </row>
    <row r="669" spans="1:12" x14ac:dyDescent="0.2">
      <c r="A669" s="69" t="s">
        <v>40</v>
      </c>
      <c r="B669" s="70">
        <v>42933</v>
      </c>
      <c r="C669" s="69">
        <v>32</v>
      </c>
      <c r="D669" s="69">
        <v>0</v>
      </c>
      <c r="E669" s="69">
        <v>0</v>
      </c>
      <c r="F669" s="69">
        <v>0</v>
      </c>
      <c r="G669" s="69" t="s">
        <v>21</v>
      </c>
      <c r="H669" s="69" t="str">
        <f>IFERROR(VLOOKUP(Data!$G669,canon!$I$2:$K$27,2,FALSE),"")</f>
        <v>ACCESSORY</v>
      </c>
      <c r="I669" s="69" t="str">
        <f>IFERROR(VLOOKUP(Data!$G669,canon!$I$2:$K$27,3,FALSE),"")</f>
        <v>N.APPAREL</v>
      </c>
      <c r="J669" s="69">
        <f t="shared" si="20"/>
        <v>2</v>
      </c>
      <c r="K669" s="69">
        <f t="shared" si="21"/>
        <v>35</v>
      </c>
      <c r="L669" s="69">
        <f>VLOOKUP(Table_db1_backend_Daily.accdb[[#This Row],[TradingDate]],canon!B:E,4,0)</f>
        <v>29</v>
      </c>
    </row>
    <row r="670" spans="1:12" x14ac:dyDescent="0.2">
      <c r="A670" s="69" t="s">
        <v>40</v>
      </c>
      <c r="B670" s="70">
        <v>42933</v>
      </c>
      <c r="C670" s="69">
        <v>652</v>
      </c>
      <c r="D670" s="69">
        <v>6</v>
      </c>
      <c r="E670" s="69">
        <v>32.659999999999997</v>
      </c>
      <c r="F670" s="69">
        <v>23.75</v>
      </c>
      <c r="G670" s="69" t="s">
        <v>22</v>
      </c>
      <c r="H670" s="69" t="str">
        <f>IFERROR(VLOOKUP(Data!$G670,canon!$I$2:$K$27,2,FALSE),"")</f>
        <v>SCARF</v>
      </c>
      <c r="I670" s="69" t="str">
        <f>IFERROR(VLOOKUP(Data!$G670,canon!$I$2:$K$27,3,FALSE),"")</f>
        <v>N.APPAREL</v>
      </c>
      <c r="J670" s="69">
        <f t="shared" si="20"/>
        <v>2</v>
      </c>
      <c r="K670" s="69">
        <f t="shared" si="21"/>
        <v>35</v>
      </c>
      <c r="L670" s="69">
        <f>VLOOKUP(Table_db1_backend_Daily.accdb[[#This Row],[TradingDate]],canon!B:E,4,0)</f>
        <v>29</v>
      </c>
    </row>
    <row r="671" spans="1:12" x14ac:dyDescent="0.2">
      <c r="A671" s="69" t="s">
        <v>40</v>
      </c>
      <c r="B671" s="70">
        <v>42933</v>
      </c>
      <c r="C671" s="69">
        <v>79</v>
      </c>
      <c r="D671" s="69">
        <v>0</v>
      </c>
      <c r="E671" s="69">
        <v>0</v>
      </c>
      <c r="F671" s="69">
        <v>0</v>
      </c>
      <c r="G671" s="69" t="s">
        <v>23</v>
      </c>
      <c r="H671" s="69" t="str">
        <f>IFERROR(VLOOKUP(Data!$G671,canon!$I$2:$K$27,2,FALSE),"")</f>
        <v>SH&amp;BL</v>
      </c>
      <c r="I671" s="69" t="str">
        <f>IFERROR(VLOOKUP(Data!$G671,canon!$I$2:$K$27,3,FALSE),"")</f>
        <v>APPAREL</v>
      </c>
      <c r="J671" s="69">
        <f t="shared" si="20"/>
        <v>2</v>
      </c>
      <c r="K671" s="69">
        <f t="shared" si="21"/>
        <v>35</v>
      </c>
      <c r="L671" s="69">
        <f>VLOOKUP(Table_db1_backend_Daily.accdb[[#This Row],[TradingDate]],canon!B:E,4,0)</f>
        <v>29</v>
      </c>
    </row>
    <row r="672" spans="1:12" x14ac:dyDescent="0.2">
      <c r="A672" s="69" t="s">
        <v>40</v>
      </c>
      <c r="B672" s="70">
        <v>42933</v>
      </c>
      <c r="C672" s="69">
        <v>300</v>
      </c>
      <c r="D672" s="69">
        <v>1</v>
      </c>
      <c r="E672" s="69">
        <v>13.58</v>
      </c>
      <c r="F672" s="69">
        <v>8.58</v>
      </c>
      <c r="G672" s="69" t="s">
        <v>32</v>
      </c>
      <c r="H672" s="69" t="str">
        <f>IFERROR(VLOOKUP(Data!$G672,canon!$I$2:$K$27,2,FALSE),"")</f>
        <v>SKIRT</v>
      </c>
      <c r="I672" s="69" t="str">
        <f>IFERROR(VLOOKUP(Data!$G672,canon!$I$2:$K$27,3,FALSE),"")</f>
        <v>APPAREL</v>
      </c>
      <c r="J672" s="69">
        <f t="shared" si="20"/>
        <v>2</v>
      </c>
      <c r="K672" s="69">
        <f t="shared" si="21"/>
        <v>35</v>
      </c>
      <c r="L672" s="69">
        <f>VLOOKUP(Table_db1_backend_Daily.accdb[[#This Row],[TradingDate]],canon!B:E,4,0)</f>
        <v>29</v>
      </c>
    </row>
    <row r="673" spans="1:12" x14ac:dyDescent="0.2">
      <c r="A673" s="69" t="s">
        <v>40</v>
      </c>
      <c r="B673" s="70">
        <v>42933</v>
      </c>
      <c r="C673" s="69">
        <v>1127</v>
      </c>
      <c r="D673" s="69">
        <v>20</v>
      </c>
      <c r="E673" s="69">
        <v>222.61</v>
      </c>
      <c r="F673" s="69">
        <v>113.1</v>
      </c>
      <c r="G673" s="69" t="s">
        <v>25</v>
      </c>
      <c r="H673" s="69" t="str">
        <f>IFERROR(VLOOKUP(Data!$G673,canon!$I$2:$K$27,2,FALSE),"")</f>
        <v>TOP</v>
      </c>
      <c r="I673" s="69" t="str">
        <f>IFERROR(VLOOKUP(Data!$G673,canon!$I$2:$K$27,3,FALSE),"")</f>
        <v>APPAREL</v>
      </c>
      <c r="J673" s="69">
        <f t="shared" si="20"/>
        <v>2</v>
      </c>
      <c r="K673" s="69">
        <f t="shared" si="21"/>
        <v>35</v>
      </c>
      <c r="L673" s="69">
        <f>VLOOKUP(Table_db1_backend_Daily.accdb[[#This Row],[TradingDate]],canon!B:E,4,0)</f>
        <v>29</v>
      </c>
    </row>
    <row r="674" spans="1:12" x14ac:dyDescent="0.2">
      <c r="A674" s="69" t="s">
        <v>40</v>
      </c>
      <c r="B674" s="70">
        <v>42934</v>
      </c>
      <c r="C674" s="69">
        <v>4</v>
      </c>
      <c r="D674" s="69">
        <v>0</v>
      </c>
      <c r="E674" s="69">
        <v>0</v>
      </c>
      <c r="F674" s="69">
        <v>0</v>
      </c>
      <c r="G674" s="69" t="s">
        <v>27</v>
      </c>
      <c r="H674" s="69" t="str">
        <f>IFERROR(VLOOKUP(Data!$G674,canon!$I$2:$K$27,2,FALSE),"")</f>
        <v>ACCESSORY</v>
      </c>
      <c r="I674" s="69" t="str">
        <f>IFERROR(VLOOKUP(Data!$G674,canon!$I$2:$K$27,3,FALSE),"")</f>
        <v>N.APPAREL</v>
      </c>
      <c r="J674" s="69">
        <f t="shared" si="20"/>
        <v>3</v>
      </c>
      <c r="K674" s="69">
        <f t="shared" si="21"/>
        <v>35</v>
      </c>
      <c r="L674" s="69">
        <f>VLOOKUP(Table_db1_backend_Daily.accdb[[#This Row],[TradingDate]],canon!B:E,4,0)</f>
        <v>29</v>
      </c>
    </row>
    <row r="675" spans="1:12" x14ac:dyDescent="0.2">
      <c r="A675" s="69" t="s">
        <v>40</v>
      </c>
      <c r="B675" s="70">
        <v>42934</v>
      </c>
      <c r="C675" s="69">
        <v>4</v>
      </c>
      <c r="D675" s="69">
        <v>0</v>
      </c>
      <c r="E675" s="69">
        <v>0</v>
      </c>
      <c r="F675" s="69">
        <v>0</v>
      </c>
      <c r="G675" s="69" t="s">
        <v>34</v>
      </c>
      <c r="H675" s="69" t="str">
        <f>IFERROR(VLOOKUP(Data!$G675,canon!$I$2:$K$27,2,FALSE),"")</f>
        <v>SHOES</v>
      </c>
      <c r="I675" s="69" t="str">
        <f>IFERROR(VLOOKUP(Data!$G675,canon!$I$2:$K$27,3,FALSE),"")</f>
        <v>N.APPAREL</v>
      </c>
      <c r="J675" s="69">
        <f t="shared" si="20"/>
        <v>3</v>
      </c>
      <c r="K675" s="69">
        <f t="shared" si="21"/>
        <v>35</v>
      </c>
      <c r="L675" s="69">
        <f>VLOOKUP(Table_db1_backend_Daily.accdb[[#This Row],[TradingDate]],canon!B:E,4,0)</f>
        <v>29</v>
      </c>
    </row>
    <row r="676" spans="1:12" x14ac:dyDescent="0.2">
      <c r="A676" s="69" t="s">
        <v>40</v>
      </c>
      <c r="B676" s="70">
        <v>42934</v>
      </c>
      <c r="C676" s="69">
        <v>2</v>
      </c>
      <c r="D676" s="69">
        <v>0</v>
      </c>
      <c r="E676" s="69">
        <v>0</v>
      </c>
      <c r="F676" s="69">
        <v>0</v>
      </c>
      <c r="G676" s="69" t="s">
        <v>38</v>
      </c>
      <c r="H676" s="69" t="str">
        <f>IFERROR(VLOOKUP(Data!$G676,canon!$I$2:$K$27,2,FALSE),"")</f>
        <v>SHOES</v>
      </c>
      <c r="I676" s="69" t="str">
        <f>IFERROR(VLOOKUP(Data!$G676,canon!$I$2:$K$27,3,FALSE),"")</f>
        <v>N.APPAREL</v>
      </c>
      <c r="J676" s="69">
        <f t="shared" si="20"/>
        <v>3</v>
      </c>
      <c r="K676" s="69">
        <f t="shared" si="21"/>
        <v>35</v>
      </c>
      <c r="L676" s="69">
        <f>VLOOKUP(Table_db1_backend_Daily.accdb[[#This Row],[TradingDate]],canon!B:E,4,0)</f>
        <v>29</v>
      </c>
    </row>
    <row r="677" spans="1:12" x14ac:dyDescent="0.2">
      <c r="A677" s="69" t="s">
        <v>40</v>
      </c>
      <c r="B677" s="70">
        <v>42934</v>
      </c>
      <c r="C677" s="69">
        <v>500</v>
      </c>
      <c r="D677" s="69">
        <v>2</v>
      </c>
      <c r="E677" s="69">
        <v>54.489999999999995</v>
      </c>
      <c r="F677" s="69">
        <v>39.49</v>
      </c>
      <c r="G677" s="69" t="s">
        <v>35</v>
      </c>
      <c r="H677" s="69" t="str">
        <f>IFERROR(VLOOKUP(Data!$G677,canon!$I$2:$K$27,2,FALSE),"")</f>
        <v>DRESS</v>
      </c>
      <c r="I677" s="69" t="str">
        <f>IFERROR(VLOOKUP(Data!$G677,canon!$I$2:$K$27,3,FALSE),"")</f>
        <v>APPAREL</v>
      </c>
      <c r="J677" s="69">
        <f t="shared" si="20"/>
        <v>3</v>
      </c>
      <c r="K677" s="69">
        <f t="shared" si="21"/>
        <v>35</v>
      </c>
      <c r="L677" s="69">
        <f>VLOOKUP(Table_db1_backend_Daily.accdb[[#This Row],[TradingDate]],canon!B:E,4,0)</f>
        <v>29</v>
      </c>
    </row>
    <row r="678" spans="1:12" x14ac:dyDescent="0.2">
      <c r="A678" s="69" t="s">
        <v>40</v>
      </c>
      <c r="B678" s="70">
        <v>42934</v>
      </c>
      <c r="C678" s="69">
        <v>6</v>
      </c>
      <c r="D678" s="69">
        <v>0</v>
      </c>
      <c r="E678" s="69">
        <v>0</v>
      </c>
      <c r="F678" s="69">
        <v>0</v>
      </c>
      <c r="G678" s="69" t="s">
        <v>10</v>
      </c>
      <c r="H678" s="69" t="str">
        <f>IFERROR(VLOOKUP(Data!$G678,canon!$I$2:$K$27,2,FALSE),"")</f>
        <v>ACCESSORY</v>
      </c>
      <c r="I678" s="69" t="str">
        <f>IFERROR(VLOOKUP(Data!$G678,canon!$I$2:$K$27,3,FALSE),"")</f>
        <v>N.APPAREL</v>
      </c>
      <c r="J678" s="69">
        <f t="shared" si="20"/>
        <v>3</v>
      </c>
      <c r="K678" s="69">
        <f t="shared" si="21"/>
        <v>35</v>
      </c>
      <c r="L678" s="69">
        <f>VLOOKUP(Table_db1_backend_Daily.accdb[[#This Row],[TradingDate]],canon!B:E,4,0)</f>
        <v>29</v>
      </c>
    </row>
    <row r="679" spans="1:12" x14ac:dyDescent="0.2">
      <c r="A679" s="69" t="s">
        <v>40</v>
      </c>
      <c r="B679" s="70">
        <v>42934</v>
      </c>
      <c r="C679" s="69">
        <v>-17</v>
      </c>
      <c r="D679" s="69">
        <v>0</v>
      </c>
      <c r="E679" s="69">
        <v>0</v>
      </c>
      <c r="F679" s="69">
        <v>0</v>
      </c>
      <c r="G679" s="69" t="s">
        <v>28</v>
      </c>
      <c r="H679" s="69" t="str">
        <f>IFERROR(VLOOKUP(Data!$G679,canon!$I$2:$K$27,2,FALSE),"")</f>
        <v>ACCESSORY</v>
      </c>
      <c r="I679" s="69" t="str">
        <f>IFERROR(VLOOKUP(Data!$G679,canon!$I$2:$K$27,3,FALSE),"")</f>
        <v>N.APPAREL</v>
      </c>
      <c r="J679" s="69">
        <f t="shared" si="20"/>
        <v>3</v>
      </c>
      <c r="K679" s="69">
        <f t="shared" si="21"/>
        <v>35</v>
      </c>
      <c r="L679" s="69">
        <f>VLOOKUP(Table_db1_backend_Daily.accdb[[#This Row],[TradingDate]],canon!B:E,4,0)</f>
        <v>29</v>
      </c>
    </row>
    <row r="680" spans="1:12" x14ac:dyDescent="0.2">
      <c r="A680" s="69" t="s">
        <v>40</v>
      </c>
      <c r="B680" s="70">
        <v>42934</v>
      </c>
      <c r="C680" s="69">
        <v>2554</v>
      </c>
      <c r="D680" s="69">
        <v>50</v>
      </c>
      <c r="E680" s="69">
        <v>663.12</v>
      </c>
      <c r="F680" s="69">
        <v>270.44000000000005</v>
      </c>
      <c r="G680" s="69" t="s">
        <v>11</v>
      </c>
      <c r="H680" s="69" t="str">
        <f>IFERROR(VLOOKUP(Data!$G680,canon!$I$2:$K$27,2,FALSE),"")</f>
        <v>KNIT</v>
      </c>
      <c r="I680" s="69" t="str">
        <f>IFERROR(VLOOKUP(Data!$G680,canon!$I$2:$K$27,3,FALSE),"")</f>
        <v>APPAREL</v>
      </c>
      <c r="J680" s="69">
        <f t="shared" si="20"/>
        <v>3</v>
      </c>
      <c r="K680" s="69">
        <f t="shared" si="21"/>
        <v>35</v>
      </c>
      <c r="L680" s="69">
        <f>VLOOKUP(Table_db1_backend_Daily.accdb[[#This Row],[TradingDate]],canon!B:E,4,0)</f>
        <v>29</v>
      </c>
    </row>
    <row r="681" spans="1:12" x14ac:dyDescent="0.2">
      <c r="A681" s="69" t="s">
        <v>40</v>
      </c>
      <c r="B681" s="70">
        <v>42934</v>
      </c>
      <c r="C681" s="69">
        <v>294</v>
      </c>
      <c r="D681" s="69">
        <v>2</v>
      </c>
      <c r="E681" s="69">
        <v>22.68</v>
      </c>
      <c r="F681" s="69">
        <v>8.1199999999999992</v>
      </c>
      <c r="G681" s="69" t="s">
        <v>14</v>
      </c>
      <c r="H681" s="69" t="str">
        <f>IFERROR(VLOOKUP(Data!$G681,canon!$I$2:$K$27,2,FALSE),"")</f>
        <v>LEGGING</v>
      </c>
      <c r="I681" s="69" t="str">
        <f>IFERROR(VLOOKUP(Data!$G681,canon!$I$2:$K$27,3,FALSE),"")</f>
        <v>APPAREL</v>
      </c>
      <c r="J681" s="69">
        <f t="shared" si="20"/>
        <v>3</v>
      </c>
      <c r="K681" s="69">
        <f t="shared" si="21"/>
        <v>35</v>
      </c>
      <c r="L681" s="69">
        <f>VLOOKUP(Table_db1_backend_Daily.accdb[[#This Row],[TradingDate]],canon!B:E,4,0)</f>
        <v>29</v>
      </c>
    </row>
    <row r="682" spans="1:12" x14ac:dyDescent="0.2">
      <c r="A682" s="69" t="s">
        <v>40</v>
      </c>
      <c r="B682" s="70">
        <v>42934</v>
      </c>
      <c r="C682" s="69">
        <v>1</v>
      </c>
      <c r="D682" s="69">
        <v>0</v>
      </c>
      <c r="E682" s="69">
        <v>0</v>
      </c>
      <c r="F682" s="69">
        <v>0</v>
      </c>
      <c r="G682" s="69" t="s">
        <v>37</v>
      </c>
      <c r="H682" s="69" t="str">
        <f>IFERROR(VLOOKUP(Data!$G682,canon!$I$2:$K$27,2,FALSE),"")</f>
        <v>SHOES</v>
      </c>
      <c r="I682" s="69" t="str">
        <f>IFERROR(VLOOKUP(Data!$G682,canon!$I$2:$K$27,3,FALSE),"")</f>
        <v>N.APPAREL</v>
      </c>
      <c r="J682" s="69">
        <f t="shared" si="20"/>
        <v>3</v>
      </c>
      <c r="K682" s="69">
        <f t="shared" si="21"/>
        <v>35</v>
      </c>
      <c r="L682" s="69">
        <f>VLOOKUP(Table_db1_backend_Daily.accdb[[#This Row],[TradingDate]],canon!B:E,4,0)</f>
        <v>29</v>
      </c>
    </row>
    <row r="683" spans="1:12" x14ac:dyDescent="0.2">
      <c r="A683" s="69" t="s">
        <v>40</v>
      </c>
      <c r="B683" s="70">
        <v>42934</v>
      </c>
      <c r="C683" s="69">
        <v>748</v>
      </c>
      <c r="D683" s="69">
        <v>7</v>
      </c>
      <c r="E683" s="69">
        <v>113.55000000000001</v>
      </c>
      <c r="F683" s="69">
        <v>33.230000000000004</v>
      </c>
      <c r="G683" s="69" t="s">
        <v>17</v>
      </c>
      <c r="H683" s="69" t="str">
        <f>IFERROR(VLOOKUP(Data!$G683,canon!$I$2:$K$27,2,FALSE),"")</f>
        <v>OUTER</v>
      </c>
      <c r="I683" s="69" t="str">
        <f>IFERROR(VLOOKUP(Data!$G683,canon!$I$2:$K$27,3,FALSE),"")</f>
        <v>APPAREL</v>
      </c>
      <c r="J683" s="69">
        <f t="shared" si="20"/>
        <v>3</v>
      </c>
      <c r="K683" s="69">
        <f t="shared" si="21"/>
        <v>35</v>
      </c>
      <c r="L683" s="69">
        <f>VLOOKUP(Table_db1_backend_Daily.accdb[[#This Row],[TradingDate]],canon!B:E,4,0)</f>
        <v>29</v>
      </c>
    </row>
    <row r="684" spans="1:12" x14ac:dyDescent="0.2">
      <c r="A684" s="69" t="s">
        <v>40</v>
      </c>
      <c r="B684" s="70">
        <v>42934</v>
      </c>
      <c r="C684" s="69">
        <v>430</v>
      </c>
      <c r="D684" s="69">
        <v>0</v>
      </c>
      <c r="E684" s="69">
        <v>0</v>
      </c>
      <c r="F684" s="69">
        <v>0</v>
      </c>
      <c r="G684" s="69" t="s">
        <v>19</v>
      </c>
      <c r="H684" s="69" t="str">
        <f>IFERROR(VLOOKUP(Data!$G684,canon!$I$2:$K$27,2,FALSE),"")</f>
        <v>PANT</v>
      </c>
      <c r="I684" s="69" t="str">
        <f>IFERROR(VLOOKUP(Data!$G684,canon!$I$2:$K$27,3,FALSE),"")</f>
        <v>APPAREL</v>
      </c>
      <c r="J684" s="69">
        <f t="shared" si="20"/>
        <v>3</v>
      </c>
      <c r="K684" s="69">
        <f t="shared" si="21"/>
        <v>35</v>
      </c>
      <c r="L684" s="69">
        <f>VLOOKUP(Table_db1_backend_Daily.accdb[[#This Row],[TradingDate]],canon!B:E,4,0)</f>
        <v>29</v>
      </c>
    </row>
    <row r="685" spans="1:12" x14ac:dyDescent="0.2">
      <c r="A685" s="69" t="s">
        <v>40</v>
      </c>
      <c r="B685" s="70">
        <v>42934</v>
      </c>
      <c r="C685" s="69">
        <v>32</v>
      </c>
      <c r="D685" s="69">
        <v>0</v>
      </c>
      <c r="E685" s="69">
        <v>0</v>
      </c>
      <c r="F685" s="69">
        <v>0</v>
      </c>
      <c r="G685" s="69" t="s">
        <v>21</v>
      </c>
      <c r="H685" s="69" t="str">
        <f>IFERROR(VLOOKUP(Data!$G685,canon!$I$2:$K$27,2,FALSE),"")</f>
        <v>ACCESSORY</v>
      </c>
      <c r="I685" s="69" t="str">
        <f>IFERROR(VLOOKUP(Data!$G685,canon!$I$2:$K$27,3,FALSE),"")</f>
        <v>N.APPAREL</v>
      </c>
      <c r="J685" s="69">
        <f t="shared" si="20"/>
        <v>3</v>
      </c>
      <c r="K685" s="69">
        <f t="shared" si="21"/>
        <v>35</v>
      </c>
      <c r="L685" s="69">
        <f>VLOOKUP(Table_db1_backend_Daily.accdb[[#This Row],[TradingDate]],canon!B:E,4,0)</f>
        <v>29</v>
      </c>
    </row>
    <row r="686" spans="1:12" x14ac:dyDescent="0.2">
      <c r="A686" s="69" t="s">
        <v>40</v>
      </c>
      <c r="B686" s="70">
        <v>42934</v>
      </c>
      <c r="C686" s="69">
        <v>643</v>
      </c>
      <c r="D686" s="69">
        <v>9</v>
      </c>
      <c r="E686" s="69">
        <v>46.31</v>
      </c>
      <c r="F686" s="69">
        <v>31.53</v>
      </c>
      <c r="G686" s="69" t="s">
        <v>22</v>
      </c>
      <c r="H686" s="69" t="str">
        <f>IFERROR(VLOOKUP(Data!$G686,canon!$I$2:$K$27,2,FALSE),"")</f>
        <v>SCARF</v>
      </c>
      <c r="I686" s="69" t="str">
        <f>IFERROR(VLOOKUP(Data!$G686,canon!$I$2:$K$27,3,FALSE),"")</f>
        <v>N.APPAREL</v>
      </c>
      <c r="J686" s="69">
        <f t="shared" si="20"/>
        <v>3</v>
      </c>
      <c r="K686" s="69">
        <f t="shared" si="21"/>
        <v>35</v>
      </c>
      <c r="L686" s="69">
        <f>VLOOKUP(Table_db1_backend_Daily.accdb[[#This Row],[TradingDate]],canon!B:E,4,0)</f>
        <v>29</v>
      </c>
    </row>
    <row r="687" spans="1:12" x14ac:dyDescent="0.2">
      <c r="A687" s="69" t="s">
        <v>40</v>
      </c>
      <c r="B687" s="70">
        <v>42934</v>
      </c>
      <c r="C687" s="69">
        <v>78</v>
      </c>
      <c r="D687" s="69">
        <v>1</v>
      </c>
      <c r="E687" s="69">
        <v>27.25</v>
      </c>
      <c r="F687" s="69">
        <v>18.34</v>
      </c>
      <c r="G687" s="69" t="s">
        <v>23</v>
      </c>
      <c r="H687" s="69" t="str">
        <f>IFERROR(VLOOKUP(Data!$G687,canon!$I$2:$K$27,2,FALSE),"")</f>
        <v>SH&amp;BL</v>
      </c>
      <c r="I687" s="69" t="str">
        <f>IFERROR(VLOOKUP(Data!$G687,canon!$I$2:$K$27,3,FALSE),"")</f>
        <v>APPAREL</v>
      </c>
      <c r="J687" s="69">
        <f t="shared" si="20"/>
        <v>3</v>
      </c>
      <c r="K687" s="69">
        <f t="shared" si="21"/>
        <v>35</v>
      </c>
      <c r="L687" s="69">
        <f>VLOOKUP(Table_db1_backend_Daily.accdb[[#This Row],[TradingDate]],canon!B:E,4,0)</f>
        <v>29</v>
      </c>
    </row>
    <row r="688" spans="1:12" x14ac:dyDescent="0.2">
      <c r="A688" s="69" t="s">
        <v>40</v>
      </c>
      <c r="B688" s="70">
        <v>42934</v>
      </c>
      <c r="C688" s="69">
        <v>300</v>
      </c>
      <c r="D688" s="69">
        <v>0</v>
      </c>
      <c r="E688" s="69">
        <v>0</v>
      </c>
      <c r="F688" s="69">
        <v>0</v>
      </c>
      <c r="G688" s="69" t="s">
        <v>32</v>
      </c>
      <c r="H688" s="69" t="str">
        <f>IFERROR(VLOOKUP(Data!$G688,canon!$I$2:$K$27,2,FALSE),"")</f>
        <v>SKIRT</v>
      </c>
      <c r="I688" s="69" t="str">
        <f>IFERROR(VLOOKUP(Data!$G688,canon!$I$2:$K$27,3,FALSE),"")</f>
        <v>APPAREL</v>
      </c>
      <c r="J688" s="69">
        <f t="shared" si="20"/>
        <v>3</v>
      </c>
      <c r="K688" s="69">
        <f t="shared" si="21"/>
        <v>35</v>
      </c>
      <c r="L688" s="69">
        <f>VLOOKUP(Table_db1_backend_Daily.accdb[[#This Row],[TradingDate]],canon!B:E,4,0)</f>
        <v>29</v>
      </c>
    </row>
    <row r="689" spans="1:12" x14ac:dyDescent="0.2">
      <c r="A689" s="69" t="s">
        <v>40</v>
      </c>
      <c r="B689" s="70">
        <v>42934</v>
      </c>
      <c r="C689" s="69">
        <v>1186</v>
      </c>
      <c r="D689" s="69">
        <v>13</v>
      </c>
      <c r="E689" s="69">
        <v>149.96</v>
      </c>
      <c r="F689" s="69">
        <v>77.809999999999988</v>
      </c>
      <c r="G689" s="69" t="s">
        <v>25</v>
      </c>
      <c r="H689" s="69" t="str">
        <f>IFERROR(VLOOKUP(Data!$G689,canon!$I$2:$K$27,2,FALSE),"")</f>
        <v>TOP</v>
      </c>
      <c r="I689" s="69" t="str">
        <f>IFERROR(VLOOKUP(Data!$G689,canon!$I$2:$K$27,3,FALSE),"")</f>
        <v>APPAREL</v>
      </c>
      <c r="J689" s="69">
        <f t="shared" si="20"/>
        <v>3</v>
      </c>
      <c r="K689" s="69">
        <f t="shared" si="21"/>
        <v>35</v>
      </c>
      <c r="L689" s="69">
        <f>VLOOKUP(Table_db1_backend_Daily.accdb[[#This Row],[TradingDate]],canon!B:E,4,0)</f>
        <v>29</v>
      </c>
    </row>
    <row r="690" spans="1:12" x14ac:dyDescent="0.2">
      <c r="A690" s="69" t="s">
        <v>40</v>
      </c>
      <c r="B690" s="70">
        <v>42935</v>
      </c>
      <c r="C690" s="69">
        <v>4</v>
      </c>
      <c r="D690" s="69">
        <v>0</v>
      </c>
      <c r="E690" s="69">
        <v>0</v>
      </c>
      <c r="F690" s="69">
        <v>0</v>
      </c>
      <c r="G690" s="69" t="s">
        <v>27</v>
      </c>
      <c r="H690" s="69" t="str">
        <f>IFERROR(VLOOKUP(Data!$G690,canon!$I$2:$K$27,2,FALSE),"")</f>
        <v>ACCESSORY</v>
      </c>
      <c r="I690" s="69" t="str">
        <f>IFERROR(VLOOKUP(Data!$G690,canon!$I$2:$K$27,3,FALSE),"")</f>
        <v>N.APPAREL</v>
      </c>
      <c r="J690" s="69">
        <f t="shared" si="20"/>
        <v>4</v>
      </c>
      <c r="K690" s="69">
        <f t="shared" si="21"/>
        <v>35</v>
      </c>
      <c r="L690" s="69">
        <f>VLOOKUP(Table_db1_backend_Daily.accdb[[#This Row],[TradingDate]],canon!B:E,4,0)</f>
        <v>29</v>
      </c>
    </row>
    <row r="691" spans="1:12" x14ac:dyDescent="0.2">
      <c r="A691" s="69" t="s">
        <v>40</v>
      </c>
      <c r="B691" s="70">
        <v>42935</v>
      </c>
      <c r="C691" s="69">
        <v>4</v>
      </c>
      <c r="D691" s="69">
        <v>0</v>
      </c>
      <c r="E691" s="69">
        <v>0</v>
      </c>
      <c r="F691" s="69">
        <v>0</v>
      </c>
      <c r="G691" s="69" t="s">
        <v>34</v>
      </c>
      <c r="H691" s="69" t="str">
        <f>IFERROR(VLOOKUP(Data!$G691,canon!$I$2:$K$27,2,FALSE),"")</f>
        <v>SHOES</v>
      </c>
      <c r="I691" s="69" t="str">
        <f>IFERROR(VLOOKUP(Data!$G691,canon!$I$2:$K$27,3,FALSE),"")</f>
        <v>N.APPAREL</v>
      </c>
      <c r="J691" s="69">
        <f t="shared" si="20"/>
        <v>4</v>
      </c>
      <c r="K691" s="69">
        <f t="shared" si="21"/>
        <v>35</v>
      </c>
      <c r="L691" s="69">
        <f>VLOOKUP(Table_db1_backend_Daily.accdb[[#This Row],[TradingDate]],canon!B:E,4,0)</f>
        <v>29</v>
      </c>
    </row>
    <row r="692" spans="1:12" x14ac:dyDescent="0.2">
      <c r="A692" s="69" t="s">
        <v>40</v>
      </c>
      <c r="B692" s="70">
        <v>42935</v>
      </c>
      <c r="C692" s="69">
        <v>2</v>
      </c>
      <c r="D692" s="69">
        <v>0</v>
      </c>
      <c r="E692" s="69">
        <v>0</v>
      </c>
      <c r="F692" s="69">
        <v>0</v>
      </c>
      <c r="G692" s="69" t="s">
        <v>38</v>
      </c>
      <c r="H692" s="69" t="str">
        <f>IFERROR(VLOOKUP(Data!$G692,canon!$I$2:$K$27,2,FALSE),"")</f>
        <v>SHOES</v>
      </c>
      <c r="I692" s="69" t="str">
        <f>IFERROR(VLOOKUP(Data!$G692,canon!$I$2:$K$27,3,FALSE),"")</f>
        <v>N.APPAREL</v>
      </c>
      <c r="J692" s="69">
        <f t="shared" si="20"/>
        <v>4</v>
      </c>
      <c r="K692" s="69">
        <f t="shared" si="21"/>
        <v>35</v>
      </c>
      <c r="L692" s="69">
        <f>VLOOKUP(Table_db1_backend_Daily.accdb[[#This Row],[TradingDate]],canon!B:E,4,0)</f>
        <v>29</v>
      </c>
    </row>
    <row r="693" spans="1:12" x14ac:dyDescent="0.2">
      <c r="A693" s="69" t="s">
        <v>40</v>
      </c>
      <c r="B693" s="70">
        <v>42935</v>
      </c>
      <c r="C693" s="69">
        <v>452</v>
      </c>
      <c r="D693" s="69">
        <v>2</v>
      </c>
      <c r="E693" s="69">
        <v>31.82</v>
      </c>
      <c r="F693" s="69">
        <v>15.3</v>
      </c>
      <c r="G693" s="69" t="s">
        <v>35</v>
      </c>
      <c r="H693" s="69" t="str">
        <f>IFERROR(VLOOKUP(Data!$G693,canon!$I$2:$K$27,2,FALSE),"")</f>
        <v>DRESS</v>
      </c>
      <c r="I693" s="69" t="str">
        <f>IFERROR(VLOOKUP(Data!$G693,canon!$I$2:$K$27,3,FALSE),"")</f>
        <v>APPAREL</v>
      </c>
      <c r="J693" s="69">
        <f t="shared" si="20"/>
        <v>4</v>
      </c>
      <c r="K693" s="69">
        <f t="shared" si="21"/>
        <v>35</v>
      </c>
      <c r="L693" s="69">
        <f>VLOOKUP(Table_db1_backend_Daily.accdb[[#This Row],[TradingDate]],canon!B:E,4,0)</f>
        <v>29</v>
      </c>
    </row>
    <row r="694" spans="1:12" x14ac:dyDescent="0.2">
      <c r="A694" s="69" t="s">
        <v>40</v>
      </c>
      <c r="B694" s="70">
        <v>42935</v>
      </c>
      <c r="C694" s="69">
        <v>6</v>
      </c>
      <c r="D694" s="69">
        <v>0</v>
      </c>
      <c r="E694" s="69">
        <v>0</v>
      </c>
      <c r="F694" s="69">
        <v>0</v>
      </c>
      <c r="G694" s="69" t="s">
        <v>10</v>
      </c>
      <c r="H694" s="69" t="str">
        <f>IFERROR(VLOOKUP(Data!$G694,canon!$I$2:$K$27,2,FALSE),"")</f>
        <v>ACCESSORY</v>
      </c>
      <c r="I694" s="69" t="str">
        <f>IFERROR(VLOOKUP(Data!$G694,canon!$I$2:$K$27,3,FALSE),"")</f>
        <v>N.APPAREL</v>
      </c>
      <c r="J694" s="69">
        <f t="shared" si="20"/>
        <v>4</v>
      </c>
      <c r="K694" s="69">
        <f t="shared" si="21"/>
        <v>35</v>
      </c>
      <c r="L694" s="69">
        <f>VLOOKUP(Table_db1_backend_Daily.accdb[[#This Row],[TradingDate]],canon!B:E,4,0)</f>
        <v>29</v>
      </c>
    </row>
    <row r="695" spans="1:12" x14ac:dyDescent="0.2">
      <c r="A695" s="69" t="s">
        <v>40</v>
      </c>
      <c r="B695" s="70">
        <v>42935</v>
      </c>
      <c r="C695" s="69">
        <v>-17</v>
      </c>
      <c r="D695" s="69">
        <v>0</v>
      </c>
      <c r="E695" s="69">
        <v>0</v>
      </c>
      <c r="F695" s="69">
        <v>0</v>
      </c>
      <c r="G695" s="69" t="s">
        <v>28</v>
      </c>
      <c r="H695" s="69" t="str">
        <f>IFERROR(VLOOKUP(Data!$G695,canon!$I$2:$K$27,2,FALSE),"")</f>
        <v>ACCESSORY</v>
      </c>
      <c r="I695" s="69" t="str">
        <f>IFERROR(VLOOKUP(Data!$G695,canon!$I$2:$K$27,3,FALSE),"")</f>
        <v>N.APPAREL</v>
      </c>
      <c r="J695" s="69">
        <f t="shared" si="20"/>
        <v>4</v>
      </c>
      <c r="K695" s="69">
        <f t="shared" si="21"/>
        <v>35</v>
      </c>
      <c r="L695" s="69">
        <f>VLOOKUP(Table_db1_backend_Daily.accdb[[#This Row],[TradingDate]],canon!B:E,4,0)</f>
        <v>29</v>
      </c>
    </row>
    <row r="696" spans="1:12" x14ac:dyDescent="0.2">
      <c r="A696" s="69" t="s">
        <v>40</v>
      </c>
      <c r="B696" s="70">
        <v>42935</v>
      </c>
      <c r="C696" s="69">
        <v>2185</v>
      </c>
      <c r="D696" s="69">
        <v>47</v>
      </c>
      <c r="E696" s="69">
        <v>513.15999999999974</v>
      </c>
      <c r="F696" s="69">
        <v>146.99999999999997</v>
      </c>
      <c r="G696" s="69" t="s">
        <v>11</v>
      </c>
      <c r="H696" s="69" t="str">
        <f>IFERROR(VLOOKUP(Data!$G696,canon!$I$2:$K$27,2,FALSE),"")</f>
        <v>KNIT</v>
      </c>
      <c r="I696" s="69" t="str">
        <f>IFERROR(VLOOKUP(Data!$G696,canon!$I$2:$K$27,3,FALSE),"")</f>
        <v>APPAREL</v>
      </c>
      <c r="J696" s="69">
        <f t="shared" si="20"/>
        <v>4</v>
      </c>
      <c r="K696" s="69">
        <f t="shared" si="21"/>
        <v>35</v>
      </c>
      <c r="L696" s="69">
        <f>VLOOKUP(Table_db1_backend_Daily.accdb[[#This Row],[TradingDate]],canon!B:E,4,0)</f>
        <v>29</v>
      </c>
    </row>
    <row r="697" spans="1:12" x14ac:dyDescent="0.2">
      <c r="A697" s="69" t="s">
        <v>40</v>
      </c>
      <c r="B697" s="70">
        <v>42935</v>
      </c>
      <c r="C697" s="69">
        <v>246</v>
      </c>
      <c r="D697" s="69">
        <v>0</v>
      </c>
      <c r="E697" s="69">
        <v>0</v>
      </c>
      <c r="F697" s="69">
        <v>0</v>
      </c>
      <c r="G697" s="69" t="s">
        <v>14</v>
      </c>
      <c r="H697" s="69" t="str">
        <f>IFERROR(VLOOKUP(Data!$G697,canon!$I$2:$K$27,2,FALSE),"")</f>
        <v>LEGGING</v>
      </c>
      <c r="I697" s="69" t="str">
        <f>IFERROR(VLOOKUP(Data!$G697,canon!$I$2:$K$27,3,FALSE),"")</f>
        <v>APPAREL</v>
      </c>
      <c r="J697" s="69">
        <f t="shared" si="20"/>
        <v>4</v>
      </c>
      <c r="K697" s="69">
        <f t="shared" si="21"/>
        <v>35</v>
      </c>
      <c r="L697" s="69">
        <f>VLOOKUP(Table_db1_backend_Daily.accdb[[#This Row],[TradingDate]],canon!B:E,4,0)</f>
        <v>29</v>
      </c>
    </row>
    <row r="698" spans="1:12" x14ac:dyDescent="0.2">
      <c r="A698" s="69" t="s">
        <v>40</v>
      </c>
      <c r="B698" s="70">
        <v>42935</v>
      </c>
      <c r="C698" s="69">
        <v>1</v>
      </c>
      <c r="D698" s="69">
        <v>0</v>
      </c>
      <c r="E698" s="69">
        <v>0</v>
      </c>
      <c r="F698" s="69">
        <v>0</v>
      </c>
      <c r="G698" s="69" t="s">
        <v>37</v>
      </c>
      <c r="H698" s="69" t="str">
        <f>IFERROR(VLOOKUP(Data!$G698,canon!$I$2:$K$27,2,FALSE),"")</f>
        <v>SHOES</v>
      </c>
      <c r="I698" s="69" t="str">
        <f>IFERROR(VLOOKUP(Data!$G698,canon!$I$2:$K$27,3,FALSE),"")</f>
        <v>N.APPAREL</v>
      </c>
      <c r="J698" s="69">
        <f t="shared" si="20"/>
        <v>4</v>
      </c>
      <c r="K698" s="69">
        <f t="shared" si="21"/>
        <v>35</v>
      </c>
      <c r="L698" s="69">
        <f>VLOOKUP(Table_db1_backend_Daily.accdb[[#This Row],[TradingDate]],canon!B:E,4,0)</f>
        <v>29</v>
      </c>
    </row>
    <row r="699" spans="1:12" x14ac:dyDescent="0.2">
      <c r="A699" s="69" t="s">
        <v>40</v>
      </c>
      <c r="B699" s="70">
        <v>42935</v>
      </c>
      <c r="C699" s="69">
        <v>681</v>
      </c>
      <c r="D699" s="69">
        <v>12</v>
      </c>
      <c r="E699" s="69">
        <v>281.69000000000005</v>
      </c>
      <c r="F699" s="69">
        <v>177.95000000000002</v>
      </c>
      <c r="G699" s="69" t="s">
        <v>17</v>
      </c>
      <c r="H699" s="69" t="str">
        <f>IFERROR(VLOOKUP(Data!$G699,canon!$I$2:$K$27,2,FALSE),"")</f>
        <v>OUTER</v>
      </c>
      <c r="I699" s="69" t="str">
        <f>IFERROR(VLOOKUP(Data!$G699,canon!$I$2:$K$27,3,FALSE),"")</f>
        <v>APPAREL</v>
      </c>
      <c r="J699" s="69">
        <f t="shared" si="20"/>
        <v>4</v>
      </c>
      <c r="K699" s="69">
        <f t="shared" si="21"/>
        <v>35</v>
      </c>
      <c r="L699" s="69">
        <f>VLOOKUP(Table_db1_backend_Daily.accdb[[#This Row],[TradingDate]],canon!B:E,4,0)</f>
        <v>29</v>
      </c>
    </row>
    <row r="700" spans="1:12" x14ac:dyDescent="0.2">
      <c r="A700" s="69" t="s">
        <v>40</v>
      </c>
      <c r="B700" s="70">
        <v>42935</v>
      </c>
      <c r="C700" s="69">
        <v>417</v>
      </c>
      <c r="D700" s="69">
        <v>0</v>
      </c>
      <c r="E700" s="69">
        <v>0</v>
      </c>
      <c r="F700" s="69">
        <v>0</v>
      </c>
      <c r="G700" s="69" t="s">
        <v>19</v>
      </c>
      <c r="H700" s="69" t="str">
        <f>IFERROR(VLOOKUP(Data!$G700,canon!$I$2:$K$27,2,FALSE),"")</f>
        <v>PANT</v>
      </c>
      <c r="I700" s="69" t="str">
        <f>IFERROR(VLOOKUP(Data!$G700,canon!$I$2:$K$27,3,FALSE),"")</f>
        <v>APPAREL</v>
      </c>
      <c r="J700" s="69">
        <f t="shared" si="20"/>
        <v>4</v>
      </c>
      <c r="K700" s="69">
        <f t="shared" si="21"/>
        <v>35</v>
      </c>
      <c r="L700" s="69">
        <f>VLOOKUP(Table_db1_backend_Daily.accdb[[#This Row],[TradingDate]],canon!B:E,4,0)</f>
        <v>29</v>
      </c>
    </row>
    <row r="701" spans="1:12" x14ac:dyDescent="0.2">
      <c r="A701" s="69" t="s">
        <v>40</v>
      </c>
      <c r="B701" s="70">
        <v>42935</v>
      </c>
      <c r="C701" s="69">
        <v>32</v>
      </c>
      <c r="D701" s="69">
        <v>0</v>
      </c>
      <c r="E701" s="69">
        <v>0</v>
      </c>
      <c r="F701" s="69">
        <v>0</v>
      </c>
      <c r="G701" s="69" t="s">
        <v>21</v>
      </c>
      <c r="H701" s="69" t="str">
        <f>IFERROR(VLOOKUP(Data!$G701,canon!$I$2:$K$27,2,FALSE),"")</f>
        <v>ACCESSORY</v>
      </c>
      <c r="I701" s="69" t="str">
        <f>IFERROR(VLOOKUP(Data!$G701,canon!$I$2:$K$27,3,FALSE),"")</f>
        <v>N.APPAREL</v>
      </c>
      <c r="J701" s="69">
        <f t="shared" si="20"/>
        <v>4</v>
      </c>
      <c r="K701" s="69">
        <f t="shared" si="21"/>
        <v>35</v>
      </c>
      <c r="L701" s="69">
        <f>VLOOKUP(Table_db1_backend_Daily.accdb[[#This Row],[TradingDate]],canon!B:E,4,0)</f>
        <v>29</v>
      </c>
    </row>
    <row r="702" spans="1:12" x14ac:dyDescent="0.2">
      <c r="A702" s="69" t="s">
        <v>40</v>
      </c>
      <c r="B702" s="70">
        <v>42935</v>
      </c>
      <c r="C702" s="69">
        <v>637</v>
      </c>
      <c r="D702" s="69">
        <v>6</v>
      </c>
      <c r="E702" s="69">
        <v>29.970000000000002</v>
      </c>
      <c r="F702" s="69">
        <v>21.28</v>
      </c>
      <c r="G702" s="69" t="s">
        <v>22</v>
      </c>
      <c r="H702" s="69" t="str">
        <f>IFERROR(VLOOKUP(Data!$G702,canon!$I$2:$K$27,2,FALSE),"")</f>
        <v>SCARF</v>
      </c>
      <c r="I702" s="69" t="str">
        <f>IFERROR(VLOOKUP(Data!$G702,canon!$I$2:$K$27,3,FALSE),"")</f>
        <v>N.APPAREL</v>
      </c>
      <c r="J702" s="69">
        <f t="shared" si="20"/>
        <v>4</v>
      </c>
      <c r="K702" s="69">
        <f t="shared" si="21"/>
        <v>35</v>
      </c>
      <c r="L702" s="69">
        <f>VLOOKUP(Table_db1_backend_Daily.accdb[[#This Row],[TradingDate]],canon!B:E,4,0)</f>
        <v>29</v>
      </c>
    </row>
    <row r="703" spans="1:12" x14ac:dyDescent="0.2">
      <c r="A703" s="69" t="s">
        <v>40</v>
      </c>
      <c r="B703" s="70">
        <v>42935</v>
      </c>
      <c r="C703" s="69">
        <v>58</v>
      </c>
      <c r="D703" s="69">
        <v>0</v>
      </c>
      <c r="E703" s="69">
        <v>0</v>
      </c>
      <c r="F703" s="69">
        <v>0</v>
      </c>
      <c r="G703" s="69" t="s">
        <v>23</v>
      </c>
      <c r="H703" s="69" t="str">
        <f>IFERROR(VLOOKUP(Data!$G703,canon!$I$2:$K$27,2,FALSE),"")</f>
        <v>SH&amp;BL</v>
      </c>
      <c r="I703" s="69" t="str">
        <f>IFERROR(VLOOKUP(Data!$G703,canon!$I$2:$K$27,3,FALSE),"")</f>
        <v>APPAREL</v>
      </c>
      <c r="J703" s="69">
        <f t="shared" si="20"/>
        <v>4</v>
      </c>
      <c r="K703" s="69">
        <f t="shared" si="21"/>
        <v>35</v>
      </c>
      <c r="L703" s="69">
        <f>VLOOKUP(Table_db1_backend_Daily.accdb[[#This Row],[TradingDate]],canon!B:E,4,0)</f>
        <v>29</v>
      </c>
    </row>
    <row r="704" spans="1:12" x14ac:dyDescent="0.2">
      <c r="A704" s="69" t="s">
        <v>40</v>
      </c>
      <c r="B704" s="70">
        <v>42935</v>
      </c>
      <c r="C704" s="69">
        <v>290</v>
      </c>
      <c r="D704" s="69">
        <v>0</v>
      </c>
      <c r="E704" s="69">
        <v>0</v>
      </c>
      <c r="F704" s="69">
        <v>0</v>
      </c>
      <c r="G704" s="69" t="s">
        <v>32</v>
      </c>
      <c r="H704" s="69" t="str">
        <f>IFERROR(VLOOKUP(Data!$G704,canon!$I$2:$K$27,2,FALSE),"")</f>
        <v>SKIRT</v>
      </c>
      <c r="I704" s="69" t="str">
        <f>IFERROR(VLOOKUP(Data!$G704,canon!$I$2:$K$27,3,FALSE),"")</f>
        <v>APPAREL</v>
      </c>
      <c r="J704" s="69">
        <f t="shared" si="20"/>
        <v>4</v>
      </c>
      <c r="K704" s="69">
        <f t="shared" si="21"/>
        <v>35</v>
      </c>
      <c r="L704" s="69">
        <f>VLOOKUP(Table_db1_backend_Daily.accdb[[#This Row],[TradingDate]],canon!B:E,4,0)</f>
        <v>29</v>
      </c>
    </row>
    <row r="705" spans="1:12" x14ac:dyDescent="0.2">
      <c r="A705" s="69" t="s">
        <v>40</v>
      </c>
      <c r="B705" s="70">
        <v>42935</v>
      </c>
      <c r="C705" s="69">
        <v>1005</v>
      </c>
      <c r="D705" s="69">
        <v>4</v>
      </c>
      <c r="E705" s="69">
        <v>49.86</v>
      </c>
      <c r="F705" s="69">
        <v>32.239999999999995</v>
      </c>
      <c r="G705" s="69" t="s">
        <v>25</v>
      </c>
      <c r="H705" s="69" t="str">
        <f>IFERROR(VLOOKUP(Data!$G705,canon!$I$2:$K$27,2,FALSE),"")</f>
        <v>TOP</v>
      </c>
      <c r="I705" s="69" t="str">
        <f>IFERROR(VLOOKUP(Data!$G705,canon!$I$2:$K$27,3,FALSE),"")</f>
        <v>APPAREL</v>
      </c>
      <c r="J705" s="69">
        <f t="shared" si="20"/>
        <v>4</v>
      </c>
      <c r="K705" s="69">
        <f t="shared" si="21"/>
        <v>35</v>
      </c>
      <c r="L705" s="69">
        <f>VLOOKUP(Table_db1_backend_Daily.accdb[[#This Row],[TradingDate]],canon!B:E,4,0)</f>
        <v>29</v>
      </c>
    </row>
    <row r="706" spans="1:12" x14ac:dyDescent="0.2">
      <c r="A706" s="69" t="s">
        <v>40</v>
      </c>
      <c r="B706" s="70">
        <v>42936</v>
      </c>
      <c r="C706" s="69">
        <v>4</v>
      </c>
      <c r="D706" s="69">
        <v>0</v>
      </c>
      <c r="E706" s="69">
        <v>0</v>
      </c>
      <c r="F706" s="69">
        <v>0</v>
      </c>
      <c r="G706" s="69" t="s">
        <v>27</v>
      </c>
      <c r="H706" s="69" t="str">
        <f>IFERROR(VLOOKUP(Data!$G706,canon!$I$2:$K$27,2,FALSE),"")</f>
        <v>ACCESSORY</v>
      </c>
      <c r="I706" s="69" t="str">
        <f>IFERROR(VLOOKUP(Data!$G706,canon!$I$2:$K$27,3,FALSE),"")</f>
        <v>N.APPAREL</v>
      </c>
      <c r="J706" s="69">
        <f t="shared" ref="J706:J769" si="22">WEEKDAY(B706)</f>
        <v>5</v>
      </c>
      <c r="K706" s="69">
        <f t="shared" ref="K706:K769" si="23">INT(A706)</f>
        <v>35</v>
      </c>
      <c r="L706" s="69">
        <f>VLOOKUP(Table_db1_backend_Daily.accdb[[#This Row],[TradingDate]],canon!B:E,4,0)</f>
        <v>29</v>
      </c>
    </row>
    <row r="707" spans="1:12" x14ac:dyDescent="0.2">
      <c r="A707" s="69" t="s">
        <v>40</v>
      </c>
      <c r="B707" s="70">
        <v>42936</v>
      </c>
      <c r="C707" s="69">
        <v>4</v>
      </c>
      <c r="D707" s="69">
        <v>0</v>
      </c>
      <c r="E707" s="69">
        <v>0</v>
      </c>
      <c r="F707" s="69">
        <v>0</v>
      </c>
      <c r="G707" s="69" t="s">
        <v>34</v>
      </c>
      <c r="H707" s="69" t="str">
        <f>IFERROR(VLOOKUP(Data!$G707,canon!$I$2:$K$27,2,FALSE),"")</f>
        <v>SHOES</v>
      </c>
      <c r="I707" s="69" t="str">
        <f>IFERROR(VLOOKUP(Data!$G707,canon!$I$2:$K$27,3,FALSE),"")</f>
        <v>N.APPAREL</v>
      </c>
      <c r="J707" s="69">
        <f t="shared" si="22"/>
        <v>5</v>
      </c>
      <c r="K707" s="69">
        <f t="shared" si="23"/>
        <v>35</v>
      </c>
      <c r="L707" s="69">
        <f>VLOOKUP(Table_db1_backend_Daily.accdb[[#This Row],[TradingDate]],canon!B:E,4,0)</f>
        <v>29</v>
      </c>
    </row>
    <row r="708" spans="1:12" x14ac:dyDescent="0.2">
      <c r="A708" s="69" t="s">
        <v>40</v>
      </c>
      <c r="B708" s="70">
        <v>42936</v>
      </c>
      <c r="C708" s="69">
        <v>2</v>
      </c>
      <c r="D708" s="69">
        <v>0</v>
      </c>
      <c r="E708" s="69">
        <v>0</v>
      </c>
      <c r="F708" s="69">
        <v>0</v>
      </c>
      <c r="G708" s="69" t="s">
        <v>38</v>
      </c>
      <c r="H708" s="69" t="str">
        <f>IFERROR(VLOOKUP(Data!$G708,canon!$I$2:$K$27,2,FALSE),"")</f>
        <v>SHOES</v>
      </c>
      <c r="I708" s="69" t="str">
        <f>IFERROR(VLOOKUP(Data!$G708,canon!$I$2:$K$27,3,FALSE),"")</f>
        <v>N.APPAREL</v>
      </c>
      <c r="J708" s="69">
        <f t="shared" si="22"/>
        <v>5</v>
      </c>
      <c r="K708" s="69">
        <f t="shared" si="23"/>
        <v>35</v>
      </c>
      <c r="L708" s="69">
        <f>VLOOKUP(Table_db1_backend_Daily.accdb[[#This Row],[TradingDate]],canon!B:E,4,0)</f>
        <v>29</v>
      </c>
    </row>
    <row r="709" spans="1:12" x14ac:dyDescent="0.2">
      <c r="A709" s="69" t="s">
        <v>40</v>
      </c>
      <c r="B709" s="70">
        <v>42936</v>
      </c>
      <c r="C709" s="69">
        <v>393</v>
      </c>
      <c r="D709" s="69">
        <v>7</v>
      </c>
      <c r="E709" s="69">
        <v>104.55000000000001</v>
      </c>
      <c r="F709" s="69">
        <v>46.599999999999987</v>
      </c>
      <c r="G709" s="69" t="s">
        <v>35</v>
      </c>
      <c r="H709" s="69" t="str">
        <f>IFERROR(VLOOKUP(Data!$G709,canon!$I$2:$K$27,2,FALSE),"")</f>
        <v>DRESS</v>
      </c>
      <c r="I709" s="69" t="str">
        <f>IFERROR(VLOOKUP(Data!$G709,canon!$I$2:$K$27,3,FALSE),"")</f>
        <v>APPAREL</v>
      </c>
      <c r="J709" s="69">
        <f t="shared" si="22"/>
        <v>5</v>
      </c>
      <c r="K709" s="69">
        <f t="shared" si="23"/>
        <v>35</v>
      </c>
      <c r="L709" s="69">
        <f>VLOOKUP(Table_db1_backend_Daily.accdb[[#This Row],[TradingDate]],canon!B:E,4,0)</f>
        <v>29</v>
      </c>
    </row>
    <row r="710" spans="1:12" x14ac:dyDescent="0.2">
      <c r="A710" s="69" t="s">
        <v>40</v>
      </c>
      <c r="B710" s="70">
        <v>42936</v>
      </c>
      <c r="C710" s="69">
        <v>6</v>
      </c>
      <c r="D710" s="69">
        <v>0</v>
      </c>
      <c r="E710" s="69">
        <v>0</v>
      </c>
      <c r="F710" s="69">
        <v>0</v>
      </c>
      <c r="G710" s="69" t="s">
        <v>10</v>
      </c>
      <c r="H710" s="69" t="str">
        <f>IFERROR(VLOOKUP(Data!$G710,canon!$I$2:$K$27,2,FALSE),"")</f>
        <v>ACCESSORY</v>
      </c>
      <c r="I710" s="69" t="str">
        <f>IFERROR(VLOOKUP(Data!$G710,canon!$I$2:$K$27,3,FALSE),"")</f>
        <v>N.APPAREL</v>
      </c>
      <c r="J710" s="69">
        <f t="shared" si="22"/>
        <v>5</v>
      </c>
      <c r="K710" s="69">
        <f t="shared" si="23"/>
        <v>35</v>
      </c>
      <c r="L710" s="69">
        <f>VLOOKUP(Table_db1_backend_Daily.accdb[[#This Row],[TradingDate]],canon!B:E,4,0)</f>
        <v>29</v>
      </c>
    </row>
    <row r="711" spans="1:12" x14ac:dyDescent="0.2">
      <c r="A711" s="69" t="s">
        <v>40</v>
      </c>
      <c r="B711" s="70">
        <v>42936</v>
      </c>
      <c r="C711" s="69">
        <v>-17</v>
      </c>
      <c r="D711" s="69">
        <v>0</v>
      </c>
      <c r="E711" s="69">
        <v>0</v>
      </c>
      <c r="F711" s="69">
        <v>0</v>
      </c>
      <c r="G711" s="69" t="s">
        <v>28</v>
      </c>
      <c r="H711" s="69" t="str">
        <f>IFERROR(VLOOKUP(Data!$G711,canon!$I$2:$K$27,2,FALSE),"")</f>
        <v>ACCESSORY</v>
      </c>
      <c r="I711" s="69" t="str">
        <f>IFERROR(VLOOKUP(Data!$G711,canon!$I$2:$K$27,3,FALSE),"")</f>
        <v>N.APPAREL</v>
      </c>
      <c r="J711" s="69">
        <f t="shared" si="22"/>
        <v>5</v>
      </c>
      <c r="K711" s="69">
        <f t="shared" si="23"/>
        <v>35</v>
      </c>
      <c r="L711" s="69">
        <f>VLOOKUP(Table_db1_backend_Daily.accdb[[#This Row],[TradingDate]],canon!B:E,4,0)</f>
        <v>29</v>
      </c>
    </row>
    <row r="712" spans="1:12" x14ac:dyDescent="0.2">
      <c r="A712" s="69" t="s">
        <v>40</v>
      </c>
      <c r="B712" s="70">
        <v>42936</v>
      </c>
      <c r="C712" s="69">
        <v>2011</v>
      </c>
      <c r="D712" s="69">
        <v>99</v>
      </c>
      <c r="E712" s="69">
        <v>1199.8599999999999</v>
      </c>
      <c r="F712" s="69">
        <v>416.42000000000007</v>
      </c>
      <c r="G712" s="69" t="s">
        <v>11</v>
      </c>
      <c r="H712" s="69" t="str">
        <f>IFERROR(VLOOKUP(Data!$G712,canon!$I$2:$K$27,2,FALSE),"")</f>
        <v>KNIT</v>
      </c>
      <c r="I712" s="69" t="str">
        <f>IFERROR(VLOOKUP(Data!$G712,canon!$I$2:$K$27,3,FALSE),"")</f>
        <v>APPAREL</v>
      </c>
      <c r="J712" s="69">
        <f t="shared" si="22"/>
        <v>5</v>
      </c>
      <c r="K712" s="69">
        <f t="shared" si="23"/>
        <v>35</v>
      </c>
      <c r="L712" s="69">
        <f>VLOOKUP(Table_db1_backend_Daily.accdb[[#This Row],[TradingDate]],canon!B:E,4,0)</f>
        <v>29</v>
      </c>
    </row>
    <row r="713" spans="1:12" x14ac:dyDescent="0.2">
      <c r="A713" s="69" t="s">
        <v>40</v>
      </c>
      <c r="B713" s="70">
        <v>42936</v>
      </c>
      <c r="C713" s="69">
        <v>232</v>
      </c>
      <c r="D713" s="69">
        <v>2</v>
      </c>
      <c r="E713" s="69">
        <v>36.36</v>
      </c>
      <c r="F713" s="69">
        <v>22.56</v>
      </c>
      <c r="G713" s="69" t="s">
        <v>14</v>
      </c>
      <c r="H713" s="69" t="str">
        <f>IFERROR(VLOOKUP(Data!$G713,canon!$I$2:$K$27,2,FALSE),"")</f>
        <v>LEGGING</v>
      </c>
      <c r="I713" s="69" t="str">
        <f>IFERROR(VLOOKUP(Data!$G713,canon!$I$2:$K$27,3,FALSE),"")</f>
        <v>APPAREL</v>
      </c>
      <c r="J713" s="69">
        <f t="shared" si="22"/>
        <v>5</v>
      </c>
      <c r="K713" s="69">
        <f t="shared" si="23"/>
        <v>35</v>
      </c>
      <c r="L713" s="69">
        <f>VLOOKUP(Table_db1_backend_Daily.accdb[[#This Row],[TradingDate]],canon!B:E,4,0)</f>
        <v>29</v>
      </c>
    </row>
    <row r="714" spans="1:12" x14ac:dyDescent="0.2">
      <c r="A714" s="69" t="s">
        <v>40</v>
      </c>
      <c r="B714" s="70">
        <v>42936</v>
      </c>
      <c r="C714" s="69">
        <v>1</v>
      </c>
      <c r="D714" s="69">
        <v>0</v>
      </c>
      <c r="E714" s="69">
        <v>0</v>
      </c>
      <c r="F714" s="69">
        <v>0</v>
      </c>
      <c r="G714" s="69" t="s">
        <v>37</v>
      </c>
      <c r="H714" s="69" t="str">
        <f>IFERROR(VLOOKUP(Data!$G714,canon!$I$2:$K$27,2,FALSE),"")</f>
        <v>SHOES</v>
      </c>
      <c r="I714" s="69" t="str">
        <f>IFERROR(VLOOKUP(Data!$G714,canon!$I$2:$K$27,3,FALSE),"")</f>
        <v>N.APPAREL</v>
      </c>
      <c r="J714" s="69">
        <f t="shared" si="22"/>
        <v>5</v>
      </c>
      <c r="K714" s="69">
        <f t="shared" si="23"/>
        <v>35</v>
      </c>
      <c r="L714" s="69">
        <f>VLOOKUP(Table_db1_backend_Daily.accdb[[#This Row],[TradingDate]],canon!B:E,4,0)</f>
        <v>29</v>
      </c>
    </row>
    <row r="715" spans="1:12" x14ac:dyDescent="0.2">
      <c r="A715" s="69" t="s">
        <v>40</v>
      </c>
      <c r="B715" s="70">
        <v>42936</v>
      </c>
      <c r="C715" s="69">
        <v>610</v>
      </c>
      <c r="D715" s="69">
        <v>21</v>
      </c>
      <c r="E715" s="69">
        <v>354.52</v>
      </c>
      <c r="F715" s="69">
        <v>180.28</v>
      </c>
      <c r="G715" s="69" t="s">
        <v>17</v>
      </c>
      <c r="H715" s="69" t="str">
        <f>IFERROR(VLOOKUP(Data!$G715,canon!$I$2:$K$27,2,FALSE),"")</f>
        <v>OUTER</v>
      </c>
      <c r="I715" s="69" t="str">
        <f>IFERROR(VLOOKUP(Data!$G715,canon!$I$2:$K$27,3,FALSE),"")</f>
        <v>APPAREL</v>
      </c>
      <c r="J715" s="69">
        <f t="shared" si="22"/>
        <v>5</v>
      </c>
      <c r="K715" s="69">
        <f t="shared" si="23"/>
        <v>35</v>
      </c>
      <c r="L715" s="69">
        <f>VLOOKUP(Table_db1_backend_Daily.accdb[[#This Row],[TradingDate]],canon!B:E,4,0)</f>
        <v>29</v>
      </c>
    </row>
    <row r="716" spans="1:12" x14ac:dyDescent="0.2">
      <c r="A716" s="69" t="s">
        <v>40</v>
      </c>
      <c r="B716" s="70">
        <v>42936</v>
      </c>
      <c r="C716" s="69">
        <v>407</v>
      </c>
      <c r="D716" s="69">
        <v>3</v>
      </c>
      <c r="E716" s="69">
        <v>72.67</v>
      </c>
      <c r="F716" s="69">
        <v>48.580000000000005</v>
      </c>
      <c r="G716" s="69" t="s">
        <v>19</v>
      </c>
      <c r="H716" s="69" t="str">
        <f>IFERROR(VLOOKUP(Data!$G716,canon!$I$2:$K$27,2,FALSE),"")</f>
        <v>PANT</v>
      </c>
      <c r="I716" s="69" t="str">
        <f>IFERROR(VLOOKUP(Data!$G716,canon!$I$2:$K$27,3,FALSE),"")</f>
        <v>APPAREL</v>
      </c>
      <c r="J716" s="69">
        <f t="shared" si="22"/>
        <v>5</v>
      </c>
      <c r="K716" s="69">
        <f t="shared" si="23"/>
        <v>35</v>
      </c>
      <c r="L716" s="69">
        <f>VLOOKUP(Table_db1_backend_Daily.accdb[[#This Row],[TradingDate]],canon!B:E,4,0)</f>
        <v>29</v>
      </c>
    </row>
    <row r="717" spans="1:12" x14ac:dyDescent="0.2">
      <c r="A717" s="69" t="s">
        <v>40</v>
      </c>
      <c r="B717" s="70">
        <v>42936</v>
      </c>
      <c r="C717" s="69">
        <v>32</v>
      </c>
      <c r="D717" s="69">
        <v>0</v>
      </c>
      <c r="E717" s="69">
        <v>0</v>
      </c>
      <c r="F717" s="69">
        <v>0</v>
      </c>
      <c r="G717" s="69" t="s">
        <v>21</v>
      </c>
      <c r="H717" s="69" t="str">
        <f>IFERROR(VLOOKUP(Data!$G717,canon!$I$2:$K$27,2,FALSE),"")</f>
        <v>ACCESSORY</v>
      </c>
      <c r="I717" s="69" t="str">
        <f>IFERROR(VLOOKUP(Data!$G717,canon!$I$2:$K$27,3,FALSE),"")</f>
        <v>N.APPAREL</v>
      </c>
      <c r="J717" s="69">
        <f t="shared" si="22"/>
        <v>5</v>
      </c>
      <c r="K717" s="69">
        <f t="shared" si="23"/>
        <v>35</v>
      </c>
      <c r="L717" s="69">
        <f>VLOOKUP(Table_db1_backend_Daily.accdb[[#This Row],[TradingDate]],canon!B:E,4,0)</f>
        <v>29</v>
      </c>
    </row>
    <row r="718" spans="1:12" x14ac:dyDescent="0.2">
      <c r="A718" s="69" t="s">
        <v>40</v>
      </c>
      <c r="B718" s="70">
        <v>42936</v>
      </c>
      <c r="C718" s="69">
        <v>603</v>
      </c>
      <c r="D718" s="69">
        <v>34</v>
      </c>
      <c r="E718" s="69">
        <v>205.56999999999996</v>
      </c>
      <c r="F718" s="69">
        <v>155.80999999999997</v>
      </c>
      <c r="G718" s="69" t="s">
        <v>22</v>
      </c>
      <c r="H718" s="69" t="str">
        <f>IFERROR(VLOOKUP(Data!$G718,canon!$I$2:$K$27,2,FALSE),"")</f>
        <v>SCARF</v>
      </c>
      <c r="I718" s="69" t="str">
        <f>IFERROR(VLOOKUP(Data!$G718,canon!$I$2:$K$27,3,FALSE),"")</f>
        <v>N.APPAREL</v>
      </c>
      <c r="J718" s="69">
        <f t="shared" si="22"/>
        <v>5</v>
      </c>
      <c r="K718" s="69">
        <f t="shared" si="23"/>
        <v>35</v>
      </c>
      <c r="L718" s="69">
        <f>VLOOKUP(Table_db1_backend_Daily.accdb[[#This Row],[TradingDate]],canon!B:E,4,0)</f>
        <v>29</v>
      </c>
    </row>
    <row r="719" spans="1:12" x14ac:dyDescent="0.2">
      <c r="A719" s="69" t="s">
        <v>40</v>
      </c>
      <c r="B719" s="70">
        <v>42936</v>
      </c>
      <c r="C719" s="69">
        <v>34</v>
      </c>
      <c r="D719" s="69">
        <v>5</v>
      </c>
      <c r="E719" s="69">
        <v>90.91</v>
      </c>
      <c r="F719" s="69">
        <v>50.900000000000006</v>
      </c>
      <c r="G719" s="69" t="s">
        <v>23</v>
      </c>
      <c r="H719" s="69" t="str">
        <f>IFERROR(VLOOKUP(Data!$G719,canon!$I$2:$K$27,2,FALSE),"")</f>
        <v>SH&amp;BL</v>
      </c>
      <c r="I719" s="69" t="str">
        <f>IFERROR(VLOOKUP(Data!$G719,canon!$I$2:$K$27,3,FALSE),"")</f>
        <v>APPAREL</v>
      </c>
      <c r="J719" s="69">
        <f t="shared" si="22"/>
        <v>5</v>
      </c>
      <c r="K719" s="69">
        <f t="shared" si="23"/>
        <v>35</v>
      </c>
      <c r="L719" s="69">
        <f>VLOOKUP(Table_db1_backend_Daily.accdb[[#This Row],[TradingDate]],canon!B:E,4,0)</f>
        <v>29</v>
      </c>
    </row>
    <row r="720" spans="1:12" x14ac:dyDescent="0.2">
      <c r="A720" s="69" t="s">
        <v>40</v>
      </c>
      <c r="B720" s="70">
        <v>42936</v>
      </c>
      <c r="C720" s="69">
        <v>287</v>
      </c>
      <c r="D720" s="69">
        <v>3</v>
      </c>
      <c r="E720" s="69">
        <v>54.5</v>
      </c>
      <c r="F720" s="69">
        <v>40.36</v>
      </c>
      <c r="G720" s="69" t="s">
        <v>32</v>
      </c>
      <c r="H720" s="69" t="str">
        <f>IFERROR(VLOOKUP(Data!$G720,canon!$I$2:$K$27,2,FALSE),"")</f>
        <v>SKIRT</v>
      </c>
      <c r="I720" s="69" t="str">
        <f>IFERROR(VLOOKUP(Data!$G720,canon!$I$2:$K$27,3,FALSE),"")</f>
        <v>APPAREL</v>
      </c>
      <c r="J720" s="69">
        <f t="shared" si="22"/>
        <v>5</v>
      </c>
      <c r="K720" s="69">
        <f t="shared" si="23"/>
        <v>35</v>
      </c>
      <c r="L720" s="69">
        <f>VLOOKUP(Table_db1_backend_Daily.accdb[[#This Row],[TradingDate]],canon!B:E,4,0)</f>
        <v>29</v>
      </c>
    </row>
    <row r="721" spans="1:12" x14ac:dyDescent="0.2">
      <c r="A721" s="69" t="s">
        <v>40</v>
      </c>
      <c r="B721" s="70">
        <v>42936</v>
      </c>
      <c r="C721" s="69">
        <v>943</v>
      </c>
      <c r="D721" s="69">
        <v>9</v>
      </c>
      <c r="E721" s="69">
        <v>158.95000000000002</v>
      </c>
      <c r="F721" s="69">
        <v>104.47999999999999</v>
      </c>
      <c r="G721" s="69" t="s">
        <v>25</v>
      </c>
      <c r="H721" s="69" t="str">
        <f>IFERROR(VLOOKUP(Data!$G721,canon!$I$2:$K$27,2,FALSE),"")</f>
        <v>TOP</v>
      </c>
      <c r="I721" s="69" t="str">
        <f>IFERROR(VLOOKUP(Data!$G721,canon!$I$2:$K$27,3,FALSE),"")</f>
        <v>APPAREL</v>
      </c>
      <c r="J721" s="69">
        <f t="shared" si="22"/>
        <v>5</v>
      </c>
      <c r="K721" s="69">
        <f t="shared" si="23"/>
        <v>35</v>
      </c>
      <c r="L721" s="69">
        <f>VLOOKUP(Table_db1_backend_Daily.accdb[[#This Row],[TradingDate]],canon!B:E,4,0)</f>
        <v>29</v>
      </c>
    </row>
    <row r="722" spans="1:12" x14ac:dyDescent="0.2">
      <c r="A722" s="69" t="s">
        <v>40</v>
      </c>
      <c r="B722" s="70">
        <v>42937</v>
      </c>
      <c r="C722" s="69">
        <v>4</v>
      </c>
      <c r="D722" s="69">
        <v>0</v>
      </c>
      <c r="E722" s="69">
        <v>0</v>
      </c>
      <c r="F722" s="69">
        <v>0</v>
      </c>
      <c r="G722" s="69" t="s">
        <v>27</v>
      </c>
      <c r="H722" s="69" t="str">
        <f>IFERROR(VLOOKUP(Data!$G722,canon!$I$2:$K$27,2,FALSE),"")</f>
        <v>ACCESSORY</v>
      </c>
      <c r="I722" s="69" t="str">
        <f>IFERROR(VLOOKUP(Data!$G722,canon!$I$2:$K$27,3,FALSE),"")</f>
        <v>N.APPAREL</v>
      </c>
      <c r="J722" s="69">
        <f t="shared" si="22"/>
        <v>6</v>
      </c>
      <c r="K722" s="69">
        <f t="shared" si="23"/>
        <v>35</v>
      </c>
      <c r="L722" s="69">
        <f>VLOOKUP(Table_db1_backend_Daily.accdb[[#This Row],[TradingDate]],canon!B:E,4,0)</f>
        <v>29</v>
      </c>
    </row>
    <row r="723" spans="1:12" x14ac:dyDescent="0.2">
      <c r="A723" s="69" t="s">
        <v>40</v>
      </c>
      <c r="B723" s="70">
        <v>42937</v>
      </c>
      <c r="C723" s="69">
        <v>4</v>
      </c>
      <c r="D723" s="69">
        <v>0</v>
      </c>
      <c r="E723" s="69">
        <v>0</v>
      </c>
      <c r="F723" s="69">
        <v>0</v>
      </c>
      <c r="G723" s="69" t="s">
        <v>34</v>
      </c>
      <c r="H723" s="69" t="str">
        <f>IFERROR(VLOOKUP(Data!$G723,canon!$I$2:$K$27,2,FALSE),"")</f>
        <v>SHOES</v>
      </c>
      <c r="I723" s="69" t="str">
        <f>IFERROR(VLOOKUP(Data!$G723,canon!$I$2:$K$27,3,FALSE),"")</f>
        <v>N.APPAREL</v>
      </c>
      <c r="J723" s="69">
        <f t="shared" si="22"/>
        <v>6</v>
      </c>
      <c r="K723" s="69">
        <f t="shared" si="23"/>
        <v>35</v>
      </c>
      <c r="L723" s="69">
        <f>VLOOKUP(Table_db1_backend_Daily.accdb[[#This Row],[TradingDate]],canon!B:E,4,0)</f>
        <v>29</v>
      </c>
    </row>
    <row r="724" spans="1:12" x14ac:dyDescent="0.2">
      <c r="A724" s="69" t="s">
        <v>40</v>
      </c>
      <c r="B724" s="70">
        <v>42937</v>
      </c>
      <c r="C724" s="69">
        <v>2</v>
      </c>
      <c r="D724" s="69">
        <v>0</v>
      </c>
      <c r="E724" s="69">
        <v>0</v>
      </c>
      <c r="F724" s="69">
        <v>0</v>
      </c>
      <c r="G724" s="69" t="s">
        <v>38</v>
      </c>
      <c r="H724" s="69" t="str">
        <f>IFERROR(VLOOKUP(Data!$G724,canon!$I$2:$K$27,2,FALSE),"")</f>
        <v>SHOES</v>
      </c>
      <c r="I724" s="69" t="str">
        <f>IFERROR(VLOOKUP(Data!$G724,canon!$I$2:$K$27,3,FALSE),"")</f>
        <v>N.APPAREL</v>
      </c>
      <c r="J724" s="69">
        <f t="shared" si="22"/>
        <v>6</v>
      </c>
      <c r="K724" s="69">
        <f t="shared" si="23"/>
        <v>35</v>
      </c>
      <c r="L724" s="69">
        <f>VLOOKUP(Table_db1_backend_Daily.accdb[[#This Row],[TradingDate]],canon!B:E,4,0)</f>
        <v>29</v>
      </c>
    </row>
    <row r="725" spans="1:12" x14ac:dyDescent="0.2">
      <c r="A725" s="69" t="s">
        <v>40</v>
      </c>
      <c r="B725" s="70">
        <v>42937</v>
      </c>
      <c r="C725" s="69">
        <v>379</v>
      </c>
      <c r="D725" s="69">
        <v>14</v>
      </c>
      <c r="E725" s="69">
        <v>254.51999999999998</v>
      </c>
      <c r="F725" s="69">
        <v>138.51999999999998</v>
      </c>
      <c r="G725" s="69" t="s">
        <v>35</v>
      </c>
      <c r="H725" s="69" t="str">
        <f>IFERROR(VLOOKUP(Data!$G725,canon!$I$2:$K$27,2,FALSE),"")</f>
        <v>DRESS</v>
      </c>
      <c r="I725" s="69" t="str">
        <f>IFERROR(VLOOKUP(Data!$G725,canon!$I$2:$K$27,3,FALSE),"")</f>
        <v>APPAREL</v>
      </c>
      <c r="J725" s="69">
        <f t="shared" si="22"/>
        <v>6</v>
      </c>
      <c r="K725" s="69">
        <f t="shared" si="23"/>
        <v>35</v>
      </c>
      <c r="L725" s="69">
        <f>VLOOKUP(Table_db1_backend_Daily.accdb[[#This Row],[TradingDate]],canon!B:E,4,0)</f>
        <v>29</v>
      </c>
    </row>
    <row r="726" spans="1:12" x14ac:dyDescent="0.2">
      <c r="A726" s="69" t="s">
        <v>40</v>
      </c>
      <c r="B726" s="70">
        <v>42937</v>
      </c>
      <c r="C726" s="69">
        <v>6</v>
      </c>
      <c r="D726" s="69">
        <v>0</v>
      </c>
      <c r="E726" s="69">
        <v>0</v>
      </c>
      <c r="F726" s="69">
        <v>0</v>
      </c>
      <c r="G726" s="69" t="s">
        <v>10</v>
      </c>
      <c r="H726" s="69" t="str">
        <f>IFERROR(VLOOKUP(Data!$G726,canon!$I$2:$K$27,2,FALSE),"")</f>
        <v>ACCESSORY</v>
      </c>
      <c r="I726" s="69" t="str">
        <f>IFERROR(VLOOKUP(Data!$G726,canon!$I$2:$K$27,3,FALSE),"")</f>
        <v>N.APPAREL</v>
      </c>
      <c r="J726" s="69">
        <f t="shared" si="22"/>
        <v>6</v>
      </c>
      <c r="K726" s="69">
        <f t="shared" si="23"/>
        <v>35</v>
      </c>
      <c r="L726" s="69">
        <f>VLOOKUP(Table_db1_backend_Daily.accdb[[#This Row],[TradingDate]],canon!B:E,4,0)</f>
        <v>29</v>
      </c>
    </row>
    <row r="727" spans="1:12" x14ac:dyDescent="0.2">
      <c r="A727" s="69" t="s">
        <v>40</v>
      </c>
      <c r="B727" s="70">
        <v>42937</v>
      </c>
      <c r="C727" s="69">
        <v>-17</v>
      </c>
      <c r="D727" s="69">
        <v>0</v>
      </c>
      <c r="E727" s="69">
        <v>0</v>
      </c>
      <c r="F727" s="69">
        <v>0</v>
      </c>
      <c r="G727" s="69" t="s">
        <v>28</v>
      </c>
      <c r="H727" s="69" t="str">
        <f>IFERROR(VLOOKUP(Data!$G727,canon!$I$2:$K$27,2,FALSE),"")</f>
        <v>ACCESSORY</v>
      </c>
      <c r="I727" s="69" t="str">
        <f>IFERROR(VLOOKUP(Data!$G727,canon!$I$2:$K$27,3,FALSE),"")</f>
        <v>N.APPAREL</v>
      </c>
      <c r="J727" s="69">
        <f t="shared" si="22"/>
        <v>6</v>
      </c>
      <c r="K727" s="69">
        <f t="shared" si="23"/>
        <v>35</v>
      </c>
      <c r="L727" s="69">
        <f>VLOOKUP(Table_db1_backend_Daily.accdb[[#This Row],[TradingDate]],canon!B:E,4,0)</f>
        <v>29</v>
      </c>
    </row>
    <row r="728" spans="1:12" x14ac:dyDescent="0.2">
      <c r="A728" s="69" t="s">
        <v>40</v>
      </c>
      <c r="B728" s="70">
        <v>42937</v>
      </c>
      <c r="C728" s="69">
        <v>1957</v>
      </c>
      <c r="D728" s="69">
        <v>54</v>
      </c>
      <c r="E728" s="69">
        <v>686.28999999999974</v>
      </c>
      <c r="F728" s="69">
        <v>265.42999999999995</v>
      </c>
      <c r="G728" s="69" t="s">
        <v>11</v>
      </c>
      <c r="H728" s="69" t="str">
        <f>IFERROR(VLOOKUP(Data!$G728,canon!$I$2:$K$27,2,FALSE),"")</f>
        <v>KNIT</v>
      </c>
      <c r="I728" s="69" t="str">
        <f>IFERROR(VLOOKUP(Data!$G728,canon!$I$2:$K$27,3,FALSE),"")</f>
        <v>APPAREL</v>
      </c>
      <c r="J728" s="69">
        <f t="shared" si="22"/>
        <v>6</v>
      </c>
      <c r="K728" s="69">
        <f t="shared" si="23"/>
        <v>35</v>
      </c>
      <c r="L728" s="69">
        <f>VLOOKUP(Table_db1_backend_Daily.accdb[[#This Row],[TradingDate]],canon!B:E,4,0)</f>
        <v>29</v>
      </c>
    </row>
    <row r="729" spans="1:12" x14ac:dyDescent="0.2">
      <c r="A729" s="69" t="s">
        <v>40</v>
      </c>
      <c r="B729" s="70">
        <v>42937</v>
      </c>
      <c r="C729" s="69">
        <v>230</v>
      </c>
      <c r="D729" s="69">
        <v>2</v>
      </c>
      <c r="E729" s="69">
        <v>45.41</v>
      </c>
      <c r="F729" s="69">
        <v>30.189999999999998</v>
      </c>
      <c r="G729" s="69" t="s">
        <v>14</v>
      </c>
      <c r="H729" s="69" t="str">
        <f>IFERROR(VLOOKUP(Data!$G729,canon!$I$2:$K$27,2,FALSE),"")</f>
        <v>LEGGING</v>
      </c>
      <c r="I729" s="69" t="str">
        <f>IFERROR(VLOOKUP(Data!$G729,canon!$I$2:$K$27,3,FALSE),"")</f>
        <v>APPAREL</v>
      </c>
      <c r="J729" s="69">
        <f t="shared" si="22"/>
        <v>6</v>
      </c>
      <c r="K729" s="69">
        <f t="shared" si="23"/>
        <v>35</v>
      </c>
      <c r="L729" s="69">
        <f>VLOOKUP(Table_db1_backend_Daily.accdb[[#This Row],[TradingDate]],canon!B:E,4,0)</f>
        <v>29</v>
      </c>
    </row>
    <row r="730" spans="1:12" x14ac:dyDescent="0.2">
      <c r="A730" s="69" t="s">
        <v>40</v>
      </c>
      <c r="B730" s="70">
        <v>42937</v>
      </c>
      <c r="C730" s="69">
        <v>1</v>
      </c>
      <c r="D730" s="69">
        <v>0</v>
      </c>
      <c r="E730" s="69">
        <v>0</v>
      </c>
      <c r="F730" s="69">
        <v>0</v>
      </c>
      <c r="G730" s="69" t="s">
        <v>37</v>
      </c>
      <c r="H730" s="69" t="str">
        <f>IFERROR(VLOOKUP(Data!$G730,canon!$I$2:$K$27,2,FALSE),"")</f>
        <v>SHOES</v>
      </c>
      <c r="I730" s="69" t="str">
        <f>IFERROR(VLOOKUP(Data!$G730,canon!$I$2:$K$27,3,FALSE),"")</f>
        <v>N.APPAREL</v>
      </c>
      <c r="J730" s="69">
        <f t="shared" si="22"/>
        <v>6</v>
      </c>
      <c r="K730" s="69">
        <f t="shared" si="23"/>
        <v>35</v>
      </c>
      <c r="L730" s="69">
        <f>VLOOKUP(Table_db1_backend_Daily.accdb[[#This Row],[TradingDate]],canon!B:E,4,0)</f>
        <v>29</v>
      </c>
    </row>
    <row r="731" spans="1:12" x14ac:dyDescent="0.2">
      <c r="A731" s="69" t="s">
        <v>40</v>
      </c>
      <c r="B731" s="70">
        <v>42937</v>
      </c>
      <c r="C731" s="69">
        <v>597</v>
      </c>
      <c r="D731" s="69">
        <v>13</v>
      </c>
      <c r="E731" s="69">
        <v>236.34000000000003</v>
      </c>
      <c r="F731" s="69">
        <v>132.22</v>
      </c>
      <c r="G731" s="69" t="s">
        <v>17</v>
      </c>
      <c r="H731" s="69" t="str">
        <f>IFERROR(VLOOKUP(Data!$G731,canon!$I$2:$K$27,2,FALSE),"")</f>
        <v>OUTER</v>
      </c>
      <c r="I731" s="69" t="str">
        <f>IFERROR(VLOOKUP(Data!$G731,canon!$I$2:$K$27,3,FALSE),"")</f>
        <v>APPAREL</v>
      </c>
      <c r="J731" s="69">
        <f t="shared" si="22"/>
        <v>6</v>
      </c>
      <c r="K731" s="69">
        <f t="shared" si="23"/>
        <v>35</v>
      </c>
      <c r="L731" s="69">
        <f>VLOOKUP(Table_db1_backend_Daily.accdb[[#This Row],[TradingDate]],canon!B:E,4,0)</f>
        <v>29</v>
      </c>
    </row>
    <row r="732" spans="1:12" x14ac:dyDescent="0.2">
      <c r="A732" s="69" t="s">
        <v>40</v>
      </c>
      <c r="B732" s="70">
        <v>42937</v>
      </c>
      <c r="C732" s="69">
        <v>406</v>
      </c>
      <c r="D732" s="69">
        <v>1</v>
      </c>
      <c r="E732" s="69">
        <v>18.18</v>
      </c>
      <c r="F732" s="69">
        <v>9.48</v>
      </c>
      <c r="G732" s="69" t="s">
        <v>19</v>
      </c>
      <c r="H732" s="69" t="str">
        <f>IFERROR(VLOOKUP(Data!$G732,canon!$I$2:$K$27,2,FALSE),"")</f>
        <v>PANT</v>
      </c>
      <c r="I732" s="69" t="str">
        <f>IFERROR(VLOOKUP(Data!$G732,canon!$I$2:$K$27,3,FALSE),"")</f>
        <v>APPAREL</v>
      </c>
      <c r="J732" s="69">
        <f t="shared" si="22"/>
        <v>6</v>
      </c>
      <c r="K732" s="69">
        <f t="shared" si="23"/>
        <v>35</v>
      </c>
      <c r="L732" s="69">
        <f>VLOOKUP(Table_db1_backend_Daily.accdb[[#This Row],[TradingDate]],canon!B:E,4,0)</f>
        <v>29</v>
      </c>
    </row>
    <row r="733" spans="1:12" x14ac:dyDescent="0.2">
      <c r="A733" s="69" t="s">
        <v>40</v>
      </c>
      <c r="B733" s="70">
        <v>42937</v>
      </c>
      <c r="C733" s="69">
        <v>32</v>
      </c>
      <c r="D733" s="69">
        <v>0</v>
      </c>
      <c r="E733" s="69">
        <v>0</v>
      </c>
      <c r="F733" s="69">
        <v>0</v>
      </c>
      <c r="G733" s="69" t="s">
        <v>21</v>
      </c>
      <c r="H733" s="69" t="str">
        <f>IFERROR(VLOOKUP(Data!$G733,canon!$I$2:$K$27,2,FALSE),"")</f>
        <v>ACCESSORY</v>
      </c>
      <c r="I733" s="69" t="str">
        <f>IFERROR(VLOOKUP(Data!$G733,canon!$I$2:$K$27,3,FALSE),"")</f>
        <v>N.APPAREL</v>
      </c>
      <c r="J733" s="69">
        <f t="shared" si="22"/>
        <v>6</v>
      </c>
      <c r="K733" s="69">
        <f t="shared" si="23"/>
        <v>35</v>
      </c>
      <c r="L733" s="69">
        <f>VLOOKUP(Table_db1_backend_Daily.accdb[[#This Row],[TradingDate]],canon!B:E,4,0)</f>
        <v>29</v>
      </c>
    </row>
    <row r="734" spans="1:12" x14ac:dyDescent="0.2">
      <c r="A734" s="69" t="s">
        <v>40</v>
      </c>
      <c r="B734" s="70">
        <v>42937</v>
      </c>
      <c r="C734" s="69">
        <v>583</v>
      </c>
      <c r="D734" s="69">
        <v>20</v>
      </c>
      <c r="E734" s="69">
        <v>125.80000000000001</v>
      </c>
      <c r="F734" s="69">
        <v>93.98</v>
      </c>
      <c r="G734" s="69" t="s">
        <v>22</v>
      </c>
      <c r="H734" s="69" t="str">
        <f>IFERROR(VLOOKUP(Data!$G734,canon!$I$2:$K$27,2,FALSE),"")</f>
        <v>SCARF</v>
      </c>
      <c r="I734" s="69" t="str">
        <f>IFERROR(VLOOKUP(Data!$G734,canon!$I$2:$K$27,3,FALSE),"")</f>
        <v>N.APPAREL</v>
      </c>
      <c r="J734" s="69">
        <f t="shared" si="22"/>
        <v>6</v>
      </c>
      <c r="K734" s="69">
        <f t="shared" si="23"/>
        <v>35</v>
      </c>
      <c r="L734" s="69">
        <f>VLOOKUP(Table_db1_backend_Daily.accdb[[#This Row],[TradingDate]],canon!B:E,4,0)</f>
        <v>29</v>
      </c>
    </row>
    <row r="735" spans="1:12" x14ac:dyDescent="0.2">
      <c r="A735" s="69" t="s">
        <v>40</v>
      </c>
      <c r="B735" s="70">
        <v>42937</v>
      </c>
      <c r="C735" s="69">
        <v>33</v>
      </c>
      <c r="D735" s="69">
        <v>1</v>
      </c>
      <c r="E735" s="69">
        <v>18.18</v>
      </c>
      <c r="F735" s="69">
        <v>9.6999999999999993</v>
      </c>
      <c r="G735" s="69" t="s">
        <v>23</v>
      </c>
      <c r="H735" s="69" t="str">
        <f>IFERROR(VLOOKUP(Data!$G735,canon!$I$2:$K$27,2,FALSE),"")</f>
        <v>SH&amp;BL</v>
      </c>
      <c r="I735" s="69" t="str">
        <f>IFERROR(VLOOKUP(Data!$G735,canon!$I$2:$K$27,3,FALSE),"")</f>
        <v>APPAREL</v>
      </c>
      <c r="J735" s="69">
        <f t="shared" si="22"/>
        <v>6</v>
      </c>
      <c r="K735" s="69">
        <f t="shared" si="23"/>
        <v>35</v>
      </c>
      <c r="L735" s="69">
        <f>VLOOKUP(Table_db1_backend_Daily.accdb[[#This Row],[TradingDate]],canon!B:E,4,0)</f>
        <v>29</v>
      </c>
    </row>
    <row r="736" spans="1:12" x14ac:dyDescent="0.2">
      <c r="A736" s="69" t="s">
        <v>40</v>
      </c>
      <c r="B736" s="70">
        <v>42937</v>
      </c>
      <c r="C736" s="69">
        <v>283</v>
      </c>
      <c r="D736" s="69">
        <v>4</v>
      </c>
      <c r="E736" s="69">
        <v>72.73</v>
      </c>
      <c r="F736" s="69">
        <v>51.53</v>
      </c>
      <c r="G736" s="69" t="s">
        <v>32</v>
      </c>
      <c r="H736" s="69" t="str">
        <f>IFERROR(VLOOKUP(Data!$G736,canon!$I$2:$K$27,2,FALSE),"")</f>
        <v>SKIRT</v>
      </c>
      <c r="I736" s="69" t="str">
        <f>IFERROR(VLOOKUP(Data!$G736,canon!$I$2:$K$27,3,FALSE),"")</f>
        <v>APPAREL</v>
      </c>
      <c r="J736" s="69">
        <f t="shared" si="22"/>
        <v>6</v>
      </c>
      <c r="K736" s="69">
        <f t="shared" si="23"/>
        <v>35</v>
      </c>
      <c r="L736" s="69">
        <f>VLOOKUP(Table_db1_backend_Daily.accdb[[#This Row],[TradingDate]],canon!B:E,4,0)</f>
        <v>29</v>
      </c>
    </row>
    <row r="737" spans="1:12" x14ac:dyDescent="0.2">
      <c r="A737" s="69" t="s">
        <v>40</v>
      </c>
      <c r="B737" s="70">
        <v>42937</v>
      </c>
      <c r="C737" s="69">
        <v>925</v>
      </c>
      <c r="D737" s="69">
        <v>18</v>
      </c>
      <c r="E737" s="69">
        <v>245.37</v>
      </c>
      <c r="F737" s="69">
        <v>159.35999999999999</v>
      </c>
      <c r="G737" s="69" t="s">
        <v>25</v>
      </c>
      <c r="H737" s="69" t="str">
        <f>IFERROR(VLOOKUP(Data!$G737,canon!$I$2:$K$27,2,FALSE),"")</f>
        <v>TOP</v>
      </c>
      <c r="I737" s="69" t="str">
        <f>IFERROR(VLOOKUP(Data!$G737,canon!$I$2:$K$27,3,FALSE),"")</f>
        <v>APPAREL</v>
      </c>
      <c r="J737" s="69">
        <f t="shared" si="22"/>
        <v>6</v>
      </c>
      <c r="K737" s="69">
        <f t="shared" si="23"/>
        <v>35</v>
      </c>
      <c r="L737" s="69">
        <f>VLOOKUP(Table_db1_backend_Daily.accdb[[#This Row],[TradingDate]],canon!B:E,4,0)</f>
        <v>29</v>
      </c>
    </row>
    <row r="738" spans="1:12" x14ac:dyDescent="0.2">
      <c r="A738" s="69" t="s">
        <v>40</v>
      </c>
      <c r="B738" s="70">
        <v>42938</v>
      </c>
      <c r="C738" s="69">
        <v>4</v>
      </c>
      <c r="D738" s="69">
        <v>0</v>
      </c>
      <c r="E738" s="69">
        <v>0</v>
      </c>
      <c r="F738" s="69">
        <v>0</v>
      </c>
      <c r="G738" s="69" t="s">
        <v>27</v>
      </c>
      <c r="H738" s="69" t="str">
        <f>IFERROR(VLOOKUP(Data!$G738,canon!$I$2:$K$27,2,FALSE),"")</f>
        <v>ACCESSORY</v>
      </c>
      <c r="I738" s="69" t="str">
        <f>IFERROR(VLOOKUP(Data!$G738,canon!$I$2:$K$27,3,FALSE),"")</f>
        <v>N.APPAREL</v>
      </c>
      <c r="J738" s="69">
        <f t="shared" si="22"/>
        <v>7</v>
      </c>
      <c r="K738" s="69">
        <f t="shared" si="23"/>
        <v>35</v>
      </c>
      <c r="L738" s="69">
        <f>VLOOKUP(Table_db1_backend_Daily.accdb[[#This Row],[TradingDate]],canon!B:E,4,0)</f>
        <v>29</v>
      </c>
    </row>
    <row r="739" spans="1:12" x14ac:dyDescent="0.2">
      <c r="A739" s="69" t="s">
        <v>40</v>
      </c>
      <c r="B739" s="70">
        <v>42938</v>
      </c>
      <c r="C739" s="69">
        <v>4</v>
      </c>
      <c r="D739" s="69">
        <v>0</v>
      </c>
      <c r="E739" s="69">
        <v>0</v>
      </c>
      <c r="F739" s="69">
        <v>0</v>
      </c>
      <c r="G739" s="69" t="s">
        <v>34</v>
      </c>
      <c r="H739" s="69" t="str">
        <f>IFERROR(VLOOKUP(Data!$G739,canon!$I$2:$K$27,2,FALSE),"")</f>
        <v>SHOES</v>
      </c>
      <c r="I739" s="69" t="str">
        <f>IFERROR(VLOOKUP(Data!$G739,canon!$I$2:$K$27,3,FALSE),"")</f>
        <v>N.APPAREL</v>
      </c>
      <c r="J739" s="69">
        <f t="shared" si="22"/>
        <v>7</v>
      </c>
      <c r="K739" s="69">
        <f t="shared" si="23"/>
        <v>35</v>
      </c>
      <c r="L739" s="69">
        <f>VLOOKUP(Table_db1_backend_Daily.accdb[[#This Row],[TradingDate]],canon!B:E,4,0)</f>
        <v>29</v>
      </c>
    </row>
    <row r="740" spans="1:12" x14ac:dyDescent="0.2">
      <c r="A740" s="69" t="s">
        <v>40</v>
      </c>
      <c r="B740" s="70">
        <v>42938</v>
      </c>
      <c r="C740" s="69">
        <v>2</v>
      </c>
      <c r="D740" s="69">
        <v>0</v>
      </c>
      <c r="E740" s="69">
        <v>0</v>
      </c>
      <c r="F740" s="69">
        <v>0</v>
      </c>
      <c r="G740" s="69" t="s">
        <v>38</v>
      </c>
      <c r="H740" s="69" t="str">
        <f>IFERROR(VLOOKUP(Data!$G740,canon!$I$2:$K$27,2,FALSE),"")</f>
        <v>SHOES</v>
      </c>
      <c r="I740" s="69" t="str">
        <f>IFERROR(VLOOKUP(Data!$G740,canon!$I$2:$K$27,3,FALSE),"")</f>
        <v>N.APPAREL</v>
      </c>
      <c r="J740" s="69">
        <f t="shared" si="22"/>
        <v>7</v>
      </c>
      <c r="K740" s="69">
        <f t="shared" si="23"/>
        <v>35</v>
      </c>
      <c r="L740" s="69">
        <f>VLOOKUP(Table_db1_backend_Daily.accdb[[#This Row],[TradingDate]],canon!B:E,4,0)</f>
        <v>29</v>
      </c>
    </row>
    <row r="741" spans="1:12" x14ac:dyDescent="0.2">
      <c r="A741" s="69" t="s">
        <v>40</v>
      </c>
      <c r="B741" s="70">
        <v>42938</v>
      </c>
      <c r="C741" s="69">
        <v>368</v>
      </c>
      <c r="D741" s="69">
        <v>11</v>
      </c>
      <c r="E741" s="69">
        <v>199.99</v>
      </c>
      <c r="F741" s="69">
        <v>119.54</v>
      </c>
      <c r="G741" s="69" t="s">
        <v>35</v>
      </c>
      <c r="H741" s="69" t="str">
        <f>IFERROR(VLOOKUP(Data!$G741,canon!$I$2:$K$27,2,FALSE),"")</f>
        <v>DRESS</v>
      </c>
      <c r="I741" s="69" t="str">
        <f>IFERROR(VLOOKUP(Data!$G741,canon!$I$2:$K$27,3,FALSE),"")</f>
        <v>APPAREL</v>
      </c>
      <c r="J741" s="69">
        <f t="shared" si="22"/>
        <v>7</v>
      </c>
      <c r="K741" s="69">
        <f t="shared" si="23"/>
        <v>35</v>
      </c>
      <c r="L741" s="69">
        <f>VLOOKUP(Table_db1_backend_Daily.accdb[[#This Row],[TradingDate]],canon!B:E,4,0)</f>
        <v>29</v>
      </c>
    </row>
    <row r="742" spans="1:12" x14ac:dyDescent="0.2">
      <c r="A742" s="69" t="s">
        <v>40</v>
      </c>
      <c r="B742" s="70">
        <v>42938</v>
      </c>
      <c r="C742" s="69">
        <v>6</v>
      </c>
      <c r="D742" s="69">
        <v>0</v>
      </c>
      <c r="E742" s="69">
        <v>0</v>
      </c>
      <c r="F742" s="69">
        <v>0</v>
      </c>
      <c r="G742" s="69" t="s">
        <v>10</v>
      </c>
      <c r="H742" s="69" t="str">
        <f>IFERROR(VLOOKUP(Data!$G742,canon!$I$2:$K$27,2,FALSE),"")</f>
        <v>ACCESSORY</v>
      </c>
      <c r="I742" s="69" t="str">
        <f>IFERROR(VLOOKUP(Data!$G742,canon!$I$2:$K$27,3,FALSE),"")</f>
        <v>N.APPAREL</v>
      </c>
      <c r="J742" s="69">
        <f t="shared" si="22"/>
        <v>7</v>
      </c>
      <c r="K742" s="69">
        <f t="shared" si="23"/>
        <v>35</v>
      </c>
      <c r="L742" s="69">
        <f>VLOOKUP(Table_db1_backend_Daily.accdb[[#This Row],[TradingDate]],canon!B:E,4,0)</f>
        <v>29</v>
      </c>
    </row>
    <row r="743" spans="1:12" x14ac:dyDescent="0.2">
      <c r="A743" s="69" t="s">
        <v>40</v>
      </c>
      <c r="B743" s="70">
        <v>42938</v>
      </c>
      <c r="C743" s="69">
        <v>-17</v>
      </c>
      <c r="D743" s="69">
        <v>0</v>
      </c>
      <c r="E743" s="69">
        <v>0</v>
      </c>
      <c r="F743" s="69">
        <v>0</v>
      </c>
      <c r="G743" s="69" t="s">
        <v>28</v>
      </c>
      <c r="H743" s="69" t="str">
        <f>IFERROR(VLOOKUP(Data!$G743,canon!$I$2:$K$27,2,FALSE),"")</f>
        <v>ACCESSORY</v>
      </c>
      <c r="I743" s="69" t="str">
        <f>IFERROR(VLOOKUP(Data!$G743,canon!$I$2:$K$27,3,FALSE),"")</f>
        <v>N.APPAREL</v>
      </c>
      <c r="J743" s="69">
        <f t="shared" si="22"/>
        <v>7</v>
      </c>
      <c r="K743" s="69">
        <f t="shared" si="23"/>
        <v>35</v>
      </c>
      <c r="L743" s="69">
        <f>VLOOKUP(Table_db1_backend_Daily.accdb[[#This Row],[TradingDate]],canon!B:E,4,0)</f>
        <v>29</v>
      </c>
    </row>
    <row r="744" spans="1:12" x14ac:dyDescent="0.2">
      <c r="A744" s="69" t="s">
        <v>40</v>
      </c>
      <c r="B744" s="70">
        <v>42938</v>
      </c>
      <c r="C744" s="69">
        <v>1911</v>
      </c>
      <c r="D744" s="69">
        <v>46</v>
      </c>
      <c r="E744" s="69">
        <v>609.01999999999987</v>
      </c>
      <c r="F744" s="69">
        <v>245.64</v>
      </c>
      <c r="G744" s="69" t="s">
        <v>11</v>
      </c>
      <c r="H744" s="69" t="str">
        <f>IFERROR(VLOOKUP(Data!$G744,canon!$I$2:$K$27,2,FALSE),"")</f>
        <v>KNIT</v>
      </c>
      <c r="I744" s="69" t="str">
        <f>IFERROR(VLOOKUP(Data!$G744,canon!$I$2:$K$27,3,FALSE),"")</f>
        <v>APPAREL</v>
      </c>
      <c r="J744" s="69">
        <f t="shared" si="22"/>
        <v>7</v>
      </c>
      <c r="K744" s="69">
        <f t="shared" si="23"/>
        <v>35</v>
      </c>
      <c r="L744" s="69">
        <f>VLOOKUP(Table_db1_backend_Daily.accdb[[#This Row],[TradingDate]],canon!B:E,4,0)</f>
        <v>29</v>
      </c>
    </row>
    <row r="745" spans="1:12" x14ac:dyDescent="0.2">
      <c r="A745" s="69" t="s">
        <v>40</v>
      </c>
      <c r="B745" s="70">
        <v>42938</v>
      </c>
      <c r="C745" s="69">
        <v>228</v>
      </c>
      <c r="D745" s="69">
        <v>2</v>
      </c>
      <c r="E745" s="69">
        <v>36.36</v>
      </c>
      <c r="F745" s="69">
        <v>22.56</v>
      </c>
      <c r="G745" s="69" t="s">
        <v>14</v>
      </c>
      <c r="H745" s="69" t="str">
        <f>IFERROR(VLOOKUP(Data!$G745,canon!$I$2:$K$27,2,FALSE),"")</f>
        <v>LEGGING</v>
      </c>
      <c r="I745" s="69" t="str">
        <f>IFERROR(VLOOKUP(Data!$G745,canon!$I$2:$K$27,3,FALSE),"")</f>
        <v>APPAREL</v>
      </c>
      <c r="J745" s="69">
        <f t="shared" si="22"/>
        <v>7</v>
      </c>
      <c r="K745" s="69">
        <f t="shared" si="23"/>
        <v>35</v>
      </c>
      <c r="L745" s="69">
        <f>VLOOKUP(Table_db1_backend_Daily.accdb[[#This Row],[TradingDate]],canon!B:E,4,0)</f>
        <v>29</v>
      </c>
    </row>
    <row r="746" spans="1:12" x14ac:dyDescent="0.2">
      <c r="A746" s="69" t="s">
        <v>40</v>
      </c>
      <c r="B746" s="70">
        <v>42938</v>
      </c>
      <c r="C746" s="69">
        <v>1</v>
      </c>
      <c r="D746" s="69">
        <v>0</v>
      </c>
      <c r="E746" s="69">
        <v>0</v>
      </c>
      <c r="F746" s="69">
        <v>0</v>
      </c>
      <c r="G746" s="69" t="s">
        <v>37</v>
      </c>
      <c r="H746" s="69" t="str">
        <f>IFERROR(VLOOKUP(Data!$G746,canon!$I$2:$K$27,2,FALSE),"")</f>
        <v>SHOES</v>
      </c>
      <c r="I746" s="69" t="str">
        <f>IFERROR(VLOOKUP(Data!$G746,canon!$I$2:$K$27,3,FALSE),"")</f>
        <v>N.APPAREL</v>
      </c>
      <c r="J746" s="69">
        <f t="shared" si="22"/>
        <v>7</v>
      </c>
      <c r="K746" s="69">
        <f t="shared" si="23"/>
        <v>35</v>
      </c>
      <c r="L746" s="69">
        <f>VLOOKUP(Table_db1_backend_Daily.accdb[[#This Row],[TradingDate]],canon!B:E,4,0)</f>
        <v>29</v>
      </c>
    </row>
    <row r="747" spans="1:12" x14ac:dyDescent="0.2">
      <c r="A747" s="69" t="s">
        <v>40</v>
      </c>
      <c r="B747" s="70">
        <v>42938</v>
      </c>
      <c r="C747" s="69">
        <v>571</v>
      </c>
      <c r="D747" s="69">
        <v>26</v>
      </c>
      <c r="E747" s="69">
        <v>463.6</v>
      </c>
      <c r="F747" s="69">
        <v>244.68</v>
      </c>
      <c r="G747" s="69" t="s">
        <v>17</v>
      </c>
      <c r="H747" s="69" t="str">
        <f>IFERROR(VLOOKUP(Data!$G747,canon!$I$2:$K$27,2,FALSE),"")</f>
        <v>OUTER</v>
      </c>
      <c r="I747" s="69" t="str">
        <f>IFERROR(VLOOKUP(Data!$G747,canon!$I$2:$K$27,3,FALSE),"")</f>
        <v>APPAREL</v>
      </c>
      <c r="J747" s="69">
        <f t="shared" si="22"/>
        <v>7</v>
      </c>
      <c r="K747" s="69">
        <f t="shared" si="23"/>
        <v>35</v>
      </c>
      <c r="L747" s="69">
        <f>VLOOKUP(Table_db1_backend_Daily.accdb[[#This Row],[TradingDate]],canon!B:E,4,0)</f>
        <v>29</v>
      </c>
    </row>
    <row r="748" spans="1:12" x14ac:dyDescent="0.2">
      <c r="A748" s="69" t="s">
        <v>40</v>
      </c>
      <c r="B748" s="70">
        <v>42938</v>
      </c>
      <c r="C748" s="69">
        <v>404</v>
      </c>
      <c r="D748" s="69">
        <v>2</v>
      </c>
      <c r="E748" s="69">
        <v>45.43</v>
      </c>
      <c r="F748" s="69">
        <v>28.25</v>
      </c>
      <c r="G748" s="69" t="s">
        <v>19</v>
      </c>
      <c r="H748" s="69" t="str">
        <f>IFERROR(VLOOKUP(Data!$G748,canon!$I$2:$K$27,2,FALSE),"")</f>
        <v>PANT</v>
      </c>
      <c r="I748" s="69" t="str">
        <f>IFERROR(VLOOKUP(Data!$G748,canon!$I$2:$K$27,3,FALSE),"")</f>
        <v>APPAREL</v>
      </c>
      <c r="J748" s="69">
        <f t="shared" si="22"/>
        <v>7</v>
      </c>
      <c r="K748" s="69">
        <f t="shared" si="23"/>
        <v>35</v>
      </c>
      <c r="L748" s="69">
        <f>VLOOKUP(Table_db1_backend_Daily.accdb[[#This Row],[TradingDate]],canon!B:E,4,0)</f>
        <v>29</v>
      </c>
    </row>
    <row r="749" spans="1:12" x14ac:dyDescent="0.2">
      <c r="A749" s="69" t="s">
        <v>40</v>
      </c>
      <c r="B749" s="70">
        <v>42938</v>
      </c>
      <c r="C749" s="69">
        <v>32</v>
      </c>
      <c r="D749" s="69">
        <v>0</v>
      </c>
      <c r="E749" s="69">
        <v>0</v>
      </c>
      <c r="F749" s="69">
        <v>0</v>
      </c>
      <c r="G749" s="69" t="s">
        <v>21</v>
      </c>
      <c r="H749" s="69" t="str">
        <f>IFERROR(VLOOKUP(Data!$G749,canon!$I$2:$K$27,2,FALSE),"")</f>
        <v>ACCESSORY</v>
      </c>
      <c r="I749" s="69" t="str">
        <f>IFERROR(VLOOKUP(Data!$G749,canon!$I$2:$K$27,3,FALSE),"")</f>
        <v>N.APPAREL</v>
      </c>
      <c r="J749" s="69">
        <f t="shared" si="22"/>
        <v>7</v>
      </c>
      <c r="K749" s="69">
        <f t="shared" si="23"/>
        <v>35</v>
      </c>
      <c r="L749" s="69">
        <f>VLOOKUP(Table_db1_backend_Daily.accdb[[#This Row],[TradingDate]],canon!B:E,4,0)</f>
        <v>29</v>
      </c>
    </row>
    <row r="750" spans="1:12" x14ac:dyDescent="0.2">
      <c r="A750" s="69" t="s">
        <v>40</v>
      </c>
      <c r="B750" s="70">
        <v>42938</v>
      </c>
      <c r="C750" s="69">
        <v>563</v>
      </c>
      <c r="D750" s="69">
        <v>20</v>
      </c>
      <c r="E750" s="69">
        <v>109.74000000000001</v>
      </c>
      <c r="F750" s="69">
        <v>82.38</v>
      </c>
      <c r="G750" s="69" t="s">
        <v>22</v>
      </c>
      <c r="H750" s="69" t="str">
        <f>IFERROR(VLOOKUP(Data!$G750,canon!$I$2:$K$27,2,FALSE),"")</f>
        <v>SCARF</v>
      </c>
      <c r="I750" s="69" t="str">
        <f>IFERROR(VLOOKUP(Data!$G750,canon!$I$2:$K$27,3,FALSE),"")</f>
        <v>N.APPAREL</v>
      </c>
      <c r="J750" s="69">
        <f t="shared" si="22"/>
        <v>7</v>
      </c>
      <c r="K750" s="69">
        <f t="shared" si="23"/>
        <v>35</v>
      </c>
      <c r="L750" s="69">
        <f>VLOOKUP(Table_db1_backend_Daily.accdb[[#This Row],[TradingDate]],canon!B:E,4,0)</f>
        <v>29</v>
      </c>
    </row>
    <row r="751" spans="1:12" x14ac:dyDescent="0.2">
      <c r="A751" s="69" t="s">
        <v>40</v>
      </c>
      <c r="B751" s="70">
        <v>42938</v>
      </c>
      <c r="C751" s="69">
        <v>30</v>
      </c>
      <c r="D751" s="69">
        <v>3</v>
      </c>
      <c r="E751" s="69">
        <v>54.54</v>
      </c>
      <c r="F751" s="69">
        <v>30.630000000000003</v>
      </c>
      <c r="G751" s="69" t="s">
        <v>23</v>
      </c>
      <c r="H751" s="69" t="str">
        <f>IFERROR(VLOOKUP(Data!$G751,canon!$I$2:$K$27,2,FALSE),"")</f>
        <v>SH&amp;BL</v>
      </c>
      <c r="I751" s="69" t="str">
        <f>IFERROR(VLOOKUP(Data!$G751,canon!$I$2:$K$27,3,FALSE),"")</f>
        <v>APPAREL</v>
      </c>
      <c r="J751" s="69">
        <f t="shared" si="22"/>
        <v>7</v>
      </c>
      <c r="K751" s="69">
        <f t="shared" si="23"/>
        <v>35</v>
      </c>
      <c r="L751" s="69">
        <f>VLOOKUP(Table_db1_backend_Daily.accdb[[#This Row],[TradingDate]],canon!B:E,4,0)</f>
        <v>29</v>
      </c>
    </row>
    <row r="752" spans="1:12" x14ac:dyDescent="0.2">
      <c r="A752" s="69" t="s">
        <v>40</v>
      </c>
      <c r="B752" s="70">
        <v>42938</v>
      </c>
      <c r="C752" s="69">
        <v>280</v>
      </c>
      <c r="D752" s="69">
        <v>3</v>
      </c>
      <c r="E752" s="69">
        <v>54.550000000000004</v>
      </c>
      <c r="F752" s="69">
        <v>40.31</v>
      </c>
      <c r="G752" s="69" t="s">
        <v>32</v>
      </c>
      <c r="H752" s="69" t="str">
        <f>IFERROR(VLOOKUP(Data!$G752,canon!$I$2:$K$27,2,FALSE),"")</f>
        <v>SKIRT</v>
      </c>
      <c r="I752" s="69" t="str">
        <f>IFERROR(VLOOKUP(Data!$G752,canon!$I$2:$K$27,3,FALSE),"")</f>
        <v>APPAREL</v>
      </c>
      <c r="J752" s="69">
        <f t="shared" si="22"/>
        <v>7</v>
      </c>
      <c r="K752" s="69">
        <f t="shared" si="23"/>
        <v>35</v>
      </c>
      <c r="L752" s="69">
        <f>VLOOKUP(Table_db1_backend_Daily.accdb[[#This Row],[TradingDate]],canon!B:E,4,0)</f>
        <v>29</v>
      </c>
    </row>
    <row r="753" spans="1:12" x14ac:dyDescent="0.2">
      <c r="A753" s="69" t="s">
        <v>40</v>
      </c>
      <c r="B753" s="70">
        <v>42938</v>
      </c>
      <c r="C753" s="69">
        <v>914</v>
      </c>
      <c r="D753" s="69">
        <v>11</v>
      </c>
      <c r="E753" s="69">
        <v>181.63</v>
      </c>
      <c r="F753" s="69">
        <v>118.78</v>
      </c>
      <c r="G753" s="69" t="s">
        <v>25</v>
      </c>
      <c r="H753" s="69" t="str">
        <f>IFERROR(VLOOKUP(Data!$G753,canon!$I$2:$K$27,2,FALSE),"")</f>
        <v>TOP</v>
      </c>
      <c r="I753" s="69" t="str">
        <f>IFERROR(VLOOKUP(Data!$G753,canon!$I$2:$K$27,3,FALSE),"")</f>
        <v>APPAREL</v>
      </c>
      <c r="J753" s="69">
        <f t="shared" si="22"/>
        <v>7</v>
      </c>
      <c r="K753" s="69">
        <f t="shared" si="23"/>
        <v>35</v>
      </c>
      <c r="L753" s="69">
        <f>VLOOKUP(Table_db1_backend_Daily.accdb[[#This Row],[TradingDate]],canon!B:E,4,0)</f>
        <v>29</v>
      </c>
    </row>
    <row r="754" spans="1:12" x14ac:dyDescent="0.2">
      <c r="A754" s="69" t="s">
        <v>40</v>
      </c>
      <c r="B754" s="70">
        <v>42939</v>
      </c>
      <c r="C754" s="69">
        <v>4</v>
      </c>
      <c r="D754" s="69">
        <v>0</v>
      </c>
      <c r="E754" s="69">
        <v>0</v>
      </c>
      <c r="F754" s="69">
        <v>0</v>
      </c>
      <c r="G754" s="69" t="s">
        <v>27</v>
      </c>
      <c r="H754" s="69" t="str">
        <f>IFERROR(VLOOKUP(Data!$G754,canon!$I$2:$K$27,2,FALSE),"")</f>
        <v>ACCESSORY</v>
      </c>
      <c r="I754" s="69" t="str">
        <f>IFERROR(VLOOKUP(Data!$G754,canon!$I$2:$K$27,3,FALSE),"")</f>
        <v>N.APPAREL</v>
      </c>
      <c r="J754" s="69">
        <f t="shared" si="22"/>
        <v>1</v>
      </c>
      <c r="K754" s="69">
        <f t="shared" si="23"/>
        <v>35</v>
      </c>
      <c r="L754" s="69">
        <f>VLOOKUP(Table_db1_backend_Daily.accdb[[#This Row],[TradingDate]],canon!B:E,4,0)</f>
        <v>30</v>
      </c>
    </row>
    <row r="755" spans="1:12" x14ac:dyDescent="0.2">
      <c r="A755" s="69" t="s">
        <v>40</v>
      </c>
      <c r="B755" s="70">
        <v>42939</v>
      </c>
      <c r="C755" s="69">
        <v>4</v>
      </c>
      <c r="D755" s="69">
        <v>0</v>
      </c>
      <c r="E755" s="69">
        <v>0</v>
      </c>
      <c r="F755" s="69">
        <v>0</v>
      </c>
      <c r="G755" s="69" t="s">
        <v>34</v>
      </c>
      <c r="H755" s="69" t="str">
        <f>IFERROR(VLOOKUP(Data!$G755,canon!$I$2:$K$27,2,FALSE),"")</f>
        <v>SHOES</v>
      </c>
      <c r="I755" s="69" t="str">
        <f>IFERROR(VLOOKUP(Data!$G755,canon!$I$2:$K$27,3,FALSE),"")</f>
        <v>N.APPAREL</v>
      </c>
      <c r="J755" s="69">
        <f t="shared" si="22"/>
        <v>1</v>
      </c>
      <c r="K755" s="69">
        <f t="shared" si="23"/>
        <v>35</v>
      </c>
      <c r="L755" s="69">
        <f>VLOOKUP(Table_db1_backend_Daily.accdb[[#This Row],[TradingDate]],canon!B:E,4,0)</f>
        <v>30</v>
      </c>
    </row>
    <row r="756" spans="1:12" x14ac:dyDescent="0.2">
      <c r="A756" s="69" t="s">
        <v>40</v>
      </c>
      <c r="B756" s="70">
        <v>42939</v>
      </c>
      <c r="C756" s="69">
        <v>2</v>
      </c>
      <c r="D756" s="69">
        <v>0</v>
      </c>
      <c r="E756" s="69">
        <v>0</v>
      </c>
      <c r="F756" s="69">
        <v>0</v>
      </c>
      <c r="G756" s="69" t="s">
        <v>38</v>
      </c>
      <c r="H756" s="69" t="str">
        <f>IFERROR(VLOOKUP(Data!$G756,canon!$I$2:$K$27,2,FALSE),"")</f>
        <v>SHOES</v>
      </c>
      <c r="I756" s="69" t="str">
        <f>IFERROR(VLOOKUP(Data!$G756,canon!$I$2:$K$27,3,FALSE),"")</f>
        <v>N.APPAREL</v>
      </c>
      <c r="J756" s="69">
        <f t="shared" si="22"/>
        <v>1</v>
      </c>
      <c r="K756" s="69">
        <f t="shared" si="23"/>
        <v>35</v>
      </c>
      <c r="L756" s="69">
        <f>VLOOKUP(Table_db1_backend_Daily.accdb[[#This Row],[TradingDate]],canon!B:E,4,0)</f>
        <v>30</v>
      </c>
    </row>
    <row r="757" spans="1:12" x14ac:dyDescent="0.2">
      <c r="A757" s="69" t="s">
        <v>40</v>
      </c>
      <c r="B757" s="70">
        <v>42939</v>
      </c>
      <c r="C757" s="69">
        <v>363</v>
      </c>
      <c r="D757" s="69">
        <v>5</v>
      </c>
      <c r="E757" s="69">
        <v>99.98</v>
      </c>
      <c r="F757" s="69">
        <v>63.25</v>
      </c>
      <c r="G757" s="69" t="s">
        <v>35</v>
      </c>
      <c r="H757" s="69" t="str">
        <f>IFERROR(VLOOKUP(Data!$G757,canon!$I$2:$K$27,2,FALSE),"")</f>
        <v>DRESS</v>
      </c>
      <c r="I757" s="69" t="str">
        <f>IFERROR(VLOOKUP(Data!$G757,canon!$I$2:$K$27,3,FALSE),"")</f>
        <v>APPAREL</v>
      </c>
      <c r="J757" s="69">
        <f t="shared" si="22"/>
        <v>1</v>
      </c>
      <c r="K757" s="69">
        <f t="shared" si="23"/>
        <v>35</v>
      </c>
      <c r="L757" s="69">
        <f>VLOOKUP(Table_db1_backend_Daily.accdb[[#This Row],[TradingDate]],canon!B:E,4,0)</f>
        <v>30</v>
      </c>
    </row>
    <row r="758" spans="1:12" x14ac:dyDescent="0.2">
      <c r="A758" s="69" t="s">
        <v>40</v>
      </c>
      <c r="B758" s="70">
        <v>42939</v>
      </c>
      <c r="C758" s="69">
        <v>6</v>
      </c>
      <c r="D758" s="69">
        <v>0</v>
      </c>
      <c r="E758" s="69">
        <v>0</v>
      </c>
      <c r="F758" s="69">
        <v>0</v>
      </c>
      <c r="G758" s="69" t="s">
        <v>10</v>
      </c>
      <c r="H758" s="69" t="str">
        <f>IFERROR(VLOOKUP(Data!$G758,canon!$I$2:$K$27,2,FALSE),"")</f>
        <v>ACCESSORY</v>
      </c>
      <c r="I758" s="69" t="str">
        <f>IFERROR(VLOOKUP(Data!$G758,canon!$I$2:$K$27,3,FALSE),"")</f>
        <v>N.APPAREL</v>
      </c>
      <c r="J758" s="69">
        <f t="shared" si="22"/>
        <v>1</v>
      </c>
      <c r="K758" s="69">
        <f t="shared" si="23"/>
        <v>35</v>
      </c>
      <c r="L758" s="69">
        <f>VLOOKUP(Table_db1_backend_Daily.accdb[[#This Row],[TradingDate]],canon!B:E,4,0)</f>
        <v>30</v>
      </c>
    </row>
    <row r="759" spans="1:12" x14ac:dyDescent="0.2">
      <c r="A759" s="69" t="s">
        <v>40</v>
      </c>
      <c r="B759" s="70">
        <v>42939</v>
      </c>
      <c r="C759" s="69">
        <v>-17</v>
      </c>
      <c r="D759" s="69">
        <v>0</v>
      </c>
      <c r="E759" s="69">
        <v>0</v>
      </c>
      <c r="F759" s="69">
        <v>0</v>
      </c>
      <c r="G759" s="69" t="s">
        <v>28</v>
      </c>
      <c r="H759" s="69" t="str">
        <f>IFERROR(VLOOKUP(Data!$G759,canon!$I$2:$K$27,2,FALSE),"")</f>
        <v>ACCESSORY</v>
      </c>
      <c r="I759" s="69" t="str">
        <f>IFERROR(VLOOKUP(Data!$G759,canon!$I$2:$K$27,3,FALSE),"")</f>
        <v>N.APPAREL</v>
      </c>
      <c r="J759" s="69">
        <f t="shared" si="22"/>
        <v>1</v>
      </c>
      <c r="K759" s="69">
        <f t="shared" si="23"/>
        <v>35</v>
      </c>
      <c r="L759" s="69">
        <f>VLOOKUP(Table_db1_backend_Daily.accdb[[#This Row],[TradingDate]],canon!B:E,4,0)</f>
        <v>30</v>
      </c>
    </row>
    <row r="760" spans="1:12" x14ac:dyDescent="0.2">
      <c r="A760" s="69" t="s">
        <v>40</v>
      </c>
      <c r="B760" s="70">
        <v>42939</v>
      </c>
      <c r="C760" s="69">
        <v>1887</v>
      </c>
      <c r="D760" s="69">
        <v>24</v>
      </c>
      <c r="E760" s="69">
        <v>381.77000000000004</v>
      </c>
      <c r="F760" s="69">
        <v>189.72999999999996</v>
      </c>
      <c r="G760" s="69" t="s">
        <v>11</v>
      </c>
      <c r="H760" s="69" t="str">
        <f>IFERROR(VLOOKUP(Data!$G760,canon!$I$2:$K$27,2,FALSE),"")</f>
        <v>KNIT</v>
      </c>
      <c r="I760" s="69" t="str">
        <f>IFERROR(VLOOKUP(Data!$G760,canon!$I$2:$K$27,3,FALSE),"")</f>
        <v>APPAREL</v>
      </c>
      <c r="J760" s="69">
        <f t="shared" si="22"/>
        <v>1</v>
      </c>
      <c r="K760" s="69">
        <f t="shared" si="23"/>
        <v>35</v>
      </c>
      <c r="L760" s="69">
        <f>VLOOKUP(Table_db1_backend_Daily.accdb[[#This Row],[TradingDate]],canon!B:E,4,0)</f>
        <v>30</v>
      </c>
    </row>
    <row r="761" spans="1:12" x14ac:dyDescent="0.2">
      <c r="A761" s="69" t="s">
        <v>40</v>
      </c>
      <c r="B761" s="70">
        <v>42939</v>
      </c>
      <c r="C761" s="69">
        <v>225</v>
      </c>
      <c r="D761" s="69">
        <v>3</v>
      </c>
      <c r="E761" s="69">
        <v>54.54</v>
      </c>
      <c r="F761" s="69">
        <v>33.900000000000006</v>
      </c>
      <c r="G761" s="69" t="s">
        <v>14</v>
      </c>
      <c r="H761" s="69" t="str">
        <f>IFERROR(VLOOKUP(Data!$G761,canon!$I$2:$K$27,2,FALSE),"")</f>
        <v>LEGGING</v>
      </c>
      <c r="I761" s="69" t="str">
        <f>IFERROR(VLOOKUP(Data!$G761,canon!$I$2:$K$27,3,FALSE),"")</f>
        <v>APPAREL</v>
      </c>
      <c r="J761" s="69">
        <f t="shared" si="22"/>
        <v>1</v>
      </c>
      <c r="K761" s="69">
        <f t="shared" si="23"/>
        <v>35</v>
      </c>
      <c r="L761" s="69">
        <f>VLOOKUP(Table_db1_backend_Daily.accdb[[#This Row],[TradingDate]],canon!B:E,4,0)</f>
        <v>30</v>
      </c>
    </row>
    <row r="762" spans="1:12" x14ac:dyDescent="0.2">
      <c r="A762" s="69" t="s">
        <v>40</v>
      </c>
      <c r="B762" s="70">
        <v>42939</v>
      </c>
      <c r="C762" s="69">
        <v>1</v>
      </c>
      <c r="D762" s="69">
        <v>0</v>
      </c>
      <c r="E762" s="69">
        <v>0</v>
      </c>
      <c r="F762" s="69">
        <v>0</v>
      </c>
      <c r="G762" s="69" t="s">
        <v>37</v>
      </c>
      <c r="H762" s="69" t="str">
        <f>IFERROR(VLOOKUP(Data!$G762,canon!$I$2:$K$27,2,FALSE),"")</f>
        <v>SHOES</v>
      </c>
      <c r="I762" s="69" t="str">
        <f>IFERROR(VLOOKUP(Data!$G762,canon!$I$2:$K$27,3,FALSE),"")</f>
        <v>N.APPAREL</v>
      </c>
      <c r="J762" s="69">
        <f t="shared" si="22"/>
        <v>1</v>
      </c>
      <c r="K762" s="69">
        <f t="shared" si="23"/>
        <v>35</v>
      </c>
      <c r="L762" s="69">
        <f>VLOOKUP(Table_db1_backend_Daily.accdb[[#This Row],[TradingDate]],canon!B:E,4,0)</f>
        <v>30</v>
      </c>
    </row>
    <row r="763" spans="1:12" x14ac:dyDescent="0.2">
      <c r="A763" s="69" t="s">
        <v>40</v>
      </c>
      <c r="B763" s="70">
        <v>42939</v>
      </c>
      <c r="C763" s="69">
        <v>559</v>
      </c>
      <c r="D763" s="69">
        <v>12</v>
      </c>
      <c r="E763" s="69">
        <v>263.58000000000004</v>
      </c>
      <c r="F763" s="69">
        <v>168.16999999999996</v>
      </c>
      <c r="G763" s="69" t="s">
        <v>17</v>
      </c>
      <c r="H763" s="69" t="str">
        <f>IFERROR(VLOOKUP(Data!$G763,canon!$I$2:$K$27,2,FALSE),"")</f>
        <v>OUTER</v>
      </c>
      <c r="I763" s="69" t="str">
        <f>IFERROR(VLOOKUP(Data!$G763,canon!$I$2:$K$27,3,FALSE),"")</f>
        <v>APPAREL</v>
      </c>
      <c r="J763" s="69">
        <f t="shared" si="22"/>
        <v>1</v>
      </c>
      <c r="K763" s="69">
        <f t="shared" si="23"/>
        <v>35</v>
      </c>
      <c r="L763" s="69">
        <f>VLOOKUP(Table_db1_backend_Daily.accdb[[#This Row],[TradingDate]],canon!B:E,4,0)</f>
        <v>30</v>
      </c>
    </row>
    <row r="764" spans="1:12" x14ac:dyDescent="0.2">
      <c r="A764" s="69" t="s">
        <v>40</v>
      </c>
      <c r="B764" s="70">
        <v>42939</v>
      </c>
      <c r="C764" s="69">
        <v>401</v>
      </c>
      <c r="D764" s="69">
        <v>3</v>
      </c>
      <c r="E764" s="69">
        <v>54.54</v>
      </c>
      <c r="F764" s="69">
        <v>30.18</v>
      </c>
      <c r="G764" s="69" t="s">
        <v>19</v>
      </c>
      <c r="H764" s="69" t="str">
        <f>IFERROR(VLOOKUP(Data!$G764,canon!$I$2:$K$27,2,FALSE),"")</f>
        <v>PANT</v>
      </c>
      <c r="I764" s="69" t="str">
        <f>IFERROR(VLOOKUP(Data!$G764,canon!$I$2:$K$27,3,FALSE),"")</f>
        <v>APPAREL</v>
      </c>
      <c r="J764" s="69">
        <f t="shared" si="22"/>
        <v>1</v>
      </c>
      <c r="K764" s="69">
        <f t="shared" si="23"/>
        <v>35</v>
      </c>
      <c r="L764" s="69">
        <f>VLOOKUP(Table_db1_backend_Daily.accdb[[#This Row],[TradingDate]],canon!B:E,4,0)</f>
        <v>30</v>
      </c>
    </row>
    <row r="765" spans="1:12" x14ac:dyDescent="0.2">
      <c r="A765" s="69" t="s">
        <v>40</v>
      </c>
      <c r="B765" s="70">
        <v>42939</v>
      </c>
      <c r="C765" s="69">
        <v>32</v>
      </c>
      <c r="D765" s="69">
        <v>0</v>
      </c>
      <c r="E765" s="69">
        <v>0</v>
      </c>
      <c r="F765" s="69">
        <v>0</v>
      </c>
      <c r="G765" s="69" t="s">
        <v>21</v>
      </c>
      <c r="H765" s="69" t="str">
        <f>IFERROR(VLOOKUP(Data!$G765,canon!$I$2:$K$27,2,FALSE),"")</f>
        <v>ACCESSORY</v>
      </c>
      <c r="I765" s="69" t="str">
        <f>IFERROR(VLOOKUP(Data!$G765,canon!$I$2:$K$27,3,FALSE),"")</f>
        <v>N.APPAREL</v>
      </c>
      <c r="J765" s="69">
        <f t="shared" si="22"/>
        <v>1</v>
      </c>
      <c r="K765" s="69">
        <f t="shared" si="23"/>
        <v>35</v>
      </c>
      <c r="L765" s="69">
        <f>VLOOKUP(Table_db1_backend_Daily.accdb[[#This Row],[TradingDate]],canon!B:E,4,0)</f>
        <v>30</v>
      </c>
    </row>
    <row r="766" spans="1:12" x14ac:dyDescent="0.2">
      <c r="A766" s="69" t="s">
        <v>40</v>
      </c>
      <c r="B766" s="70">
        <v>42939</v>
      </c>
      <c r="C766" s="69">
        <v>544</v>
      </c>
      <c r="D766" s="69">
        <v>19</v>
      </c>
      <c r="E766" s="69">
        <v>99.830000000000013</v>
      </c>
      <c r="F766" s="69">
        <v>74.429999999999993</v>
      </c>
      <c r="G766" s="69" t="s">
        <v>22</v>
      </c>
      <c r="H766" s="69" t="str">
        <f>IFERROR(VLOOKUP(Data!$G766,canon!$I$2:$K$27,2,FALSE),"")</f>
        <v>SCARF</v>
      </c>
      <c r="I766" s="69" t="str">
        <f>IFERROR(VLOOKUP(Data!$G766,canon!$I$2:$K$27,3,FALSE),"")</f>
        <v>N.APPAREL</v>
      </c>
      <c r="J766" s="69">
        <f t="shared" si="22"/>
        <v>1</v>
      </c>
      <c r="K766" s="69">
        <f t="shared" si="23"/>
        <v>35</v>
      </c>
      <c r="L766" s="69">
        <f>VLOOKUP(Table_db1_backend_Daily.accdb[[#This Row],[TradingDate]],canon!B:E,4,0)</f>
        <v>30</v>
      </c>
    </row>
    <row r="767" spans="1:12" x14ac:dyDescent="0.2">
      <c r="A767" s="69" t="s">
        <v>40</v>
      </c>
      <c r="B767" s="70">
        <v>42939</v>
      </c>
      <c r="C767" s="69">
        <v>30</v>
      </c>
      <c r="D767" s="69">
        <v>0</v>
      </c>
      <c r="E767" s="69">
        <v>0</v>
      </c>
      <c r="F767" s="69">
        <v>0</v>
      </c>
      <c r="G767" s="69" t="s">
        <v>23</v>
      </c>
      <c r="H767" s="69" t="str">
        <f>IFERROR(VLOOKUP(Data!$G767,canon!$I$2:$K$27,2,FALSE),"")</f>
        <v>SH&amp;BL</v>
      </c>
      <c r="I767" s="69" t="str">
        <f>IFERROR(VLOOKUP(Data!$G767,canon!$I$2:$K$27,3,FALSE),"")</f>
        <v>APPAREL</v>
      </c>
      <c r="J767" s="69">
        <f t="shared" si="22"/>
        <v>1</v>
      </c>
      <c r="K767" s="69">
        <f t="shared" si="23"/>
        <v>35</v>
      </c>
      <c r="L767" s="69">
        <f>VLOOKUP(Table_db1_backend_Daily.accdb[[#This Row],[TradingDate]],canon!B:E,4,0)</f>
        <v>30</v>
      </c>
    </row>
    <row r="768" spans="1:12" x14ac:dyDescent="0.2">
      <c r="A768" s="69" t="s">
        <v>40</v>
      </c>
      <c r="B768" s="70">
        <v>42939</v>
      </c>
      <c r="C768" s="69">
        <v>278</v>
      </c>
      <c r="D768" s="69">
        <v>2</v>
      </c>
      <c r="E768" s="69">
        <v>36.36</v>
      </c>
      <c r="F768" s="69">
        <v>22.33</v>
      </c>
      <c r="G768" s="69" t="s">
        <v>32</v>
      </c>
      <c r="H768" s="69" t="str">
        <f>IFERROR(VLOOKUP(Data!$G768,canon!$I$2:$K$27,2,FALSE),"")</f>
        <v>SKIRT</v>
      </c>
      <c r="I768" s="69" t="str">
        <f>IFERROR(VLOOKUP(Data!$G768,canon!$I$2:$K$27,3,FALSE),"")</f>
        <v>APPAREL</v>
      </c>
      <c r="J768" s="69">
        <f t="shared" si="22"/>
        <v>1</v>
      </c>
      <c r="K768" s="69">
        <f t="shared" si="23"/>
        <v>35</v>
      </c>
      <c r="L768" s="69">
        <f>VLOOKUP(Table_db1_backend_Daily.accdb[[#This Row],[TradingDate]],canon!B:E,4,0)</f>
        <v>30</v>
      </c>
    </row>
    <row r="769" spans="1:12" x14ac:dyDescent="0.2">
      <c r="A769" s="69" t="s">
        <v>40</v>
      </c>
      <c r="B769" s="70">
        <v>42939</v>
      </c>
      <c r="C769" s="69">
        <v>907</v>
      </c>
      <c r="D769" s="69">
        <v>7</v>
      </c>
      <c r="E769" s="69">
        <v>95.28</v>
      </c>
      <c r="F769" s="69">
        <v>59.060000000000009</v>
      </c>
      <c r="G769" s="69" t="s">
        <v>25</v>
      </c>
      <c r="H769" s="69" t="str">
        <f>IFERROR(VLOOKUP(Data!$G769,canon!$I$2:$K$27,2,FALSE),"")</f>
        <v>TOP</v>
      </c>
      <c r="I769" s="69" t="str">
        <f>IFERROR(VLOOKUP(Data!$G769,canon!$I$2:$K$27,3,FALSE),"")</f>
        <v>APPAREL</v>
      </c>
      <c r="J769" s="69">
        <f t="shared" si="22"/>
        <v>1</v>
      </c>
      <c r="K769" s="69">
        <f t="shared" si="23"/>
        <v>35</v>
      </c>
      <c r="L769" s="69">
        <f>VLOOKUP(Table_db1_backend_Daily.accdb[[#This Row],[TradingDate]],canon!B:E,4,0)</f>
        <v>30</v>
      </c>
    </row>
    <row r="770" spans="1:12" x14ac:dyDescent="0.2">
      <c r="A770" s="69" t="s">
        <v>40</v>
      </c>
      <c r="B770" s="70">
        <v>42940</v>
      </c>
      <c r="C770" s="69">
        <v>4</v>
      </c>
      <c r="D770" s="69">
        <v>0</v>
      </c>
      <c r="E770" s="69">
        <v>0</v>
      </c>
      <c r="F770" s="69">
        <v>0</v>
      </c>
      <c r="G770" s="69" t="s">
        <v>27</v>
      </c>
      <c r="H770" s="69" t="str">
        <f>IFERROR(VLOOKUP(Data!$G770,canon!$I$2:$K$27,2,FALSE),"")</f>
        <v>ACCESSORY</v>
      </c>
      <c r="I770" s="69" t="str">
        <f>IFERROR(VLOOKUP(Data!$G770,canon!$I$2:$K$27,3,FALSE),"")</f>
        <v>N.APPAREL</v>
      </c>
      <c r="J770" s="69">
        <f t="shared" ref="J770:J833" si="24">WEEKDAY(B770)</f>
        <v>2</v>
      </c>
      <c r="K770" s="69">
        <f t="shared" ref="K770:K833" si="25">INT(A770)</f>
        <v>35</v>
      </c>
      <c r="L770" s="69">
        <f>VLOOKUP(Table_db1_backend_Daily.accdb[[#This Row],[TradingDate]],canon!B:E,4,0)</f>
        <v>30</v>
      </c>
    </row>
    <row r="771" spans="1:12" x14ac:dyDescent="0.2">
      <c r="A771" s="69" t="s">
        <v>40</v>
      </c>
      <c r="B771" s="70">
        <v>42940</v>
      </c>
      <c r="C771" s="69">
        <v>4</v>
      </c>
      <c r="D771" s="69">
        <v>0</v>
      </c>
      <c r="E771" s="69">
        <v>0</v>
      </c>
      <c r="F771" s="69">
        <v>0</v>
      </c>
      <c r="G771" s="69" t="s">
        <v>34</v>
      </c>
      <c r="H771" s="69" t="str">
        <f>IFERROR(VLOOKUP(Data!$G771,canon!$I$2:$K$27,2,FALSE),"")</f>
        <v>SHOES</v>
      </c>
      <c r="I771" s="69" t="str">
        <f>IFERROR(VLOOKUP(Data!$G771,canon!$I$2:$K$27,3,FALSE),"")</f>
        <v>N.APPAREL</v>
      </c>
      <c r="J771" s="69">
        <f t="shared" si="24"/>
        <v>2</v>
      </c>
      <c r="K771" s="69">
        <f t="shared" si="25"/>
        <v>35</v>
      </c>
      <c r="L771" s="69">
        <f>VLOOKUP(Table_db1_backend_Daily.accdb[[#This Row],[TradingDate]],canon!B:E,4,0)</f>
        <v>30</v>
      </c>
    </row>
    <row r="772" spans="1:12" x14ac:dyDescent="0.2">
      <c r="A772" s="69" t="s">
        <v>40</v>
      </c>
      <c r="B772" s="70">
        <v>42940</v>
      </c>
      <c r="C772" s="69">
        <v>2</v>
      </c>
      <c r="D772" s="69">
        <v>0</v>
      </c>
      <c r="E772" s="69">
        <v>0</v>
      </c>
      <c r="F772" s="69">
        <v>0</v>
      </c>
      <c r="G772" s="69" t="s">
        <v>38</v>
      </c>
      <c r="H772" s="69" t="str">
        <f>IFERROR(VLOOKUP(Data!$G772,canon!$I$2:$K$27,2,FALSE),"")</f>
        <v>SHOES</v>
      </c>
      <c r="I772" s="69" t="str">
        <f>IFERROR(VLOOKUP(Data!$G772,canon!$I$2:$K$27,3,FALSE),"")</f>
        <v>N.APPAREL</v>
      </c>
      <c r="J772" s="69">
        <f t="shared" si="24"/>
        <v>2</v>
      </c>
      <c r="K772" s="69">
        <f t="shared" si="25"/>
        <v>35</v>
      </c>
      <c r="L772" s="69">
        <f>VLOOKUP(Table_db1_backend_Daily.accdb[[#This Row],[TradingDate]],canon!B:E,4,0)</f>
        <v>30</v>
      </c>
    </row>
    <row r="773" spans="1:12" x14ac:dyDescent="0.2">
      <c r="A773" s="69" t="s">
        <v>40</v>
      </c>
      <c r="B773" s="70">
        <v>42940</v>
      </c>
      <c r="C773" s="69">
        <v>511</v>
      </c>
      <c r="D773" s="69">
        <v>8</v>
      </c>
      <c r="E773" s="69">
        <v>145.44</v>
      </c>
      <c r="F773" s="69">
        <v>85.649999999999991</v>
      </c>
      <c r="G773" s="69" t="s">
        <v>35</v>
      </c>
      <c r="H773" s="69" t="str">
        <f>IFERROR(VLOOKUP(Data!$G773,canon!$I$2:$K$27,2,FALSE),"")</f>
        <v>DRESS</v>
      </c>
      <c r="I773" s="69" t="str">
        <f>IFERROR(VLOOKUP(Data!$G773,canon!$I$2:$K$27,3,FALSE),"")</f>
        <v>APPAREL</v>
      </c>
      <c r="J773" s="69">
        <f t="shared" si="24"/>
        <v>2</v>
      </c>
      <c r="K773" s="69">
        <f t="shared" si="25"/>
        <v>35</v>
      </c>
      <c r="L773" s="69">
        <f>VLOOKUP(Table_db1_backend_Daily.accdb[[#This Row],[TradingDate]],canon!B:E,4,0)</f>
        <v>30</v>
      </c>
    </row>
    <row r="774" spans="1:12" x14ac:dyDescent="0.2">
      <c r="A774" s="69" t="s">
        <v>40</v>
      </c>
      <c r="B774" s="70">
        <v>42940</v>
      </c>
      <c r="C774" s="69">
        <v>6</v>
      </c>
      <c r="D774" s="69">
        <v>0</v>
      </c>
      <c r="E774" s="69">
        <v>0</v>
      </c>
      <c r="F774" s="69">
        <v>0</v>
      </c>
      <c r="G774" s="69" t="s">
        <v>10</v>
      </c>
      <c r="H774" s="69" t="str">
        <f>IFERROR(VLOOKUP(Data!$G774,canon!$I$2:$K$27,2,FALSE),"")</f>
        <v>ACCESSORY</v>
      </c>
      <c r="I774" s="69" t="str">
        <f>IFERROR(VLOOKUP(Data!$G774,canon!$I$2:$K$27,3,FALSE),"")</f>
        <v>N.APPAREL</v>
      </c>
      <c r="J774" s="69">
        <f t="shared" si="24"/>
        <v>2</v>
      </c>
      <c r="K774" s="69">
        <f t="shared" si="25"/>
        <v>35</v>
      </c>
      <c r="L774" s="69">
        <f>VLOOKUP(Table_db1_backend_Daily.accdb[[#This Row],[TradingDate]],canon!B:E,4,0)</f>
        <v>30</v>
      </c>
    </row>
    <row r="775" spans="1:12" x14ac:dyDescent="0.2">
      <c r="A775" s="69" t="s">
        <v>40</v>
      </c>
      <c r="B775" s="70">
        <v>42940</v>
      </c>
      <c r="C775" s="69">
        <v>-17</v>
      </c>
      <c r="D775" s="69">
        <v>0</v>
      </c>
      <c r="E775" s="69">
        <v>0</v>
      </c>
      <c r="F775" s="69">
        <v>0</v>
      </c>
      <c r="G775" s="69" t="s">
        <v>28</v>
      </c>
      <c r="H775" s="69" t="str">
        <f>IFERROR(VLOOKUP(Data!$G775,canon!$I$2:$K$27,2,FALSE),"")</f>
        <v>ACCESSORY</v>
      </c>
      <c r="I775" s="69" t="str">
        <f>IFERROR(VLOOKUP(Data!$G775,canon!$I$2:$K$27,3,FALSE),"")</f>
        <v>N.APPAREL</v>
      </c>
      <c r="J775" s="69">
        <f t="shared" si="24"/>
        <v>2</v>
      </c>
      <c r="K775" s="69">
        <f t="shared" si="25"/>
        <v>35</v>
      </c>
      <c r="L775" s="69">
        <f>VLOOKUP(Table_db1_backend_Daily.accdb[[#This Row],[TradingDate]],canon!B:E,4,0)</f>
        <v>30</v>
      </c>
    </row>
    <row r="776" spans="1:12" x14ac:dyDescent="0.2">
      <c r="A776" s="69" t="s">
        <v>40</v>
      </c>
      <c r="B776" s="70">
        <v>42940</v>
      </c>
      <c r="C776" s="69">
        <v>1945</v>
      </c>
      <c r="D776" s="69">
        <v>46</v>
      </c>
      <c r="E776" s="69">
        <v>545.4</v>
      </c>
      <c r="F776" s="69">
        <v>198.04000000000002</v>
      </c>
      <c r="G776" s="69" t="s">
        <v>11</v>
      </c>
      <c r="H776" s="69" t="str">
        <f>IFERROR(VLOOKUP(Data!$G776,canon!$I$2:$K$27,2,FALSE),"")</f>
        <v>KNIT</v>
      </c>
      <c r="I776" s="69" t="str">
        <f>IFERROR(VLOOKUP(Data!$G776,canon!$I$2:$K$27,3,FALSE),"")</f>
        <v>APPAREL</v>
      </c>
      <c r="J776" s="69">
        <f t="shared" si="24"/>
        <v>2</v>
      </c>
      <c r="K776" s="69">
        <f t="shared" si="25"/>
        <v>35</v>
      </c>
      <c r="L776" s="69">
        <f>VLOOKUP(Table_db1_backend_Daily.accdb[[#This Row],[TradingDate]],canon!B:E,4,0)</f>
        <v>30</v>
      </c>
    </row>
    <row r="777" spans="1:12" x14ac:dyDescent="0.2">
      <c r="A777" s="69" t="s">
        <v>40</v>
      </c>
      <c r="B777" s="70">
        <v>42940</v>
      </c>
      <c r="C777" s="69">
        <v>300</v>
      </c>
      <c r="D777" s="69">
        <v>3</v>
      </c>
      <c r="E777" s="69">
        <v>45.45</v>
      </c>
      <c r="F777" s="69">
        <v>25.78</v>
      </c>
      <c r="G777" s="69" t="s">
        <v>14</v>
      </c>
      <c r="H777" s="69" t="str">
        <f>IFERROR(VLOOKUP(Data!$G777,canon!$I$2:$K$27,2,FALSE),"")</f>
        <v>LEGGING</v>
      </c>
      <c r="I777" s="69" t="str">
        <f>IFERROR(VLOOKUP(Data!$G777,canon!$I$2:$K$27,3,FALSE),"")</f>
        <v>APPAREL</v>
      </c>
      <c r="J777" s="69">
        <f t="shared" si="24"/>
        <v>2</v>
      </c>
      <c r="K777" s="69">
        <f t="shared" si="25"/>
        <v>35</v>
      </c>
      <c r="L777" s="69">
        <f>VLOOKUP(Table_db1_backend_Daily.accdb[[#This Row],[TradingDate]],canon!B:E,4,0)</f>
        <v>30</v>
      </c>
    </row>
    <row r="778" spans="1:12" x14ac:dyDescent="0.2">
      <c r="A778" s="69" t="s">
        <v>40</v>
      </c>
      <c r="B778" s="70">
        <v>42940</v>
      </c>
      <c r="C778" s="69">
        <v>1</v>
      </c>
      <c r="D778" s="69">
        <v>0</v>
      </c>
      <c r="E778" s="69">
        <v>0</v>
      </c>
      <c r="F778" s="69">
        <v>0</v>
      </c>
      <c r="G778" s="69" t="s">
        <v>37</v>
      </c>
      <c r="H778" s="69" t="str">
        <f>IFERROR(VLOOKUP(Data!$G778,canon!$I$2:$K$27,2,FALSE),"")</f>
        <v>SHOES</v>
      </c>
      <c r="I778" s="69" t="str">
        <f>IFERROR(VLOOKUP(Data!$G778,canon!$I$2:$K$27,3,FALSE),"")</f>
        <v>N.APPAREL</v>
      </c>
      <c r="J778" s="69">
        <f t="shared" si="24"/>
        <v>2</v>
      </c>
      <c r="K778" s="69">
        <f t="shared" si="25"/>
        <v>35</v>
      </c>
      <c r="L778" s="69">
        <f>VLOOKUP(Table_db1_backend_Daily.accdb[[#This Row],[TradingDate]],canon!B:E,4,0)</f>
        <v>30</v>
      </c>
    </row>
    <row r="779" spans="1:12" x14ac:dyDescent="0.2">
      <c r="A779" s="69" t="s">
        <v>40</v>
      </c>
      <c r="B779" s="70">
        <v>42940</v>
      </c>
      <c r="C779" s="69">
        <v>655</v>
      </c>
      <c r="D779" s="69">
        <v>12</v>
      </c>
      <c r="E779" s="69">
        <v>209.10000000000002</v>
      </c>
      <c r="F779" s="69">
        <v>111.89</v>
      </c>
      <c r="G779" s="69" t="s">
        <v>17</v>
      </c>
      <c r="H779" s="69" t="str">
        <f>IFERROR(VLOOKUP(Data!$G779,canon!$I$2:$K$27,2,FALSE),"")</f>
        <v>OUTER</v>
      </c>
      <c r="I779" s="69" t="str">
        <f>IFERROR(VLOOKUP(Data!$G779,canon!$I$2:$K$27,3,FALSE),"")</f>
        <v>APPAREL</v>
      </c>
      <c r="J779" s="69">
        <f t="shared" si="24"/>
        <v>2</v>
      </c>
      <c r="K779" s="69">
        <f t="shared" si="25"/>
        <v>35</v>
      </c>
      <c r="L779" s="69">
        <f>VLOOKUP(Table_db1_backend_Daily.accdb[[#This Row],[TradingDate]],canon!B:E,4,0)</f>
        <v>30</v>
      </c>
    </row>
    <row r="780" spans="1:12" x14ac:dyDescent="0.2">
      <c r="A780" s="69" t="s">
        <v>40</v>
      </c>
      <c r="B780" s="70">
        <v>42940</v>
      </c>
      <c r="C780" s="69">
        <v>419</v>
      </c>
      <c r="D780" s="69">
        <v>0</v>
      </c>
      <c r="E780" s="69">
        <v>0</v>
      </c>
      <c r="F780" s="69">
        <v>0</v>
      </c>
      <c r="G780" s="69" t="s">
        <v>19</v>
      </c>
      <c r="H780" s="69" t="str">
        <f>IFERROR(VLOOKUP(Data!$G780,canon!$I$2:$K$27,2,FALSE),"")</f>
        <v>PANT</v>
      </c>
      <c r="I780" s="69" t="str">
        <f>IFERROR(VLOOKUP(Data!$G780,canon!$I$2:$K$27,3,FALSE),"")</f>
        <v>APPAREL</v>
      </c>
      <c r="J780" s="69">
        <f t="shared" si="24"/>
        <v>2</v>
      </c>
      <c r="K780" s="69">
        <f t="shared" si="25"/>
        <v>35</v>
      </c>
      <c r="L780" s="69">
        <f>VLOOKUP(Table_db1_backend_Daily.accdb[[#This Row],[TradingDate]],canon!B:E,4,0)</f>
        <v>30</v>
      </c>
    </row>
    <row r="781" spans="1:12" x14ac:dyDescent="0.2">
      <c r="A781" s="69" t="s">
        <v>40</v>
      </c>
      <c r="B781" s="70">
        <v>42940</v>
      </c>
      <c r="C781" s="69">
        <v>32</v>
      </c>
      <c r="D781" s="69">
        <v>0</v>
      </c>
      <c r="E781" s="69">
        <v>0</v>
      </c>
      <c r="F781" s="69">
        <v>0</v>
      </c>
      <c r="G781" s="69" t="s">
        <v>21</v>
      </c>
      <c r="H781" s="69" t="str">
        <f>IFERROR(VLOOKUP(Data!$G781,canon!$I$2:$K$27,2,FALSE),"")</f>
        <v>ACCESSORY</v>
      </c>
      <c r="I781" s="69" t="str">
        <f>IFERROR(VLOOKUP(Data!$G781,canon!$I$2:$K$27,3,FALSE),"")</f>
        <v>N.APPAREL</v>
      </c>
      <c r="J781" s="69">
        <f t="shared" si="24"/>
        <v>2</v>
      </c>
      <c r="K781" s="69">
        <f t="shared" si="25"/>
        <v>35</v>
      </c>
      <c r="L781" s="69">
        <f>VLOOKUP(Table_db1_backend_Daily.accdb[[#This Row],[TradingDate]],canon!B:E,4,0)</f>
        <v>30</v>
      </c>
    </row>
    <row r="782" spans="1:12" x14ac:dyDescent="0.2">
      <c r="A782" s="69" t="s">
        <v>40</v>
      </c>
      <c r="B782" s="70">
        <v>42940</v>
      </c>
      <c r="C782" s="69">
        <v>535</v>
      </c>
      <c r="D782" s="69">
        <v>9</v>
      </c>
      <c r="E782" s="69">
        <v>57.010000000000005</v>
      </c>
      <c r="F782" s="69">
        <v>41.81</v>
      </c>
      <c r="G782" s="69" t="s">
        <v>22</v>
      </c>
      <c r="H782" s="69" t="str">
        <f>IFERROR(VLOOKUP(Data!$G782,canon!$I$2:$K$27,2,FALSE),"")</f>
        <v>SCARF</v>
      </c>
      <c r="I782" s="69" t="str">
        <f>IFERROR(VLOOKUP(Data!$G782,canon!$I$2:$K$27,3,FALSE),"")</f>
        <v>N.APPAREL</v>
      </c>
      <c r="J782" s="69">
        <f t="shared" si="24"/>
        <v>2</v>
      </c>
      <c r="K782" s="69">
        <f t="shared" si="25"/>
        <v>35</v>
      </c>
      <c r="L782" s="69">
        <f>VLOOKUP(Table_db1_backend_Daily.accdb[[#This Row],[TradingDate]],canon!B:E,4,0)</f>
        <v>30</v>
      </c>
    </row>
    <row r="783" spans="1:12" x14ac:dyDescent="0.2">
      <c r="A783" s="69" t="s">
        <v>40</v>
      </c>
      <c r="B783" s="70">
        <v>42940</v>
      </c>
      <c r="C783" s="69">
        <v>66</v>
      </c>
      <c r="D783" s="69">
        <v>0</v>
      </c>
      <c r="E783" s="69">
        <v>0</v>
      </c>
      <c r="F783" s="69">
        <v>0</v>
      </c>
      <c r="G783" s="69" t="s">
        <v>23</v>
      </c>
      <c r="H783" s="69" t="str">
        <f>IFERROR(VLOOKUP(Data!$G783,canon!$I$2:$K$27,2,FALSE),"")</f>
        <v>SH&amp;BL</v>
      </c>
      <c r="I783" s="69" t="str">
        <f>IFERROR(VLOOKUP(Data!$G783,canon!$I$2:$K$27,3,FALSE),"")</f>
        <v>APPAREL</v>
      </c>
      <c r="J783" s="69">
        <f t="shared" si="24"/>
        <v>2</v>
      </c>
      <c r="K783" s="69">
        <f t="shared" si="25"/>
        <v>35</v>
      </c>
      <c r="L783" s="69">
        <f>VLOOKUP(Table_db1_backend_Daily.accdb[[#This Row],[TradingDate]],canon!B:E,4,0)</f>
        <v>30</v>
      </c>
    </row>
    <row r="784" spans="1:12" x14ac:dyDescent="0.2">
      <c r="A784" s="69" t="s">
        <v>40</v>
      </c>
      <c r="B784" s="70">
        <v>42940</v>
      </c>
      <c r="C784" s="69">
        <v>350</v>
      </c>
      <c r="D784" s="69">
        <v>0</v>
      </c>
      <c r="E784" s="69">
        <v>0</v>
      </c>
      <c r="F784" s="69">
        <v>0</v>
      </c>
      <c r="G784" s="69" t="s">
        <v>32</v>
      </c>
      <c r="H784" s="69" t="str">
        <f>IFERROR(VLOOKUP(Data!$G784,canon!$I$2:$K$27,2,FALSE),"")</f>
        <v>SKIRT</v>
      </c>
      <c r="I784" s="69" t="str">
        <f>IFERROR(VLOOKUP(Data!$G784,canon!$I$2:$K$27,3,FALSE),"")</f>
        <v>APPAREL</v>
      </c>
      <c r="J784" s="69">
        <f t="shared" si="24"/>
        <v>2</v>
      </c>
      <c r="K784" s="69">
        <f t="shared" si="25"/>
        <v>35</v>
      </c>
      <c r="L784" s="69">
        <f>VLOOKUP(Table_db1_backend_Daily.accdb[[#This Row],[TradingDate]],canon!B:E,4,0)</f>
        <v>30</v>
      </c>
    </row>
    <row r="785" spans="1:12" x14ac:dyDescent="0.2">
      <c r="A785" s="69" t="s">
        <v>40</v>
      </c>
      <c r="B785" s="70">
        <v>42940</v>
      </c>
      <c r="C785" s="69">
        <v>1007</v>
      </c>
      <c r="D785" s="69">
        <v>26</v>
      </c>
      <c r="E785" s="69">
        <v>186.36</v>
      </c>
      <c r="F785" s="69">
        <v>40.269999999999989</v>
      </c>
      <c r="G785" s="69" t="s">
        <v>25</v>
      </c>
      <c r="H785" s="69" t="str">
        <f>IFERROR(VLOOKUP(Data!$G785,canon!$I$2:$K$27,2,FALSE),"")</f>
        <v>TOP</v>
      </c>
      <c r="I785" s="69" t="str">
        <f>IFERROR(VLOOKUP(Data!$G785,canon!$I$2:$K$27,3,FALSE),"")</f>
        <v>APPAREL</v>
      </c>
      <c r="J785" s="69">
        <f t="shared" si="24"/>
        <v>2</v>
      </c>
      <c r="K785" s="69">
        <f t="shared" si="25"/>
        <v>35</v>
      </c>
      <c r="L785" s="69">
        <f>VLOOKUP(Table_db1_backend_Daily.accdb[[#This Row],[TradingDate]],canon!B:E,4,0)</f>
        <v>30</v>
      </c>
    </row>
    <row r="786" spans="1:12" x14ac:dyDescent="0.2">
      <c r="A786" s="69" t="s">
        <v>40</v>
      </c>
      <c r="B786" s="70">
        <v>42941</v>
      </c>
      <c r="C786" s="69">
        <v>4</v>
      </c>
      <c r="D786" s="69">
        <v>0</v>
      </c>
      <c r="E786" s="69">
        <v>0</v>
      </c>
      <c r="F786" s="69">
        <v>0</v>
      </c>
      <c r="G786" s="69" t="s">
        <v>27</v>
      </c>
      <c r="H786" s="69" t="str">
        <f>IFERROR(VLOOKUP(Data!$G786,canon!$I$2:$K$27,2,FALSE),"")</f>
        <v>ACCESSORY</v>
      </c>
      <c r="I786" s="69" t="str">
        <f>IFERROR(VLOOKUP(Data!$G786,canon!$I$2:$K$27,3,FALSE),"")</f>
        <v>N.APPAREL</v>
      </c>
      <c r="J786" s="69">
        <f t="shared" si="24"/>
        <v>3</v>
      </c>
      <c r="K786" s="69">
        <f t="shared" si="25"/>
        <v>35</v>
      </c>
      <c r="L786" s="69">
        <f>VLOOKUP(Table_db1_backend_Daily.accdb[[#This Row],[TradingDate]],canon!B:E,4,0)</f>
        <v>30</v>
      </c>
    </row>
    <row r="787" spans="1:12" x14ac:dyDescent="0.2">
      <c r="A787" s="69" t="s">
        <v>40</v>
      </c>
      <c r="B787" s="70">
        <v>42941</v>
      </c>
      <c r="C787" s="69">
        <v>4</v>
      </c>
      <c r="D787" s="69">
        <v>0</v>
      </c>
      <c r="E787" s="69">
        <v>0</v>
      </c>
      <c r="F787" s="69">
        <v>0</v>
      </c>
      <c r="G787" s="69" t="s">
        <v>34</v>
      </c>
      <c r="H787" s="69" t="str">
        <f>IFERROR(VLOOKUP(Data!$G787,canon!$I$2:$K$27,2,FALSE),"")</f>
        <v>SHOES</v>
      </c>
      <c r="I787" s="69" t="str">
        <f>IFERROR(VLOOKUP(Data!$G787,canon!$I$2:$K$27,3,FALSE),"")</f>
        <v>N.APPAREL</v>
      </c>
      <c r="J787" s="69">
        <f t="shared" si="24"/>
        <v>3</v>
      </c>
      <c r="K787" s="69">
        <f t="shared" si="25"/>
        <v>35</v>
      </c>
      <c r="L787" s="69">
        <f>VLOOKUP(Table_db1_backend_Daily.accdb[[#This Row],[TradingDate]],canon!B:E,4,0)</f>
        <v>30</v>
      </c>
    </row>
    <row r="788" spans="1:12" x14ac:dyDescent="0.2">
      <c r="A788" s="69" t="s">
        <v>40</v>
      </c>
      <c r="B788" s="70">
        <v>42941</v>
      </c>
      <c r="C788" s="69">
        <v>2</v>
      </c>
      <c r="D788" s="69">
        <v>0</v>
      </c>
      <c r="E788" s="69">
        <v>0</v>
      </c>
      <c r="F788" s="69">
        <v>0</v>
      </c>
      <c r="G788" s="69" t="s">
        <v>38</v>
      </c>
      <c r="H788" s="69" t="str">
        <f>IFERROR(VLOOKUP(Data!$G788,canon!$I$2:$K$27,2,FALSE),"")</f>
        <v>SHOES</v>
      </c>
      <c r="I788" s="69" t="str">
        <f>IFERROR(VLOOKUP(Data!$G788,canon!$I$2:$K$27,3,FALSE),"")</f>
        <v>N.APPAREL</v>
      </c>
      <c r="J788" s="69">
        <f t="shared" si="24"/>
        <v>3</v>
      </c>
      <c r="K788" s="69">
        <f t="shared" si="25"/>
        <v>35</v>
      </c>
      <c r="L788" s="69">
        <f>VLOOKUP(Table_db1_backend_Daily.accdb[[#This Row],[TradingDate]],canon!B:E,4,0)</f>
        <v>30</v>
      </c>
    </row>
    <row r="789" spans="1:12" x14ac:dyDescent="0.2">
      <c r="A789" s="69" t="s">
        <v>40</v>
      </c>
      <c r="B789" s="70">
        <v>42941</v>
      </c>
      <c r="C789" s="69">
        <v>499</v>
      </c>
      <c r="D789" s="69">
        <v>11</v>
      </c>
      <c r="E789" s="69">
        <v>190.69</v>
      </c>
      <c r="F789" s="69">
        <v>108.73000000000002</v>
      </c>
      <c r="G789" s="69" t="s">
        <v>35</v>
      </c>
      <c r="H789" s="69" t="str">
        <f>IFERROR(VLOOKUP(Data!$G789,canon!$I$2:$K$27,2,FALSE),"")</f>
        <v>DRESS</v>
      </c>
      <c r="I789" s="69" t="str">
        <f>IFERROR(VLOOKUP(Data!$G789,canon!$I$2:$K$27,3,FALSE),"")</f>
        <v>APPAREL</v>
      </c>
      <c r="J789" s="69">
        <f t="shared" si="24"/>
        <v>3</v>
      </c>
      <c r="K789" s="69">
        <f t="shared" si="25"/>
        <v>35</v>
      </c>
      <c r="L789" s="69">
        <f>VLOOKUP(Table_db1_backend_Daily.accdb[[#This Row],[TradingDate]],canon!B:E,4,0)</f>
        <v>30</v>
      </c>
    </row>
    <row r="790" spans="1:12" x14ac:dyDescent="0.2">
      <c r="A790" s="69" t="s">
        <v>40</v>
      </c>
      <c r="B790" s="70">
        <v>42941</v>
      </c>
      <c r="C790" s="69">
        <v>6</v>
      </c>
      <c r="D790" s="69">
        <v>0</v>
      </c>
      <c r="E790" s="69">
        <v>0</v>
      </c>
      <c r="F790" s="69">
        <v>0</v>
      </c>
      <c r="G790" s="69" t="s">
        <v>10</v>
      </c>
      <c r="H790" s="69" t="str">
        <f>IFERROR(VLOOKUP(Data!$G790,canon!$I$2:$K$27,2,FALSE),"")</f>
        <v>ACCESSORY</v>
      </c>
      <c r="I790" s="69" t="str">
        <f>IFERROR(VLOOKUP(Data!$G790,canon!$I$2:$K$27,3,FALSE),"")</f>
        <v>N.APPAREL</v>
      </c>
      <c r="J790" s="69">
        <f t="shared" si="24"/>
        <v>3</v>
      </c>
      <c r="K790" s="69">
        <f t="shared" si="25"/>
        <v>35</v>
      </c>
      <c r="L790" s="69">
        <f>VLOOKUP(Table_db1_backend_Daily.accdb[[#This Row],[TradingDate]],canon!B:E,4,0)</f>
        <v>30</v>
      </c>
    </row>
    <row r="791" spans="1:12" x14ac:dyDescent="0.2">
      <c r="A791" s="69" t="s">
        <v>40</v>
      </c>
      <c r="B791" s="70">
        <v>42941</v>
      </c>
      <c r="C791" s="69">
        <v>-17</v>
      </c>
      <c r="D791" s="69">
        <v>0</v>
      </c>
      <c r="E791" s="69">
        <v>0</v>
      </c>
      <c r="F791" s="69">
        <v>0</v>
      </c>
      <c r="G791" s="69" t="s">
        <v>28</v>
      </c>
      <c r="H791" s="69" t="str">
        <f>IFERROR(VLOOKUP(Data!$G791,canon!$I$2:$K$27,2,FALSE),"")</f>
        <v>ACCESSORY</v>
      </c>
      <c r="I791" s="69" t="str">
        <f>IFERROR(VLOOKUP(Data!$G791,canon!$I$2:$K$27,3,FALSE),"")</f>
        <v>N.APPAREL</v>
      </c>
      <c r="J791" s="69">
        <f t="shared" si="24"/>
        <v>3</v>
      </c>
      <c r="K791" s="69">
        <f t="shared" si="25"/>
        <v>35</v>
      </c>
      <c r="L791" s="69">
        <f>VLOOKUP(Table_db1_backend_Daily.accdb[[#This Row],[TradingDate]],canon!B:E,4,0)</f>
        <v>30</v>
      </c>
    </row>
    <row r="792" spans="1:12" x14ac:dyDescent="0.2">
      <c r="A792" s="69" t="s">
        <v>40</v>
      </c>
      <c r="B792" s="70">
        <v>42941</v>
      </c>
      <c r="C792" s="69">
        <v>1895</v>
      </c>
      <c r="D792" s="69">
        <v>43</v>
      </c>
      <c r="E792" s="69">
        <v>513.17999999999995</v>
      </c>
      <c r="F792" s="69">
        <v>182.88</v>
      </c>
      <c r="G792" s="69" t="s">
        <v>11</v>
      </c>
      <c r="H792" s="69" t="str">
        <f>IFERROR(VLOOKUP(Data!$G792,canon!$I$2:$K$27,2,FALSE),"")</f>
        <v>KNIT</v>
      </c>
      <c r="I792" s="69" t="str">
        <f>IFERROR(VLOOKUP(Data!$G792,canon!$I$2:$K$27,3,FALSE),"")</f>
        <v>APPAREL</v>
      </c>
      <c r="J792" s="69">
        <f t="shared" si="24"/>
        <v>3</v>
      </c>
      <c r="K792" s="69">
        <f t="shared" si="25"/>
        <v>35</v>
      </c>
      <c r="L792" s="69">
        <f>VLOOKUP(Table_db1_backend_Daily.accdb[[#This Row],[TradingDate]],canon!B:E,4,0)</f>
        <v>30</v>
      </c>
    </row>
    <row r="793" spans="1:12" x14ac:dyDescent="0.2">
      <c r="A793" s="69" t="s">
        <v>40</v>
      </c>
      <c r="B793" s="70">
        <v>42941</v>
      </c>
      <c r="C793" s="69">
        <v>300</v>
      </c>
      <c r="D793" s="69">
        <v>0</v>
      </c>
      <c r="E793" s="69">
        <v>0</v>
      </c>
      <c r="F793" s="69">
        <v>0</v>
      </c>
      <c r="G793" s="69" t="s">
        <v>14</v>
      </c>
      <c r="H793" s="69" t="str">
        <f>IFERROR(VLOOKUP(Data!$G793,canon!$I$2:$K$27,2,FALSE),"")</f>
        <v>LEGGING</v>
      </c>
      <c r="I793" s="69" t="str">
        <f>IFERROR(VLOOKUP(Data!$G793,canon!$I$2:$K$27,3,FALSE),"")</f>
        <v>APPAREL</v>
      </c>
      <c r="J793" s="69">
        <f t="shared" si="24"/>
        <v>3</v>
      </c>
      <c r="K793" s="69">
        <f t="shared" si="25"/>
        <v>35</v>
      </c>
      <c r="L793" s="69">
        <f>VLOOKUP(Table_db1_backend_Daily.accdb[[#This Row],[TradingDate]],canon!B:E,4,0)</f>
        <v>30</v>
      </c>
    </row>
    <row r="794" spans="1:12" x14ac:dyDescent="0.2">
      <c r="A794" s="69" t="s">
        <v>40</v>
      </c>
      <c r="B794" s="70">
        <v>42941</v>
      </c>
      <c r="C794" s="69">
        <v>1</v>
      </c>
      <c r="D794" s="69">
        <v>0</v>
      </c>
      <c r="E794" s="69">
        <v>0</v>
      </c>
      <c r="F794" s="69">
        <v>0</v>
      </c>
      <c r="G794" s="69" t="s">
        <v>37</v>
      </c>
      <c r="H794" s="69" t="str">
        <f>IFERROR(VLOOKUP(Data!$G794,canon!$I$2:$K$27,2,FALSE),"")</f>
        <v>SHOES</v>
      </c>
      <c r="I794" s="69" t="str">
        <f>IFERROR(VLOOKUP(Data!$G794,canon!$I$2:$K$27,3,FALSE),"")</f>
        <v>N.APPAREL</v>
      </c>
      <c r="J794" s="69">
        <f t="shared" si="24"/>
        <v>3</v>
      </c>
      <c r="K794" s="69">
        <f t="shared" si="25"/>
        <v>35</v>
      </c>
      <c r="L794" s="69">
        <f>VLOOKUP(Table_db1_backend_Daily.accdb[[#This Row],[TradingDate]],canon!B:E,4,0)</f>
        <v>30</v>
      </c>
    </row>
    <row r="795" spans="1:12" x14ac:dyDescent="0.2">
      <c r="A795" s="69" t="s">
        <v>40</v>
      </c>
      <c r="B795" s="70">
        <v>42941</v>
      </c>
      <c r="C795" s="69">
        <v>650</v>
      </c>
      <c r="D795" s="69">
        <v>10</v>
      </c>
      <c r="E795" s="69">
        <v>177.22000000000003</v>
      </c>
      <c r="F795" s="69">
        <v>90.949999999999989</v>
      </c>
      <c r="G795" s="69" t="s">
        <v>17</v>
      </c>
      <c r="H795" s="69" t="str">
        <f>IFERROR(VLOOKUP(Data!$G795,canon!$I$2:$K$27,2,FALSE),"")</f>
        <v>OUTER</v>
      </c>
      <c r="I795" s="69" t="str">
        <f>IFERROR(VLOOKUP(Data!$G795,canon!$I$2:$K$27,3,FALSE),"")</f>
        <v>APPAREL</v>
      </c>
      <c r="J795" s="69">
        <f t="shared" si="24"/>
        <v>3</v>
      </c>
      <c r="K795" s="69">
        <f t="shared" si="25"/>
        <v>35</v>
      </c>
      <c r="L795" s="69">
        <f>VLOOKUP(Table_db1_backend_Daily.accdb[[#This Row],[TradingDate]],canon!B:E,4,0)</f>
        <v>30</v>
      </c>
    </row>
    <row r="796" spans="1:12" x14ac:dyDescent="0.2">
      <c r="A796" s="69" t="s">
        <v>40</v>
      </c>
      <c r="B796" s="70">
        <v>42941</v>
      </c>
      <c r="C796" s="69">
        <v>419</v>
      </c>
      <c r="D796" s="69">
        <v>0</v>
      </c>
      <c r="E796" s="69">
        <v>0</v>
      </c>
      <c r="F796" s="69">
        <v>0</v>
      </c>
      <c r="G796" s="69" t="s">
        <v>19</v>
      </c>
      <c r="H796" s="69" t="str">
        <f>IFERROR(VLOOKUP(Data!$G796,canon!$I$2:$K$27,2,FALSE),"")</f>
        <v>PANT</v>
      </c>
      <c r="I796" s="69" t="str">
        <f>IFERROR(VLOOKUP(Data!$G796,canon!$I$2:$K$27,3,FALSE),"")</f>
        <v>APPAREL</v>
      </c>
      <c r="J796" s="69">
        <f t="shared" si="24"/>
        <v>3</v>
      </c>
      <c r="K796" s="69">
        <f t="shared" si="25"/>
        <v>35</v>
      </c>
      <c r="L796" s="69">
        <f>VLOOKUP(Table_db1_backend_Daily.accdb[[#This Row],[TradingDate]],canon!B:E,4,0)</f>
        <v>30</v>
      </c>
    </row>
    <row r="797" spans="1:12" x14ac:dyDescent="0.2">
      <c r="A797" s="69" t="s">
        <v>40</v>
      </c>
      <c r="B797" s="70">
        <v>42941</v>
      </c>
      <c r="C797" s="69">
        <v>32</v>
      </c>
      <c r="D797" s="69">
        <v>0</v>
      </c>
      <c r="E797" s="69">
        <v>0</v>
      </c>
      <c r="F797" s="69">
        <v>0</v>
      </c>
      <c r="G797" s="69" t="s">
        <v>21</v>
      </c>
      <c r="H797" s="69" t="str">
        <f>IFERROR(VLOOKUP(Data!$G797,canon!$I$2:$K$27,2,FALSE),"")</f>
        <v>ACCESSORY</v>
      </c>
      <c r="I797" s="69" t="str">
        <f>IFERROR(VLOOKUP(Data!$G797,canon!$I$2:$K$27,3,FALSE),"")</f>
        <v>N.APPAREL</v>
      </c>
      <c r="J797" s="69">
        <f t="shared" si="24"/>
        <v>3</v>
      </c>
      <c r="K797" s="69">
        <f t="shared" si="25"/>
        <v>35</v>
      </c>
      <c r="L797" s="69">
        <f>VLOOKUP(Table_db1_backend_Daily.accdb[[#This Row],[TradingDate]],canon!B:E,4,0)</f>
        <v>30</v>
      </c>
    </row>
    <row r="798" spans="1:12" x14ac:dyDescent="0.2">
      <c r="A798" s="69" t="s">
        <v>40</v>
      </c>
      <c r="B798" s="70">
        <v>42941</v>
      </c>
      <c r="C798" s="69">
        <v>526</v>
      </c>
      <c r="D798" s="69">
        <v>9</v>
      </c>
      <c r="E798" s="69">
        <v>57.010000000000005</v>
      </c>
      <c r="F798" s="69">
        <v>42.230000000000011</v>
      </c>
      <c r="G798" s="69" t="s">
        <v>22</v>
      </c>
      <c r="H798" s="69" t="str">
        <f>IFERROR(VLOOKUP(Data!$G798,canon!$I$2:$K$27,2,FALSE),"")</f>
        <v>SCARF</v>
      </c>
      <c r="I798" s="69" t="str">
        <f>IFERROR(VLOOKUP(Data!$G798,canon!$I$2:$K$27,3,FALSE),"")</f>
        <v>N.APPAREL</v>
      </c>
      <c r="J798" s="69">
        <f t="shared" si="24"/>
        <v>3</v>
      </c>
      <c r="K798" s="69">
        <f t="shared" si="25"/>
        <v>35</v>
      </c>
      <c r="L798" s="69">
        <f>VLOOKUP(Table_db1_backend_Daily.accdb[[#This Row],[TradingDate]],canon!B:E,4,0)</f>
        <v>30</v>
      </c>
    </row>
    <row r="799" spans="1:12" x14ac:dyDescent="0.2">
      <c r="A799" s="69" t="s">
        <v>40</v>
      </c>
      <c r="B799" s="70">
        <v>42941</v>
      </c>
      <c r="C799" s="69">
        <v>63</v>
      </c>
      <c r="D799" s="69">
        <v>3</v>
      </c>
      <c r="E799" s="69">
        <v>63.620000000000005</v>
      </c>
      <c r="F799" s="69">
        <v>38.19</v>
      </c>
      <c r="G799" s="69" t="s">
        <v>23</v>
      </c>
      <c r="H799" s="69" t="str">
        <f>IFERROR(VLOOKUP(Data!$G799,canon!$I$2:$K$27,2,FALSE),"")</f>
        <v>SH&amp;BL</v>
      </c>
      <c r="I799" s="69" t="str">
        <f>IFERROR(VLOOKUP(Data!$G799,canon!$I$2:$K$27,3,FALSE),"")</f>
        <v>APPAREL</v>
      </c>
      <c r="J799" s="69">
        <f t="shared" si="24"/>
        <v>3</v>
      </c>
      <c r="K799" s="69">
        <f t="shared" si="25"/>
        <v>35</v>
      </c>
      <c r="L799" s="69">
        <f>VLOOKUP(Table_db1_backend_Daily.accdb[[#This Row],[TradingDate]],canon!B:E,4,0)</f>
        <v>30</v>
      </c>
    </row>
    <row r="800" spans="1:12" x14ac:dyDescent="0.2">
      <c r="A800" s="69" t="s">
        <v>40</v>
      </c>
      <c r="B800" s="70">
        <v>42941</v>
      </c>
      <c r="C800" s="69">
        <v>349</v>
      </c>
      <c r="D800" s="69">
        <v>1</v>
      </c>
      <c r="E800" s="69">
        <v>18.18</v>
      </c>
      <c r="F800" s="69">
        <v>13.61</v>
      </c>
      <c r="G800" s="69" t="s">
        <v>32</v>
      </c>
      <c r="H800" s="69" t="str">
        <f>IFERROR(VLOOKUP(Data!$G800,canon!$I$2:$K$27,2,FALSE),"")</f>
        <v>SKIRT</v>
      </c>
      <c r="I800" s="69" t="str">
        <f>IFERROR(VLOOKUP(Data!$G800,canon!$I$2:$K$27,3,FALSE),"")</f>
        <v>APPAREL</v>
      </c>
      <c r="J800" s="69">
        <f t="shared" si="24"/>
        <v>3</v>
      </c>
      <c r="K800" s="69">
        <f t="shared" si="25"/>
        <v>35</v>
      </c>
      <c r="L800" s="69">
        <f>VLOOKUP(Table_db1_backend_Daily.accdb[[#This Row],[TradingDate]],canon!B:E,4,0)</f>
        <v>30</v>
      </c>
    </row>
    <row r="801" spans="1:12" x14ac:dyDescent="0.2">
      <c r="A801" s="69" t="s">
        <v>40</v>
      </c>
      <c r="B801" s="70">
        <v>42941</v>
      </c>
      <c r="C801" s="69">
        <v>956</v>
      </c>
      <c r="D801" s="69">
        <v>49</v>
      </c>
      <c r="E801" s="69">
        <v>300.03000000000003</v>
      </c>
      <c r="F801" s="69">
        <v>34.270000000000003</v>
      </c>
      <c r="G801" s="69" t="s">
        <v>25</v>
      </c>
      <c r="H801" s="69" t="str">
        <f>IFERROR(VLOOKUP(Data!$G801,canon!$I$2:$K$27,2,FALSE),"")</f>
        <v>TOP</v>
      </c>
      <c r="I801" s="69" t="str">
        <f>IFERROR(VLOOKUP(Data!$G801,canon!$I$2:$K$27,3,FALSE),"")</f>
        <v>APPAREL</v>
      </c>
      <c r="J801" s="69">
        <f t="shared" si="24"/>
        <v>3</v>
      </c>
      <c r="K801" s="69">
        <f t="shared" si="25"/>
        <v>35</v>
      </c>
      <c r="L801" s="69">
        <f>VLOOKUP(Table_db1_backend_Daily.accdb[[#This Row],[TradingDate]],canon!B:E,4,0)</f>
        <v>30</v>
      </c>
    </row>
    <row r="802" spans="1:12" x14ac:dyDescent="0.2">
      <c r="A802" s="69" t="s">
        <v>40</v>
      </c>
      <c r="B802" s="70">
        <v>42942</v>
      </c>
      <c r="C802" s="69">
        <v>4</v>
      </c>
      <c r="D802" s="69">
        <v>0</v>
      </c>
      <c r="E802" s="69">
        <v>0</v>
      </c>
      <c r="F802" s="69">
        <v>0</v>
      </c>
      <c r="G802" s="69" t="s">
        <v>27</v>
      </c>
      <c r="H802" s="69" t="str">
        <f>IFERROR(VLOOKUP(Data!$G802,canon!$I$2:$K$27,2,FALSE),"")</f>
        <v>ACCESSORY</v>
      </c>
      <c r="I802" s="69" t="str">
        <f>IFERROR(VLOOKUP(Data!$G802,canon!$I$2:$K$27,3,FALSE),"")</f>
        <v>N.APPAREL</v>
      </c>
      <c r="J802" s="69">
        <f t="shared" si="24"/>
        <v>4</v>
      </c>
      <c r="K802" s="69">
        <f t="shared" si="25"/>
        <v>35</v>
      </c>
      <c r="L802" s="69">
        <f>VLOOKUP(Table_db1_backend_Daily.accdb[[#This Row],[TradingDate]],canon!B:E,4,0)</f>
        <v>30</v>
      </c>
    </row>
    <row r="803" spans="1:12" x14ac:dyDescent="0.2">
      <c r="A803" s="69" t="s">
        <v>40</v>
      </c>
      <c r="B803" s="70">
        <v>42942</v>
      </c>
      <c r="C803" s="69">
        <v>4</v>
      </c>
      <c r="D803" s="69">
        <v>0</v>
      </c>
      <c r="E803" s="69">
        <v>0</v>
      </c>
      <c r="F803" s="69">
        <v>0</v>
      </c>
      <c r="G803" s="69" t="s">
        <v>34</v>
      </c>
      <c r="H803" s="69" t="str">
        <f>IFERROR(VLOOKUP(Data!$G803,canon!$I$2:$K$27,2,FALSE),"")</f>
        <v>SHOES</v>
      </c>
      <c r="I803" s="69" t="str">
        <f>IFERROR(VLOOKUP(Data!$G803,canon!$I$2:$K$27,3,FALSE),"")</f>
        <v>N.APPAREL</v>
      </c>
      <c r="J803" s="69">
        <f t="shared" si="24"/>
        <v>4</v>
      </c>
      <c r="K803" s="69">
        <f t="shared" si="25"/>
        <v>35</v>
      </c>
      <c r="L803" s="69">
        <f>VLOOKUP(Table_db1_backend_Daily.accdb[[#This Row],[TradingDate]],canon!B:E,4,0)</f>
        <v>30</v>
      </c>
    </row>
    <row r="804" spans="1:12" x14ac:dyDescent="0.2">
      <c r="A804" s="69" t="s">
        <v>40</v>
      </c>
      <c r="B804" s="70">
        <v>42942</v>
      </c>
      <c r="C804" s="69">
        <v>2</v>
      </c>
      <c r="D804" s="69">
        <v>0</v>
      </c>
      <c r="E804" s="69">
        <v>0</v>
      </c>
      <c r="F804" s="69">
        <v>0</v>
      </c>
      <c r="G804" s="69" t="s">
        <v>38</v>
      </c>
      <c r="H804" s="69" t="str">
        <f>IFERROR(VLOOKUP(Data!$G804,canon!$I$2:$K$27,2,FALSE),"")</f>
        <v>SHOES</v>
      </c>
      <c r="I804" s="69" t="str">
        <f>IFERROR(VLOOKUP(Data!$G804,canon!$I$2:$K$27,3,FALSE),"")</f>
        <v>N.APPAREL</v>
      </c>
      <c r="J804" s="69">
        <f t="shared" si="24"/>
        <v>4</v>
      </c>
      <c r="K804" s="69">
        <f t="shared" si="25"/>
        <v>35</v>
      </c>
      <c r="L804" s="69">
        <f>VLOOKUP(Table_db1_backend_Daily.accdb[[#This Row],[TradingDate]],canon!B:E,4,0)</f>
        <v>30</v>
      </c>
    </row>
    <row r="805" spans="1:12" x14ac:dyDescent="0.2">
      <c r="A805" s="69" t="s">
        <v>40</v>
      </c>
      <c r="B805" s="70">
        <v>42942</v>
      </c>
      <c r="C805" s="69">
        <v>432</v>
      </c>
      <c r="D805" s="69">
        <v>7</v>
      </c>
      <c r="E805" s="69">
        <v>108.9</v>
      </c>
      <c r="F805" s="69">
        <v>52.82</v>
      </c>
      <c r="G805" s="69" t="s">
        <v>35</v>
      </c>
      <c r="H805" s="69" t="str">
        <f>IFERROR(VLOOKUP(Data!$G805,canon!$I$2:$K$27,2,FALSE),"")</f>
        <v>DRESS</v>
      </c>
      <c r="I805" s="69" t="str">
        <f>IFERROR(VLOOKUP(Data!$G805,canon!$I$2:$K$27,3,FALSE),"")</f>
        <v>APPAREL</v>
      </c>
      <c r="J805" s="69">
        <f t="shared" si="24"/>
        <v>4</v>
      </c>
      <c r="K805" s="69">
        <f t="shared" si="25"/>
        <v>35</v>
      </c>
      <c r="L805" s="69">
        <f>VLOOKUP(Table_db1_backend_Daily.accdb[[#This Row],[TradingDate]],canon!B:E,4,0)</f>
        <v>30</v>
      </c>
    </row>
    <row r="806" spans="1:12" x14ac:dyDescent="0.2">
      <c r="A806" s="69" t="s">
        <v>40</v>
      </c>
      <c r="B806" s="70">
        <v>42942</v>
      </c>
      <c r="C806" s="69">
        <v>6</v>
      </c>
      <c r="D806" s="69">
        <v>0</v>
      </c>
      <c r="E806" s="69">
        <v>0</v>
      </c>
      <c r="F806" s="69">
        <v>0</v>
      </c>
      <c r="G806" s="69" t="s">
        <v>10</v>
      </c>
      <c r="H806" s="69" t="str">
        <f>IFERROR(VLOOKUP(Data!$G806,canon!$I$2:$K$27,2,FALSE),"")</f>
        <v>ACCESSORY</v>
      </c>
      <c r="I806" s="69" t="str">
        <f>IFERROR(VLOOKUP(Data!$G806,canon!$I$2:$K$27,3,FALSE),"")</f>
        <v>N.APPAREL</v>
      </c>
      <c r="J806" s="69">
        <f t="shared" si="24"/>
        <v>4</v>
      </c>
      <c r="K806" s="69">
        <f t="shared" si="25"/>
        <v>35</v>
      </c>
      <c r="L806" s="69">
        <f>VLOOKUP(Table_db1_backend_Daily.accdb[[#This Row],[TradingDate]],canon!B:E,4,0)</f>
        <v>30</v>
      </c>
    </row>
    <row r="807" spans="1:12" x14ac:dyDescent="0.2">
      <c r="A807" s="69" t="s">
        <v>40</v>
      </c>
      <c r="B807" s="70">
        <v>42942</v>
      </c>
      <c r="C807" s="69">
        <v>-17</v>
      </c>
      <c r="D807" s="69">
        <v>0</v>
      </c>
      <c r="E807" s="69">
        <v>0</v>
      </c>
      <c r="F807" s="69">
        <v>0</v>
      </c>
      <c r="G807" s="69" t="s">
        <v>28</v>
      </c>
      <c r="H807" s="69" t="str">
        <f>IFERROR(VLOOKUP(Data!$G807,canon!$I$2:$K$27,2,FALSE),"")</f>
        <v>ACCESSORY</v>
      </c>
      <c r="I807" s="69" t="str">
        <f>IFERROR(VLOOKUP(Data!$G807,canon!$I$2:$K$27,3,FALSE),"")</f>
        <v>N.APPAREL</v>
      </c>
      <c r="J807" s="69">
        <f t="shared" si="24"/>
        <v>4</v>
      </c>
      <c r="K807" s="69">
        <f t="shared" si="25"/>
        <v>35</v>
      </c>
      <c r="L807" s="69">
        <f>VLOOKUP(Table_db1_backend_Daily.accdb[[#This Row],[TradingDate]],canon!B:E,4,0)</f>
        <v>30</v>
      </c>
    </row>
    <row r="808" spans="1:12" x14ac:dyDescent="0.2">
      <c r="A808" s="69" t="s">
        <v>40</v>
      </c>
      <c r="B808" s="70">
        <v>42942</v>
      </c>
      <c r="C808" s="69">
        <v>1837</v>
      </c>
      <c r="D808" s="69">
        <v>43</v>
      </c>
      <c r="E808" s="69">
        <v>485.87999999999994</v>
      </c>
      <c r="F808" s="69">
        <v>161.71</v>
      </c>
      <c r="G808" s="69" t="s">
        <v>11</v>
      </c>
      <c r="H808" s="69" t="str">
        <f>IFERROR(VLOOKUP(Data!$G808,canon!$I$2:$K$27,2,FALSE),"")</f>
        <v>KNIT</v>
      </c>
      <c r="I808" s="69" t="str">
        <f>IFERROR(VLOOKUP(Data!$G808,canon!$I$2:$K$27,3,FALSE),"")</f>
        <v>APPAREL</v>
      </c>
      <c r="J808" s="69">
        <f t="shared" si="24"/>
        <v>4</v>
      </c>
      <c r="K808" s="69">
        <f t="shared" si="25"/>
        <v>35</v>
      </c>
      <c r="L808" s="69">
        <f>VLOOKUP(Table_db1_backend_Daily.accdb[[#This Row],[TradingDate]],canon!B:E,4,0)</f>
        <v>30</v>
      </c>
    </row>
    <row r="809" spans="1:12" x14ac:dyDescent="0.2">
      <c r="A809" s="69" t="s">
        <v>40</v>
      </c>
      <c r="B809" s="70">
        <v>42942</v>
      </c>
      <c r="C809" s="69">
        <v>272</v>
      </c>
      <c r="D809" s="69">
        <v>1</v>
      </c>
      <c r="E809" s="69">
        <v>18.18</v>
      </c>
      <c r="F809" s="69">
        <v>12.09</v>
      </c>
      <c r="G809" s="69" t="s">
        <v>14</v>
      </c>
      <c r="H809" s="69" t="str">
        <f>IFERROR(VLOOKUP(Data!$G809,canon!$I$2:$K$27,2,FALSE),"")</f>
        <v>LEGGING</v>
      </c>
      <c r="I809" s="69" t="str">
        <f>IFERROR(VLOOKUP(Data!$G809,canon!$I$2:$K$27,3,FALSE),"")</f>
        <v>APPAREL</v>
      </c>
      <c r="J809" s="69">
        <f t="shared" si="24"/>
        <v>4</v>
      </c>
      <c r="K809" s="69">
        <f t="shared" si="25"/>
        <v>35</v>
      </c>
      <c r="L809" s="69">
        <f>VLOOKUP(Table_db1_backend_Daily.accdb[[#This Row],[TradingDate]],canon!B:E,4,0)</f>
        <v>30</v>
      </c>
    </row>
    <row r="810" spans="1:12" x14ac:dyDescent="0.2">
      <c r="A810" s="69" t="s">
        <v>40</v>
      </c>
      <c r="B810" s="70">
        <v>42942</v>
      </c>
      <c r="C810" s="69">
        <v>1</v>
      </c>
      <c r="D810" s="69">
        <v>0</v>
      </c>
      <c r="E810" s="69">
        <v>0</v>
      </c>
      <c r="F810" s="69">
        <v>0</v>
      </c>
      <c r="G810" s="69" t="s">
        <v>37</v>
      </c>
      <c r="H810" s="69" t="str">
        <f>IFERROR(VLOOKUP(Data!$G810,canon!$I$2:$K$27,2,FALSE),"")</f>
        <v>SHOES</v>
      </c>
      <c r="I810" s="69" t="str">
        <f>IFERROR(VLOOKUP(Data!$G810,canon!$I$2:$K$27,3,FALSE),"")</f>
        <v>N.APPAREL</v>
      </c>
      <c r="J810" s="69">
        <f t="shared" si="24"/>
        <v>4</v>
      </c>
      <c r="K810" s="69">
        <f t="shared" si="25"/>
        <v>35</v>
      </c>
      <c r="L810" s="69">
        <f>VLOOKUP(Table_db1_backend_Daily.accdb[[#This Row],[TradingDate]],canon!B:E,4,0)</f>
        <v>30</v>
      </c>
    </row>
    <row r="811" spans="1:12" x14ac:dyDescent="0.2">
      <c r="A811" s="69" t="s">
        <v>40</v>
      </c>
      <c r="B811" s="70">
        <v>42942</v>
      </c>
      <c r="C811" s="69">
        <v>626</v>
      </c>
      <c r="D811" s="69">
        <v>3</v>
      </c>
      <c r="E811" s="69">
        <v>59.099999999999994</v>
      </c>
      <c r="F811" s="69">
        <v>41.540000000000006</v>
      </c>
      <c r="G811" s="69" t="s">
        <v>17</v>
      </c>
      <c r="H811" s="69" t="str">
        <f>IFERROR(VLOOKUP(Data!$G811,canon!$I$2:$K$27,2,FALSE),"")</f>
        <v>OUTER</v>
      </c>
      <c r="I811" s="69" t="str">
        <f>IFERROR(VLOOKUP(Data!$G811,canon!$I$2:$K$27,3,FALSE),"")</f>
        <v>APPAREL</v>
      </c>
      <c r="J811" s="69">
        <f t="shared" si="24"/>
        <v>4</v>
      </c>
      <c r="K811" s="69">
        <f t="shared" si="25"/>
        <v>35</v>
      </c>
      <c r="L811" s="69">
        <f>VLOOKUP(Table_db1_backend_Daily.accdb[[#This Row],[TradingDate]],canon!B:E,4,0)</f>
        <v>30</v>
      </c>
    </row>
    <row r="812" spans="1:12" x14ac:dyDescent="0.2">
      <c r="A812" s="69" t="s">
        <v>40</v>
      </c>
      <c r="B812" s="70">
        <v>42942</v>
      </c>
      <c r="C812" s="69">
        <v>362</v>
      </c>
      <c r="D812" s="69">
        <v>2</v>
      </c>
      <c r="E812" s="69">
        <v>36.36</v>
      </c>
      <c r="F812" s="69">
        <v>21.14</v>
      </c>
      <c r="G812" s="69" t="s">
        <v>19</v>
      </c>
      <c r="H812" s="69" t="str">
        <f>IFERROR(VLOOKUP(Data!$G812,canon!$I$2:$K$27,2,FALSE),"")</f>
        <v>PANT</v>
      </c>
      <c r="I812" s="69" t="str">
        <f>IFERROR(VLOOKUP(Data!$G812,canon!$I$2:$K$27,3,FALSE),"")</f>
        <v>APPAREL</v>
      </c>
      <c r="J812" s="69">
        <f t="shared" si="24"/>
        <v>4</v>
      </c>
      <c r="K812" s="69">
        <f t="shared" si="25"/>
        <v>35</v>
      </c>
      <c r="L812" s="69">
        <f>VLOOKUP(Table_db1_backend_Daily.accdb[[#This Row],[TradingDate]],canon!B:E,4,0)</f>
        <v>30</v>
      </c>
    </row>
    <row r="813" spans="1:12" x14ac:dyDescent="0.2">
      <c r="A813" s="69" t="s">
        <v>40</v>
      </c>
      <c r="B813" s="70">
        <v>42942</v>
      </c>
      <c r="C813" s="69">
        <v>32</v>
      </c>
      <c r="D813" s="69">
        <v>0</v>
      </c>
      <c r="E813" s="69">
        <v>0</v>
      </c>
      <c r="F813" s="69">
        <v>0</v>
      </c>
      <c r="G813" s="69" t="s">
        <v>21</v>
      </c>
      <c r="H813" s="69" t="str">
        <f>IFERROR(VLOOKUP(Data!$G813,canon!$I$2:$K$27,2,FALSE),"")</f>
        <v>ACCESSORY</v>
      </c>
      <c r="I813" s="69" t="str">
        <f>IFERROR(VLOOKUP(Data!$G813,canon!$I$2:$K$27,3,FALSE),"")</f>
        <v>N.APPAREL</v>
      </c>
      <c r="J813" s="69">
        <f t="shared" si="24"/>
        <v>4</v>
      </c>
      <c r="K813" s="69">
        <f t="shared" si="25"/>
        <v>35</v>
      </c>
      <c r="L813" s="69">
        <f>VLOOKUP(Table_db1_backend_Daily.accdb[[#This Row],[TradingDate]],canon!B:E,4,0)</f>
        <v>30</v>
      </c>
    </row>
    <row r="814" spans="1:12" x14ac:dyDescent="0.2">
      <c r="A814" s="69" t="s">
        <v>40</v>
      </c>
      <c r="B814" s="70">
        <v>42942</v>
      </c>
      <c r="C814" s="69">
        <v>522</v>
      </c>
      <c r="D814" s="69">
        <v>4</v>
      </c>
      <c r="E814" s="69">
        <v>23.56</v>
      </c>
      <c r="F814" s="69">
        <v>18.560000000000002</v>
      </c>
      <c r="G814" s="69" t="s">
        <v>22</v>
      </c>
      <c r="H814" s="69" t="str">
        <f>IFERROR(VLOOKUP(Data!$G814,canon!$I$2:$K$27,2,FALSE),"")</f>
        <v>SCARF</v>
      </c>
      <c r="I814" s="69" t="str">
        <f>IFERROR(VLOOKUP(Data!$G814,canon!$I$2:$K$27,3,FALSE),"")</f>
        <v>N.APPAREL</v>
      </c>
      <c r="J814" s="69">
        <f t="shared" si="24"/>
        <v>4</v>
      </c>
      <c r="K814" s="69">
        <f t="shared" si="25"/>
        <v>35</v>
      </c>
      <c r="L814" s="69">
        <f>VLOOKUP(Table_db1_backend_Daily.accdb[[#This Row],[TradingDate]],canon!B:E,4,0)</f>
        <v>30</v>
      </c>
    </row>
    <row r="815" spans="1:12" x14ac:dyDescent="0.2">
      <c r="A815" s="69" t="s">
        <v>40</v>
      </c>
      <c r="B815" s="70">
        <v>42942</v>
      </c>
      <c r="C815" s="69">
        <v>61</v>
      </c>
      <c r="D815" s="69">
        <v>1</v>
      </c>
      <c r="E815" s="69">
        <v>18.18</v>
      </c>
      <c r="F815" s="69">
        <v>9.6999999999999993</v>
      </c>
      <c r="G815" s="69" t="s">
        <v>23</v>
      </c>
      <c r="H815" s="69" t="str">
        <f>IFERROR(VLOOKUP(Data!$G815,canon!$I$2:$K$27,2,FALSE),"")</f>
        <v>SH&amp;BL</v>
      </c>
      <c r="I815" s="69" t="str">
        <f>IFERROR(VLOOKUP(Data!$G815,canon!$I$2:$K$27,3,FALSE),"")</f>
        <v>APPAREL</v>
      </c>
      <c r="J815" s="69">
        <f t="shared" si="24"/>
        <v>4</v>
      </c>
      <c r="K815" s="69">
        <f t="shared" si="25"/>
        <v>35</v>
      </c>
      <c r="L815" s="69">
        <f>VLOOKUP(Table_db1_backend_Daily.accdb[[#This Row],[TradingDate]],canon!B:E,4,0)</f>
        <v>30</v>
      </c>
    </row>
    <row r="816" spans="1:12" x14ac:dyDescent="0.2">
      <c r="A816" s="69" t="s">
        <v>40</v>
      </c>
      <c r="B816" s="70">
        <v>42942</v>
      </c>
      <c r="C816" s="69">
        <v>297</v>
      </c>
      <c r="D816" s="69">
        <v>3</v>
      </c>
      <c r="E816" s="69">
        <v>45.45</v>
      </c>
      <c r="F816" s="69">
        <v>27.62</v>
      </c>
      <c r="G816" s="69" t="s">
        <v>32</v>
      </c>
      <c r="H816" s="69" t="str">
        <f>IFERROR(VLOOKUP(Data!$G816,canon!$I$2:$K$27,2,FALSE),"")</f>
        <v>SKIRT</v>
      </c>
      <c r="I816" s="69" t="str">
        <f>IFERROR(VLOOKUP(Data!$G816,canon!$I$2:$K$27,3,FALSE),"")</f>
        <v>APPAREL</v>
      </c>
      <c r="J816" s="69">
        <f t="shared" si="24"/>
        <v>4</v>
      </c>
      <c r="K816" s="69">
        <f t="shared" si="25"/>
        <v>35</v>
      </c>
      <c r="L816" s="69">
        <f>VLOOKUP(Table_db1_backend_Daily.accdb[[#This Row],[TradingDate]],canon!B:E,4,0)</f>
        <v>30</v>
      </c>
    </row>
    <row r="817" spans="1:12" x14ac:dyDescent="0.2">
      <c r="A817" s="69" t="s">
        <v>40</v>
      </c>
      <c r="B817" s="70">
        <v>42942</v>
      </c>
      <c r="C817" s="69">
        <v>763</v>
      </c>
      <c r="D817" s="69">
        <v>20</v>
      </c>
      <c r="E817" s="69">
        <v>177.18</v>
      </c>
      <c r="F817" s="69">
        <v>73.88</v>
      </c>
      <c r="G817" s="69" t="s">
        <v>25</v>
      </c>
      <c r="H817" s="69" t="str">
        <f>IFERROR(VLOOKUP(Data!$G817,canon!$I$2:$K$27,2,FALSE),"")</f>
        <v>TOP</v>
      </c>
      <c r="I817" s="69" t="str">
        <f>IFERROR(VLOOKUP(Data!$G817,canon!$I$2:$K$27,3,FALSE),"")</f>
        <v>APPAREL</v>
      </c>
      <c r="J817" s="69">
        <f t="shared" si="24"/>
        <v>4</v>
      </c>
      <c r="K817" s="69">
        <f t="shared" si="25"/>
        <v>35</v>
      </c>
      <c r="L817" s="69">
        <f>VLOOKUP(Table_db1_backend_Daily.accdb[[#This Row],[TradingDate]],canon!B:E,4,0)</f>
        <v>30</v>
      </c>
    </row>
    <row r="818" spans="1:12" x14ac:dyDescent="0.2">
      <c r="A818" s="69" t="s">
        <v>40</v>
      </c>
      <c r="B818" s="70">
        <v>42943</v>
      </c>
      <c r="C818" s="69">
        <v>4</v>
      </c>
      <c r="D818" s="69">
        <v>0</v>
      </c>
      <c r="E818" s="69">
        <v>0</v>
      </c>
      <c r="F818" s="69">
        <v>0</v>
      </c>
      <c r="G818" s="69" t="s">
        <v>27</v>
      </c>
      <c r="H818" s="69" t="str">
        <f>IFERROR(VLOOKUP(Data!$G818,canon!$I$2:$K$27,2,FALSE),"")</f>
        <v>ACCESSORY</v>
      </c>
      <c r="I818" s="69" t="str">
        <f>IFERROR(VLOOKUP(Data!$G818,canon!$I$2:$K$27,3,FALSE),"")</f>
        <v>N.APPAREL</v>
      </c>
      <c r="J818" s="69">
        <f t="shared" si="24"/>
        <v>5</v>
      </c>
      <c r="K818" s="69">
        <f t="shared" si="25"/>
        <v>35</v>
      </c>
      <c r="L818" s="69">
        <f>VLOOKUP(Table_db1_backend_Daily.accdb[[#This Row],[TradingDate]],canon!B:E,4,0)</f>
        <v>30</v>
      </c>
    </row>
    <row r="819" spans="1:12" x14ac:dyDescent="0.2">
      <c r="A819" s="69" t="s">
        <v>40</v>
      </c>
      <c r="B819" s="70">
        <v>42943</v>
      </c>
      <c r="C819" s="69">
        <v>4</v>
      </c>
      <c r="D819" s="69">
        <v>0</v>
      </c>
      <c r="E819" s="69">
        <v>0</v>
      </c>
      <c r="F819" s="69">
        <v>0</v>
      </c>
      <c r="G819" s="69" t="s">
        <v>34</v>
      </c>
      <c r="H819" s="69" t="str">
        <f>IFERROR(VLOOKUP(Data!$G819,canon!$I$2:$K$27,2,FALSE),"")</f>
        <v>SHOES</v>
      </c>
      <c r="I819" s="69" t="str">
        <f>IFERROR(VLOOKUP(Data!$G819,canon!$I$2:$K$27,3,FALSE),"")</f>
        <v>N.APPAREL</v>
      </c>
      <c r="J819" s="69">
        <f t="shared" si="24"/>
        <v>5</v>
      </c>
      <c r="K819" s="69">
        <f t="shared" si="25"/>
        <v>35</v>
      </c>
      <c r="L819" s="69">
        <f>VLOOKUP(Table_db1_backend_Daily.accdb[[#This Row],[TradingDate]],canon!B:E,4,0)</f>
        <v>30</v>
      </c>
    </row>
    <row r="820" spans="1:12" x14ac:dyDescent="0.2">
      <c r="A820" s="69" t="s">
        <v>40</v>
      </c>
      <c r="B820" s="70">
        <v>42943</v>
      </c>
      <c r="C820" s="69">
        <v>2</v>
      </c>
      <c r="D820" s="69">
        <v>0</v>
      </c>
      <c r="E820" s="69">
        <v>0</v>
      </c>
      <c r="F820" s="69">
        <v>0</v>
      </c>
      <c r="G820" s="69" t="s">
        <v>38</v>
      </c>
      <c r="H820" s="69" t="str">
        <f>IFERROR(VLOOKUP(Data!$G820,canon!$I$2:$K$27,2,FALSE),"")</f>
        <v>SHOES</v>
      </c>
      <c r="I820" s="69" t="str">
        <f>IFERROR(VLOOKUP(Data!$G820,canon!$I$2:$K$27,3,FALSE),"")</f>
        <v>N.APPAREL</v>
      </c>
      <c r="J820" s="69">
        <f t="shared" si="24"/>
        <v>5</v>
      </c>
      <c r="K820" s="69">
        <f t="shared" si="25"/>
        <v>35</v>
      </c>
      <c r="L820" s="69">
        <f>VLOOKUP(Table_db1_backend_Daily.accdb[[#This Row],[TradingDate]],canon!B:E,4,0)</f>
        <v>30</v>
      </c>
    </row>
    <row r="821" spans="1:12" x14ac:dyDescent="0.2">
      <c r="A821" s="69" t="s">
        <v>40</v>
      </c>
      <c r="B821" s="70">
        <v>42943</v>
      </c>
      <c r="C821" s="69">
        <v>418</v>
      </c>
      <c r="D821" s="69">
        <v>14</v>
      </c>
      <c r="E821" s="69">
        <v>222.39000000000001</v>
      </c>
      <c r="F821" s="69">
        <v>108.68</v>
      </c>
      <c r="G821" s="69" t="s">
        <v>35</v>
      </c>
      <c r="H821" s="69" t="str">
        <f>IFERROR(VLOOKUP(Data!$G821,canon!$I$2:$K$27,2,FALSE),"")</f>
        <v>DRESS</v>
      </c>
      <c r="I821" s="69" t="str">
        <f>IFERROR(VLOOKUP(Data!$G821,canon!$I$2:$K$27,3,FALSE),"")</f>
        <v>APPAREL</v>
      </c>
      <c r="J821" s="69">
        <f t="shared" si="24"/>
        <v>5</v>
      </c>
      <c r="K821" s="69">
        <f t="shared" si="25"/>
        <v>35</v>
      </c>
      <c r="L821" s="69">
        <f>VLOOKUP(Table_db1_backend_Daily.accdb[[#This Row],[TradingDate]],canon!B:E,4,0)</f>
        <v>30</v>
      </c>
    </row>
    <row r="822" spans="1:12" x14ac:dyDescent="0.2">
      <c r="A822" s="69" t="s">
        <v>40</v>
      </c>
      <c r="B822" s="70">
        <v>42943</v>
      </c>
      <c r="C822" s="69">
        <v>6</v>
      </c>
      <c r="D822" s="69">
        <v>0</v>
      </c>
      <c r="E822" s="69">
        <v>0</v>
      </c>
      <c r="F822" s="69">
        <v>0</v>
      </c>
      <c r="G822" s="69" t="s">
        <v>10</v>
      </c>
      <c r="H822" s="69" t="str">
        <f>IFERROR(VLOOKUP(Data!$G822,canon!$I$2:$K$27,2,FALSE),"")</f>
        <v>ACCESSORY</v>
      </c>
      <c r="I822" s="69" t="str">
        <f>IFERROR(VLOOKUP(Data!$G822,canon!$I$2:$K$27,3,FALSE),"")</f>
        <v>N.APPAREL</v>
      </c>
      <c r="J822" s="69">
        <f t="shared" si="24"/>
        <v>5</v>
      </c>
      <c r="K822" s="69">
        <f t="shared" si="25"/>
        <v>35</v>
      </c>
      <c r="L822" s="69">
        <f>VLOOKUP(Table_db1_backend_Daily.accdb[[#This Row],[TradingDate]],canon!B:E,4,0)</f>
        <v>30</v>
      </c>
    </row>
    <row r="823" spans="1:12" x14ac:dyDescent="0.2">
      <c r="A823" s="69" t="s">
        <v>40</v>
      </c>
      <c r="B823" s="70">
        <v>42943</v>
      </c>
      <c r="C823" s="69">
        <v>-17</v>
      </c>
      <c r="D823" s="69">
        <v>0</v>
      </c>
      <c r="E823" s="69">
        <v>0</v>
      </c>
      <c r="F823" s="69">
        <v>0</v>
      </c>
      <c r="G823" s="69" t="s">
        <v>28</v>
      </c>
      <c r="H823" s="69" t="str">
        <f>IFERROR(VLOOKUP(Data!$G823,canon!$I$2:$K$27,2,FALSE),"")</f>
        <v>ACCESSORY</v>
      </c>
      <c r="I823" s="69" t="str">
        <f>IFERROR(VLOOKUP(Data!$G823,canon!$I$2:$K$27,3,FALSE),"")</f>
        <v>N.APPAREL</v>
      </c>
      <c r="J823" s="69">
        <f t="shared" si="24"/>
        <v>5</v>
      </c>
      <c r="K823" s="69">
        <f t="shared" si="25"/>
        <v>35</v>
      </c>
      <c r="L823" s="69">
        <f>VLOOKUP(Table_db1_backend_Daily.accdb[[#This Row],[TradingDate]],canon!B:E,4,0)</f>
        <v>30</v>
      </c>
    </row>
    <row r="824" spans="1:12" x14ac:dyDescent="0.2">
      <c r="A824" s="69" t="s">
        <v>40</v>
      </c>
      <c r="B824" s="70">
        <v>42943</v>
      </c>
      <c r="C824" s="69">
        <v>1721</v>
      </c>
      <c r="D824" s="69">
        <v>116</v>
      </c>
      <c r="E824" s="69">
        <v>1030.6799999999998</v>
      </c>
      <c r="F824" s="69">
        <v>97.329999999999956</v>
      </c>
      <c r="G824" s="69" t="s">
        <v>11</v>
      </c>
      <c r="H824" s="69" t="str">
        <f>IFERROR(VLOOKUP(Data!$G824,canon!$I$2:$K$27,2,FALSE),"")</f>
        <v>KNIT</v>
      </c>
      <c r="I824" s="69" t="str">
        <f>IFERROR(VLOOKUP(Data!$G824,canon!$I$2:$K$27,3,FALSE),"")</f>
        <v>APPAREL</v>
      </c>
      <c r="J824" s="69">
        <f t="shared" si="24"/>
        <v>5</v>
      </c>
      <c r="K824" s="69">
        <f t="shared" si="25"/>
        <v>35</v>
      </c>
      <c r="L824" s="69">
        <f>VLOOKUP(Table_db1_backend_Daily.accdb[[#This Row],[TradingDate]],canon!B:E,4,0)</f>
        <v>30</v>
      </c>
    </row>
    <row r="825" spans="1:12" x14ac:dyDescent="0.2">
      <c r="A825" s="69" t="s">
        <v>40</v>
      </c>
      <c r="B825" s="70">
        <v>42943</v>
      </c>
      <c r="C825" s="69">
        <v>270</v>
      </c>
      <c r="D825" s="69">
        <v>2</v>
      </c>
      <c r="E825" s="69">
        <v>45.42</v>
      </c>
      <c r="F825" s="69">
        <v>32.81</v>
      </c>
      <c r="G825" s="69" t="s">
        <v>14</v>
      </c>
      <c r="H825" s="69" t="str">
        <f>IFERROR(VLOOKUP(Data!$G825,canon!$I$2:$K$27,2,FALSE),"")</f>
        <v>LEGGING</v>
      </c>
      <c r="I825" s="69" t="str">
        <f>IFERROR(VLOOKUP(Data!$G825,canon!$I$2:$K$27,3,FALSE),"")</f>
        <v>APPAREL</v>
      </c>
      <c r="J825" s="69">
        <f t="shared" si="24"/>
        <v>5</v>
      </c>
      <c r="K825" s="69">
        <f t="shared" si="25"/>
        <v>35</v>
      </c>
      <c r="L825" s="69">
        <f>VLOOKUP(Table_db1_backend_Daily.accdb[[#This Row],[TradingDate]],canon!B:E,4,0)</f>
        <v>30</v>
      </c>
    </row>
    <row r="826" spans="1:12" x14ac:dyDescent="0.2">
      <c r="A826" s="69" t="s">
        <v>40</v>
      </c>
      <c r="B826" s="70">
        <v>42943</v>
      </c>
      <c r="C826" s="69">
        <v>1</v>
      </c>
      <c r="D826" s="69">
        <v>0</v>
      </c>
      <c r="E826" s="69">
        <v>0</v>
      </c>
      <c r="F826" s="69">
        <v>0</v>
      </c>
      <c r="G826" s="69" t="s">
        <v>37</v>
      </c>
      <c r="H826" s="69" t="str">
        <f>IFERROR(VLOOKUP(Data!$G826,canon!$I$2:$K$27,2,FALSE),"")</f>
        <v>SHOES</v>
      </c>
      <c r="I826" s="69" t="str">
        <f>IFERROR(VLOOKUP(Data!$G826,canon!$I$2:$K$27,3,FALSE),"")</f>
        <v>N.APPAREL</v>
      </c>
      <c r="J826" s="69">
        <f t="shared" si="24"/>
        <v>5</v>
      </c>
      <c r="K826" s="69">
        <f t="shared" si="25"/>
        <v>35</v>
      </c>
      <c r="L826" s="69">
        <f>VLOOKUP(Table_db1_backend_Daily.accdb[[#This Row],[TradingDate]],canon!B:E,4,0)</f>
        <v>30</v>
      </c>
    </row>
    <row r="827" spans="1:12" x14ac:dyDescent="0.2">
      <c r="A827" s="69" t="s">
        <v>40</v>
      </c>
      <c r="B827" s="70">
        <v>42943</v>
      </c>
      <c r="C827" s="69">
        <v>610</v>
      </c>
      <c r="D827" s="69">
        <v>16</v>
      </c>
      <c r="E827" s="69">
        <v>313.59000000000003</v>
      </c>
      <c r="F827" s="69">
        <v>193.41</v>
      </c>
      <c r="G827" s="69" t="s">
        <v>17</v>
      </c>
      <c r="H827" s="69" t="str">
        <f>IFERROR(VLOOKUP(Data!$G827,canon!$I$2:$K$27,2,FALSE),"")</f>
        <v>OUTER</v>
      </c>
      <c r="I827" s="69" t="str">
        <f>IFERROR(VLOOKUP(Data!$G827,canon!$I$2:$K$27,3,FALSE),"")</f>
        <v>APPAREL</v>
      </c>
      <c r="J827" s="69">
        <f t="shared" si="24"/>
        <v>5</v>
      </c>
      <c r="K827" s="69">
        <f t="shared" si="25"/>
        <v>35</v>
      </c>
      <c r="L827" s="69">
        <f>VLOOKUP(Table_db1_backend_Daily.accdb[[#This Row],[TradingDate]],canon!B:E,4,0)</f>
        <v>30</v>
      </c>
    </row>
    <row r="828" spans="1:12" x14ac:dyDescent="0.2">
      <c r="A828" s="69" t="s">
        <v>40</v>
      </c>
      <c r="B828" s="70">
        <v>42943</v>
      </c>
      <c r="C828" s="69">
        <v>359</v>
      </c>
      <c r="D828" s="69">
        <v>3</v>
      </c>
      <c r="E828" s="69">
        <v>45.44</v>
      </c>
      <c r="F828" s="69">
        <v>25.060000000000002</v>
      </c>
      <c r="G828" s="69" t="s">
        <v>19</v>
      </c>
      <c r="H828" s="69" t="str">
        <f>IFERROR(VLOOKUP(Data!$G828,canon!$I$2:$K$27,2,FALSE),"")</f>
        <v>PANT</v>
      </c>
      <c r="I828" s="69" t="str">
        <f>IFERROR(VLOOKUP(Data!$G828,canon!$I$2:$K$27,3,FALSE),"")</f>
        <v>APPAREL</v>
      </c>
      <c r="J828" s="69">
        <f t="shared" si="24"/>
        <v>5</v>
      </c>
      <c r="K828" s="69">
        <f t="shared" si="25"/>
        <v>35</v>
      </c>
      <c r="L828" s="69">
        <f>VLOOKUP(Table_db1_backend_Daily.accdb[[#This Row],[TradingDate]],canon!B:E,4,0)</f>
        <v>30</v>
      </c>
    </row>
    <row r="829" spans="1:12" x14ac:dyDescent="0.2">
      <c r="A829" s="69" t="s">
        <v>40</v>
      </c>
      <c r="B829" s="70">
        <v>42943</v>
      </c>
      <c r="C829" s="69">
        <v>32</v>
      </c>
      <c r="D829" s="69">
        <v>0</v>
      </c>
      <c r="E829" s="69">
        <v>0</v>
      </c>
      <c r="F829" s="69">
        <v>0</v>
      </c>
      <c r="G829" s="69" t="s">
        <v>21</v>
      </c>
      <c r="H829" s="69" t="str">
        <f>IFERROR(VLOOKUP(Data!$G829,canon!$I$2:$K$27,2,FALSE),"")</f>
        <v>ACCESSORY</v>
      </c>
      <c r="I829" s="69" t="str">
        <f>IFERROR(VLOOKUP(Data!$G829,canon!$I$2:$K$27,3,FALSE),"")</f>
        <v>N.APPAREL</v>
      </c>
      <c r="J829" s="69">
        <f t="shared" si="24"/>
        <v>5</v>
      </c>
      <c r="K829" s="69">
        <f t="shared" si="25"/>
        <v>35</v>
      </c>
      <c r="L829" s="69">
        <f>VLOOKUP(Table_db1_backend_Daily.accdb[[#This Row],[TradingDate]],canon!B:E,4,0)</f>
        <v>30</v>
      </c>
    </row>
    <row r="830" spans="1:12" x14ac:dyDescent="0.2">
      <c r="A830" s="69" t="s">
        <v>40</v>
      </c>
      <c r="B830" s="70">
        <v>42943</v>
      </c>
      <c r="C830" s="69">
        <v>515</v>
      </c>
      <c r="D830" s="69">
        <v>7</v>
      </c>
      <c r="E830" s="69">
        <v>47.92</v>
      </c>
      <c r="F830" s="69">
        <v>35.54</v>
      </c>
      <c r="G830" s="69" t="s">
        <v>22</v>
      </c>
      <c r="H830" s="69" t="str">
        <f>IFERROR(VLOOKUP(Data!$G830,canon!$I$2:$K$27,2,FALSE),"")</f>
        <v>SCARF</v>
      </c>
      <c r="I830" s="69" t="str">
        <f>IFERROR(VLOOKUP(Data!$G830,canon!$I$2:$K$27,3,FALSE),"")</f>
        <v>N.APPAREL</v>
      </c>
      <c r="J830" s="69">
        <f t="shared" si="24"/>
        <v>5</v>
      </c>
      <c r="K830" s="69">
        <f t="shared" si="25"/>
        <v>35</v>
      </c>
      <c r="L830" s="69">
        <f>VLOOKUP(Table_db1_backend_Daily.accdb[[#This Row],[TradingDate]],canon!B:E,4,0)</f>
        <v>30</v>
      </c>
    </row>
    <row r="831" spans="1:12" x14ac:dyDescent="0.2">
      <c r="A831" s="69" t="s">
        <v>40</v>
      </c>
      <c r="B831" s="70">
        <v>42943</v>
      </c>
      <c r="C831" s="69">
        <v>59</v>
      </c>
      <c r="D831" s="69">
        <v>2</v>
      </c>
      <c r="E831" s="69">
        <v>36.36</v>
      </c>
      <c r="F831" s="69">
        <v>20.7</v>
      </c>
      <c r="G831" s="69" t="s">
        <v>23</v>
      </c>
      <c r="H831" s="69" t="str">
        <f>IFERROR(VLOOKUP(Data!$G831,canon!$I$2:$K$27,2,FALSE),"")</f>
        <v>SH&amp;BL</v>
      </c>
      <c r="I831" s="69" t="str">
        <f>IFERROR(VLOOKUP(Data!$G831,canon!$I$2:$K$27,3,FALSE),"")</f>
        <v>APPAREL</v>
      </c>
      <c r="J831" s="69">
        <f t="shared" si="24"/>
        <v>5</v>
      </c>
      <c r="K831" s="69">
        <f t="shared" si="25"/>
        <v>35</v>
      </c>
      <c r="L831" s="69">
        <f>VLOOKUP(Table_db1_backend_Daily.accdb[[#This Row],[TradingDate]],canon!B:E,4,0)</f>
        <v>30</v>
      </c>
    </row>
    <row r="832" spans="1:12" x14ac:dyDescent="0.2">
      <c r="A832" s="69" t="s">
        <v>40</v>
      </c>
      <c r="B832" s="70">
        <v>42943</v>
      </c>
      <c r="C832" s="69">
        <v>294</v>
      </c>
      <c r="D832" s="69">
        <v>3</v>
      </c>
      <c r="E832" s="69">
        <v>54.41</v>
      </c>
      <c r="F832" s="69">
        <v>39.409999999999997</v>
      </c>
      <c r="G832" s="69" t="s">
        <v>32</v>
      </c>
      <c r="H832" s="69" t="str">
        <f>IFERROR(VLOOKUP(Data!$G832,canon!$I$2:$K$27,2,FALSE),"")</f>
        <v>SKIRT</v>
      </c>
      <c r="I832" s="69" t="str">
        <f>IFERROR(VLOOKUP(Data!$G832,canon!$I$2:$K$27,3,FALSE),"")</f>
        <v>APPAREL</v>
      </c>
      <c r="J832" s="69">
        <f t="shared" si="24"/>
        <v>5</v>
      </c>
      <c r="K832" s="69">
        <f t="shared" si="25"/>
        <v>35</v>
      </c>
      <c r="L832" s="69">
        <f>VLOOKUP(Table_db1_backend_Daily.accdb[[#This Row],[TradingDate]],canon!B:E,4,0)</f>
        <v>30</v>
      </c>
    </row>
    <row r="833" spans="1:12" x14ac:dyDescent="0.2">
      <c r="A833" s="69" t="s">
        <v>40</v>
      </c>
      <c r="B833" s="70">
        <v>42943</v>
      </c>
      <c r="C833" s="69">
        <v>709</v>
      </c>
      <c r="D833" s="69">
        <v>54</v>
      </c>
      <c r="E833" s="69">
        <v>467.7700000000001</v>
      </c>
      <c r="F833" s="69">
        <v>189.73999999999995</v>
      </c>
      <c r="G833" s="69" t="s">
        <v>25</v>
      </c>
      <c r="H833" s="69" t="str">
        <f>IFERROR(VLOOKUP(Data!$G833,canon!$I$2:$K$27,2,FALSE),"")</f>
        <v>TOP</v>
      </c>
      <c r="I833" s="69" t="str">
        <f>IFERROR(VLOOKUP(Data!$G833,canon!$I$2:$K$27,3,FALSE),"")</f>
        <v>APPAREL</v>
      </c>
      <c r="J833" s="69">
        <f t="shared" si="24"/>
        <v>5</v>
      </c>
      <c r="K833" s="69">
        <f t="shared" si="25"/>
        <v>35</v>
      </c>
      <c r="L833" s="69">
        <f>VLOOKUP(Table_db1_backend_Daily.accdb[[#This Row],[TradingDate]],canon!B:E,4,0)</f>
        <v>30</v>
      </c>
    </row>
    <row r="834" spans="1:12" x14ac:dyDescent="0.2">
      <c r="A834" s="69" t="s">
        <v>40</v>
      </c>
      <c r="B834" s="70">
        <v>42944</v>
      </c>
      <c r="C834" s="69">
        <v>4</v>
      </c>
      <c r="D834" s="69">
        <v>0</v>
      </c>
      <c r="E834" s="69">
        <v>0</v>
      </c>
      <c r="F834" s="69">
        <v>0</v>
      </c>
      <c r="G834" s="69" t="s">
        <v>27</v>
      </c>
      <c r="H834" s="69" t="str">
        <f>IFERROR(VLOOKUP(Data!$G834,canon!$I$2:$K$27,2,FALSE),"")</f>
        <v>ACCESSORY</v>
      </c>
      <c r="I834" s="69" t="str">
        <f>IFERROR(VLOOKUP(Data!$G834,canon!$I$2:$K$27,3,FALSE),"")</f>
        <v>N.APPAREL</v>
      </c>
      <c r="J834" s="69">
        <f t="shared" ref="J834:J897" si="26">WEEKDAY(B834)</f>
        <v>6</v>
      </c>
      <c r="K834" s="69">
        <f t="shared" ref="K834:K897" si="27">INT(A834)</f>
        <v>35</v>
      </c>
      <c r="L834" s="69">
        <f>VLOOKUP(Table_db1_backend_Daily.accdb[[#This Row],[TradingDate]],canon!B:E,4,0)</f>
        <v>30</v>
      </c>
    </row>
    <row r="835" spans="1:12" x14ac:dyDescent="0.2">
      <c r="A835" s="69" t="s">
        <v>40</v>
      </c>
      <c r="B835" s="70">
        <v>42944</v>
      </c>
      <c r="C835" s="69">
        <v>4</v>
      </c>
      <c r="D835" s="69">
        <v>0</v>
      </c>
      <c r="E835" s="69">
        <v>0</v>
      </c>
      <c r="F835" s="69">
        <v>0</v>
      </c>
      <c r="G835" s="69" t="s">
        <v>34</v>
      </c>
      <c r="H835" s="69" t="str">
        <f>IFERROR(VLOOKUP(Data!$G835,canon!$I$2:$K$27,2,FALSE),"")</f>
        <v>SHOES</v>
      </c>
      <c r="I835" s="69" t="str">
        <f>IFERROR(VLOOKUP(Data!$G835,canon!$I$2:$K$27,3,FALSE),"")</f>
        <v>N.APPAREL</v>
      </c>
      <c r="J835" s="69">
        <f t="shared" si="26"/>
        <v>6</v>
      </c>
      <c r="K835" s="69">
        <f t="shared" si="27"/>
        <v>35</v>
      </c>
      <c r="L835" s="69">
        <f>VLOOKUP(Table_db1_backend_Daily.accdb[[#This Row],[TradingDate]],canon!B:E,4,0)</f>
        <v>30</v>
      </c>
    </row>
    <row r="836" spans="1:12" x14ac:dyDescent="0.2">
      <c r="A836" s="69" t="s">
        <v>40</v>
      </c>
      <c r="B836" s="70">
        <v>42944</v>
      </c>
      <c r="C836" s="69">
        <v>2</v>
      </c>
      <c r="D836" s="69">
        <v>0</v>
      </c>
      <c r="E836" s="69">
        <v>0</v>
      </c>
      <c r="F836" s="69">
        <v>0</v>
      </c>
      <c r="G836" s="69" t="s">
        <v>38</v>
      </c>
      <c r="H836" s="69" t="str">
        <f>IFERROR(VLOOKUP(Data!$G836,canon!$I$2:$K$27,2,FALSE),"")</f>
        <v>SHOES</v>
      </c>
      <c r="I836" s="69" t="str">
        <f>IFERROR(VLOOKUP(Data!$G836,canon!$I$2:$K$27,3,FALSE),"")</f>
        <v>N.APPAREL</v>
      </c>
      <c r="J836" s="69">
        <f t="shared" si="26"/>
        <v>6</v>
      </c>
      <c r="K836" s="69">
        <f t="shared" si="27"/>
        <v>35</v>
      </c>
      <c r="L836" s="69">
        <f>VLOOKUP(Table_db1_backend_Daily.accdb[[#This Row],[TradingDate]],canon!B:E,4,0)</f>
        <v>30</v>
      </c>
    </row>
    <row r="837" spans="1:12" x14ac:dyDescent="0.2">
      <c r="A837" s="69" t="s">
        <v>40</v>
      </c>
      <c r="B837" s="70">
        <v>42944</v>
      </c>
      <c r="C837" s="69">
        <v>416</v>
      </c>
      <c r="D837" s="69">
        <v>2</v>
      </c>
      <c r="E837" s="69">
        <v>27.18</v>
      </c>
      <c r="F837" s="69">
        <v>11.530000000000001</v>
      </c>
      <c r="G837" s="69" t="s">
        <v>35</v>
      </c>
      <c r="H837" s="69" t="str">
        <f>IFERROR(VLOOKUP(Data!$G837,canon!$I$2:$K$27,2,FALSE),"")</f>
        <v>DRESS</v>
      </c>
      <c r="I837" s="69" t="str">
        <f>IFERROR(VLOOKUP(Data!$G837,canon!$I$2:$K$27,3,FALSE),"")</f>
        <v>APPAREL</v>
      </c>
      <c r="J837" s="69">
        <f t="shared" si="26"/>
        <v>6</v>
      </c>
      <c r="K837" s="69">
        <f t="shared" si="27"/>
        <v>35</v>
      </c>
      <c r="L837" s="69">
        <f>VLOOKUP(Table_db1_backend_Daily.accdb[[#This Row],[TradingDate]],canon!B:E,4,0)</f>
        <v>30</v>
      </c>
    </row>
    <row r="838" spans="1:12" x14ac:dyDescent="0.2">
      <c r="A838" s="69" t="s">
        <v>40</v>
      </c>
      <c r="B838" s="70">
        <v>42944</v>
      </c>
      <c r="C838" s="69">
        <v>6</v>
      </c>
      <c r="D838" s="69">
        <v>0</v>
      </c>
      <c r="E838" s="69">
        <v>0</v>
      </c>
      <c r="F838" s="69">
        <v>0</v>
      </c>
      <c r="G838" s="69" t="s">
        <v>10</v>
      </c>
      <c r="H838" s="69" t="str">
        <f>IFERROR(VLOOKUP(Data!$G838,canon!$I$2:$K$27,2,FALSE),"")</f>
        <v>ACCESSORY</v>
      </c>
      <c r="I838" s="69" t="str">
        <f>IFERROR(VLOOKUP(Data!$G838,canon!$I$2:$K$27,3,FALSE),"")</f>
        <v>N.APPAREL</v>
      </c>
      <c r="J838" s="69">
        <f t="shared" si="26"/>
        <v>6</v>
      </c>
      <c r="K838" s="69">
        <f t="shared" si="27"/>
        <v>35</v>
      </c>
      <c r="L838" s="69">
        <f>VLOOKUP(Table_db1_backend_Daily.accdb[[#This Row],[TradingDate]],canon!B:E,4,0)</f>
        <v>30</v>
      </c>
    </row>
    <row r="839" spans="1:12" x14ac:dyDescent="0.2">
      <c r="A839" s="69" t="s">
        <v>40</v>
      </c>
      <c r="B839" s="70">
        <v>42944</v>
      </c>
      <c r="C839" s="69">
        <v>-17</v>
      </c>
      <c r="D839" s="69">
        <v>0</v>
      </c>
      <c r="E839" s="69">
        <v>0</v>
      </c>
      <c r="F839" s="69">
        <v>0</v>
      </c>
      <c r="G839" s="69" t="s">
        <v>28</v>
      </c>
      <c r="H839" s="69" t="str">
        <f>IFERROR(VLOOKUP(Data!$G839,canon!$I$2:$K$27,2,FALSE),"")</f>
        <v>ACCESSORY</v>
      </c>
      <c r="I839" s="69" t="str">
        <f>IFERROR(VLOOKUP(Data!$G839,canon!$I$2:$K$27,3,FALSE),"")</f>
        <v>N.APPAREL</v>
      </c>
      <c r="J839" s="69">
        <f t="shared" si="26"/>
        <v>6</v>
      </c>
      <c r="K839" s="69">
        <f t="shared" si="27"/>
        <v>35</v>
      </c>
      <c r="L839" s="69">
        <f>VLOOKUP(Table_db1_backend_Daily.accdb[[#This Row],[TradingDate]],canon!B:E,4,0)</f>
        <v>30</v>
      </c>
    </row>
    <row r="840" spans="1:12" x14ac:dyDescent="0.2">
      <c r="A840" s="69" t="s">
        <v>40</v>
      </c>
      <c r="B840" s="70">
        <v>42944</v>
      </c>
      <c r="C840" s="69">
        <v>1637</v>
      </c>
      <c r="D840" s="69">
        <v>84</v>
      </c>
      <c r="E840" s="69">
        <v>803.73999999999978</v>
      </c>
      <c r="F840" s="69">
        <v>128.89000000000001</v>
      </c>
      <c r="G840" s="69" t="s">
        <v>11</v>
      </c>
      <c r="H840" s="69" t="str">
        <f>IFERROR(VLOOKUP(Data!$G840,canon!$I$2:$K$27,2,FALSE),"")</f>
        <v>KNIT</v>
      </c>
      <c r="I840" s="69" t="str">
        <f>IFERROR(VLOOKUP(Data!$G840,canon!$I$2:$K$27,3,FALSE),"")</f>
        <v>APPAREL</v>
      </c>
      <c r="J840" s="69">
        <f t="shared" si="26"/>
        <v>6</v>
      </c>
      <c r="K840" s="69">
        <f t="shared" si="27"/>
        <v>35</v>
      </c>
      <c r="L840" s="69">
        <f>VLOOKUP(Table_db1_backend_Daily.accdb[[#This Row],[TradingDate]],canon!B:E,4,0)</f>
        <v>30</v>
      </c>
    </row>
    <row r="841" spans="1:12" x14ac:dyDescent="0.2">
      <c r="A841" s="69" t="s">
        <v>40</v>
      </c>
      <c r="B841" s="70">
        <v>42944</v>
      </c>
      <c r="C841" s="69">
        <v>264</v>
      </c>
      <c r="D841" s="69">
        <v>6</v>
      </c>
      <c r="E841" s="69">
        <v>27.29</v>
      </c>
      <c r="F841" s="69">
        <v>-14.47</v>
      </c>
      <c r="G841" s="69" t="s">
        <v>14</v>
      </c>
      <c r="H841" s="69" t="str">
        <f>IFERROR(VLOOKUP(Data!$G841,canon!$I$2:$K$27,2,FALSE),"")</f>
        <v>LEGGING</v>
      </c>
      <c r="I841" s="69" t="str">
        <f>IFERROR(VLOOKUP(Data!$G841,canon!$I$2:$K$27,3,FALSE),"")</f>
        <v>APPAREL</v>
      </c>
      <c r="J841" s="69">
        <f t="shared" si="26"/>
        <v>6</v>
      </c>
      <c r="K841" s="69">
        <f t="shared" si="27"/>
        <v>35</v>
      </c>
      <c r="L841" s="69">
        <f>VLOOKUP(Table_db1_backend_Daily.accdb[[#This Row],[TradingDate]],canon!B:E,4,0)</f>
        <v>30</v>
      </c>
    </row>
    <row r="842" spans="1:12" x14ac:dyDescent="0.2">
      <c r="A842" s="69" t="s">
        <v>40</v>
      </c>
      <c r="B842" s="70">
        <v>42944</v>
      </c>
      <c r="C842" s="69">
        <v>1</v>
      </c>
      <c r="D842" s="69">
        <v>0</v>
      </c>
      <c r="E842" s="69">
        <v>0</v>
      </c>
      <c r="F842" s="69">
        <v>0</v>
      </c>
      <c r="G842" s="69" t="s">
        <v>37</v>
      </c>
      <c r="H842" s="69" t="str">
        <f>IFERROR(VLOOKUP(Data!$G842,canon!$I$2:$K$27,2,FALSE),"")</f>
        <v>SHOES</v>
      </c>
      <c r="I842" s="69" t="str">
        <f>IFERROR(VLOOKUP(Data!$G842,canon!$I$2:$K$27,3,FALSE),"")</f>
        <v>N.APPAREL</v>
      </c>
      <c r="J842" s="69">
        <f t="shared" si="26"/>
        <v>6</v>
      </c>
      <c r="K842" s="69">
        <f t="shared" si="27"/>
        <v>35</v>
      </c>
      <c r="L842" s="69">
        <f>VLOOKUP(Table_db1_backend_Daily.accdb[[#This Row],[TradingDate]],canon!B:E,4,0)</f>
        <v>30</v>
      </c>
    </row>
    <row r="843" spans="1:12" x14ac:dyDescent="0.2">
      <c r="A843" s="69" t="s">
        <v>40</v>
      </c>
      <c r="B843" s="70">
        <v>42944</v>
      </c>
      <c r="C843" s="69">
        <v>600</v>
      </c>
      <c r="D843" s="69">
        <v>10</v>
      </c>
      <c r="E843" s="69">
        <v>181.79000000000002</v>
      </c>
      <c r="F843" s="69">
        <v>102.89999999999999</v>
      </c>
      <c r="G843" s="69" t="s">
        <v>17</v>
      </c>
      <c r="H843" s="69" t="str">
        <f>IFERROR(VLOOKUP(Data!$G843,canon!$I$2:$K$27,2,FALSE),"")</f>
        <v>OUTER</v>
      </c>
      <c r="I843" s="69" t="str">
        <f>IFERROR(VLOOKUP(Data!$G843,canon!$I$2:$K$27,3,FALSE),"")</f>
        <v>APPAREL</v>
      </c>
      <c r="J843" s="69">
        <f t="shared" si="26"/>
        <v>6</v>
      </c>
      <c r="K843" s="69">
        <f t="shared" si="27"/>
        <v>35</v>
      </c>
      <c r="L843" s="69">
        <f>VLOOKUP(Table_db1_backend_Daily.accdb[[#This Row],[TradingDate]],canon!B:E,4,0)</f>
        <v>30</v>
      </c>
    </row>
    <row r="844" spans="1:12" x14ac:dyDescent="0.2">
      <c r="A844" s="69" t="s">
        <v>40</v>
      </c>
      <c r="B844" s="70">
        <v>42944</v>
      </c>
      <c r="C844" s="69">
        <v>355</v>
      </c>
      <c r="D844" s="69">
        <v>4</v>
      </c>
      <c r="E844" s="69">
        <v>45.44</v>
      </c>
      <c r="F844" s="69">
        <v>16.789999999999996</v>
      </c>
      <c r="G844" s="69" t="s">
        <v>19</v>
      </c>
      <c r="H844" s="69" t="str">
        <f>IFERROR(VLOOKUP(Data!$G844,canon!$I$2:$K$27,2,FALSE),"")</f>
        <v>PANT</v>
      </c>
      <c r="I844" s="69" t="str">
        <f>IFERROR(VLOOKUP(Data!$G844,canon!$I$2:$K$27,3,FALSE),"")</f>
        <v>APPAREL</v>
      </c>
      <c r="J844" s="69">
        <f t="shared" si="26"/>
        <v>6</v>
      </c>
      <c r="K844" s="69">
        <f t="shared" si="27"/>
        <v>35</v>
      </c>
      <c r="L844" s="69">
        <f>VLOOKUP(Table_db1_backend_Daily.accdb[[#This Row],[TradingDate]],canon!B:E,4,0)</f>
        <v>30</v>
      </c>
    </row>
    <row r="845" spans="1:12" x14ac:dyDescent="0.2">
      <c r="A845" s="69" t="s">
        <v>40</v>
      </c>
      <c r="B845" s="70">
        <v>42944</v>
      </c>
      <c r="C845" s="69">
        <v>32</v>
      </c>
      <c r="D845" s="69">
        <v>0</v>
      </c>
      <c r="E845" s="69">
        <v>0</v>
      </c>
      <c r="F845" s="69">
        <v>0</v>
      </c>
      <c r="G845" s="69" t="s">
        <v>21</v>
      </c>
      <c r="H845" s="69" t="str">
        <f>IFERROR(VLOOKUP(Data!$G845,canon!$I$2:$K$27,2,FALSE),"")</f>
        <v>ACCESSORY</v>
      </c>
      <c r="I845" s="69" t="str">
        <f>IFERROR(VLOOKUP(Data!$G845,canon!$I$2:$K$27,3,FALSE),"")</f>
        <v>N.APPAREL</v>
      </c>
      <c r="J845" s="69">
        <f t="shared" si="26"/>
        <v>6</v>
      </c>
      <c r="K845" s="69">
        <f t="shared" si="27"/>
        <v>35</v>
      </c>
      <c r="L845" s="69">
        <f>VLOOKUP(Table_db1_backend_Daily.accdb[[#This Row],[TradingDate]],canon!B:E,4,0)</f>
        <v>30</v>
      </c>
    </row>
    <row r="846" spans="1:12" x14ac:dyDescent="0.2">
      <c r="A846" s="69" t="s">
        <v>40</v>
      </c>
      <c r="B846" s="70">
        <v>42944</v>
      </c>
      <c r="C846" s="69">
        <v>511</v>
      </c>
      <c r="D846" s="69">
        <v>4</v>
      </c>
      <c r="E846" s="69">
        <v>26.22</v>
      </c>
      <c r="F846" s="69">
        <v>20.57</v>
      </c>
      <c r="G846" s="69" t="s">
        <v>22</v>
      </c>
      <c r="H846" s="69" t="str">
        <f>IFERROR(VLOOKUP(Data!$G846,canon!$I$2:$K$27,2,FALSE),"")</f>
        <v>SCARF</v>
      </c>
      <c r="I846" s="69" t="str">
        <f>IFERROR(VLOOKUP(Data!$G846,canon!$I$2:$K$27,3,FALSE),"")</f>
        <v>N.APPAREL</v>
      </c>
      <c r="J846" s="69">
        <f t="shared" si="26"/>
        <v>6</v>
      </c>
      <c r="K846" s="69">
        <f t="shared" si="27"/>
        <v>35</v>
      </c>
      <c r="L846" s="69">
        <f>VLOOKUP(Table_db1_backend_Daily.accdb[[#This Row],[TradingDate]],canon!B:E,4,0)</f>
        <v>30</v>
      </c>
    </row>
    <row r="847" spans="1:12" x14ac:dyDescent="0.2">
      <c r="A847" s="69" t="s">
        <v>40</v>
      </c>
      <c r="B847" s="70">
        <v>42944</v>
      </c>
      <c r="C847" s="69">
        <v>60</v>
      </c>
      <c r="D847" s="69">
        <v>-1</v>
      </c>
      <c r="E847" s="69">
        <v>-18.18</v>
      </c>
      <c r="F847" s="69">
        <v>-9.6999999999999993</v>
      </c>
      <c r="G847" s="69" t="s">
        <v>23</v>
      </c>
      <c r="H847" s="69" t="str">
        <f>IFERROR(VLOOKUP(Data!$G847,canon!$I$2:$K$27,2,FALSE),"")</f>
        <v>SH&amp;BL</v>
      </c>
      <c r="I847" s="69" t="str">
        <f>IFERROR(VLOOKUP(Data!$G847,canon!$I$2:$K$27,3,FALSE),"")</f>
        <v>APPAREL</v>
      </c>
      <c r="J847" s="69">
        <f t="shared" si="26"/>
        <v>6</v>
      </c>
      <c r="K847" s="69">
        <f t="shared" si="27"/>
        <v>35</v>
      </c>
      <c r="L847" s="69">
        <f>VLOOKUP(Table_db1_backend_Daily.accdb[[#This Row],[TradingDate]],canon!B:E,4,0)</f>
        <v>30</v>
      </c>
    </row>
    <row r="848" spans="1:12" x14ac:dyDescent="0.2">
      <c r="A848" s="69" t="s">
        <v>40</v>
      </c>
      <c r="B848" s="70">
        <v>42944</v>
      </c>
      <c r="C848" s="69">
        <v>290</v>
      </c>
      <c r="D848" s="69">
        <v>4</v>
      </c>
      <c r="E848" s="69">
        <v>45.370000000000005</v>
      </c>
      <c r="F848" s="69">
        <v>19.71</v>
      </c>
      <c r="G848" s="69" t="s">
        <v>32</v>
      </c>
      <c r="H848" s="69" t="str">
        <f>IFERROR(VLOOKUP(Data!$G848,canon!$I$2:$K$27,2,FALSE),"")</f>
        <v>SKIRT</v>
      </c>
      <c r="I848" s="69" t="str">
        <f>IFERROR(VLOOKUP(Data!$G848,canon!$I$2:$K$27,3,FALSE),"")</f>
        <v>APPAREL</v>
      </c>
      <c r="J848" s="69">
        <f t="shared" si="26"/>
        <v>6</v>
      </c>
      <c r="K848" s="69">
        <f t="shared" si="27"/>
        <v>35</v>
      </c>
      <c r="L848" s="69">
        <f>VLOOKUP(Table_db1_backend_Daily.accdb[[#This Row],[TradingDate]],canon!B:E,4,0)</f>
        <v>30</v>
      </c>
    </row>
    <row r="849" spans="1:12" x14ac:dyDescent="0.2">
      <c r="A849" s="69" t="s">
        <v>40</v>
      </c>
      <c r="B849" s="70">
        <v>42944</v>
      </c>
      <c r="C849" s="69">
        <v>668</v>
      </c>
      <c r="D849" s="69">
        <v>41</v>
      </c>
      <c r="E849" s="69">
        <v>349.69999999999993</v>
      </c>
      <c r="F849" s="69">
        <v>151.12</v>
      </c>
      <c r="G849" s="69" t="s">
        <v>25</v>
      </c>
      <c r="H849" s="69" t="str">
        <f>IFERROR(VLOOKUP(Data!$G849,canon!$I$2:$K$27,2,FALSE),"")</f>
        <v>TOP</v>
      </c>
      <c r="I849" s="69" t="str">
        <f>IFERROR(VLOOKUP(Data!$G849,canon!$I$2:$K$27,3,FALSE),"")</f>
        <v>APPAREL</v>
      </c>
      <c r="J849" s="69">
        <f t="shared" si="26"/>
        <v>6</v>
      </c>
      <c r="K849" s="69">
        <f t="shared" si="27"/>
        <v>35</v>
      </c>
      <c r="L849" s="69">
        <f>VLOOKUP(Table_db1_backend_Daily.accdb[[#This Row],[TradingDate]],canon!B:E,4,0)</f>
        <v>30</v>
      </c>
    </row>
    <row r="850" spans="1:12" x14ac:dyDescent="0.2">
      <c r="A850" s="69" t="s">
        <v>40</v>
      </c>
      <c r="B850" s="70">
        <v>42945</v>
      </c>
      <c r="C850" s="69">
        <v>4</v>
      </c>
      <c r="D850" s="69">
        <v>0</v>
      </c>
      <c r="E850" s="69">
        <v>0</v>
      </c>
      <c r="F850" s="69">
        <v>0</v>
      </c>
      <c r="G850" s="69" t="s">
        <v>27</v>
      </c>
      <c r="H850" s="69" t="str">
        <f>IFERROR(VLOOKUP(Data!$G850,canon!$I$2:$K$27,2,FALSE),"")</f>
        <v>ACCESSORY</v>
      </c>
      <c r="I850" s="69" t="str">
        <f>IFERROR(VLOOKUP(Data!$G850,canon!$I$2:$K$27,3,FALSE),"")</f>
        <v>N.APPAREL</v>
      </c>
      <c r="J850" s="69">
        <f t="shared" si="26"/>
        <v>7</v>
      </c>
      <c r="K850" s="69">
        <f t="shared" si="27"/>
        <v>35</v>
      </c>
      <c r="L850" s="69">
        <f>VLOOKUP(Table_db1_backend_Daily.accdb[[#This Row],[TradingDate]],canon!B:E,4,0)</f>
        <v>30</v>
      </c>
    </row>
    <row r="851" spans="1:12" x14ac:dyDescent="0.2">
      <c r="A851" s="69" t="s">
        <v>40</v>
      </c>
      <c r="B851" s="70">
        <v>42945</v>
      </c>
      <c r="C851" s="69">
        <v>4</v>
      </c>
      <c r="D851" s="69">
        <v>0</v>
      </c>
      <c r="E851" s="69">
        <v>0</v>
      </c>
      <c r="F851" s="69">
        <v>0</v>
      </c>
      <c r="G851" s="69" t="s">
        <v>34</v>
      </c>
      <c r="H851" s="69" t="str">
        <f>IFERROR(VLOOKUP(Data!$G851,canon!$I$2:$K$27,2,FALSE),"")</f>
        <v>SHOES</v>
      </c>
      <c r="I851" s="69" t="str">
        <f>IFERROR(VLOOKUP(Data!$G851,canon!$I$2:$K$27,3,FALSE),"")</f>
        <v>N.APPAREL</v>
      </c>
      <c r="J851" s="69">
        <f t="shared" si="26"/>
        <v>7</v>
      </c>
      <c r="K851" s="69">
        <f t="shared" si="27"/>
        <v>35</v>
      </c>
      <c r="L851" s="69">
        <f>VLOOKUP(Table_db1_backend_Daily.accdb[[#This Row],[TradingDate]],canon!B:E,4,0)</f>
        <v>30</v>
      </c>
    </row>
    <row r="852" spans="1:12" x14ac:dyDescent="0.2">
      <c r="A852" s="69" t="s">
        <v>40</v>
      </c>
      <c r="B852" s="70">
        <v>42945</v>
      </c>
      <c r="C852" s="69">
        <v>2</v>
      </c>
      <c r="D852" s="69">
        <v>0</v>
      </c>
      <c r="E852" s="69">
        <v>0</v>
      </c>
      <c r="F852" s="69">
        <v>0</v>
      </c>
      <c r="G852" s="69" t="s">
        <v>38</v>
      </c>
      <c r="H852" s="69" t="str">
        <f>IFERROR(VLOOKUP(Data!$G852,canon!$I$2:$K$27,2,FALSE),"")</f>
        <v>SHOES</v>
      </c>
      <c r="I852" s="69" t="str">
        <f>IFERROR(VLOOKUP(Data!$G852,canon!$I$2:$K$27,3,FALSE),"")</f>
        <v>N.APPAREL</v>
      </c>
      <c r="J852" s="69">
        <f t="shared" si="26"/>
        <v>7</v>
      </c>
      <c r="K852" s="69">
        <f t="shared" si="27"/>
        <v>35</v>
      </c>
      <c r="L852" s="69">
        <f>VLOOKUP(Table_db1_backend_Daily.accdb[[#This Row],[TradingDate]],canon!B:E,4,0)</f>
        <v>30</v>
      </c>
    </row>
    <row r="853" spans="1:12" x14ac:dyDescent="0.2">
      <c r="A853" s="69" t="s">
        <v>40</v>
      </c>
      <c r="B853" s="70">
        <v>42945</v>
      </c>
      <c r="C853" s="69">
        <v>411</v>
      </c>
      <c r="D853" s="69">
        <v>5</v>
      </c>
      <c r="E853" s="69">
        <v>81.72</v>
      </c>
      <c r="F853" s="69">
        <v>45.63</v>
      </c>
      <c r="G853" s="69" t="s">
        <v>35</v>
      </c>
      <c r="H853" s="69" t="str">
        <f>IFERROR(VLOOKUP(Data!$G853,canon!$I$2:$K$27,2,FALSE),"")</f>
        <v>DRESS</v>
      </c>
      <c r="I853" s="69" t="str">
        <f>IFERROR(VLOOKUP(Data!$G853,canon!$I$2:$K$27,3,FALSE),"")</f>
        <v>APPAREL</v>
      </c>
      <c r="J853" s="69">
        <f t="shared" si="26"/>
        <v>7</v>
      </c>
      <c r="K853" s="69">
        <f t="shared" si="27"/>
        <v>35</v>
      </c>
      <c r="L853" s="69">
        <f>VLOOKUP(Table_db1_backend_Daily.accdb[[#This Row],[TradingDate]],canon!B:E,4,0)</f>
        <v>30</v>
      </c>
    </row>
    <row r="854" spans="1:12" x14ac:dyDescent="0.2">
      <c r="A854" s="69" t="s">
        <v>40</v>
      </c>
      <c r="B854" s="70">
        <v>42945</v>
      </c>
      <c r="C854" s="69">
        <v>6</v>
      </c>
      <c r="D854" s="69">
        <v>0</v>
      </c>
      <c r="E854" s="69">
        <v>0</v>
      </c>
      <c r="F854" s="69">
        <v>0</v>
      </c>
      <c r="G854" s="69" t="s">
        <v>10</v>
      </c>
      <c r="H854" s="69" t="str">
        <f>IFERROR(VLOOKUP(Data!$G854,canon!$I$2:$K$27,2,FALSE),"")</f>
        <v>ACCESSORY</v>
      </c>
      <c r="I854" s="69" t="str">
        <f>IFERROR(VLOOKUP(Data!$G854,canon!$I$2:$K$27,3,FALSE),"")</f>
        <v>N.APPAREL</v>
      </c>
      <c r="J854" s="69">
        <f t="shared" si="26"/>
        <v>7</v>
      </c>
      <c r="K854" s="69">
        <f t="shared" si="27"/>
        <v>35</v>
      </c>
      <c r="L854" s="69">
        <f>VLOOKUP(Table_db1_backend_Daily.accdb[[#This Row],[TradingDate]],canon!B:E,4,0)</f>
        <v>30</v>
      </c>
    </row>
    <row r="855" spans="1:12" x14ac:dyDescent="0.2">
      <c r="A855" s="69" t="s">
        <v>40</v>
      </c>
      <c r="B855" s="70">
        <v>42945</v>
      </c>
      <c r="C855" s="69">
        <v>-17</v>
      </c>
      <c r="D855" s="69">
        <v>0</v>
      </c>
      <c r="E855" s="69">
        <v>0</v>
      </c>
      <c r="F855" s="69">
        <v>0</v>
      </c>
      <c r="G855" s="69" t="s">
        <v>28</v>
      </c>
      <c r="H855" s="69" t="str">
        <f>IFERROR(VLOOKUP(Data!$G855,canon!$I$2:$K$27,2,FALSE),"")</f>
        <v>ACCESSORY</v>
      </c>
      <c r="I855" s="69" t="str">
        <f>IFERROR(VLOOKUP(Data!$G855,canon!$I$2:$K$27,3,FALSE),"")</f>
        <v>N.APPAREL</v>
      </c>
      <c r="J855" s="69">
        <f t="shared" si="26"/>
        <v>7</v>
      </c>
      <c r="K855" s="69">
        <f t="shared" si="27"/>
        <v>35</v>
      </c>
      <c r="L855" s="69">
        <f>VLOOKUP(Table_db1_backend_Daily.accdb[[#This Row],[TradingDate]],canon!B:E,4,0)</f>
        <v>30</v>
      </c>
    </row>
    <row r="856" spans="1:12" x14ac:dyDescent="0.2">
      <c r="A856" s="69" t="s">
        <v>40</v>
      </c>
      <c r="B856" s="70">
        <v>42945</v>
      </c>
      <c r="C856" s="69">
        <v>1579</v>
      </c>
      <c r="D856" s="69">
        <v>58</v>
      </c>
      <c r="E856" s="69">
        <v>626.55999999999983</v>
      </c>
      <c r="F856" s="69">
        <v>168.14000000000001</v>
      </c>
      <c r="G856" s="69" t="s">
        <v>11</v>
      </c>
      <c r="H856" s="69" t="str">
        <f>IFERROR(VLOOKUP(Data!$G856,canon!$I$2:$K$27,2,FALSE),"")</f>
        <v>KNIT</v>
      </c>
      <c r="I856" s="69" t="str">
        <f>IFERROR(VLOOKUP(Data!$G856,canon!$I$2:$K$27,3,FALSE),"")</f>
        <v>APPAREL</v>
      </c>
      <c r="J856" s="69">
        <f t="shared" si="26"/>
        <v>7</v>
      </c>
      <c r="K856" s="69">
        <f t="shared" si="27"/>
        <v>35</v>
      </c>
      <c r="L856" s="69">
        <f>VLOOKUP(Table_db1_backend_Daily.accdb[[#This Row],[TradingDate]],canon!B:E,4,0)</f>
        <v>30</v>
      </c>
    </row>
    <row r="857" spans="1:12" x14ac:dyDescent="0.2">
      <c r="A857" s="69" t="s">
        <v>40</v>
      </c>
      <c r="B857" s="70">
        <v>42945</v>
      </c>
      <c r="C857" s="69">
        <v>254</v>
      </c>
      <c r="D857" s="69">
        <v>10</v>
      </c>
      <c r="E857" s="69">
        <v>72.72</v>
      </c>
      <c r="F857" s="69">
        <v>3.0399999999999991</v>
      </c>
      <c r="G857" s="69" t="s">
        <v>14</v>
      </c>
      <c r="H857" s="69" t="str">
        <f>IFERROR(VLOOKUP(Data!$G857,canon!$I$2:$K$27,2,FALSE),"")</f>
        <v>LEGGING</v>
      </c>
      <c r="I857" s="69" t="str">
        <f>IFERROR(VLOOKUP(Data!$G857,canon!$I$2:$K$27,3,FALSE),"")</f>
        <v>APPAREL</v>
      </c>
      <c r="J857" s="69">
        <f t="shared" si="26"/>
        <v>7</v>
      </c>
      <c r="K857" s="69">
        <f t="shared" si="27"/>
        <v>35</v>
      </c>
      <c r="L857" s="69">
        <f>VLOOKUP(Table_db1_backend_Daily.accdb[[#This Row],[TradingDate]],canon!B:E,4,0)</f>
        <v>30</v>
      </c>
    </row>
    <row r="858" spans="1:12" x14ac:dyDescent="0.2">
      <c r="A858" s="69" t="s">
        <v>40</v>
      </c>
      <c r="B858" s="70">
        <v>42945</v>
      </c>
      <c r="C858" s="69">
        <v>1</v>
      </c>
      <c r="D858" s="69">
        <v>0</v>
      </c>
      <c r="E858" s="69">
        <v>0</v>
      </c>
      <c r="F858" s="69">
        <v>0</v>
      </c>
      <c r="G858" s="69" t="s">
        <v>37</v>
      </c>
      <c r="H858" s="69" t="str">
        <f>IFERROR(VLOOKUP(Data!$G858,canon!$I$2:$K$27,2,FALSE),"")</f>
        <v>SHOES</v>
      </c>
      <c r="I858" s="69" t="str">
        <f>IFERROR(VLOOKUP(Data!$G858,canon!$I$2:$K$27,3,FALSE),"")</f>
        <v>N.APPAREL</v>
      </c>
      <c r="J858" s="69">
        <f t="shared" si="26"/>
        <v>7</v>
      </c>
      <c r="K858" s="69">
        <f t="shared" si="27"/>
        <v>35</v>
      </c>
      <c r="L858" s="69">
        <f>VLOOKUP(Table_db1_backend_Daily.accdb[[#This Row],[TradingDate]],canon!B:E,4,0)</f>
        <v>30</v>
      </c>
    </row>
    <row r="859" spans="1:12" x14ac:dyDescent="0.2">
      <c r="A859" s="69" t="s">
        <v>40</v>
      </c>
      <c r="B859" s="70">
        <v>42945</v>
      </c>
      <c r="C859" s="69">
        <v>587</v>
      </c>
      <c r="D859" s="69">
        <v>13</v>
      </c>
      <c r="E859" s="69">
        <v>236.34000000000003</v>
      </c>
      <c r="F859" s="69">
        <v>137.35</v>
      </c>
      <c r="G859" s="69" t="s">
        <v>17</v>
      </c>
      <c r="H859" s="69" t="str">
        <f>IFERROR(VLOOKUP(Data!$G859,canon!$I$2:$K$27,2,FALSE),"")</f>
        <v>OUTER</v>
      </c>
      <c r="I859" s="69" t="str">
        <f>IFERROR(VLOOKUP(Data!$G859,canon!$I$2:$K$27,3,FALSE),"")</f>
        <v>APPAREL</v>
      </c>
      <c r="J859" s="69">
        <f t="shared" si="26"/>
        <v>7</v>
      </c>
      <c r="K859" s="69">
        <f t="shared" si="27"/>
        <v>35</v>
      </c>
      <c r="L859" s="69">
        <f>VLOOKUP(Table_db1_backend_Daily.accdb[[#This Row],[TradingDate]],canon!B:E,4,0)</f>
        <v>30</v>
      </c>
    </row>
    <row r="860" spans="1:12" x14ac:dyDescent="0.2">
      <c r="A860" s="69" t="s">
        <v>40</v>
      </c>
      <c r="B860" s="70">
        <v>42945</v>
      </c>
      <c r="C860" s="69">
        <v>353</v>
      </c>
      <c r="D860" s="69">
        <v>2</v>
      </c>
      <c r="E860" s="69">
        <v>54.51</v>
      </c>
      <c r="F860" s="69">
        <v>38.950000000000003</v>
      </c>
      <c r="G860" s="69" t="s">
        <v>19</v>
      </c>
      <c r="H860" s="69" t="str">
        <f>IFERROR(VLOOKUP(Data!$G860,canon!$I$2:$K$27,2,FALSE),"")</f>
        <v>PANT</v>
      </c>
      <c r="I860" s="69" t="str">
        <f>IFERROR(VLOOKUP(Data!$G860,canon!$I$2:$K$27,3,FALSE),"")</f>
        <v>APPAREL</v>
      </c>
      <c r="J860" s="69">
        <f t="shared" si="26"/>
        <v>7</v>
      </c>
      <c r="K860" s="69">
        <f t="shared" si="27"/>
        <v>35</v>
      </c>
      <c r="L860" s="69">
        <f>VLOOKUP(Table_db1_backend_Daily.accdb[[#This Row],[TradingDate]],canon!B:E,4,0)</f>
        <v>30</v>
      </c>
    </row>
    <row r="861" spans="1:12" x14ac:dyDescent="0.2">
      <c r="A861" s="69" t="s">
        <v>40</v>
      </c>
      <c r="B861" s="70">
        <v>42945</v>
      </c>
      <c r="C861" s="69">
        <v>32</v>
      </c>
      <c r="D861" s="69">
        <v>0</v>
      </c>
      <c r="E861" s="69">
        <v>0</v>
      </c>
      <c r="F861" s="69">
        <v>0</v>
      </c>
      <c r="G861" s="69" t="s">
        <v>21</v>
      </c>
      <c r="H861" s="69" t="str">
        <f>IFERROR(VLOOKUP(Data!$G861,canon!$I$2:$K$27,2,FALSE),"")</f>
        <v>ACCESSORY</v>
      </c>
      <c r="I861" s="69" t="str">
        <f>IFERROR(VLOOKUP(Data!$G861,canon!$I$2:$K$27,3,FALSE),"")</f>
        <v>N.APPAREL</v>
      </c>
      <c r="J861" s="69">
        <f t="shared" si="26"/>
        <v>7</v>
      </c>
      <c r="K861" s="69">
        <f t="shared" si="27"/>
        <v>35</v>
      </c>
      <c r="L861" s="69">
        <f>VLOOKUP(Table_db1_backend_Daily.accdb[[#This Row],[TradingDate]],canon!B:E,4,0)</f>
        <v>30</v>
      </c>
    </row>
    <row r="862" spans="1:12" x14ac:dyDescent="0.2">
      <c r="A862" s="69" t="s">
        <v>40</v>
      </c>
      <c r="B862" s="70">
        <v>42945</v>
      </c>
      <c r="C862" s="69">
        <v>494</v>
      </c>
      <c r="D862" s="69">
        <v>17</v>
      </c>
      <c r="E862" s="69">
        <v>98.749999999999986</v>
      </c>
      <c r="F862" s="69">
        <v>73.33</v>
      </c>
      <c r="G862" s="69" t="s">
        <v>22</v>
      </c>
      <c r="H862" s="69" t="str">
        <f>IFERROR(VLOOKUP(Data!$G862,canon!$I$2:$K$27,2,FALSE),"")</f>
        <v>SCARF</v>
      </c>
      <c r="I862" s="69" t="str">
        <f>IFERROR(VLOOKUP(Data!$G862,canon!$I$2:$K$27,3,FALSE),"")</f>
        <v>N.APPAREL</v>
      </c>
      <c r="J862" s="69">
        <f t="shared" si="26"/>
        <v>7</v>
      </c>
      <c r="K862" s="69">
        <f t="shared" si="27"/>
        <v>35</v>
      </c>
      <c r="L862" s="69">
        <f>VLOOKUP(Table_db1_backend_Daily.accdb[[#This Row],[TradingDate]],canon!B:E,4,0)</f>
        <v>30</v>
      </c>
    </row>
    <row r="863" spans="1:12" x14ac:dyDescent="0.2">
      <c r="A863" s="69" t="s">
        <v>40</v>
      </c>
      <c r="B863" s="70">
        <v>42945</v>
      </c>
      <c r="C863" s="69">
        <v>60</v>
      </c>
      <c r="D863" s="69">
        <v>0</v>
      </c>
      <c r="E863" s="69">
        <v>0</v>
      </c>
      <c r="F863" s="69">
        <v>0</v>
      </c>
      <c r="G863" s="69" t="s">
        <v>23</v>
      </c>
      <c r="H863" s="69" t="str">
        <f>IFERROR(VLOOKUP(Data!$G863,canon!$I$2:$K$27,2,FALSE),"")</f>
        <v>SH&amp;BL</v>
      </c>
      <c r="I863" s="69" t="str">
        <f>IFERROR(VLOOKUP(Data!$G863,canon!$I$2:$K$27,3,FALSE),"")</f>
        <v>APPAREL</v>
      </c>
      <c r="J863" s="69">
        <f t="shared" si="26"/>
        <v>7</v>
      </c>
      <c r="K863" s="69">
        <f t="shared" si="27"/>
        <v>35</v>
      </c>
      <c r="L863" s="69">
        <f>VLOOKUP(Table_db1_backend_Daily.accdb[[#This Row],[TradingDate]],canon!B:E,4,0)</f>
        <v>30</v>
      </c>
    </row>
    <row r="864" spans="1:12" x14ac:dyDescent="0.2">
      <c r="A864" s="69" t="s">
        <v>40</v>
      </c>
      <c r="B864" s="70">
        <v>42945</v>
      </c>
      <c r="C864" s="69">
        <v>286</v>
      </c>
      <c r="D864" s="69">
        <v>4</v>
      </c>
      <c r="E864" s="69">
        <v>59.09</v>
      </c>
      <c r="F864" s="69">
        <v>32.67</v>
      </c>
      <c r="G864" s="69" t="s">
        <v>32</v>
      </c>
      <c r="H864" s="69" t="str">
        <f>IFERROR(VLOOKUP(Data!$G864,canon!$I$2:$K$27,2,FALSE),"")</f>
        <v>SKIRT</v>
      </c>
      <c r="I864" s="69" t="str">
        <f>IFERROR(VLOOKUP(Data!$G864,canon!$I$2:$K$27,3,FALSE),"")</f>
        <v>APPAREL</v>
      </c>
      <c r="J864" s="69">
        <f t="shared" si="26"/>
        <v>7</v>
      </c>
      <c r="K864" s="69">
        <f t="shared" si="27"/>
        <v>35</v>
      </c>
      <c r="L864" s="69">
        <f>VLOOKUP(Table_db1_backend_Daily.accdb[[#This Row],[TradingDate]],canon!B:E,4,0)</f>
        <v>30</v>
      </c>
    </row>
    <row r="865" spans="1:12" x14ac:dyDescent="0.2">
      <c r="A865" s="69" t="s">
        <v>40</v>
      </c>
      <c r="B865" s="70">
        <v>42945</v>
      </c>
      <c r="C865" s="69">
        <v>639</v>
      </c>
      <c r="D865" s="69">
        <v>29</v>
      </c>
      <c r="E865" s="69">
        <v>281.74000000000007</v>
      </c>
      <c r="F865" s="69">
        <v>124.33000000000001</v>
      </c>
      <c r="G865" s="69" t="s">
        <v>25</v>
      </c>
      <c r="H865" s="69" t="str">
        <f>IFERROR(VLOOKUP(Data!$G865,canon!$I$2:$K$27,2,FALSE),"")</f>
        <v>TOP</v>
      </c>
      <c r="I865" s="69" t="str">
        <f>IFERROR(VLOOKUP(Data!$G865,canon!$I$2:$K$27,3,FALSE),"")</f>
        <v>APPAREL</v>
      </c>
      <c r="J865" s="69">
        <f t="shared" si="26"/>
        <v>7</v>
      </c>
      <c r="K865" s="69">
        <f t="shared" si="27"/>
        <v>35</v>
      </c>
      <c r="L865" s="69">
        <f>VLOOKUP(Table_db1_backend_Daily.accdb[[#This Row],[TradingDate]],canon!B:E,4,0)</f>
        <v>30</v>
      </c>
    </row>
    <row r="866" spans="1:12" x14ac:dyDescent="0.2">
      <c r="A866" s="69" t="s">
        <v>40</v>
      </c>
      <c r="B866" s="70">
        <v>42946</v>
      </c>
      <c r="C866" s="69">
        <v>4</v>
      </c>
      <c r="D866" s="69">
        <v>0</v>
      </c>
      <c r="E866" s="69">
        <v>0</v>
      </c>
      <c r="F866" s="69">
        <v>0</v>
      </c>
      <c r="G866" s="69" t="s">
        <v>27</v>
      </c>
      <c r="H866" s="69" t="str">
        <f>IFERROR(VLOOKUP(Data!$G866,canon!$I$2:$K$27,2,FALSE),"")</f>
        <v>ACCESSORY</v>
      </c>
      <c r="I866" s="69" t="str">
        <f>IFERROR(VLOOKUP(Data!$G866,canon!$I$2:$K$27,3,FALSE),"")</f>
        <v>N.APPAREL</v>
      </c>
      <c r="J866" s="69">
        <f t="shared" si="26"/>
        <v>1</v>
      </c>
      <c r="K866" s="69">
        <f t="shared" si="27"/>
        <v>35</v>
      </c>
      <c r="L866" s="69">
        <f>VLOOKUP(Table_db1_backend_Daily.accdb[[#This Row],[TradingDate]],canon!B:E,4,0)</f>
        <v>31</v>
      </c>
    </row>
    <row r="867" spans="1:12" x14ac:dyDescent="0.2">
      <c r="A867" s="69" t="s">
        <v>40</v>
      </c>
      <c r="B867" s="70">
        <v>42946</v>
      </c>
      <c r="C867" s="69">
        <v>4</v>
      </c>
      <c r="D867" s="69">
        <v>0</v>
      </c>
      <c r="E867" s="69">
        <v>0</v>
      </c>
      <c r="F867" s="69">
        <v>0</v>
      </c>
      <c r="G867" s="69" t="s">
        <v>34</v>
      </c>
      <c r="H867" s="69" t="str">
        <f>IFERROR(VLOOKUP(Data!$G867,canon!$I$2:$K$27,2,FALSE),"")</f>
        <v>SHOES</v>
      </c>
      <c r="I867" s="69" t="str">
        <f>IFERROR(VLOOKUP(Data!$G867,canon!$I$2:$K$27,3,FALSE),"")</f>
        <v>N.APPAREL</v>
      </c>
      <c r="J867" s="69">
        <f t="shared" si="26"/>
        <v>1</v>
      </c>
      <c r="K867" s="69">
        <f t="shared" si="27"/>
        <v>35</v>
      </c>
      <c r="L867" s="69">
        <f>VLOOKUP(Table_db1_backend_Daily.accdb[[#This Row],[TradingDate]],canon!B:E,4,0)</f>
        <v>31</v>
      </c>
    </row>
    <row r="868" spans="1:12" x14ac:dyDescent="0.2">
      <c r="A868" s="69" t="s">
        <v>40</v>
      </c>
      <c r="B868" s="70">
        <v>42946</v>
      </c>
      <c r="C868" s="69">
        <v>2</v>
      </c>
      <c r="D868" s="69">
        <v>0</v>
      </c>
      <c r="E868" s="69">
        <v>0</v>
      </c>
      <c r="F868" s="69">
        <v>0</v>
      </c>
      <c r="G868" s="69" t="s">
        <v>38</v>
      </c>
      <c r="H868" s="69" t="str">
        <f>IFERROR(VLOOKUP(Data!$G868,canon!$I$2:$K$27,2,FALSE),"")</f>
        <v>SHOES</v>
      </c>
      <c r="I868" s="69" t="str">
        <f>IFERROR(VLOOKUP(Data!$G868,canon!$I$2:$K$27,3,FALSE),"")</f>
        <v>N.APPAREL</v>
      </c>
      <c r="J868" s="69">
        <f t="shared" si="26"/>
        <v>1</v>
      </c>
      <c r="K868" s="69">
        <f t="shared" si="27"/>
        <v>35</v>
      </c>
      <c r="L868" s="69">
        <f>VLOOKUP(Table_db1_backend_Daily.accdb[[#This Row],[TradingDate]],canon!B:E,4,0)</f>
        <v>31</v>
      </c>
    </row>
    <row r="869" spans="1:12" x14ac:dyDescent="0.2">
      <c r="A869" s="69" t="s">
        <v>40</v>
      </c>
      <c r="B869" s="70">
        <v>42946</v>
      </c>
      <c r="C869" s="69">
        <v>406</v>
      </c>
      <c r="D869" s="69">
        <v>5</v>
      </c>
      <c r="E869" s="69">
        <v>90.9</v>
      </c>
      <c r="F869" s="69">
        <v>54.379999999999995</v>
      </c>
      <c r="G869" s="69" t="s">
        <v>35</v>
      </c>
      <c r="H869" s="69" t="str">
        <f>IFERROR(VLOOKUP(Data!$G869,canon!$I$2:$K$27,2,FALSE),"")</f>
        <v>DRESS</v>
      </c>
      <c r="I869" s="69" t="str">
        <f>IFERROR(VLOOKUP(Data!$G869,canon!$I$2:$K$27,3,FALSE),"")</f>
        <v>APPAREL</v>
      </c>
      <c r="J869" s="69">
        <f t="shared" si="26"/>
        <v>1</v>
      </c>
      <c r="K869" s="69">
        <f t="shared" si="27"/>
        <v>35</v>
      </c>
      <c r="L869" s="69">
        <f>VLOOKUP(Table_db1_backend_Daily.accdb[[#This Row],[TradingDate]],canon!B:E,4,0)</f>
        <v>31</v>
      </c>
    </row>
    <row r="870" spans="1:12" x14ac:dyDescent="0.2">
      <c r="A870" s="69" t="s">
        <v>40</v>
      </c>
      <c r="B870" s="70">
        <v>42946</v>
      </c>
      <c r="C870" s="69">
        <v>6</v>
      </c>
      <c r="D870" s="69">
        <v>0</v>
      </c>
      <c r="E870" s="69">
        <v>0</v>
      </c>
      <c r="F870" s="69">
        <v>0</v>
      </c>
      <c r="G870" s="69" t="s">
        <v>10</v>
      </c>
      <c r="H870" s="69" t="str">
        <f>IFERROR(VLOOKUP(Data!$G870,canon!$I$2:$K$27,2,FALSE),"")</f>
        <v>ACCESSORY</v>
      </c>
      <c r="I870" s="69" t="str">
        <f>IFERROR(VLOOKUP(Data!$G870,canon!$I$2:$K$27,3,FALSE),"")</f>
        <v>N.APPAREL</v>
      </c>
      <c r="J870" s="69">
        <f t="shared" si="26"/>
        <v>1</v>
      </c>
      <c r="K870" s="69">
        <f t="shared" si="27"/>
        <v>35</v>
      </c>
      <c r="L870" s="69">
        <f>VLOOKUP(Table_db1_backend_Daily.accdb[[#This Row],[TradingDate]],canon!B:E,4,0)</f>
        <v>31</v>
      </c>
    </row>
    <row r="871" spans="1:12" x14ac:dyDescent="0.2">
      <c r="A871" s="69" t="s">
        <v>40</v>
      </c>
      <c r="B871" s="70">
        <v>42946</v>
      </c>
      <c r="C871" s="69">
        <v>-17</v>
      </c>
      <c r="D871" s="69">
        <v>0</v>
      </c>
      <c r="E871" s="69">
        <v>0</v>
      </c>
      <c r="F871" s="69">
        <v>0</v>
      </c>
      <c r="G871" s="69" t="s">
        <v>28</v>
      </c>
      <c r="H871" s="69" t="str">
        <f>IFERROR(VLOOKUP(Data!$G871,canon!$I$2:$K$27,2,FALSE),"")</f>
        <v>ACCESSORY</v>
      </c>
      <c r="I871" s="69" t="str">
        <f>IFERROR(VLOOKUP(Data!$G871,canon!$I$2:$K$27,3,FALSE),"")</f>
        <v>N.APPAREL</v>
      </c>
      <c r="J871" s="69">
        <f t="shared" si="26"/>
        <v>1</v>
      </c>
      <c r="K871" s="69">
        <f t="shared" si="27"/>
        <v>35</v>
      </c>
      <c r="L871" s="69">
        <f>VLOOKUP(Table_db1_backend_Daily.accdb[[#This Row],[TradingDate]],canon!B:E,4,0)</f>
        <v>31</v>
      </c>
    </row>
    <row r="872" spans="1:12" x14ac:dyDescent="0.2">
      <c r="A872" s="69" t="s">
        <v>40</v>
      </c>
      <c r="B872" s="70">
        <v>42946</v>
      </c>
      <c r="C872" s="69">
        <v>1552</v>
      </c>
      <c r="D872" s="69">
        <v>27</v>
      </c>
      <c r="E872" s="69">
        <v>286.0200000000001</v>
      </c>
      <c r="F872" s="69">
        <v>80.62</v>
      </c>
      <c r="G872" s="69" t="s">
        <v>11</v>
      </c>
      <c r="H872" s="69" t="str">
        <f>IFERROR(VLOOKUP(Data!$G872,canon!$I$2:$K$27,2,FALSE),"")</f>
        <v>KNIT</v>
      </c>
      <c r="I872" s="69" t="str">
        <f>IFERROR(VLOOKUP(Data!$G872,canon!$I$2:$K$27,3,FALSE),"")</f>
        <v>APPAREL</v>
      </c>
      <c r="J872" s="69">
        <f t="shared" si="26"/>
        <v>1</v>
      </c>
      <c r="K872" s="69">
        <f t="shared" si="27"/>
        <v>35</v>
      </c>
      <c r="L872" s="69">
        <f>VLOOKUP(Table_db1_backend_Daily.accdb[[#This Row],[TradingDate]],canon!B:E,4,0)</f>
        <v>31</v>
      </c>
    </row>
    <row r="873" spans="1:12" x14ac:dyDescent="0.2">
      <c r="A873" s="69" t="s">
        <v>40</v>
      </c>
      <c r="B873" s="70">
        <v>42946</v>
      </c>
      <c r="C873" s="69">
        <v>252</v>
      </c>
      <c r="D873" s="69">
        <v>2</v>
      </c>
      <c r="E873" s="69">
        <v>9.09</v>
      </c>
      <c r="F873" s="69">
        <v>-4.83</v>
      </c>
      <c r="G873" s="69" t="s">
        <v>14</v>
      </c>
      <c r="H873" s="69" t="str">
        <f>IFERROR(VLOOKUP(Data!$G873,canon!$I$2:$K$27,2,FALSE),"")</f>
        <v>LEGGING</v>
      </c>
      <c r="I873" s="69" t="str">
        <f>IFERROR(VLOOKUP(Data!$G873,canon!$I$2:$K$27,3,FALSE),"")</f>
        <v>APPAREL</v>
      </c>
      <c r="J873" s="69">
        <f t="shared" si="26"/>
        <v>1</v>
      </c>
      <c r="K873" s="69">
        <f t="shared" si="27"/>
        <v>35</v>
      </c>
      <c r="L873" s="69">
        <f>VLOOKUP(Table_db1_backend_Daily.accdb[[#This Row],[TradingDate]],canon!B:E,4,0)</f>
        <v>31</v>
      </c>
    </row>
    <row r="874" spans="1:12" x14ac:dyDescent="0.2">
      <c r="A874" s="69" t="s">
        <v>40</v>
      </c>
      <c r="B874" s="70">
        <v>42946</v>
      </c>
      <c r="C874" s="69">
        <v>1</v>
      </c>
      <c r="D874" s="69">
        <v>0</v>
      </c>
      <c r="E874" s="69">
        <v>0</v>
      </c>
      <c r="F874" s="69">
        <v>0</v>
      </c>
      <c r="G874" s="69" t="s">
        <v>37</v>
      </c>
      <c r="H874" s="69" t="str">
        <f>IFERROR(VLOOKUP(Data!$G874,canon!$I$2:$K$27,2,FALSE),"")</f>
        <v>SHOES</v>
      </c>
      <c r="I874" s="69" t="str">
        <f>IFERROR(VLOOKUP(Data!$G874,canon!$I$2:$K$27,3,FALSE),"")</f>
        <v>N.APPAREL</v>
      </c>
      <c r="J874" s="69">
        <f t="shared" si="26"/>
        <v>1</v>
      </c>
      <c r="K874" s="69">
        <f t="shared" si="27"/>
        <v>35</v>
      </c>
      <c r="L874" s="69">
        <f>VLOOKUP(Table_db1_backend_Daily.accdb[[#This Row],[TradingDate]],canon!B:E,4,0)</f>
        <v>31</v>
      </c>
    </row>
    <row r="875" spans="1:12" x14ac:dyDescent="0.2">
      <c r="A875" s="69" t="s">
        <v>40</v>
      </c>
      <c r="B875" s="70">
        <v>42946</v>
      </c>
      <c r="C875" s="69">
        <v>570</v>
      </c>
      <c r="D875" s="69">
        <v>17</v>
      </c>
      <c r="E875" s="69">
        <v>309.09000000000003</v>
      </c>
      <c r="F875" s="69">
        <v>158.86000000000001</v>
      </c>
      <c r="G875" s="69" t="s">
        <v>17</v>
      </c>
      <c r="H875" s="69" t="str">
        <f>IFERROR(VLOOKUP(Data!$G875,canon!$I$2:$K$27,2,FALSE),"")</f>
        <v>OUTER</v>
      </c>
      <c r="I875" s="69" t="str">
        <f>IFERROR(VLOOKUP(Data!$G875,canon!$I$2:$K$27,3,FALSE),"")</f>
        <v>APPAREL</v>
      </c>
      <c r="J875" s="69">
        <f t="shared" si="26"/>
        <v>1</v>
      </c>
      <c r="K875" s="69">
        <f t="shared" si="27"/>
        <v>35</v>
      </c>
      <c r="L875" s="69">
        <f>VLOOKUP(Table_db1_backend_Daily.accdb[[#This Row],[TradingDate]],canon!B:E,4,0)</f>
        <v>31</v>
      </c>
    </row>
    <row r="876" spans="1:12" x14ac:dyDescent="0.2">
      <c r="A876" s="69" t="s">
        <v>40</v>
      </c>
      <c r="B876" s="70">
        <v>42946</v>
      </c>
      <c r="C876" s="69">
        <v>350</v>
      </c>
      <c r="D876" s="69">
        <v>3</v>
      </c>
      <c r="E876" s="69">
        <v>18.189999999999998</v>
      </c>
      <c r="F876" s="69">
        <v>-3.33</v>
      </c>
      <c r="G876" s="69" t="s">
        <v>19</v>
      </c>
      <c r="H876" s="69" t="str">
        <f>IFERROR(VLOOKUP(Data!$G876,canon!$I$2:$K$27,2,FALSE),"")</f>
        <v>PANT</v>
      </c>
      <c r="I876" s="69" t="str">
        <f>IFERROR(VLOOKUP(Data!$G876,canon!$I$2:$K$27,3,FALSE),"")</f>
        <v>APPAREL</v>
      </c>
      <c r="J876" s="69">
        <f t="shared" si="26"/>
        <v>1</v>
      </c>
      <c r="K876" s="69">
        <f t="shared" si="27"/>
        <v>35</v>
      </c>
      <c r="L876" s="69">
        <f>VLOOKUP(Table_db1_backend_Daily.accdb[[#This Row],[TradingDate]],canon!B:E,4,0)</f>
        <v>31</v>
      </c>
    </row>
    <row r="877" spans="1:12" x14ac:dyDescent="0.2">
      <c r="A877" s="69" t="s">
        <v>40</v>
      </c>
      <c r="B877" s="70">
        <v>42946</v>
      </c>
      <c r="C877" s="69">
        <v>32</v>
      </c>
      <c r="D877" s="69">
        <v>0</v>
      </c>
      <c r="E877" s="69">
        <v>0</v>
      </c>
      <c r="F877" s="69">
        <v>0</v>
      </c>
      <c r="G877" s="69" t="s">
        <v>21</v>
      </c>
      <c r="H877" s="69" t="str">
        <f>IFERROR(VLOOKUP(Data!$G877,canon!$I$2:$K$27,2,FALSE),"")</f>
        <v>ACCESSORY</v>
      </c>
      <c r="I877" s="69" t="str">
        <f>IFERROR(VLOOKUP(Data!$G877,canon!$I$2:$K$27,3,FALSE),"")</f>
        <v>N.APPAREL</v>
      </c>
      <c r="J877" s="69">
        <f t="shared" si="26"/>
        <v>1</v>
      </c>
      <c r="K877" s="69">
        <f t="shared" si="27"/>
        <v>35</v>
      </c>
      <c r="L877" s="69">
        <f>VLOOKUP(Table_db1_backend_Daily.accdb[[#This Row],[TradingDate]],canon!B:E,4,0)</f>
        <v>31</v>
      </c>
    </row>
    <row r="878" spans="1:12" x14ac:dyDescent="0.2">
      <c r="A878" s="69" t="s">
        <v>40</v>
      </c>
      <c r="B878" s="70">
        <v>42946</v>
      </c>
      <c r="C878" s="69">
        <v>492</v>
      </c>
      <c r="D878" s="69">
        <v>2</v>
      </c>
      <c r="E878" s="69">
        <v>11.780000000000001</v>
      </c>
      <c r="F878" s="69">
        <v>8.74</v>
      </c>
      <c r="G878" s="69" t="s">
        <v>22</v>
      </c>
      <c r="H878" s="69" t="str">
        <f>IFERROR(VLOOKUP(Data!$G878,canon!$I$2:$K$27,2,FALSE),"")</f>
        <v>SCARF</v>
      </c>
      <c r="I878" s="69" t="str">
        <f>IFERROR(VLOOKUP(Data!$G878,canon!$I$2:$K$27,3,FALSE),"")</f>
        <v>N.APPAREL</v>
      </c>
      <c r="J878" s="69">
        <f t="shared" si="26"/>
        <v>1</v>
      </c>
      <c r="K878" s="69">
        <f t="shared" si="27"/>
        <v>35</v>
      </c>
      <c r="L878" s="69">
        <f>VLOOKUP(Table_db1_backend_Daily.accdb[[#This Row],[TradingDate]],canon!B:E,4,0)</f>
        <v>31</v>
      </c>
    </row>
    <row r="879" spans="1:12" x14ac:dyDescent="0.2">
      <c r="A879" s="69" t="s">
        <v>40</v>
      </c>
      <c r="B879" s="70">
        <v>42946</v>
      </c>
      <c r="C879" s="69">
        <v>60</v>
      </c>
      <c r="D879" s="69">
        <v>0</v>
      </c>
      <c r="E879" s="69">
        <v>0</v>
      </c>
      <c r="F879" s="69">
        <v>0</v>
      </c>
      <c r="G879" s="69" t="s">
        <v>23</v>
      </c>
      <c r="H879" s="69" t="str">
        <f>IFERROR(VLOOKUP(Data!$G879,canon!$I$2:$K$27,2,FALSE),"")</f>
        <v>SH&amp;BL</v>
      </c>
      <c r="I879" s="69" t="str">
        <f>IFERROR(VLOOKUP(Data!$G879,canon!$I$2:$K$27,3,FALSE),"")</f>
        <v>APPAREL</v>
      </c>
      <c r="J879" s="69">
        <f t="shared" si="26"/>
        <v>1</v>
      </c>
      <c r="K879" s="69">
        <f t="shared" si="27"/>
        <v>35</v>
      </c>
      <c r="L879" s="69">
        <f>VLOOKUP(Table_db1_backend_Daily.accdb[[#This Row],[TradingDate]],canon!B:E,4,0)</f>
        <v>31</v>
      </c>
    </row>
    <row r="880" spans="1:12" x14ac:dyDescent="0.2">
      <c r="A880" s="69" t="s">
        <v>40</v>
      </c>
      <c r="B880" s="70">
        <v>42946</v>
      </c>
      <c r="C880" s="69">
        <v>276</v>
      </c>
      <c r="D880" s="69">
        <v>10</v>
      </c>
      <c r="E880" s="69">
        <v>50.01</v>
      </c>
      <c r="F880" s="69">
        <v>-4.58</v>
      </c>
      <c r="G880" s="69" t="s">
        <v>32</v>
      </c>
      <c r="H880" s="69" t="str">
        <f>IFERROR(VLOOKUP(Data!$G880,canon!$I$2:$K$27,2,FALSE),"")</f>
        <v>SKIRT</v>
      </c>
      <c r="I880" s="69" t="str">
        <f>IFERROR(VLOOKUP(Data!$G880,canon!$I$2:$K$27,3,FALSE),"")</f>
        <v>APPAREL</v>
      </c>
      <c r="J880" s="69">
        <f t="shared" si="26"/>
        <v>1</v>
      </c>
      <c r="K880" s="69">
        <f t="shared" si="27"/>
        <v>35</v>
      </c>
      <c r="L880" s="69">
        <f>VLOOKUP(Table_db1_backend_Daily.accdb[[#This Row],[TradingDate]],canon!B:E,4,0)</f>
        <v>31</v>
      </c>
    </row>
    <row r="881" spans="1:12" x14ac:dyDescent="0.2">
      <c r="A881" s="69" t="s">
        <v>40</v>
      </c>
      <c r="B881" s="70">
        <v>42946</v>
      </c>
      <c r="C881" s="69">
        <v>623</v>
      </c>
      <c r="D881" s="69">
        <v>16</v>
      </c>
      <c r="E881" s="69">
        <v>122.65</v>
      </c>
      <c r="F881" s="69">
        <v>41.989999999999995</v>
      </c>
      <c r="G881" s="69" t="s">
        <v>25</v>
      </c>
      <c r="H881" s="69" t="str">
        <f>IFERROR(VLOOKUP(Data!$G881,canon!$I$2:$K$27,2,FALSE),"")</f>
        <v>TOP</v>
      </c>
      <c r="I881" s="69" t="str">
        <f>IFERROR(VLOOKUP(Data!$G881,canon!$I$2:$K$27,3,FALSE),"")</f>
        <v>APPAREL</v>
      </c>
      <c r="J881" s="69">
        <f t="shared" si="26"/>
        <v>1</v>
      </c>
      <c r="K881" s="69">
        <f t="shared" si="27"/>
        <v>35</v>
      </c>
      <c r="L881" s="69">
        <f>VLOOKUP(Table_db1_backend_Daily.accdb[[#This Row],[TradingDate]],canon!B:E,4,0)</f>
        <v>31</v>
      </c>
    </row>
    <row r="882" spans="1:12" x14ac:dyDescent="0.2">
      <c r="A882" s="69" t="s">
        <v>40</v>
      </c>
      <c r="B882" s="70">
        <v>42947</v>
      </c>
      <c r="C882" s="69">
        <v>4</v>
      </c>
      <c r="D882" s="69">
        <v>0</v>
      </c>
      <c r="E882" s="69">
        <v>0</v>
      </c>
      <c r="F882" s="69">
        <v>0</v>
      </c>
      <c r="G882" s="69" t="s">
        <v>27</v>
      </c>
      <c r="H882" s="69" t="str">
        <f>IFERROR(VLOOKUP(Data!$G882,canon!$I$2:$K$27,2,FALSE),"")</f>
        <v>ACCESSORY</v>
      </c>
      <c r="I882" s="69" t="str">
        <f>IFERROR(VLOOKUP(Data!$G882,canon!$I$2:$K$27,3,FALSE),"")</f>
        <v>N.APPAREL</v>
      </c>
      <c r="J882" s="69">
        <f t="shared" si="26"/>
        <v>2</v>
      </c>
      <c r="K882" s="69">
        <f t="shared" si="27"/>
        <v>35</v>
      </c>
      <c r="L882" s="69">
        <f>VLOOKUP(Table_db1_backend_Daily.accdb[[#This Row],[TradingDate]],canon!B:E,4,0)</f>
        <v>31</v>
      </c>
    </row>
    <row r="883" spans="1:12" x14ac:dyDescent="0.2">
      <c r="A883" s="69" t="s">
        <v>40</v>
      </c>
      <c r="B883" s="70">
        <v>42947</v>
      </c>
      <c r="C883" s="69">
        <v>4</v>
      </c>
      <c r="D883" s="69">
        <v>0</v>
      </c>
      <c r="E883" s="69">
        <v>0</v>
      </c>
      <c r="F883" s="69">
        <v>0</v>
      </c>
      <c r="G883" s="69" t="s">
        <v>34</v>
      </c>
      <c r="H883" s="69" t="str">
        <f>IFERROR(VLOOKUP(Data!$G883,canon!$I$2:$K$27,2,FALSE),"")</f>
        <v>SHOES</v>
      </c>
      <c r="I883" s="69" t="str">
        <f>IFERROR(VLOOKUP(Data!$G883,canon!$I$2:$K$27,3,FALSE),"")</f>
        <v>N.APPAREL</v>
      </c>
      <c r="J883" s="69">
        <f t="shared" si="26"/>
        <v>2</v>
      </c>
      <c r="K883" s="69">
        <f t="shared" si="27"/>
        <v>35</v>
      </c>
      <c r="L883" s="69">
        <f>VLOOKUP(Table_db1_backend_Daily.accdb[[#This Row],[TradingDate]],canon!B:E,4,0)</f>
        <v>31</v>
      </c>
    </row>
    <row r="884" spans="1:12" x14ac:dyDescent="0.2">
      <c r="A884" s="69" t="s">
        <v>40</v>
      </c>
      <c r="B884" s="70">
        <v>42947</v>
      </c>
      <c r="C884" s="69">
        <v>2</v>
      </c>
      <c r="D884" s="69">
        <v>0</v>
      </c>
      <c r="E884" s="69">
        <v>0</v>
      </c>
      <c r="F884" s="69">
        <v>0</v>
      </c>
      <c r="G884" s="69" t="s">
        <v>38</v>
      </c>
      <c r="H884" s="69" t="str">
        <f>IFERROR(VLOOKUP(Data!$G884,canon!$I$2:$K$27,2,FALSE),"")</f>
        <v>SHOES</v>
      </c>
      <c r="I884" s="69" t="str">
        <f>IFERROR(VLOOKUP(Data!$G884,canon!$I$2:$K$27,3,FALSE),"")</f>
        <v>N.APPAREL</v>
      </c>
      <c r="J884" s="69">
        <f t="shared" si="26"/>
        <v>2</v>
      </c>
      <c r="K884" s="69">
        <f t="shared" si="27"/>
        <v>35</v>
      </c>
      <c r="L884" s="69">
        <f>VLOOKUP(Table_db1_backend_Daily.accdb[[#This Row],[TradingDate]],canon!B:E,4,0)</f>
        <v>31</v>
      </c>
    </row>
    <row r="885" spans="1:12" x14ac:dyDescent="0.2">
      <c r="A885" s="69" t="s">
        <v>40</v>
      </c>
      <c r="B885" s="70">
        <v>42947</v>
      </c>
      <c r="C885" s="69">
        <v>425</v>
      </c>
      <c r="D885" s="69">
        <v>5</v>
      </c>
      <c r="E885" s="69">
        <v>77.14</v>
      </c>
      <c r="F885" s="69">
        <v>33.76</v>
      </c>
      <c r="G885" s="69" t="s">
        <v>35</v>
      </c>
      <c r="H885" s="69" t="str">
        <f>IFERROR(VLOOKUP(Data!$G885,canon!$I$2:$K$27,2,FALSE),"")</f>
        <v>DRESS</v>
      </c>
      <c r="I885" s="69" t="str">
        <f>IFERROR(VLOOKUP(Data!$G885,canon!$I$2:$K$27,3,FALSE),"")</f>
        <v>APPAREL</v>
      </c>
      <c r="J885" s="69">
        <f t="shared" si="26"/>
        <v>2</v>
      </c>
      <c r="K885" s="69">
        <f t="shared" si="27"/>
        <v>35</v>
      </c>
      <c r="L885" s="69">
        <f>VLOOKUP(Table_db1_backend_Daily.accdb[[#This Row],[TradingDate]],canon!B:E,4,0)</f>
        <v>31</v>
      </c>
    </row>
    <row r="886" spans="1:12" x14ac:dyDescent="0.2">
      <c r="A886" s="69" t="s">
        <v>40</v>
      </c>
      <c r="B886" s="70">
        <v>42947</v>
      </c>
      <c r="C886" s="69">
        <v>6</v>
      </c>
      <c r="D886" s="69">
        <v>0</v>
      </c>
      <c r="E886" s="69">
        <v>0</v>
      </c>
      <c r="F886" s="69">
        <v>0</v>
      </c>
      <c r="G886" s="69" t="s">
        <v>10</v>
      </c>
      <c r="H886" s="69" t="str">
        <f>IFERROR(VLOOKUP(Data!$G886,canon!$I$2:$K$27,2,FALSE),"")</f>
        <v>ACCESSORY</v>
      </c>
      <c r="I886" s="69" t="str">
        <f>IFERROR(VLOOKUP(Data!$G886,canon!$I$2:$K$27,3,FALSE),"")</f>
        <v>N.APPAREL</v>
      </c>
      <c r="J886" s="69">
        <f t="shared" si="26"/>
        <v>2</v>
      </c>
      <c r="K886" s="69">
        <f t="shared" si="27"/>
        <v>35</v>
      </c>
      <c r="L886" s="69">
        <f>VLOOKUP(Table_db1_backend_Daily.accdb[[#This Row],[TradingDate]],canon!B:E,4,0)</f>
        <v>31</v>
      </c>
    </row>
    <row r="887" spans="1:12" x14ac:dyDescent="0.2">
      <c r="A887" s="69" t="s">
        <v>40</v>
      </c>
      <c r="B887" s="70">
        <v>42947</v>
      </c>
      <c r="C887" s="69">
        <v>-17</v>
      </c>
      <c r="D887" s="69">
        <v>0</v>
      </c>
      <c r="E887" s="69">
        <v>0</v>
      </c>
      <c r="F887" s="69">
        <v>0</v>
      </c>
      <c r="G887" s="69" t="s">
        <v>28</v>
      </c>
      <c r="H887" s="69" t="str">
        <f>IFERROR(VLOOKUP(Data!$G887,canon!$I$2:$K$27,2,FALSE),"")</f>
        <v>ACCESSORY</v>
      </c>
      <c r="I887" s="69" t="str">
        <f>IFERROR(VLOOKUP(Data!$G887,canon!$I$2:$K$27,3,FALSE),"")</f>
        <v>N.APPAREL</v>
      </c>
      <c r="J887" s="69">
        <f t="shared" si="26"/>
        <v>2</v>
      </c>
      <c r="K887" s="69">
        <f t="shared" si="27"/>
        <v>35</v>
      </c>
      <c r="L887" s="69">
        <f>VLOOKUP(Table_db1_backend_Daily.accdb[[#This Row],[TradingDate]],canon!B:E,4,0)</f>
        <v>31</v>
      </c>
    </row>
    <row r="888" spans="1:12" x14ac:dyDescent="0.2">
      <c r="A888" s="69" t="s">
        <v>40</v>
      </c>
      <c r="B888" s="70">
        <v>42947</v>
      </c>
      <c r="C888" s="69">
        <v>1163</v>
      </c>
      <c r="D888" s="69">
        <v>31</v>
      </c>
      <c r="E888" s="69">
        <v>381.29000000000008</v>
      </c>
      <c r="F888" s="69">
        <v>130.83000000000001</v>
      </c>
      <c r="G888" s="69" t="s">
        <v>11</v>
      </c>
      <c r="H888" s="69" t="str">
        <f>IFERROR(VLOOKUP(Data!$G888,canon!$I$2:$K$27,2,FALSE),"")</f>
        <v>KNIT</v>
      </c>
      <c r="I888" s="69" t="str">
        <f>IFERROR(VLOOKUP(Data!$G888,canon!$I$2:$K$27,3,FALSE),"")</f>
        <v>APPAREL</v>
      </c>
      <c r="J888" s="69">
        <f t="shared" si="26"/>
        <v>2</v>
      </c>
      <c r="K888" s="69">
        <f t="shared" si="27"/>
        <v>35</v>
      </c>
      <c r="L888" s="69">
        <f>VLOOKUP(Table_db1_backend_Daily.accdb[[#This Row],[TradingDate]],canon!B:E,4,0)</f>
        <v>31</v>
      </c>
    </row>
    <row r="889" spans="1:12" x14ac:dyDescent="0.2">
      <c r="A889" s="69" t="s">
        <v>40</v>
      </c>
      <c r="B889" s="70">
        <v>42947</v>
      </c>
      <c r="C889" s="69">
        <v>263</v>
      </c>
      <c r="D889" s="69">
        <v>1</v>
      </c>
      <c r="E889" s="69">
        <v>40.89</v>
      </c>
      <c r="F889" s="69">
        <v>35.239999999999995</v>
      </c>
      <c r="G889" s="69" t="s">
        <v>14</v>
      </c>
      <c r="H889" s="69" t="str">
        <f>IFERROR(VLOOKUP(Data!$G889,canon!$I$2:$K$27,2,FALSE),"")</f>
        <v>LEGGING</v>
      </c>
      <c r="I889" s="69" t="str">
        <f>IFERROR(VLOOKUP(Data!$G889,canon!$I$2:$K$27,3,FALSE),"")</f>
        <v>APPAREL</v>
      </c>
      <c r="J889" s="69">
        <f t="shared" si="26"/>
        <v>2</v>
      </c>
      <c r="K889" s="69">
        <f t="shared" si="27"/>
        <v>35</v>
      </c>
      <c r="L889" s="69">
        <f>VLOOKUP(Table_db1_backend_Daily.accdb[[#This Row],[TradingDate]],canon!B:E,4,0)</f>
        <v>31</v>
      </c>
    </row>
    <row r="890" spans="1:12" x14ac:dyDescent="0.2">
      <c r="A890" s="69" t="s">
        <v>40</v>
      </c>
      <c r="B890" s="70">
        <v>42947</v>
      </c>
      <c r="C890" s="69">
        <v>1</v>
      </c>
      <c r="D890" s="69">
        <v>0</v>
      </c>
      <c r="E890" s="69">
        <v>0</v>
      </c>
      <c r="F890" s="69">
        <v>0</v>
      </c>
      <c r="G890" s="69" t="s">
        <v>37</v>
      </c>
      <c r="H890" s="69" t="str">
        <f>IFERROR(VLOOKUP(Data!$G890,canon!$I$2:$K$27,2,FALSE),"")</f>
        <v>SHOES</v>
      </c>
      <c r="I890" s="69" t="str">
        <f>IFERROR(VLOOKUP(Data!$G890,canon!$I$2:$K$27,3,FALSE),"")</f>
        <v>N.APPAREL</v>
      </c>
      <c r="J890" s="69">
        <f t="shared" si="26"/>
        <v>2</v>
      </c>
      <c r="K890" s="69">
        <f t="shared" si="27"/>
        <v>35</v>
      </c>
      <c r="L890" s="69">
        <f>VLOOKUP(Table_db1_backend_Daily.accdb[[#This Row],[TradingDate]],canon!B:E,4,0)</f>
        <v>31</v>
      </c>
    </row>
    <row r="891" spans="1:12" x14ac:dyDescent="0.2">
      <c r="A891" s="69" t="s">
        <v>40</v>
      </c>
      <c r="B891" s="70">
        <v>42947</v>
      </c>
      <c r="C891" s="69">
        <v>549</v>
      </c>
      <c r="D891" s="69">
        <v>18</v>
      </c>
      <c r="E891" s="69">
        <v>327.24</v>
      </c>
      <c r="F891" s="69">
        <v>162.45000000000002</v>
      </c>
      <c r="G891" s="69" t="s">
        <v>17</v>
      </c>
      <c r="H891" s="69" t="str">
        <f>IFERROR(VLOOKUP(Data!$G891,canon!$I$2:$K$27,2,FALSE),"")</f>
        <v>OUTER</v>
      </c>
      <c r="I891" s="69" t="str">
        <f>IFERROR(VLOOKUP(Data!$G891,canon!$I$2:$K$27,3,FALSE),"")</f>
        <v>APPAREL</v>
      </c>
      <c r="J891" s="69">
        <f t="shared" si="26"/>
        <v>2</v>
      </c>
      <c r="K891" s="69">
        <f t="shared" si="27"/>
        <v>35</v>
      </c>
      <c r="L891" s="69">
        <f>VLOOKUP(Table_db1_backend_Daily.accdb[[#This Row],[TradingDate]],canon!B:E,4,0)</f>
        <v>31</v>
      </c>
    </row>
    <row r="892" spans="1:12" x14ac:dyDescent="0.2">
      <c r="A892" s="69" t="s">
        <v>40</v>
      </c>
      <c r="B892" s="70">
        <v>42947</v>
      </c>
      <c r="C892" s="69">
        <v>344</v>
      </c>
      <c r="D892" s="69">
        <v>6</v>
      </c>
      <c r="E892" s="69">
        <v>90.89</v>
      </c>
      <c r="F892" s="69">
        <v>48.989999999999995</v>
      </c>
      <c r="G892" s="69" t="s">
        <v>19</v>
      </c>
      <c r="H892" s="69" t="str">
        <f>IFERROR(VLOOKUP(Data!$G892,canon!$I$2:$K$27,2,FALSE),"")</f>
        <v>PANT</v>
      </c>
      <c r="I892" s="69" t="str">
        <f>IFERROR(VLOOKUP(Data!$G892,canon!$I$2:$K$27,3,FALSE),"")</f>
        <v>APPAREL</v>
      </c>
      <c r="J892" s="69">
        <f t="shared" si="26"/>
        <v>2</v>
      </c>
      <c r="K892" s="69">
        <f t="shared" si="27"/>
        <v>35</v>
      </c>
      <c r="L892" s="69">
        <f>VLOOKUP(Table_db1_backend_Daily.accdb[[#This Row],[TradingDate]],canon!B:E,4,0)</f>
        <v>31</v>
      </c>
    </row>
    <row r="893" spans="1:12" x14ac:dyDescent="0.2">
      <c r="A893" s="69" t="s">
        <v>40</v>
      </c>
      <c r="B893" s="70">
        <v>42947</v>
      </c>
      <c r="C893" s="69">
        <v>32</v>
      </c>
      <c r="D893" s="69">
        <v>0</v>
      </c>
      <c r="E893" s="69">
        <v>0</v>
      </c>
      <c r="F893" s="69">
        <v>0</v>
      </c>
      <c r="G893" s="69" t="s">
        <v>21</v>
      </c>
      <c r="H893" s="69" t="str">
        <f>IFERROR(VLOOKUP(Data!$G893,canon!$I$2:$K$27,2,FALSE),"")</f>
        <v>ACCESSORY</v>
      </c>
      <c r="I893" s="69" t="str">
        <f>IFERROR(VLOOKUP(Data!$G893,canon!$I$2:$K$27,3,FALSE),"")</f>
        <v>N.APPAREL</v>
      </c>
      <c r="J893" s="69">
        <f t="shared" si="26"/>
        <v>2</v>
      </c>
      <c r="K893" s="69">
        <f t="shared" si="27"/>
        <v>35</v>
      </c>
      <c r="L893" s="69">
        <f>VLOOKUP(Table_db1_backend_Daily.accdb[[#This Row],[TradingDate]],canon!B:E,4,0)</f>
        <v>31</v>
      </c>
    </row>
    <row r="894" spans="1:12" x14ac:dyDescent="0.2">
      <c r="A894" s="69" t="s">
        <v>40</v>
      </c>
      <c r="B894" s="70">
        <v>42947</v>
      </c>
      <c r="C894" s="69">
        <v>484</v>
      </c>
      <c r="D894" s="69">
        <v>8</v>
      </c>
      <c r="E894" s="69">
        <v>47.120000000000005</v>
      </c>
      <c r="F894" s="69">
        <v>34.96</v>
      </c>
      <c r="G894" s="69" t="s">
        <v>22</v>
      </c>
      <c r="H894" s="69" t="str">
        <f>IFERROR(VLOOKUP(Data!$G894,canon!$I$2:$K$27,2,FALSE),"")</f>
        <v>SCARF</v>
      </c>
      <c r="I894" s="69" t="str">
        <f>IFERROR(VLOOKUP(Data!$G894,canon!$I$2:$K$27,3,FALSE),"")</f>
        <v>N.APPAREL</v>
      </c>
      <c r="J894" s="69">
        <f t="shared" si="26"/>
        <v>2</v>
      </c>
      <c r="K894" s="69">
        <f t="shared" si="27"/>
        <v>35</v>
      </c>
      <c r="L894" s="69">
        <f>VLOOKUP(Table_db1_backend_Daily.accdb[[#This Row],[TradingDate]],canon!B:E,4,0)</f>
        <v>31</v>
      </c>
    </row>
    <row r="895" spans="1:12" x14ac:dyDescent="0.2">
      <c r="A895" s="69" t="s">
        <v>40</v>
      </c>
      <c r="B895" s="70">
        <v>42947</v>
      </c>
      <c r="C895" s="69">
        <v>167</v>
      </c>
      <c r="D895" s="69">
        <v>1</v>
      </c>
      <c r="E895" s="69">
        <v>27.27</v>
      </c>
      <c r="F895" s="69">
        <v>18.36</v>
      </c>
      <c r="G895" s="69" t="s">
        <v>23</v>
      </c>
      <c r="H895" s="69" t="str">
        <f>IFERROR(VLOOKUP(Data!$G895,canon!$I$2:$K$27,2,FALSE),"")</f>
        <v>SH&amp;BL</v>
      </c>
      <c r="I895" s="69" t="str">
        <f>IFERROR(VLOOKUP(Data!$G895,canon!$I$2:$K$27,3,FALSE),"")</f>
        <v>APPAREL</v>
      </c>
      <c r="J895" s="69">
        <f t="shared" si="26"/>
        <v>2</v>
      </c>
      <c r="K895" s="69">
        <f t="shared" si="27"/>
        <v>35</v>
      </c>
      <c r="L895" s="69">
        <f>VLOOKUP(Table_db1_backend_Daily.accdb[[#This Row],[TradingDate]],canon!B:E,4,0)</f>
        <v>31</v>
      </c>
    </row>
    <row r="896" spans="1:12" x14ac:dyDescent="0.2">
      <c r="A896" s="69" t="s">
        <v>40</v>
      </c>
      <c r="B896" s="70">
        <v>42947</v>
      </c>
      <c r="C896" s="69">
        <v>297</v>
      </c>
      <c r="D896" s="69">
        <v>3</v>
      </c>
      <c r="E896" s="69">
        <v>13.64</v>
      </c>
      <c r="F896" s="69">
        <v>-7.8900000000000006</v>
      </c>
      <c r="G896" s="69" t="s">
        <v>32</v>
      </c>
      <c r="H896" s="69" t="str">
        <f>IFERROR(VLOOKUP(Data!$G896,canon!$I$2:$K$27,2,FALSE),"")</f>
        <v>SKIRT</v>
      </c>
      <c r="I896" s="69" t="str">
        <f>IFERROR(VLOOKUP(Data!$G896,canon!$I$2:$K$27,3,FALSE),"")</f>
        <v>APPAREL</v>
      </c>
      <c r="J896" s="69">
        <f t="shared" si="26"/>
        <v>2</v>
      </c>
      <c r="K896" s="69">
        <f t="shared" si="27"/>
        <v>35</v>
      </c>
      <c r="L896" s="69">
        <f>VLOOKUP(Table_db1_backend_Daily.accdb[[#This Row],[TradingDate]],canon!B:E,4,0)</f>
        <v>31</v>
      </c>
    </row>
    <row r="897" spans="1:12" x14ac:dyDescent="0.2">
      <c r="A897" s="69" t="s">
        <v>40</v>
      </c>
      <c r="B897" s="70">
        <v>42947</v>
      </c>
      <c r="C897" s="69">
        <v>858</v>
      </c>
      <c r="D897" s="69">
        <v>12</v>
      </c>
      <c r="E897" s="69">
        <v>140.81</v>
      </c>
      <c r="F897" s="69">
        <v>78.48</v>
      </c>
      <c r="G897" s="69" t="s">
        <v>25</v>
      </c>
      <c r="H897" s="69" t="str">
        <f>IFERROR(VLOOKUP(Data!$G897,canon!$I$2:$K$27,2,FALSE),"")</f>
        <v>TOP</v>
      </c>
      <c r="I897" s="69" t="str">
        <f>IFERROR(VLOOKUP(Data!$G897,canon!$I$2:$K$27,3,FALSE),"")</f>
        <v>APPAREL</v>
      </c>
      <c r="J897" s="69">
        <f t="shared" si="26"/>
        <v>2</v>
      </c>
      <c r="K897" s="69">
        <f t="shared" si="27"/>
        <v>35</v>
      </c>
      <c r="L897" s="69">
        <f>VLOOKUP(Table_db1_backend_Daily.accdb[[#This Row],[TradingDate]],canon!B:E,4,0)</f>
        <v>31</v>
      </c>
    </row>
    <row r="898" spans="1:12" x14ac:dyDescent="0.2">
      <c r="A898" s="69" t="s">
        <v>40</v>
      </c>
      <c r="B898" s="70">
        <v>42948</v>
      </c>
      <c r="C898" s="69">
        <v>4</v>
      </c>
      <c r="D898" s="69">
        <v>0</v>
      </c>
      <c r="E898" s="69">
        <v>0</v>
      </c>
      <c r="F898" s="69">
        <v>0</v>
      </c>
      <c r="G898" s="69" t="s">
        <v>27</v>
      </c>
      <c r="H898" s="69" t="str">
        <f>IFERROR(VLOOKUP(Data!$G898,canon!$I$2:$K$27,2,FALSE),"")</f>
        <v>ACCESSORY</v>
      </c>
      <c r="I898" s="69" t="str">
        <f>IFERROR(VLOOKUP(Data!$G898,canon!$I$2:$K$27,3,FALSE),"")</f>
        <v>N.APPAREL</v>
      </c>
      <c r="J898" s="69">
        <f t="shared" ref="J898:J961" si="28">WEEKDAY(B898)</f>
        <v>3</v>
      </c>
      <c r="K898" s="69">
        <f t="shared" ref="K898:K961" si="29">INT(A898)</f>
        <v>35</v>
      </c>
      <c r="L898" s="69">
        <f>VLOOKUP(Table_db1_backend_Daily.accdb[[#This Row],[TradingDate]],canon!B:E,4,0)</f>
        <v>31</v>
      </c>
    </row>
    <row r="899" spans="1:12" x14ac:dyDescent="0.2">
      <c r="A899" s="69" t="s">
        <v>40</v>
      </c>
      <c r="B899" s="70">
        <v>42948</v>
      </c>
      <c r="C899" s="69">
        <v>4</v>
      </c>
      <c r="D899" s="69">
        <v>0</v>
      </c>
      <c r="E899" s="69">
        <v>0</v>
      </c>
      <c r="F899" s="69">
        <v>0</v>
      </c>
      <c r="G899" s="69" t="s">
        <v>34</v>
      </c>
      <c r="H899" s="69" t="str">
        <f>IFERROR(VLOOKUP(Data!$G899,canon!$I$2:$K$27,2,FALSE),"")</f>
        <v>SHOES</v>
      </c>
      <c r="I899" s="69" t="str">
        <f>IFERROR(VLOOKUP(Data!$G899,canon!$I$2:$K$27,3,FALSE),"")</f>
        <v>N.APPAREL</v>
      </c>
      <c r="J899" s="69">
        <f t="shared" si="28"/>
        <v>3</v>
      </c>
      <c r="K899" s="69">
        <f t="shared" si="29"/>
        <v>35</v>
      </c>
      <c r="L899" s="69">
        <f>VLOOKUP(Table_db1_backend_Daily.accdb[[#This Row],[TradingDate]],canon!B:E,4,0)</f>
        <v>31</v>
      </c>
    </row>
    <row r="900" spans="1:12" x14ac:dyDescent="0.2">
      <c r="A900" s="69" t="s">
        <v>40</v>
      </c>
      <c r="B900" s="70">
        <v>42948</v>
      </c>
      <c r="C900" s="69">
        <v>2</v>
      </c>
      <c r="D900" s="69">
        <v>0</v>
      </c>
      <c r="E900" s="69">
        <v>0</v>
      </c>
      <c r="F900" s="69">
        <v>0</v>
      </c>
      <c r="G900" s="69" t="s">
        <v>38</v>
      </c>
      <c r="H900" s="69" t="str">
        <f>IFERROR(VLOOKUP(Data!$G900,canon!$I$2:$K$27,2,FALSE),"")</f>
        <v>SHOES</v>
      </c>
      <c r="I900" s="69" t="str">
        <f>IFERROR(VLOOKUP(Data!$G900,canon!$I$2:$K$27,3,FALSE),"")</f>
        <v>N.APPAREL</v>
      </c>
      <c r="J900" s="69">
        <f t="shared" si="28"/>
        <v>3</v>
      </c>
      <c r="K900" s="69">
        <f t="shared" si="29"/>
        <v>35</v>
      </c>
      <c r="L900" s="69">
        <f>VLOOKUP(Table_db1_backend_Daily.accdb[[#This Row],[TradingDate]],canon!B:E,4,0)</f>
        <v>31</v>
      </c>
    </row>
    <row r="901" spans="1:12" x14ac:dyDescent="0.2">
      <c r="A901" s="69" t="s">
        <v>40</v>
      </c>
      <c r="B901" s="70">
        <v>42948</v>
      </c>
      <c r="C901" s="69">
        <v>451</v>
      </c>
      <c r="D901" s="69">
        <v>10</v>
      </c>
      <c r="E901" s="69">
        <v>158.85000000000002</v>
      </c>
      <c r="F901" s="69">
        <v>84.27</v>
      </c>
      <c r="G901" s="69" t="s">
        <v>35</v>
      </c>
      <c r="H901" s="69" t="str">
        <f>IFERROR(VLOOKUP(Data!$G901,canon!$I$2:$K$27,2,FALSE),"")</f>
        <v>DRESS</v>
      </c>
      <c r="I901" s="69" t="str">
        <f>IFERROR(VLOOKUP(Data!$G901,canon!$I$2:$K$27,3,FALSE),"")</f>
        <v>APPAREL</v>
      </c>
      <c r="J901" s="69">
        <f t="shared" si="28"/>
        <v>3</v>
      </c>
      <c r="K901" s="69">
        <f t="shared" si="29"/>
        <v>35</v>
      </c>
      <c r="L901" s="69">
        <f>VLOOKUP(Table_db1_backend_Daily.accdb[[#This Row],[TradingDate]],canon!B:E,4,0)</f>
        <v>31</v>
      </c>
    </row>
    <row r="902" spans="1:12" x14ac:dyDescent="0.2">
      <c r="A902" s="69" t="s">
        <v>40</v>
      </c>
      <c r="B902" s="70">
        <v>42948</v>
      </c>
      <c r="C902" s="69">
        <v>6</v>
      </c>
      <c r="D902" s="69">
        <v>0</v>
      </c>
      <c r="E902" s="69">
        <v>0</v>
      </c>
      <c r="F902" s="69">
        <v>0</v>
      </c>
      <c r="G902" s="69" t="s">
        <v>10</v>
      </c>
      <c r="H902" s="69" t="str">
        <f>IFERROR(VLOOKUP(Data!$G902,canon!$I$2:$K$27,2,FALSE),"")</f>
        <v>ACCESSORY</v>
      </c>
      <c r="I902" s="69" t="str">
        <f>IFERROR(VLOOKUP(Data!$G902,canon!$I$2:$K$27,3,FALSE),"")</f>
        <v>N.APPAREL</v>
      </c>
      <c r="J902" s="69">
        <f t="shared" si="28"/>
        <v>3</v>
      </c>
      <c r="K902" s="69">
        <f t="shared" si="29"/>
        <v>35</v>
      </c>
      <c r="L902" s="69">
        <f>VLOOKUP(Table_db1_backend_Daily.accdb[[#This Row],[TradingDate]],canon!B:E,4,0)</f>
        <v>31</v>
      </c>
    </row>
    <row r="903" spans="1:12" x14ac:dyDescent="0.2">
      <c r="A903" s="69" t="s">
        <v>40</v>
      </c>
      <c r="B903" s="70">
        <v>42948</v>
      </c>
      <c r="C903" s="69">
        <v>-17</v>
      </c>
      <c r="D903" s="69">
        <v>0</v>
      </c>
      <c r="E903" s="69">
        <v>0</v>
      </c>
      <c r="F903" s="69">
        <v>0</v>
      </c>
      <c r="G903" s="69" t="s">
        <v>28</v>
      </c>
      <c r="H903" s="69" t="str">
        <f>IFERROR(VLOOKUP(Data!$G903,canon!$I$2:$K$27,2,FALSE),"")</f>
        <v>ACCESSORY</v>
      </c>
      <c r="I903" s="69" t="str">
        <f>IFERROR(VLOOKUP(Data!$G903,canon!$I$2:$K$27,3,FALSE),"")</f>
        <v>N.APPAREL</v>
      </c>
      <c r="J903" s="69">
        <f t="shared" si="28"/>
        <v>3</v>
      </c>
      <c r="K903" s="69">
        <f t="shared" si="29"/>
        <v>35</v>
      </c>
      <c r="L903" s="69">
        <f>VLOOKUP(Table_db1_backend_Daily.accdb[[#This Row],[TradingDate]],canon!B:E,4,0)</f>
        <v>31</v>
      </c>
    </row>
    <row r="904" spans="1:12" x14ac:dyDescent="0.2">
      <c r="A904" s="69" t="s">
        <v>40</v>
      </c>
      <c r="B904" s="70">
        <v>42948</v>
      </c>
      <c r="C904" s="69">
        <v>1169</v>
      </c>
      <c r="D904" s="69">
        <v>34</v>
      </c>
      <c r="E904" s="69">
        <v>372.23000000000008</v>
      </c>
      <c r="F904" s="69">
        <v>107.2</v>
      </c>
      <c r="G904" s="69" t="s">
        <v>11</v>
      </c>
      <c r="H904" s="69" t="str">
        <f>IFERROR(VLOOKUP(Data!$G904,canon!$I$2:$K$27,2,FALSE),"")</f>
        <v>KNIT</v>
      </c>
      <c r="I904" s="69" t="str">
        <f>IFERROR(VLOOKUP(Data!$G904,canon!$I$2:$K$27,3,FALSE),"")</f>
        <v>APPAREL</v>
      </c>
      <c r="J904" s="69">
        <f t="shared" si="28"/>
        <v>3</v>
      </c>
      <c r="K904" s="69">
        <f t="shared" si="29"/>
        <v>35</v>
      </c>
      <c r="L904" s="69">
        <f>VLOOKUP(Table_db1_backend_Daily.accdb[[#This Row],[TradingDate]],canon!B:E,4,0)</f>
        <v>31</v>
      </c>
    </row>
    <row r="905" spans="1:12" x14ac:dyDescent="0.2">
      <c r="A905" s="69" t="s">
        <v>40</v>
      </c>
      <c r="B905" s="70">
        <v>42948</v>
      </c>
      <c r="C905" s="69">
        <v>254</v>
      </c>
      <c r="D905" s="69">
        <v>9</v>
      </c>
      <c r="E905" s="69">
        <v>81.819999999999993</v>
      </c>
      <c r="F905" s="69">
        <v>27.910000000000004</v>
      </c>
      <c r="G905" s="69" t="s">
        <v>14</v>
      </c>
      <c r="H905" s="69" t="str">
        <f>IFERROR(VLOOKUP(Data!$G905,canon!$I$2:$K$27,2,FALSE),"")</f>
        <v>LEGGING</v>
      </c>
      <c r="I905" s="69" t="str">
        <f>IFERROR(VLOOKUP(Data!$G905,canon!$I$2:$K$27,3,FALSE),"")</f>
        <v>APPAREL</v>
      </c>
      <c r="J905" s="69">
        <f t="shared" si="28"/>
        <v>3</v>
      </c>
      <c r="K905" s="69">
        <f t="shared" si="29"/>
        <v>35</v>
      </c>
      <c r="L905" s="69">
        <f>VLOOKUP(Table_db1_backend_Daily.accdb[[#This Row],[TradingDate]],canon!B:E,4,0)</f>
        <v>31</v>
      </c>
    </row>
    <row r="906" spans="1:12" x14ac:dyDescent="0.2">
      <c r="A906" s="69" t="s">
        <v>40</v>
      </c>
      <c r="B906" s="70">
        <v>42948</v>
      </c>
      <c r="C906" s="69">
        <v>1</v>
      </c>
      <c r="D906" s="69">
        <v>0</v>
      </c>
      <c r="E906" s="69">
        <v>0</v>
      </c>
      <c r="F906" s="69">
        <v>0</v>
      </c>
      <c r="G906" s="69" t="s">
        <v>37</v>
      </c>
      <c r="H906" s="69" t="str">
        <f>IFERROR(VLOOKUP(Data!$G906,canon!$I$2:$K$27,2,FALSE),"")</f>
        <v>SHOES</v>
      </c>
      <c r="I906" s="69" t="str">
        <f>IFERROR(VLOOKUP(Data!$G906,canon!$I$2:$K$27,3,FALSE),"")</f>
        <v>N.APPAREL</v>
      </c>
      <c r="J906" s="69">
        <f t="shared" si="28"/>
        <v>3</v>
      </c>
      <c r="K906" s="69">
        <f t="shared" si="29"/>
        <v>35</v>
      </c>
      <c r="L906" s="69">
        <f>VLOOKUP(Table_db1_backend_Daily.accdb[[#This Row],[TradingDate]],canon!B:E,4,0)</f>
        <v>31</v>
      </c>
    </row>
    <row r="907" spans="1:12" x14ac:dyDescent="0.2">
      <c r="A907" s="69" t="s">
        <v>40</v>
      </c>
      <c r="B907" s="70">
        <v>42948</v>
      </c>
      <c r="C907" s="69">
        <v>582</v>
      </c>
      <c r="D907" s="69">
        <v>9</v>
      </c>
      <c r="E907" s="69">
        <v>163.63000000000002</v>
      </c>
      <c r="F907" s="69">
        <v>86.48</v>
      </c>
      <c r="G907" s="69" t="s">
        <v>17</v>
      </c>
      <c r="H907" s="69" t="str">
        <f>IFERROR(VLOOKUP(Data!$G907,canon!$I$2:$K$27,2,FALSE),"")</f>
        <v>OUTER</v>
      </c>
      <c r="I907" s="69" t="str">
        <f>IFERROR(VLOOKUP(Data!$G907,canon!$I$2:$K$27,3,FALSE),"")</f>
        <v>APPAREL</v>
      </c>
      <c r="J907" s="69">
        <f t="shared" si="28"/>
        <v>3</v>
      </c>
      <c r="K907" s="69">
        <f t="shared" si="29"/>
        <v>35</v>
      </c>
      <c r="L907" s="69">
        <f>VLOOKUP(Table_db1_backend_Daily.accdb[[#This Row],[TradingDate]],canon!B:E,4,0)</f>
        <v>31</v>
      </c>
    </row>
    <row r="908" spans="1:12" x14ac:dyDescent="0.2">
      <c r="A908" s="69" t="s">
        <v>40</v>
      </c>
      <c r="B908" s="70">
        <v>42948</v>
      </c>
      <c r="C908" s="69">
        <v>348</v>
      </c>
      <c r="D908" s="69">
        <v>2</v>
      </c>
      <c r="E908" s="69">
        <v>13.64</v>
      </c>
      <c r="F908" s="69">
        <v>-1.1899999999999982</v>
      </c>
      <c r="G908" s="69" t="s">
        <v>19</v>
      </c>
      <c r="H908" s="69" t="str">
        <f>IFERROR(VLOOKUP(Data!$G908,canon!$I$2:$K$27,2,FALSE),"")</f>
        <v>PANT</v>
      </c>
      <c r="I908" s="69" t="str">
        <f>IFERROR(VLOOKUP(Data!$G908,canon!$I$2:$K$27,3,FALSE),"")</f>
        <v>APPAREL</v>
      </c>
      <c r="J908" s="69">
        <f t="shared" si="28"/>
        <v>3</v>
      </c>
      <c r="K908" s="69">
        <f t="shared" si="29"/>
        <v>35</v>
      </c>
      <c r="L908" s="69">
        <f>VLOOKUP(Table_db1_backend_Daily.accdb[[#This Row],[TradingDate]],canon!B:E,4,0)</f>
        <v>31</v>
      </c>
    </row>
    <row r="909" spans="1:12" x14ac:dyDescent="0.2">
      <c r="A909" s="69" t="s">
        <v>40</v>
      </c>
      <c r="B909" s="70">
        <v>42948</v>
      </c>
      <c r="C909" s="69">
        <v>32</v>
      </c>
      <c r="D909" s="69">
        <v>0</v>
      </c>
      <c r="E909" s="69">
        <v>0</v>
      </c>
      <c r="F909" s="69">
        <v>0</v>
      </c>
      <c r="G909" s="69" t="s">
        <v>21</v>
      </c>
      <c r="H909" s="69" t="str">
        <f>IFERROR(VLOOKUP(Data!$G909,canon!$I$2:$K$27,2,FALSE),"")</f>
        <v>ACCESSORY</v>
      </c>
      <c r="I909" s="69" t="str">
        <f>IFERROR(VLOOKUP(Data!$G909,canon!$I$2:$K$27,3,FALSE),"")</f>
        <v>N.APPAREL</v>
      </c>
      <c r="J909" s="69">
        <f t="shared" si="28"/>
        <v>3</v>
      </c>
      <c r="K909" s="69">
        <f t="shared" si="29"/>
        <v>35</v>
      </c>
      <c r="L909" s="69">
        <f>VLOOKUP(Table_db1_backend_Daily.accdb[[#This Row],[TradingDate]],canon!B:E,4,0)</f>
        <v>31</v>
      </c>
    </row>
    <row r="910" spans="1:12" x14ac:dyDescent="0.2">
      <c r="A910" s="69" t="s">
        <v>40</v>
      </c>
      <c r="B910" s="70">
        <v>42948</v>
      </c>
      <c r="C910" s="69">
        <v>480</v>
      </c>
      <c r="D910" s="69">
        <v>4</v>
      </c>
      <c r="E910" s="69">
        <v>20.87</v>
      </c>
      <c r="F910" s="69">
        <v>14.89</v>
      </c>
      <c r="G910" s="69" t="s">
        <v>22</v>
      </c>
      <c r="H910" s="69" t="str">
        <f>IFERROR(VLOOKUP(Data!$G910,canon!$I$2:$K$27,2,FALSE),"")</f>
        <v>SCARF</v>
      </c>
      <c r="I910" s="69" t="str">
        <f>IFERROR(VLOOKUP(Data!$G910,canon!$I$2:$K$27,3,FALSE),"")</f>
        <v>N.APPAREL</v>
      </c>
      <c r="J910" s="69">
        <f t="shared" si="28"/>
        <v>3</v>
      </c>
      <c r="K910" s="69">
        <f t="shared" si="29"/>
        <v>35</v>
      </c>
      <c r="L910" s="69">
        <f>VLOOKUP(Table_db1_backend_Daily.accdb[[#This Row],[TradingDate]],canon!B:E,4,0)</f>
        <v>31</v>
      </c>
    </row>
    <row r="911" spans="1:12" x14ac:dyDescent="0.2">
      <c r="A911" s="69" t="s">
        <v>40</v>
      </c>
      <c r="B911" s="70">
        <v>42948</v>
      </c>
      <c r="C911" s="69">
        <v>167</v>
      </c>
      <c r="D911" s="69">
        <v>0</v>
      </c>
      <c r="E911" s="69">
        <v>0</v>
      </c>
      <c r="F911" s="69">
        <v>0</v>
      </c>
      <c r="G911" s="69" t="s">
        <v>23</v>
      </c>
      <c r="H911" s="69" t="str">
        <f>IFERROR(VLOOKUP(Data!$G911,canon!$I$2:$K$27,2,FALSE),"")</f>
        <v>SH&amp;BL</v>
      </c>
      <c r="I911" s="69" t="str">
        <f>IFERROR(VLOOKUP(Data!$G911,canon!$I$2:$K$27,3,FALSE),"")</f>
        <v>APPAREL</v>
      </c>
      <c r="J911" s="69">
        <f t="shared" si="28"/>
        <v>3</v>
      </c>
      <c r="K911" s="69">
        <f t="shared" si="29"/>
        <v>35</v>
      </c>
      <c r="L911" s="69">
        <f>VLOOKUP(Table_db1_backend_Daily.accdb[[#This Row],[TradingDate]],canon!B:E,4,0)</f>
        <v>31</v>
      </c>
    </row>
    <row r="912" spans="1:12" x14ac:dyDescent="0.2">
      <c r="A912" s="69" t="s">
        <v>40</v>
      </c>
      <c r="B912" s="70">
        <v>42948</v>
      </c>
      <c r="C912" s="69">
        <v>313</v>
      </c>
      <c r="D912" s="69">
        <v>8</v>
      </c>
      <c r="E912" s="69">
        <v>77.19</v>
      </c>
      <c r="F912" s="69">
        <v>32.839999999999996</v>
      </c>
      <c r="G912" s="69" t="s">
        <v>32</v>
      </c>
      <c r="H912" s="69" t="str">
        <f>IFERROR(VLOOKUP(Data!$G912,canon!$I$2:$K$27,2,FALSE),"")</f>
        <v>SKIRT</v>
      </c>
      <c r="I912" s="69" t="str">
        <f>IFERROR(VLOOKUP(Data!$G912,canon!$I$2:$K$27,3,FALSE),"")</f>
        <v>APPAREL</v>
      </c>
      <c r="J912" s="69">
        <f t="shared" si="28"/>
        <v>3</v>
      </c>
      <c r="K912" s="69">
        <f t="shared" si="29"/>
        <v>35</v>
      </c>
      <c r="L912" s="69">
        <f>VLOOKUP(Table_db1_backend_Daily.accdb[[#This Row],[TradingDate]],canon!B:E,4,0)</f>
        <v>31</v>
      </c>
    </row>
    <row r="913" spans="1:12" x14ac:dyDescent="0.2">
      <c r="A913" s="69" t="s">
        <v>40</v>
      </c>
      <c r="B913" s="70">
        <v>42948</v>
      </c>
      <c r="C913" s="69">
        <v>903</v>
      </c>
      <c r="D913" s="69">
        <v>13</v>
      </c>
      <c r="E913" s="69">
        <v>136.37</v>
      </c>
      <c r="F913" s="69">
        <v>70.25</v>
      </c>
      <c r="G913" s="69" t="s">
        <v>25</v>
      </c>
      <c r="H913" s="69" t="str">
        <f>IFERROR(VLOOKUP(Data!$G913,canon!$I$2:$K$27,2,FALSE),"")</f>
        <v>TOP</v>
      </c>
      <c r="I913" s="69" t="str">
        <f>IFERROR(VLOOKUP(Data!$G913,canon!$I$2:$K$27,3,FALSE),"")</f>
        <v>APPAREL</v>
      </c>
      <c r="J913" s="69">
        <f t="shared" si="28"/>
        <v>3</v>
      </c>
      <c r="K913" s="69">
        <f t="shared" si="29"/>
        <v>35</v>
      </c>
      <c r="L913" s="69">
        <f>VLOOKUP(Table_db1_backend_Daily.accdb[[#This Row],[TradingDate]],canon!B:E,4,0)</f>
        <v>31</v>
      </c>
    </row>
    <row r="914" spans="1:12" x14ac:dyDescent="0.2">
      <c r="A914" s="69" t="s">
        <v>40</v>
      </c>
      <c r="B914" s="70">
        <v>42949</v>
      </c>
      <c r="C914" s="69">
        <v>4</v>
      </c>
      <c r="D914" s="69">
        <v>0</v>
      </c>
      <c r="E914" s="69">
        <v>0</v>
      </c>
      <c r="F914" s="69">
        <v>0</v>
      </c>
      <c r="G914" s="69" t="s">
        <v>27</v>
      </c>
      <c r="H914" s="69" t="str">
        <f>IFERROR(VLOOKUP(Data!$G914,canon!$I$2:$K$27,2,FALSE),"")</f>
        <v>ACCESSORY</v>
      </c>
      <c r="I914" s="69" t="str">
        <f>IFERROR(VLOOKUP(Data!$G914,canon!$I$2:$K$27,3,FALSE),"")</f>
        <v>N.APPAREL</v>
      </c>
      <c r="J914" s="69">
        <f t="shared" si="28"/>
        <v>4</v>
      </c>
      <c r="K914" s="69">
        <f t="shared" si="29"/>
        <v>35</v>
      </c>
      <c r="L914" s="69">
        <f>VLOOKUP(Table_db1_backend_Daily.accdb[[#This Row],[TradingDate]],canon!B:E,4,0)</f>
        <v>31</v>
      </c>
    </row>
    <row r="915" spans="1:12" x14ac:dyDescent="0.2">
      <c r="A915" s="69" t="s">
        <v>40</v>
      </c>
      <c r="B915" s="70">
        <v>42949</v>
      </c>
      <c r="C915" s="69">
        <v>1</v>
      </c>
      <c r="D915" s="69">
        <v>0</v>
      </c>
      <c r="E915" s="69">
        <v>0</v>
      </c>
      <c r="F915" s="69">
        <v>0</v>
      </c>
      <c r="G915" s="69" t="s">
        <v>34</v>
      </c>
      <c r="H915" s="69" t="str">
        <f>IFERROR(VLOOKUP(Data!$G915,canon!$I$2:$K$27,2,FALSE),"")</f>
        <v>SHOES</v>
      </c>
      <c r="I915" s="69" t="str">
        <f>IFERROR(VLOOKUP(Data!$G915,canon!$I$2:$K$27,3,FALSE),"")</f>
        <v>N.APPAREL</v>
      </c>
      <c r="J915" s="69">
        <f t="shared" si="28"/>
        <v>4</v>
      </c>
      <c r="K915" s="69">
        <f t="shared" si="29"/>
        <v>35</v>
      </c>
      <c r="L915" s="69">
        <f>VLOOKUP(Table_db1_backend_Daily.accdb[[#This Row],[TradingDate]],canon!B:E,4,0)</f>
        <v>31</v>
      </c>
    </row>
    <row r="916" spans="1:12" x14ac:dyDescent="0.2">
      <c r="A916" s="69" t="s">
        <v>40</v>
      </c>
      <c r="B916" s="70">
        <v>42949</v>
      </c>
      <c r="C916" s="69">
        <v>2</v>
      </c>
      <c r="D916" s="69">
        <v>0</v>
      </c>
      <c r="E916" s="69">
        <v>0</v>
      </c>
      <c r="F916" s="69">
        <v>0</v>
      </c>
      <c r="G916" s="69" t="s">
        <v>38</v>
      </c>
      <c r="H916" s="69" t="str">
        <f>IFERROR(VLOOKUP(Data!$G916,canon!$I$2:$K$27,2,FALSE),"")</f>
        <v>SHOES</v>
      </c>
      <c r="I916" s="69" t="str">
        <f>IFERROR(VLOOKUP(Data!$G916,canon!$I$2:$K$27,3,FALSE),"")</f>
        <v>N.APPAREL</v>
      </c>
      <c r="J916" s="69">
        <f t="shared" si="28"/>
        <v>4</v>
      </c>
      <c r="K916" s="69">
        <f t="shared" si="29"/>
        <v>35</v>
      </c>
      <c r="L916" s="69">
        <f>VLOOKUP(Table_db1_backend_Daily.accdb[[#This Row],[TradingDate]],canon!B:E,4,0)</f>
        <v>31</v>
      </c>
    </row>
    <row r="917" spans="1:12" x14ac:dyDescent="0.2">
      <c r="A917" s="69" t="s">
        <v>40</v>
      </c>
      <c r="B917" s="70">
        <v>42949</v>
      </c>
      <c r="C917" s="69">
        <v>447</v>
      </c>
      <c r="D917" s="69">
        <v>4</v>
      </c>
      <c r="E917" s="69">
        <v>54.36</v>
      </c>
      <c r="F917" s="69">
        <v>22.18</v>
      </c>
      <c r="G917" s="69" t="s">
        <v>35</v>
      </c>
      <c r="H917" s="69" t="str">
        <f>IFERROR(VLOOKUP(Data!$G917,canon!$I$2:$K$27,2,FALSE),"")</f>
        <v>DRESS</v>
      </c>
      <c r="I917" s="69" t="str">
        <f>IFERROR(VLOOKUP(Data!$G917,canon!$I$2:$K$27,3,FALSE),"")</f>
        <v>APPAREL</v>
      </c>
      <c r="J917" s="69">
        <f t="shared" si="28"/>
        <v>4</v>
      </c>
      <c r="K917" s="69">
        <f t="shared" si="29"/>
        <v>35</v>
      </c>
      <c r="L917" s="69">
        <f>VLOOKUP(Table_db1_backend_Daily.accdb[[#This Row],[TradingDate]],canon!B:E,4,0)</f>
        <v>31</v>
      </c>
    </row>
    <row r="918" spans="1:12" x14ac:dyDescent="0.2">
      <c r="A918" s="69" t="s">
        <v>40</v>
      </c>
      <c r="B918" s="70">
        <v>42949</v>
      </c>
      <c r="C918" s="69">
        <v>6</v>
      </c>
      <c r="D918" s="69">
        <v>0</v>
      </c>
      <c r="E918" s="69">
        <v>0</v>
      </c>
      <c r="F918" s="69">
        <v>0</v>
      </c>
      <c r="G918" s="69" t="s">
        <v>10</v>
      </c>
      <c r="H918" s="69" t="str">
        <f>IFERROR(VLOOKUP(Data!$G918,canon!$I$2:$K$27,2,FALSE),"")</f>
        <v>ACCESSORY</v>
      </c>
      <c r="I918" s="69" t="str">
        <f>IFERROR(VLOOKUP(Data!$G918,canon!$I$2:$K$27,3,FALSE),"")</f>
        <v>N.APPAREL</v>
      </c>
      <c r="J918" s="69">
        <f t="shared" si="28"/>
        <v>4</v>
      </c>
      <c r="K918" s="69">
        <f t="shared" si="29"/>
        <v>35</v>
      </c>
      <c r="L918" s="69">
        <f>VLOOKUP(Table_db1_backend_Daily.accdb[[#This Row],[TradingDate]],canon!B:E,4,0)</f>
        <v>31</v>
      </c>
    </row>
    <row r="919" spans="1:12" x14ac:dyDescent="0.2">
      <c r="A919" s="69" t="s">
        <v>40</v>
      </c>
      <c r="B919" s="70">
        <v>42949</v>
      </c>
      <c r="C919" s="69">
        <v>-17</v>
      </c>
      <c r="D919" s="69">
        <v>0</v>
      </c>
      <c r="E919" s="69">
        <v>0</v>
      </c>
      <c r="F919" s="69">
        <v>0</v>
      </c>
      <c r="G919" s="69" t="s">
        <v>28</v>
      </c>
      <c r="H919" s="69" t="str">
        <f>IFERROR(VLOOKUP(Data!$G919,canon!$I$2:$K$27,2,FALSE),"")</f>
        <v>ACCESSORY</v>
      </c>
      <c r="I919" s="69" t="str">
        <f>IFERROR(VLOOKUP(Data!$G919,canon!$I$2:$K$27,3,FALSE),"")</f>
        <v>N.APPAREL</v>
      </c>
      <c r="J919" s="69">
        <f t="shared" si="28"/>
        <v>4</v>
      </c>
      <c r="K919" s="69">
        <f t="shared" si="29"/>
        <v>35</v>
      </c>
      <c r="L919" s="69">
        <f>VLOOKUP(Table_db1_backend_Daily.accdb[[#This Row],[TradingDate]],canon!B:E,4,0)</f>
        <v>31</v>
      </c>
    </row>
    <row r="920" spans="1:12" x14ac:dyDescent="0.2">
      <c r="A920" s="69" t="s">
        <v>40</v>
      </c>
      <c r="B920" s="70">
        <v>42949</v>
      </c>
      <c r="C920" s="69">
        <v>1130</v>
      </c>
      <c r="D920" s="69">
        <v>39</v>
      </c>
      <c r="E920" s="69">
        <v>395.02</v>
      </c>
      <c r="F920" s="69">
        <v>96.389999999999986</v>
      </c>
      <c r="G920" s="69" t="s">
        <v>11</v>
      </c>
      <c r="H920" s="69" t="str">
        <f>IFERROR(VLOOKUP(Data!$G920,canon!$I$2:$K$27,2,FALSE),"")</f>
        <v>KNIT</v>
      </c>
      <c r="I920" s="69" t="str">
        <f>IFERROR(VLOOKUP(Data!$G920,canon!$I$2:$K$27,3,FALSE),"")</f>
        <v>APPAREL</v>
      </c>
      <c r="J920" s="69">
        <f t="shared" si="28"/>
        <v>4</v>
      </c>
      <c r="K920" s="69">
        <f t="shared" si="29"/>
        <v>35</v>
      </c>
      <c r="L920" s="69">
        <f>VLOOKUP(Table_db1_backend_Daily.accdb[[#This Row],[TradingDate]],canon!B:E,4,0)</f>
        <v>31</v>
      </c>
    </row>
    <row r="921" spans="1:12" x14ac:dyDescent="0.2">
      <c r="A921" s="69" t="s">
        <v>40</v>
      </c>
      <c r="B921" s="70">
        <v>42949</v>
      </c>
      <c r="C921" s="69">
        <v>249</v>
      </c>
      <c r="D921" s="69">
        <v>5</v>
      </c>
      <c r="E921" s="69">
        <v>72.62</v>
      </c>
      <c r="F921" s="69">
        <v>37.85</v>
      </c>
      <c r="G921" s="69" t="s">
        <v>14</v>
      </c>
      <c r="H921" s="69" t="str">
        <f>IFERROR(VLOOKUP(Data!$G921,canon!$I$2:$K$27,2,FALSE),"")</f>
        <v>LEGGING</v>
      </c>
      <c r="I921" s="69" t="str">
        <f>IFERROR(VLOOKUP(Data!$G921,canon!$I$2:$K$27,3,FALSE),"")</f>
        <v>APPAREL</v>
      </c>
      <c r="J921" s="69">
        <f t="shared" si="28"/>
        <v>4</v>
      </c>
      <c r="K921" s="69">
        <f t="shared" si="29"/>
        <v>35</v>
      </c>
      <c r="L921" s="69">
        <f>VLOOKUP(Table_db1_backend_Daily.accdb[[#This Row],[TradingDate]],canon!B:E,4,0)</f>
        <v>31</v>
      </c>
    </row>
    <row r="922" spans="1:12" x14ac:dyDescent="0.2">
      <c r="A922" s="69" t="s">
        <v>40</v>
      </c>
      <c r="B922" s="70">
        <v>42949</v>
      </c>
      <c r="C922" s="69">
        <v>1</v>
      </c>
      <c r="D922" s="69">
        <v>0</v>
      </c>
      <c r="E922" s="69">
        <v>0</v>
      </c>
      <c r="F922" s="69">
        <v>0</v>
      </c>
      <c r="G922" s="69" t="s">
        <v>37</v>
      </c>
      <c r="H922" s="69" t="str">
        <f>IFERROR(VLOOKUP(Data!$G922,canon!$I$2:$K$27,2,FALSE),"")</f>
        <v>SHOES</v>
      </c>
      <c r="I922" s="69" t="str">
        <f>IFERROR(VLOOKUP(Data!$G922,canon!$I$2:$K$27,3,FALSE),"")</f>
        <v>N.APPAREL</v>
      </c>
      <c r="J922" s="69">
        <f t="shared" si="28"/>
        <v>4</v>
      </c>
      <c r="K922" s="69">
        <f t="shared" si="29"/>
        <v>35</v>
      </c>
      <c r="L922" s="69">
        <f>VLOOKUP(Table_db1_backend_Daily.accdb[[#This Row],[TradingDate]],canon!B:E,4,0)</f>
        <v>31</v>
      </c>
    </row>
    <row r="923" spans="1:12" x14ac:dyDescent="0.2">
      <c r="A923" s="69" t="s">
        <v>40</v>
      </c>
      <c r="B923" s="70">
        <v>42949</v>
      </c>
      <c r="C923" s="69">
        <v>575</v>
      </c>
      <c r="D923" s="69">
        <v>7</v>
      </c>
      <c r="E923" s="69">
        <v>145.41</v>
      </c>
      <c r="F923" s="69">
        <v>93.42</v>
      </c>
      <c r="G923" s="69" t="s">
        <v>17</v>
      </c>
      <c r="H923" s="69" t="str">
        <f>IFERROR(VLOOKUP(Data!$G923,canon!$I$2:$K$27,2,FALSE),"")</f>
        <v>OUTER</v>
      </c>
      <c r="I923" s="69" t="str">
        <f>IFERROR(VLOOKUP(Data!$G923,canon!$I$2:$K$27,3,FALSE),"")</f>
        <v>APPAREL</v>
      </c>
      <c r="J923" s="69">
        <f t="shared" si="28"/>
        <v>4</v>
      </c>
      <c r="K923" s="69">
        <f t="shared" si="29"/>
        <v>35</v>
      </c>
      <c r="L923" s="69">
        <f>VLOOKUP(Table_db1_backend_Daily.accdb[[#This Row],[TradingDate]],canon!B:E,4,0)</f>
        <v>31</v>
      </c>
    </row>
    <row r="924" spans="1:12" x14ac:dyDescent="0.2">
      <c r="A924" s="69" t="s">
        <v>40</v>
      </c>
      <c r="B924" s="70">
        <v>42949</v>
      </c>
      <c r="C924" s="69">
        <v>345</v>
      </c>
      <c r="D924" s="69">
        <v>3</v>
      </c>
      <c r="E924" s="69">
        <v>40.89</v>
      </c>
      <c r="F924" s="69">
        <v>19.2</v>
      </c>
      <c r="G924" s="69" t="s">
        <v>19</v>
      </c>
      <c r="H924" s="69" t="str">
        <f>IFERROR(VLOOKUP(Data!$G924,canon!$I$2:$K$27,2,FALSE),"")</f>
        <v>PANT</v>
      </c>
      <c r="I924" s="69" t="str">
        <f>IFERROR(VLOOKUP(Data!$G924,canon!$I$2:$K$27,3,FALSE),"")</f>
        <v>APPAREL</v>
      </c>
      <c r="J924" s="69">
        <f t="shared" si="28"/>
        <v>4</v>
      </c>
      <c r="K924" s="69">
        <f t="shared" si="29"/>
        <v>35</v>
      </c>
      <c r="L924" s="69">
        <f>VLOOKUP(Table_db1_backend_Daily.accdb[[#This Row],[TradingDate]],canon!B:E,4,0)</f>
        <v>31</v>
      </c>
    </row>
    <row r="925" spans="1:12" x14ac:dyDescent="0.2">
      <c r="A925" s="69" t="s">
        <v>40</v>
      </c>
      <c r="B925" s="70">
        <v>42949</v>
      </c>
      <c r="C925" s="69">
        <v>32</v>
      </c>
      <c r="D925" s="69">
        <v>0</v>
      </c>
      <c r="E925" s="69">
        <v>0</v>
      </c>
      <c r="F925" s="69">
        <v>0</v>
      </c>
      <c r="G925" s="69" t="s">
        <v>21</v>
      </c>
      <c r="H925" s="69" t="str">
        <f>IFERROR(VLOOKUP(Data!$G925,canon!$I$2:$K$27,2,FALSE),"")</f>
        <v>ACCESSORY</v>
      </c>
      <c r="I925" s="69" t="str">
        <f>IFERROR(VLOOKUP(Data!$G925,canon!$I$2:$K$27,3,FALSE),"")</f>
        <v>N.APPAREL</v>
      </c>
      <c r="J925" s="69">
        <f t="shared" si="28"/>
        <v>4</v>
      </c>
      <c r="K925" s="69">
        <f t="shared" si="29"/>
        <v>35</v>
      </c>
      <c r="L925" s="69">
        <f>VLOOKUP(Table_db1_backend_Daily.accdb[[#This Row],[TradingDate]],canon!B:E,4,0)</f>
        <v>31</v>
      </c>
    </row>
    <row r="926" spans="1:12" x14ac:dyDescent="0.2">
      <c r="A926" s="69" t="s">
        <v>40</v>
      </c>
      <c r="B926" s="70">
        <v>42949</v>
      </c>
      <c r="C926" s="69">
        <v>425</v>
      </c>
      <c r="D926" s="69">
        <v>7</v>
      </c>
      <c r="E926" s="69">
        <v>50.600000000000009</v>
      </c>
      <c r="F926" s="69">
        <v>39.090000000000003</v>
      </c>
      <c r="G926" s="69" t="s">
        <v>22</v>
      </c>
      <c r="H926" s="69" t="str">
        <f>IFERROR(VLOOKUP(Data!$G926,canon!$I$2:$K$27,2,FALSE),"")</f>
        <v>SCARF</v>
      </c>
      <c r="I926" s="69" t="str">
        <f>IFERROR(VLOOKUP(Data!$G926,canon!$I$2:$K$27,3,FALSE),"")</f>
        <v>N.APPAREL</v>
      </c>
      <c r="J926" s="69">
        <f t="shared" si="28"/>
        <v>4</v>
      </c>
      <c r="K926" s="69">
        <f t="shared" si="29"/>
        <v>35</v>
      </c>
      <c r="L926" s="69">
        <f>VLOOKUP(Table_db1_backend_Daily.accdb[[#This Row],[TradingDate]],canon!B:E,4,0)</f>
        <v>31</v>
      </c>
    </row>
    <row r="927" spans="1:12" x14ac:dyDescent="0.2">
      <c r="A927" s="69" t="s">
        <v>40</v>
      </c>
      <c r="B927" s="70">
        <v>42949</v>
      </c>
      <c r="C927" s="69">
        <v>165</v>
      </c>
      <c r="D927" s="69">
        <v>2</v>
      </c>
      <c r="E927" s="69">
        <v>36.340000000000003</v>
      </c>
      <c r="F927" s="69">
        <v>25.04</v>
      </c>
      <c r="G927" s="69" t="s">
        <v>23</v>
      </c>
      <c r="H927" s="69" t="str">
        <f>IFERROR(VLOOKUP(Data!$G927,canon!$I$2:$K$27,2,FALSE),"")</f>
        <v>SH&amp;BL</v>
      </c>
      <c r="I927" s="69" t="str">
        <f>IFERROR(VLOOKUP(Data!$G927,canon!$I$2:$K$27,3,FALSE),"")</f>
        <v>APPAREL</v>
      </c>
      <c r="J927" s="69">
        <f t="shared" si="28"/>
        <v>4</v>
      </c>
      <c r="K927" s="69">
        <f t="shared" si="29"/>
        <v>35</v>
      </c>
      <c r="L927" s="69">
        <f>VLOOKUP(Table_db1_backend_Daily.accdb[[#This Row],[TradingDate]],canon!B:E,4,0)</f>
        <v>31</v>
      </c>
    </row>
    <row r="928" spans="1:12" x14ac:dyDescent="0.2">
      <c r="A928" s="69" t="s">
        <v>40</v>
      </c>
      <c r="B928" s="70">
        <v>42949</v>
      </c>
      <c r="C928" s="69">
        <v>309</v>
      </c>
      <c r="D928" s="69">
        <v>4</v>
      </c>
      <c r="E928" s="69">
        <v>59.1</v>
      </c>
      <c r="F928" s="69">
        <v>36.270000000000003</v>
      </c>
      <c r="G928" s="69" t="s">
        <v>32</v>
      </c>
      <c r="H928" s="69" t="str">
        <f>IFERROR(VLOOKUP(Data!$G928,canon!$I$2:$K$27,2,FALSE),"")</f>
        <v>SKIRT</v>
      </c>
      <c r="I928" s="69" t="str">
        <f>IFERROR(VLOOKUP(Data!$G928,canon!$I$2:$K$27,3,FALSE),"")</f>
        <v>APPAREL</v>
      </c>
      <c r="J928" s="69">
        <f t="shared" si="28"/>
        <v>4</v>
      </c>
      <c r="K928" s="69">
        <f t="shared" si="29"/>
        <v>35</v>
      </c>
      <c r="L928" s="69">
        <f>VLOOKUP(Table_db1_backend_Daily.accdb[[#This Row],[TradingDate]],canon!B:E,4,0)</f>
        <v>31</v>
      </c>
    </row>
    <row r="929" spans="1:12" x14ac:dyDescent="0.2">
      <c r="A929" s="69" t="s">
        <v>40</v>
      </c>
      <c r="B929" s="70">
        <v>42949</v>
      </c>
      <c r="C929" s="69">
        <v>893</v>
      </c>
      <c r="D929" s="69">
        <v>8</v>
      </c>
      <c r="E929" s="69">
        <v>72.680000000000007</v>
      </c>
      <c r="F929" s="69">
        <v>28.65</v>
      </c>
      <c r="G929" s="69" t="s">
        <v>25</v>
      </c>
      <c r="H929" s="69" t="str">
        <f>IFERROR(VLOOKUP(Data!$G929,canon!$I$2:$K$27,2,FALSE),"")</f>
        <v>TOP</v>
      </c>
      <c r="I929" s="69" t="str">
        <f>IFERROR(VLOOKUP(Data!$G929,canon!$I$2:$K$27,3,FALSE),"")</f>
        <v>APPAREL</v>
      </c>
      <c r="J929" s="69">
        <f t="shared" si="28"/>
        <v>4</v>
      </c>
      <c r="K929" s="69">
        <f t="shared" si="29"/>
        <v>35</v>
      </c>
      <c r="L929" s="69">
        <f>VLOOKUP(Table_db1_backend_Daily.accdb[[#This Row],[TradingDate]],canon!B:E,4,0)</f>
        <v>31</v>
      </c>
    </row>
    <row r="930" spans="1:12" x14ac:dyDescent="0.2">
      <c r="A930" s="69" t="s">
        <v>40</v>
      </c>
      <c r="B930" s="70">
        <v>42950</v>
      </c>
      <c r="C930" s="69">
        <v>4</v>
      </c>
      <c r="D930" s="69">
        <v>0</v>
      </c>
      <c r="E930" s="69">
        <v>0</v>
      </c>
      <c r="F930" s="69">
        <v>0</v>
      </c>
      <c r="G930" s="69" t="s">
        <v>27</v>
      </c>
      <c r="H930" s="69" t="str">
        <f>IFERROR(VLOOKUP(Data!$G930,canon!$I$2:$K$27,2,FALSE),"")</f>
        <v>ACCESSORY</v>
      </c>
      <c r="I930" s="69" t="str">
        <f>IFERROR(VLOOKUP(Data!$G930,canon!$I$2:$K$27,3,FALSE),"")</f>
        <v>N.APPAREL</v>
      </c>
      <c r="J930" s="69">
        <f t="shared" si="28"/>
        <v>5</v>
      </c>
      <c r="K930" s="69">
        <f t="shared" si="29"/>
        <v>35</v>
      </c>
      <c r="L930" s="69">
        <f>VLOOKUP(Table_db1_backend_Daily.accdb[[#This Row],[TradingDate]],canon!B:E,4,0)</f>
        <v>31</v>
      </c>
    </row>
    <row r="931" spans="1:12" x14ac:dyDescent="0.2">
      <c r="A931" s="69" t="s">
        <v>40</v>
      </c>
      <c r="B931" s="70">
        <v>42950</v>
      </c>
      <c r="C931" s="69">
        <v>4</v>
      </c>
      <c r="D931" s="69">
        <v>0</v>
      </c>
      <c r="E931" s="69">
        <v>0</v>
      </c>
      <c r="F931" s="69">
        <v>0</v>
      </c>
      <c r="G931" s="69" t="s">
        <v>34</v>
      </c>
      <c r="H931" s="69" t="str">
        <f>IFERROR(VLOOKUP(Data!$G931,canon!$I$2:$K$27,2,FALSE),"")</f>
        <v>SHOES</v>
      </c>
      <c r="I931" s="69" t="str">
        <f>IFERROR(VLOOKUP(Data!$G931,canon!$I$2:$K$27,3,FALSE),"")</f>
        <v>N.APPAREL</v>
      </c>
      <c r="J931" s="69">
        <f t="shared" si="28"/>
        <v>5</v>
      </c>
      <c r="K931" s="69">
        <f t="shared" si="29"/>
        <v>35</v>
      </c>
      <c r="L931" s="69">
        <f>VLOOKUP(Table_db1_backend_Daily.accdb[[#This Row],[TradingDate]],canon!B:E,4,0)</f>
        <v>31</v>
      </c>
    </row>
    <row r="932" spans="1:12" x14ac:dyDescent="0.2">
      <c r="A932" s="69" t="s">
        <v>40</v>
      </c>
      <c r="B932" s="70">
        <v>42950</v>
      </c>
      <c r="C932" s="69">
        <v>2</v>
      </c>
      <c r="D932" s="69">
        <v>0</v>
      </c>
      <c r="E932" s="69">
        <v>0</v>
      </c>
      <c r="F932" s="69">
        <v>0</v>
      </c>
      <c r="G932" s="69" t="s">
        <v>38</v>
      </c>
      <c r="H932" s="69" t="str">
        <f>IFERROR(VLOOKUP(Data!$G932,canon!$I$2:$K$27,2,FALSE),"")</f>
        <v>SHOES</v>
      </c>
      <c r="I932" s="69" t="str">
        <f>IFERROR(VLOOKUP(Data!$G932,canon!$I$2:$K$27,3,FALSE),"")</f>
        <v>N.APPAREL</v>
      </c>
      <c r="J932" s="69">
        <f t="shared" si="28"/>
        <v>5</v>
      </c>
      <c r="K932" s="69">
        <f t="shared" si="29"/>
        <v>35</v>
      </c>
      <c r="L932" s="69">
        <f>VLOOKUP(Table_db1_backend_Daily.accdb[[#This Row],[TradingDate]],canon!B:E,4,0)</f>
        <v>31</v>
      </c>
    </row>
    <row r="933" spans="1:12" x14ac:dyDescent="0.2">
      <c r="A933" s="69" t="s">
        <v>40</v>
      </c>
      <c r="B933" s="70">
        <v>42950</v>
      </c>
      <c r="C933" s="69">
        <v>436</v>
      </c>
      <c r="D933" s="69">
        <v>11</v>
      </c>
      <c r="E933" s="69">
        <v>131.59</v>
      </c>
      <c r="F933" s="69">
        <v>48.42</v>
      </c>
      <c r="G933" s="69" t="s">
        <v>35</v>
      </c>
      <c r="H933" s="69" t="str">
        <f>IFERROR(VLOOKUP(Data!$G933,canon!$I$2:$K$27,2,FALSE),"")</f>
        <v>DRESS</v>
      </c>
      <c r="I933" s="69" t="str">
        <f>IFERROR(VLOOKUP(Data!$G933,canon!$I$2:$K$27,3,FALSE),"")</f>
        <v>APPAREL</v>
      </c>
      <c r="J933" s="69">
        <f t="shared" si="28"/>
        <v>5</v>
      </c>
      <c r="K933" s="69">
        <f t="shared" si="29"/>
        <v>35</v>
      </c>
      <c r="L933" s="69">
        <f>VLOOKUP(Table_db1_backend_Daily.accdb[[#This Row],[TradingDate]],canon!B:E,4,0)</f>
        <v>31</v>
      </c>
    </row>
    <row r="934" spans="1:12" x14ac:dyDescent="0.2">
      <c r="A934" s="69" t="s">
        <v>40</v>
      </c>
      <c r="B934" s="70">
        <v>42950</v>
      </c>
      <c r="C934" s="69">
        <v>6</v>
      </c>
      <c r="D934" s="69">
        <v>0</v>
      </c>
      <c r="E934" s="69">
        <v>0</v>
      </c>
      <c r="F934" s="69">
        <v>0</v>
      </c>
      <c r="G934" s="69" t="s">
        <v>10</v>
      </c>
      <c r="H934" s="69" t="str">
        <f>IFERROR(VLOOKUP(Data!$G934,canon!$I$2:$K$27,2,FALSE),"")</f>
        <v>ACCESSORY</v>
      </c>
      <c r="I934" s="69" t="str">
        <f>IFERROR(VLOOKUP(Data!$G934,canon!$I$2:$K$27,3,FALSE),"")</f>
        <v>N.APPAREL</v>
      </c>
      <c r="J934" s="69">
        <f t="shared" si="28"/>
        <v>5</v>
      </c>
      <c r="K934" s="69">
        <f t="shared" si="29"/>
        <v>35</v>
      </c>
      <c r="L934" s="69">
        <f>VLOOKUP(Table_db1_backend_Daily.accdb[[#This Row],[TradingDate]],canon!B:E,4,0)</f>
        <v>31</v>
      </c>
    </row>
    <row r="935" spans="1:12" x14ac:dyDescent="0.2">
      <c r="A935" s="69" t="s">
        <v>40</v>
      </c>
      <c r="B935" s="70">
        <v>42950</v>
      </c>
      <c r="C935" s="69">
        <v>-17</v>
      </c>
      <c r="D935" s="69">
        <v>0</v>
      </c>
      <c r="E935" s="69">
        <v>0</v>
      </c>
      <c r="F935" s="69">
        <v>0</v>
      </c>
      <c r="G935" s="69" t="s">
        <v>28</v>
      </c>
      <c r="H935" s="69" t="str">
        <f>IFERROR(VLOOKUP(Data!$G935,canon!$I$2:$K$27,2,FALSE),"")</f>
        <v>ACCESSORY</v>
      </c>
      <c r="I935" s="69" t="str">
        <f>IFERROR(VLOOKUP(Data!$G935,canon!$I$2:$K$27,3,FALSE),"")</f>
        <v>N.APPAREL</v>
      </c>
      <c r="J935" s="69">
        <f t="shared" si="28"/>
        <v>5</v>
      </c>
      <c r="K935" s="69">
        <f t="shared" si="29"/>
        <v>35</v>
      </c>
      <c r="L935" s="69">
        <f>VLOOKUP(Table_db1_backend_Daily.accdb[[#This Row],[TradingDate]],canon!B:E,4,0)</f>
        <v>31</v>
      </c>
    </row>
    <row r="936" spans="1:12" x14ac:dyDescent="0.2">
      <c r="A936" s="69" t="s">
        <v>40</v>
      </c>
      <c r="B936" s="70">
        <v>42950</v>
      </c>
      <c r="C936" s="69">
        <v>1045</v>
      </c>
      <c r="D936" s="69">
        <v>85</v>
      </c>
      <c r="E936" s="69">
        <v>917.11</v>
      </c>
      <c r="F936" s="69">
        <v>217.49000000000004</v>
      </c>
      <c r="G936" s="69" t="s">
        <v>11</v>
      </c>
      <c r="H936" s="69" t="str">
        <f>IFERROR(VLOOKUP(Data!$G936,canon!$I$2:$K$27,2,FALSE),"")</f>
        <v>KNIT</v>
      </c>
      <c r="I936" s="69" t="str">
        <f>IFERROR(VLOOKUP(Data!$G936,canon!$I$2:$K$27,3,FALSE),"")</f>
        <v>APPAREL</v>
      </c>
      <c r="J936" s="69">
        <f t="shared" si="28"/>
        <v>5</v>
      </c>
      <c r="K936" s="69">
        <f t="shared" si="29"/>
        <v>35</v>
      </c>
      <c r="L936" s="69">
        <f>VLOOKUP(Table_db1_backend_Daily.accdb[[#This Row],[TradingDate]],canon!B:E,4,0)</f>
        <v>31</v>
      </c>
    </row>
    <row r="937" spans="1:12" x14ac:dyDescent="0.2">
      <c r="A937" s="69" t="s">
        <v>40</v>
      </c>
      <c r="B937" s="70">
        <v>42950</v>
      </c>
      <c r="C937" s="69">
        <v>243</v>
      </c>
      <c r="D937" s="69">
        <v>6</v>
      </c>
      <c r="E937" s="69">
        <v>90.8</v>
      </c>
      <c r="F937" s="69">
        <v>51.449999999999996</v>
      </c>
      <c r="G937" s="69" t="s">
        <v>14</v>
      </c>
      <c r="H937" s="69" t="str">
        <f>IFERROR(VLOOKUP(Data!$G937,canon!$I$2:$K$27,2,FALSE),"")</f>
        <v>LEGGING</v>
      </c>
      <c r="I937" s="69" t="str">
        <f>IFERROR(VLOOKUP(Data!$G937,canon!$I$2:$K$27,3,FALSE),"")</f>
        <v>APPAREL</v>
      </c>
      <c r="J937" s="69">
        <f t="shared" si="28"/>
        <v>5</v>
      </c>
      <c r="K937" s="69">
        <f t="shared" si="29"/>
        <v>35</v>
      </c>
      <c r="L937" s="69">
        <f>VLOOKUP(Table_db1_backend_Daily.accdb[[#This Row],[TradingDate]],canon!B:E,4,0)</f>
        <v>31</v>
      </c>
    </row>
    <row r="938" spans="1:12" x14ac:dyDescent="0.2">
      <c r="A938" s="69" t="s">
        <v>40</v>
      </c>
      <c r="B938" s="70">
        <v>42950</v>
      </c>
      <c r="C938" s="69">
        <v>1</v>
      </c>
      <c r="D938" s="69">
        <v>0</v>
      </c>
      <c r="E938" s="69">
        <v>0</v>
      </c>
      <c r="F938" s="69">
        <v>0</v>
      </c>
      <c r="G938" s="69" t="s">
        <v>37</v>
      </c>
      <c r="H938" s="69" t="str">
        <f>IFERROR(VLOOKUP(Data!$G938,canon!$I$2:$K$27,2,FALSE),"")</f>
        <v>SHOES</v>
      </c>
      <c r="I938" s="69" t="str">
        <f>IFERROR(VLOOKUP(Data!$G938,canon!$I$2:$K$27,3,FALSE),"")</f>
        <v>N.APPAREL</v>
      </c>
      <c r="J938" s="69">
        <f t="shared" si="28"/>
        <v>5</v>
      </c>
      <c r="K938" s="69">
        <f t="shared" si="29"/>
        <v>35</v>
      </c>
      <c r="L938" s="69">
        <f>VLOOKUP(Table_db1_backend_Daily.accdb[[#This Row],[TradingDate]],canon!B:E,4,0)</f>
        <v>31</v>
      </c>
    </row>
    <row r="939" spans="1:12" x14ac:dyDescent="0.2">
      <c r="A939" s="69" t="s">
        <v>40</v>
      </c>
      <c r="B939" s="70">
        <v>42950</v>
      </c>
      <c r="C939" s="69">
        <v>552</v>
      </c>
      <c r="D939" s="69">
        <v>23</v>
      </c>
      <c r="E939" s="69">
        <v>340.88</v>
      </c>
      <c r="F939" s="69">
        <v>134.36000000000001</v>
      </c>
      <c r="G939" s="69" t="s">
        <v>17</v>
      </c>
      <c r="H939" s="69" t="str">
        <f>IFERROR(VLOOKUP(Data!$G939,canon!$I$2:$K$27,2,FALSE),"")</f>
        <v>OUTER</v>
      </c>
      <c r="I939" s="69" t="str">
        <f>IFERROR(VLOOKUP(Data!$G939,canon!$I$2:$K$27,3,FALSE),"")</f>
        <v>APPAREL</v>
      </c>
      <c r="J939" s="69">
        <f t="shared" si="28"/>
        <v>5</v>
      </c>
      <c r="K939" s="69">
        <f t="shared" si="29"/>
        <v>35</v>
      </c>
      <c r="L939" s="69">
        <f>VLOOKUP(Table_db1_backend_Daily.accdb[[#This Row],[TradingDate]],canon!B:E,4,0)</f>
        <v>31</v>
      </c>
    </row>
    <row r="940" spans="1:12" x14ac:dyDescent="0.2">
      <c r="A940" s="69" t="s">
        <v>40</v>
      </c>
      <c r="B940" s="70">
        <v>42950</v>
      </c>
      <c r="C940" s="69">
        <v>343</v>
      </c>
      <c r="D940" s="69">
        <v>2</v>
      </c>
      <c r="E940" s="69">
        <v>9.1</v>
      </c>
      <c r="F940" s="69">
        <v>-3.5</v>
      </c>
      <c r="G940" s="69" t="s">
        <v>19</v>
      </c>
      <c r="H940" s="69" t="str">
        <f>IFERROR(VLOOKUP(Data!$G940,canon!$I$2:$K$27,2,FALSE),"")</f>
        <v>PANT</v>
      </c>
      <c r="I940" s="69" t="str">
        <f>IFERROR(VLOOKUP(Data!$G940,canon!$I$2:$K$27,3,FALSE),"")</f>
        <v>APPAREL</v>
      </c>
      <c r="J940" s="69">
        <f t="shared" si="28"/>
        <v>5</v>
      </c>
      <c r="K940" s="69">
        <f t="shared" si="29"/>
        <v>35</v>
      </c>
      <c r="L940" s="69">
        <f>VLOOKUP(Table_db1_backend_Daily.accdb[[#This Row],[TradingDate]],canon!B:E,4,0)</f>
        <v>31</v>
      </c>
    </row>
    <row r="941" spans="1:12" x14ac:dyDescent="0.2">
      <c r="A941" s="69" t="s">
        <v>40</v>
      </c>
      <c r="B941" s="70">
        <v>42950</v>
      </c>
      <c r="C941" s="69">
        <v>32</v>
      </c>
      <c r="D941" s="69">
        <v>0</v>
      </c>
      <c r="E941" s="69">
        <v>0</v>
      </c>
      <c r="F941" s="69">
        <v>0</v>
      </c>
      <c r="G941" s="69" t="s">
        <v>21</v>
      </c>
      <c r="H941" s="69" t="str">
        <f>IFERROR(VLOOKUP(Data!$G941,canon!$I$2:$K$27,2,FALSE),"")</f>
        <v>ACCESSORY</v>
      </c>
      <c r="I941" s="69" t="str">
        <f>IFERROR(VLOOKUP(Data!$G941,canon!$I$2:$K$27,3,FALSE),"")</f>
        <v>N.APPAREL</v>
      </c>
      <c r="J941" s="69">
        <f t="shared" si="28"/>
        <v>5</v>
      </c>
      <c r="K941" s="69">
        <f t="shared" si="29"/>
        <v>35</v>
      </c>
      <c r="L941" s="69">
        <f>VLOOKUP(Table_db1_backend_Daily.accdb[[#This Row],[TradingDate]],canon!B:E,4,0)</f>
        <v>31</v>
      </c>
    </row>
    <row r="942" spans="1:12" x14ac:dyDescent="0.2">
      <c r="A942" s="69" t="s">
        <v>40</v>
      </c>
      <c r="B942" s="70">
        <v>42950</v>
      </c>
      <c r="C942" s="69">
        <v>768</v>
      </c>
      <c r="D942" s="69">
        <v>10</v>
      </c>
      <c r="E942" s="69">
        <v>66.92</v>
      </c>
      <c r="F942" s="69">
        <v>50.62</v>
      </c>
      <c r="G942" s="69" t="s">
        <v>22</v>
      </c>
      <c r="H942" s="69" t="str">
        <f>IFERROR(VLOOKUP(Data!$G942,canon!$I$2:$K$27,2,FALSE),"")</f>
        <v>SCARF</v>
      </c>
      <c r="I942" s="69" t="str">
        <f>IFERROR(VLOOKUP(Data!$G942,canon!$I$2:$K$27,3,FALSE),"")</f>
        <v>N.APPAREL</v>
      </c>
      <c r="J942" s="69">
        <f t="shared" si="28"/>
        <v>5</v>
      </c>
      <c r="K942" s="69">
        <f t="shared" si="29"/>
        <v>35</v>
      </c>
      <c r="L942" s="69">
        <f>VLOOKUP(Table_db1_backend_Daily.accdb[[#This Row],[TradingDate]],canon!B:E,4,0)</f>
        <v>31</v>
      </c>
    </row>
    <row r="943" spans="1:12" x14ac:dyDescent="0.2">
      <c r="A943" s="69" t="s">
        <v>40</v>
      </c>
      <c r="B943" s="70">
        <v>42950</v>
      </c>
      <c r="C943" s="69">
        <v>158</v>
      </c>
      <c r="D943" s="69">
        <v>7</v>
      </c>
      <c r="E943" s="69">
        <v>72.7</v>
      </c>
      <c r="F943" s="69">
        <v>19.64</v>
      </c>
      <c r="G943" s="69" t="s">
        <v>23</v>
      </c>
      <c r="H943" s="69" t="str">
        <f>IFERROR(VLOOKUP(Data!$G943,canon!$I$2:$K$27,2,FALSE),"")</f>
        <v>SH&amp;BL</v>
      </c>
      <c r="I943" s="69" t="str">
        <f>IFERROR(VLOOKUP(Data!$G943,canon!$I$2:$K$27,3,FALSE),"")</f>
        <v>APPAREL</v>
      </c>
      <c r="J943" s="69">
        <f t="shared" si="28"/>
        <v>5</v>
      </c>
      <c r="K943" s="69">
        <f t="shared" si="29"/>
        <v>35</v>
      </c>
      <c r="L943" s="69">
        <f>VLOOKUP(Table_db1_backend_Daily.accdb[[#This Row],[TradingDate]],canon!B:E,4,0)</f>
        <v>31</v>
      </c>
    </row>
    <row r="944" spans="1:12" x14ac:dyDescent="0.2">
      <c r="A944" s="69" t="s">
        <v>40</v>
      </c>
      <c r="B944" s="70">
        <v>42950</v>
      </c>
      <c r="C944" s="69">
        <v>302</v>
      </c>
      <c r="D944" s="69">
        <v>7</v>
      </c>
      <c r="E944" s="69">
        <v>99.84</v>
      </c>
      <c r="F944" s="69">
        <v>60.59</v>
      </c>
      <c r="G944" s="69" t="s">
        <v>32</v>
      </c>
      <c r="H944" s="69" t="str">
        <f>IFERROR(VLOOKUP(Data!$G944,canon!$I$2:$K$27,2,FALSE),"")</f>
        <v>SKIRT</v>
      </c>
      <c r="I944" s="69" t="str">
        <f>IFERROR(VLOOKUP(Data!$G944,canon!$I$2:$K$27,3,FALSE),"")</f>
        <v>APPAREL</v>
      </c>
      <c r="J944" s="69">
        <f t="shared" si="28"/>
        <v>5</v>
      </c>
      <c r="K944" s="69">
        <f t="shared" si="29"/>
        <v>35</v>
      </c>
      <c r="L944" s="69">
        <f>VLOOKUP(Table_db1_backend_Daily.accdb[[#This Row],[TradingDate]],canon!B:E,4,0)</f>
        <v>31</v>
      </c>
    </row>
    <row r="945" spans="1:12" x14ac:dyDescent="0.2">
      <c r="A945" s="69" t="s">
        <v>40</v>
      </c>
      <c r="B945" s="70">
        <v>42950</v>
      </c>
      <c r="C945" s="69">
        <v>868</v>
      </c>
      <c r="D945" s="69">
        <v>25</v>
      </c>
      <c r="E945" s="69">
        <v>308.77000000000004</v>
      </c>
      <c r="F945" s="69">
        <v>172.69</v>
      </c>
      <c r="G945" s="69" t="s">
        <v>25</v>
      </c>
      <c r="H945" s="69" t="str">
        <f>IFERROR(VLOOKUP(Data!$G945,canon!$I$2:$K$27,2,FALSE),"")</f>
        <v>TOP</v>
      </c>
      <c r="I945" s="69" t="str">
        <f>IFERROR(VLOOKUP(Data!$G945,canon!$I$2:$K$27,3,FALSE),"")</f>
        <v>APPAREL</v>
      </c>
      <c r="J945" s="69">
        <f t="shared" si="28"/>
        <v>5</v>
      </c>
      <c r="K945" s="69">
        <f t="shared" si="29"/>
        <v>35</v>
      </c>
      <c r="L945" s="69">
        <f>VLOOKUP(Table_db1_backend_Daily.accdb[[#This Row],[TradingDate]],canon!B:E,4,0)</f>
        <v>31</v>
      </c>
    </row>
    <row r="946" spans="1:12" x14ac:dyDescent="0.2">
      <c r="A946" s="69" t="s">
        <v>40</v>
      </c>
      <c r="B946" s="70">
        <v>42951</v>
      </c>
      <c r="C946" s="69">
        <v>4</v>
      </c>
      <c r="D946" s="69">
        <v>0</v>
      </c>
      <c r="E946" s="69">
        <v>0</v>
      </c>
      <c r="F946" s="69">
        <v>0</v>
      </c>
      <c r="G946" s="69" t="s">
        <v>27</v>
      </c>
      <c r="H946" s="69" t="str">
        <f>IFERROR(VLOOKUP(Data!$G946,canon!$I$2:$K$27,2,FALSE),"")</f>
        <v>ACCESSORY</v>
      </c>
      <c r="I946" s="69" t="str">
        <f>IFERROR(VLOOKUP(Data!$G946,canon!$I$2:$K$27,3,FALSE),"")</f>
        <v>N.APPAREL</v>
      </c>
      <c r="J946" s="69">
        <f t="shared" si="28"/>
        <v>6</v>
      </c>
      <c r="K946" s="69">
        <f t="shared" si="29"/>
        <v>35</v>
      </c>
      <c r="L946" s="69">
        <f>VLOOKUP(Table_db1_backend_Daily.accdb[[#This Row],[TradingDate]],canon!B:E,4,0)</f>
        <v>31</v>
      </c>
    </row>
    <row r="947" spans="1:12" x14ac:dyDescent="0.2">
      <c r="A947" s="69" t="s">
        <v>40</v>
      </c>
      <c r="B947" s="70">
        <v>42951</v>
      </c>
      <c r="C947" s="69">
        <v>4</v>
      </c>
      <c r="D947" s="69">
        <v>0</v>
      </c>
      <c r="E947" s="69">
        <v>0</v>
      </c>
      <c r="F947" s="69">
        <v>0</v>
      </c>
      <c r="G947" s="69" t="s">
        <v>34</v>
      </c>
      <c r="H947" s="69" t="str">
        <f>IFERROR(VLOOKUP(Data!$G947,canon!$I$2:$K$27,2,FALSE),"")</f>
        <v>SHOES</v>
      </c>
      <c r="I947" s="69" t="str">
        <f>IFERROR(VLOOKUP(Data!$G947,canon!$I$2:$K$27,3,FALSE),"")</f>
        <v>N.APPAREL</v>
      </c>
      <c r="J947" s="69">
        <f t="shared" si="28"/>
        <v>6</v>
      </c>
      <c r="K947" s="69">
        <f t="shared" si="29"/>
        <v>35</v>
      </c>
      <c r="L947" s="69">
        <f>VLOOKUP(Table_db1_backend_Daily.accdb[[#This Row],[TradingDate]],canon!B:E,4,0)</f>
        <v>31</v>
      </c>
    </row>
    <row r="948" spans="1:12" x14ac:dyDescent="0.2">
      <c r="A948" s="69" t="s">
        <v>40</v>
      </c>
      <c r="B948" s="70">
        <v>42951</v>
      </c>
      <c r="C948" s="69">
        <v>2</v>
      </c>
      <c r="D948" s="69">
        <v>0</v>
      </c>
      <c r="E948" s="69">
        <v>0</v>
      </c>
      <c r="F948" s="69">
        <v>0</v>
      </c>
      <c r="G948" s="69" t="s">
        <v>38</v>
      </c>
      <c r="H948" s="69" t="str">
        <f>IFERROR(VLOOKUP(Data!$G948,canon!$I$2:$K$27,2,FALSE),"")</f>
        <v>SHOES</v>
      </c>
      <c r="I948" s="69" t="str">
        <f>IFERROR(VLOOKUP(Data!$G948,canon!$I$2:$K$27,3,FALSE),"")</f>
        <v>N.APPAREL</v>
      </c>
      <c r="J948" s="69">
        <f t="shared" si="28"/>
        <v>6</v>
      </c>
      <c r="K948" s="69">
        <f t="shared" si="29"/>
        <v>35</v>
      </c>
      <c r="L948" s="69">
        <f>VLOOKUP(Table_db1_backend_Daily.accdb[[#This Row],[TradingDate]],canon!B:E,4,0)</f>
        <v>31</v>
      </c>
    </row>
    <row r="949" spans="1:12" x14ac:dyDescent="0.2">
      <c r="A949" s="69" t="s">
        <v>40</v>
      </c>
      <c r="B949" s="70">
        <v>42951</v>
      </c>
      <c r="C949" s="69">
        <v>410</v>
      </c>
      <c r="D949" s="69">
        <v>26</v>
      </c>
      <c r="E949" s="69">
        <v>286.29000000000008</v>
      </c>
      <c r="F949" s="69">
        <v>79.72</v>
      </c>
      <c r="G949" s="69" t="s">
        <v>35</v>
      </c>
      <c r="H949" s="69" t="str">
        <f>IFERROR(VLOOKUP(Data!$G949,canon!$I$2:$K$27,2,FALSE),"")</f>
        <v>DRESS</v>
      </c>
      <c r="I949" s="69" t="str">
        <f>IFERROR(VLOOKUP(Data!$G949,canon!$I$2:$K$27,3,FALSE),"")</f>
        <v>APPAREL</v>
      </c>
      <c r="J949" s="69">
        <f t="shared" si="28"/>
        <v>6</v>
      </c>
      <c r="K949" s="69">
        <f t="shared" si="29"/>
        <v>35</v>
      </c>
      <c r="L949" s="69">
        <f>VLOOKUP(Table_db1_backend_Daily.accdb[[#This Row],[TradingDate]],canon!B:E,4,0)</f>
        <v>31</v>
      </c>
    </row>
    <row r="950" spans="1:12" x14ac:dyDescent="0.2">
      <c r="A950" s="69" t="s">
        <v>40</v>
      </c>
      <c r="B950" s="70">
        <v>42951</v>
      </c>
      <c r="C950" s="69">
        <v>6</v>
      </c>
      <c r="D950" s="69">
        <v>0</v>
      </c>
      <c r="E950" s="69">
        <v>0</v>
      </c>
      <c r="F950" s="69">
        <v>0</v>
      </c>
      <c r="G950" s="69" t="s">
        <v>10</v>
      </c>
      <c r="H950" s="69" t="str">
        <f>IFERROR(VLOOKUP(Data!$G950,canon!$I$2:$K$27,2,FALSE),"")</f>
        <v>ACCESSORY</v>
      </c>
      <c r="I950" s="69" t="str">
        <f>IFERROR(VLOOKUP(Data!$G950,canon!$I$2:$K$27,3,FALSE),"")</f>
        <v>N.APPAREL</v>
      </c>
      <c r="J950" s="69">
        <f t="shared" si="28"/>
        <v>6</v>
      </c>
      <c r="K950" s="69">
        <f t="shared" si="29"/>
        <v>35</v>
      </c>
      <c r="L950" s="69">
        <f>VLOOKUP(Table_db1_backend_Daily.accdb[[#This Row],[TradingDate]],canon!B:E,4,0)</f>
        <v>31</v>
      </c>
    </row>
    <row r="951" spans="1:12" x14ac:dyDescent="0.2">
      <c r="A951" s="69" t="s">
        <v>40</v>
      </c>
      <c r="B951" s="70">
        <v>42951</v>
      </c>
      <c r="C951" s="69">
        <v>-17</v>
      </c>
      <c r="D951" s="69">
        <v>0</v>
      </c>
      <c r="E951" s="69">
        <v>0</v>
      </c>
      <c r="F951" s="69">
        <v>0</v>
      </c>
      <c r="G951" s="69" t="s">
        <v>28</v>
      </c>
      <c r="H951" s="69" t="str">
        <f>IFERROR(VLOOKUP(Data!$G951,canon!$I$2:$K$27,2,FALSE),"")</f>
        <v>ACCESSORY</v>
      </c>
      <c r="I951" s="69" t="str">
        <f>IFERROR(VLOOKUP(Data!$G951,canon!$I$2:$K$27,3,FALSE),"")</f>
        <v>N.APPAREL</v>
      </c>
      <c r="J951" s="69">
        <f t="shared" si="28"/>
        <v>6</v>
      </c>
      <c r="K951" s="69">
        <f t="shared" si="29"/>
        <v>35</v>
      </c>
      <c r="L951" s="69">
        <f>VLOOKUP(Table_db1_backend_Daily.accdb[[#This Row],[TradingDate]],canon!B:E,4,0)</f>
        <v>31</v>
      </c>
    </row>
    <row r="952" spans="1:12" x14ac:dyDescent="0.2">
      <c r="A952" s="69" t="s">
        <v>40</v>
      </c>
      <c r="B952" s="70">
        <v>42951</v>
      </c>
      <c r="C952" s="69">
        <v>953</v>
      </c>
      <c r="D952" s="69">
        <v>92</v>
      </c>
      <c r="E952" s="69">
        <v>908.94000000000017</v>
      </c>
      <c r="F952" s="69">
        <v>173.49</v>
      </c>
      <c r="G952" s="69" t="s">
        <v>11</v>
      </c>
      <c r="H952" s="69" t="str">
        <f>IFERROR(VLOOKUP(Data!$G952,canon!$I$2:$K$27,2,FALSE),"")</f>
        <v>KNIT</v>
      </c>
      <c r="I952" s="69" t="str">
        <f>IFERROR(VLOOKUP(Data!$G952,canon!$I$2:$K$27,3,FALSE),"")</f>
        <v>APPAREL</v>
      </c>
      <c r="J952" s="69">
        <f t="shared" si="28"/>
        <v>6</v>
      </c>
      <c r="K952" s="69">
        <f t="shared" si="29"/>
        <v>35</v>
      </c>
      <c r="L952" s="69">
        <f>VLOOKUP(Table_db1_backend_Daily.accdb[[#This Row],[TradingDate]],canon!B:E,4,0)</f>
        <v>31</v>
      </c>
    </row>
    <row r="953" spans="1:12" x14ac:dyDescent="0.2">
      <c r="A953" s="69" t="s">
        <v>40</v>
      </c>
      <c r="B953" s="70">
        <v>42951</v>
      </c>
      <c r="C953" s="69">
        <v>235</v>
      </c>
      <c r="D953" s="69">
        <v>8</v>
      </c>
      <c r="E953" s="69">
        <v>90.88</v>
      </c>
      <c r="F953" s="69">
        <v>38.950000000000003</v>
      </c>
      <c r="G953" s="69" t="s">
        <v>14</v>
      </c>
      <c r="H953" s="69" t="str">
        <f>IFERROR(VLOOKUP(Data!$G953,canon!$I$2:$K$27,2,FALSE),"")</f>
        <v>LEGGING</v>
      </c>
      <c r="I953" s="69" t="str">
        <f>IFERROR(VLOOKUP(Data!$G953,canon!$I$2:$K$27,3,FALSE),"")</f>
        <v>APPAREL</v>
      </c>
      <c r="J953" s="69">
        <f t="shared" si="28"/>
        <v>6</v>
      </c>
      <c r="K953" s="69">
        <f t="shared" si="29"/>
        <v>35</v>
      </c>
      <c r="L953" s="69">
        <f>VLOOKUP(Table_db1_backend_Daily.accdb[[#This Row],[TradingDate]],canon!B:E,4,0)</f>
        <v>31</v>
      </c>
    </row>
    <row r="954" spans="1:12" x14ac:dyDescent="0.2">
      <c r="A954" s="69" t="s">
        <v>40</v>
      </c>
      <c r="B954" s="70">
        <v>42951</v>
      </c>
      <c r="C954" s="69">
        <v>1</v>
      </c>
      <c r="D954" s="69">
        <v>0</v>
      </c>
      <c r="E954" s="69">
        <v>0</v>
      </c>
      <c r="F954" s="69">
        <v>0</v>
      </c>
      <c r="G954" s="69" t="s">
        <v>37</v>
      </c>
      <c r="H954" s="69" t="str">
        <f>IFERROR(VLOOKUP(Data!$G954,canon!$I$2:$K$27,2,FALSE),"")</f>
        <v>SHOES</v>
      </c>
      <c r="I954" s="69" t="str">
        <f>IFERROR(VLOOKUP(Data!$G954,canon!$I$2:$K$27,3,FALSE),"")</f>
        <v>N.APPAREL</v>
      </c>
      <c r="J954" s="69">
        <f t="shared" si="28"/>
        <v>6</v>
      </c>
      <c r="K954" s="69">
        <f t="shared" si="29"/>
        <v>35</v>
      </c>
      <c r="L954" s="69">
        <f>VLOOKUP(Table_db1_backend_Daily.accdb[[#This Row],[TradingDate]],canon!B:E,4,0)</f>
        <v>31</v>
      </c>
    </row>
    <row r="955" spans="1:12" x14ac:dyDescent="0.2">
      <c r="A955" s="69" t="s">
        <v>40</v>
      </c>
      <c r="B955" s="70">
        <v>42951</v>
      </c>
      <c r="C955" s="69">
        <v>526</v>
      </c>
      <c r="D955" s="69">
        <v>26</v>
      </c>
      <c r="E955" s="69">
        <v>327.18</v>
      </c>
      <c r="F955" s="69">
        <v>87.159999999999982</v>
      </c>
      <c r="G955" s="69" t="s">
        <v>17</v>
      </c>
      <c r="H955" s="69" t="str">
        <f>IFERROR(VLOOKUP(Data!$G955,canon!$I$2:$K$27,2,FALSE),"")</f>
        <v>OUTER</v>
      </c>
      <c r="I955" s="69" t="str">
        <f>IFERROR(VLOOKUP(Data!$G955,canon!$I$2:$K$27,3,FALSE),"")</f>
        <v>APPAREL</v>
      </c>
      <c r="J955" s="69">
        <f t="shared" si="28"/>
        <v>6</v>
      </c>
      <c r="K955" s="69">
        <f t="shared" si="29"/>
        <v>35</v>
      </c>
      <c r="L955" s="69">
        <f>VLOOKUP(Table_db1_backend_Daily.accdb[[#This Row],[TradingDate]],canon!B:E,4,0)</f>
        <v>31</v>
      </c>
    </row>
    <row r="956" spans="1:12" x14ac:dyDescent="0.2">
      <c r="A956" s="69" t="s">
        <v>40</v>
      </c>
      <c r="B956" s="70">
        <v>42951</v>
      </c>
      <c r="C956" s="69">
        <v>329</v>
      </c>
      <c r="D956" s="69">
        <v>14</v>
      </c>
      <c r="E956" s="69">
        <v>72.77000000000001</v>
      </c>
      <c r="F956" s="69">
        <v>-20.23</v>
      </c>
      <c r="G956" s="69" t="s">
        <v>19</v>
      </c>
      <c r="H956" s="69" t="str">
        <f>IFERROR(VLOOKUP(Data!$G956,canon!$I$2:$K$27,2,FALSE),"")</f>
        <v>PANT</v>
      </c>
      <c r="I956" s="69" t="str">
        <f>IFERROR(VLOOKUP(Data!$G956,canon!$I$2:$K$27,3,FALSE),"")</f>
        <v>APPAREL</v>
      </c>
      <c r="J956" s="69">
        <f t="shared" si="28"/>
        <v>6</v>
      </c>
      <c r="K956" s="69">
        <f t="shared" si="29"/>
        <v>35</v>
      </c>
      <c r="L956" s="69">
        <f>VLOOKUP(Table_db1_backend_Daily.accdb[[#This Row],[TradingDate]],canon!B:E,4,0)</f>
        <v>31</v>
      </c>
    </row>
    <row r="957" spans="1:12" x14ac:dyDescent="0.2">
      <c r="A957" s="69" t="s">
        <v>40</v>
      </c>
      <c r="B957" s="70">
        <v>42951</v>
      </c>
      <c r="C957" s="69">
        <v>32</v>
      </c>
      <c r="D957" s="69">
        <v>0</v>
      </c>
      <c r="E957" s="69">
        <v>0</v>
      </c>
      <c r="F957" s="69">
        <v>0</v>
      </c>
      <c r="G957" s="69" t="s">
        <v>21</v>
      </c>
      <c r="H957" s="69" t="str">
        <f>IFERROR(VLOOKUP(Data!$G957,canon!$I$2:$K$27,2,FALSE),"")</f>
        <v>ACCESSORY</v>
      </c>
      <c r="I957" s="69" t="str">
        <f>IFERROR(VLOOKUP(Data!$G957,canon!$I$2:$K$27,3,FALSE),"")</f>
        <v>N.APPAREL</v>
      </c>
      <c r="J957" s="69">
        <f t="shared" si="28"/>
        <v>6</v>
      </c>
      <c r="K957" s="69">
        <f t="shared" si="29"/>
        <v>35</v>
      </c>
      <c r="L957" s="69">
        <f>VLOOKUP(Table_db1_backend_Daily.accdb[[#This Row],[TradingDate]],canon!B:E,4,0)</f>
        <v>31</v>
      </c>
    </row>
    <row r="958" spans="1:12" x14ac:dyDescent="0.2">
      <c r="A958" s="69" t="s">
        <v>40</v>
      </c>
      <c r="B958" s="70">
        <v>42951</v>
      </c>
      <c r="C958" s="69">
        <v>760</v>
      </c>
      <c r="D958" s="69">
        <v>8</v>
      </c>
      <c r="E958" s="69">
        <v>44.44</v>
      </c>
      <c r="F958" s="69">
        <v>35.31</v>
      </c>
      <c r="G958" s="69" t="s">
        <v>22</v>
      </c>
      <c r="H958" s="69" t="str">
        <f>IFERROR(VLOOKUP(Data!$G958,canon!$I$2:$K$27,2,FALSE),"")</f>
        <v>SCARF</v>
      </c>
      <c r="I958" s="69" t="str">
        <f>IFERROR(VLOOKUP(Data!$G958,canon!$I$2:$K$27,3,FALSE),"")</f>
        <v>N.APPAREL</v>
      </c>
      <c r="J958" s="69">
        <f t="shared" si="28"/>
        <v>6</v>
      </c>
      <c r="K958" s="69">
        <f t="shared" si="29"/>
        <v>35</v>
      </c>
      <c r="L958" s="69">
        <f>VLOOKUP(Table_db1_backend_Daily.accdb[[#This Row],[TradingDate]],canon!B:E,4,0)</f>
        <v>31</v>
      </c>
    </row>
    <row r="959" spans="1:12" x14ac:dyDescent="0.2">
      <c r="A959" s="69" t="s">
        <v>40</v>
      </c>
      <c r="B959" s="70">
        <v>42951</v>
      </c>
      <c r="C959" s="69">
        <v>147</v>
      </c>
      <c r="D959" s="69">
        <v>11</v>
      </c>
      <c r="E959" s="69">
        <v>99.990000000000009</v>
      </c>
      <c r="F959" s="69">
        <v>8.4499999999999993</v>
      </c>
      <c r="G959" s="69" t="s">
        <v>23</v>
      </c>
      <c r="H959" s="69" t="str">
        <f>IFERROR(VLOOKUP(Data!$G959,canon!$I$2:$K$27,2,FALSE),"")</f>
        <v>SH&amp;BL</v>
      </c>
      <c r="I959" s="69" t="str">
        <f>IFERROR(VLOOKUP(Data!$G959,canon!$I$2:$K$27,3,FALSE),"")</f>
        <v>APPAREL</v>
      </c>
      <c r="J959" s="69">
        <f t="shared" si="28"/>
        <v>6</v>
      </c>
      <c r="K959" s="69">
        <f t="shared" si="29"/>
        <v>35</v>
      </c>
      <c r="L959" s="69">
        <f>VLOOKUP(Table_db1_backend_Daily.accdb[[#This Row],[TradingDate]],canon!B:E,4,0)</f>
        <v>31</v>
      </c>
    </row>
    <row r="960" spans="1:12" x14ac:dyDescent="0.2">
      <c r="A960" s="69" t="s">
        <v>40</v>
      </c>
      <c r="B960" s="70">
        <v>42951</v>
      </c>
      <c r="C960" s="69">
        <v>299</v>
      </c>
      <c r="D960" s="69">
        <v>3</v>
      </c>
      <c r="E960" s="69">
        <v>63.57</v>
      </c>
      <c r="F960" s="69">
        <v>49.22</v>
      </c>
      <c r="G960" s="69" t="s">
        <v>32</v>
      </c>
      <c r="H960" s="69" t="str">
        <f>IFERROR(VLOOKUP(Data!$G960,canon!$I$2:$K$27,2,FALSE),"")</f>
        <v>SKIRT</v>
      </c>
      <c r="I960" s="69" t="str">
        <f>IFERROR(VLOOKUP(Data!$G960,canon!$I$2:$K$27,3,FALSE),"")</f>
        <v>APPAREL</v>
      </c>
      <c r="J960" s="69">
        <f t="shared" si="28"/>
        <v>6</v>
      </c>
      <c r="K960" s="69">
        <f t="shared" si="29"/>
        <v>35</v>
      </c>
      <c r="L960" s="69">
        <f>VLOOKUP(Table_db1_backend_Daily.accdb[[#This Row],[TradingDate]],canon!B:E,4,0)</f>
        <v>31</v>
      </c>
    </row>
    <row r="961" spans="1:12" x14ac:dyDescent="0.2">
      <c r="A961" s="69" t="s">
        <v>40</v>
      </c>
      <c r="B961" s="70">
        <v>42951</v>
      </c>
      <c r="C961" s="69">
        <v>843</v>
      </c>
      <c r="D961" s="69">
        <v>25</v>
      </c>
      <c r="E961" s="69">
        <v>313.42</v>
      </c>
      <c r="F961" s="69">
        <v>176.22</v>
      </c>
      <c r="G961" s="69" t="s">
        <v>25</v>
      </c>
      <c r="H961" s="69" t="str">
        <f>IFERROR(VLOOKUP(Data!$G961,canon!$I$2:$K$27,2,FALSE),"")</f>
        <v>TOP</v>
      </c>
      <c r="I961" s="69" t="str">
        <f>IFERROR(VLOOKUP(Data!$G961,canon!$I$2:$K$27,3,FALSE),"")</f>
        <v>APPAREL</v>
      </c>
      <c r="J961" s="69">
        <f t="shared" si="28"/>
        <v>6</v>
      </c>
      <c r="K961" s="69">
        <f t="shared" si="29"/>
        <v>35</v>
      </c>
      <c r="L961" s="69">
        <f>VLOOKUP(Table_db1_backend_Daily.accdb[[#This Row],[TradingDate]],canon!B:E,4,0)</f>
        <v>31</v>
      </c>
    </row>
    <row r="962" spans="1:12" x14ac:dyDescent="0.2">
      <c r="A962" s="69" t="s">
        <v>40</v>
      </c>
      <c r="B962" s="70">
        <v>42952</v>
      </c>
      <c r="C962" s="69">
        <v>4</v>
      </c>
      <c r="D962" s="69">
        <v>0</v>
      </c>
      <c r="E962" s="69">
        <v>0</v>
      </c>
      <c r="F962" s="69">
        <v>0</v>
      </c>
      <c r="G962" s="69" t="s">
        <v>27</v>
      </c>
      <c r="H962" s="69" t="str">
        <f>IFERROR(VLOOKUP(Data!$G962,canon!$I$2:$K$27,2,FALSE),"")</f>
        <v>ACCESSORY</v>
      </c>
      <c r="I962" s="69" t="str">
        <f>IFERROR(VLOOKUP(Data!$G962,canon!$I$2:$K$27,3,FALSE),"")</f>
        <v>N.APPAREL</v>
      </c>
      <c r="J962" s="69">
        <f t="shared" ref="J962:J1025" si="30">WEEKDAY(B962)</f>
        <v>7</v>
      </c>
      <c r="K962" s="69">
        <f t="shared" ref="K962:K1025" si="31">INT(A962)</f>
        <v>35</v>
      </c>
      <c r="L962" s="69">
        <f>VLOOKUP(Table_db1_backend_Daily.accdb[[#This Row],[TradingDate]],canon!B:E,4,0)</f>
        <v>31</v>
      </c>
    </row>
    <row r="963" spans="1:12" x14ac:dyDescent="0.2">
      <c r="A963" s="69" t="s">
        <v>40</v>
      </c>
      <c r="B963" s="70">
        <v>42952</v>
      </c>
      <c r="C963" s="69">
        <v>4</v>
      </c>
      <c r="D963" s="69">
        <v>0</v>
      </c>
      <c r="E963" s="69">
        <v>0</v>
      </c>
      <c r="F963" s="69">
        <v>0</v>
      </c>
      <c r="G963" s="69" t="s">
        <v>34</v>
      </c>
      <c r="H963" s="69" t="str">
        <f>IFERROR(VLOOKUP(Data!$G963,canon!$I$2:$K$27,2,FALSE),"")</f>
        <v>SHOES</v>
      </c>
      <c r="I963" s="69" t="str">
        <f>IFERROR(VLOOKUP(Data!$G963,canon!$I$2:$K$27,3,FALSE),"")</f>
        <v>N.APPAREL</v>
      </c>
      <c r="J963" s="69">
        <f t="shared" si="30"/>
        <v>7</v>
      </c>
      <c r="K963" s="69">
        <f t="shared" si="31"/>
        <v>35</v>
      </c>
      <c r="L963" s="69">
        <f>VLOOKUP(Table_db1_backend_Daily.accdb[[#This Row],[TradingDate]],canon!B:E,4,0)</f>
        <v>31</v>
      </c>
    </row>
    <row r="964" spans="1:12" x14ac:dyDescent="0.2">
      <c r="A964" s="69" t="s">
        <v>40</v>
      </c>
      <c r="B964" s="70">
        <v>42952</v>
      </c>
      <c r="C964" s="69">
        <v>2</v>
      </c>
      <c r="D964" s="69">
        <v>0</v>
      </c>
      <c r="E964" s="69">
        <v>0</v>
      </c>
      <c r="F964" s="69">
        <v>0</v>
      </c>
      <c r="G964" s="69" t="s">
        <v>38</v>
      </c>
      <c r="H964" s="69" t="str">
        <f>IFERROR(VLOOKUP(Data!$G964,canon!$I$2:$K$27,2,FALSE),"")</f>
        <v>SHOES</v>
      </c>
      <c r="I964" s="69" t="str">
        <f>IFERROR(VLOOKUP(Data!$G964,canon!$I$2:$K$27,3,FALSE),"")</f>
        <v>N.APPAREL</v>
      </c>
      <c r="J964" s="69">
        <f t="shared" si="30"/>
        <v>7</v>
      </c>
      <c r="K964" s="69">
        <f t="shared" si="31"/>
        <v>35</v>
      </c>
      <c r="L964" s="69">
        <f>VLOOKUP(Table_db1_backend_Daily.accdb[[#This Row],[TradingDate]],canon!B:E,4,0)</f>
        <v>31</v>
      </c>
    </row>
    <row r="965" spans="1:12" x14ac:dyDescent="0.2">
      <c r="A965" s="69" t="s">
        <v>40</v>
      </c>
      <c r="B965" s="70">
        <v>42952</v>
      </c>
      <c r="C965" s="69">
        <v>388</v>
      </c>
      <c r="D965" s="69">
        <v>22</v>
      </c>
      <c r="E965" s="69">
        <v>204.59</v>
      </c>
      <c r="F965" s="69">
        <v>27.27</v>
      </c>
      <c r="G965" s="69" t="s">
        <v>35</v>
      </c>
      <c r="H965" s="69" t="str">
        <f>IFERROR(VLOOKUP(Data!$G965,canon!$I$2:$K$27,2,FALSE),"")</f>
        <v>DRESS</v>
      </c>
      <c r="I965" s="69" t="str">
        <f>IFERROR(VLOOKUP(Data!$G965,canon!$I$2:$K$27,3,FALSE),"")</f>
        <v>APPAREL</v>
      </c>
      <c r="J965" s="69">
        <f t="shared" si="30"/>
        <v>7</v>
      </c>
      <c r="K965" s="69">
        <f t="shared" si="31"/>
        <v>35</v>
      </c>
      <c r="L965" s="69">
        <f>VLOOKUP(Table_db1_backend_Daily.accdb[[#This Row],[TradingDate]],canon!B:E,4,0)</f>
        <v>31</v>
      </c>
    </row>
    <row r="966" spans="1:12" x14ac:dyDescent="0.2">
      <c r="A966" s="69" t="s">
        <v>40</v>
      </c>
      <c r="B966" s="70">
        <v>42952</v>
      </c>
      <c r="C966" s="69">
        <v>6</v>
      </c>
      <c r="D966" s="69">
        <v>0</v>
      </c>
      <c r="E966" s="69">
        <v>0</v>
      </c>
      <c r="F966" s="69">
        <v>0</v>
      </c>
      <c r="G966" s="69" t="s">
        <v>10</v>
      </c>
      <c r="H966" s="69" t="str">
        <f>IFERROR(VLOOKUP(Data!$G966,canon!$I$2:$K$27,2,FALSE),"")</f>
        <v>ACCESSORY</v>
      </c>
      <c r="I966" s="69" t="str">
        <f>IFERROR(VLOOKUP(Data!$G966,canon!$I$2:$K$27,3,FALSE),"")</f>
        <v>N.APPAREL</v>
      </c>
      <c r="J966" s="69">
        <f t="shared" si="30"/>
        <v>7</v>
      </c>
      <c r="K966" s="69">
        <f t="shared" si="31"/>
        <v>35</v>
      </c>
      <c r="L966" s="69">
        <f>VLOOKUP(Table_db1_backend_Daily.accdb[[#This Row],[TradingDate]],canon!B:E,4,0)</f>
        <v>31</v>
      </c>
    </row>
    <row r="967" spans="1:12" x14ac:dyDescent="0.2">
      <c r="A967" s="69" t="s">
        <v>40</v>
      </c>
      <c r="B967" s="70">
        <v>42952</v>
      </c>
      <c r="C967" s="69">
        <v>-17</v>
      </c>
      <c r="D967" s="69">
        <v>0</v>
      </c>
      <c r="E967" s="69">
        <v>0</v>
      </c>
      <c r="F967" s="69">
        <v>0</v>
      </c>
      <c r="G967" s="69" t="s">
        <v>28</v>
      </c>
      <c r="H967" s="69" t="str">
        <f>IFERROR(VLOOKUP(Data!$G967,canon!$I$2:$K$27,2,FALSE),"")</f>
        <v>ACCESSORY</v>
      </c>
      <c r="I967" s="69" t="str">
        <f>IFERROR(VLOOKUP(Data!$G967,canon!$I$2:$K$27,3,FALSE),"")</f>
        <v>N.APPAREL</v>
      </c>
      <c r="J967" s="69">
        <f t="shared" si="30"/>
        <v>7</v>
      </c>
      <c r="K967" s="69">
        <f t="shared" si="31"/>
        <v>35</v>
      </c>
      <c r="L967" s="69">
        <f>VLOOKUP(Table_db1_backend_Daily.accdb[[#This Row],[TradingDate]],canon!B:E,4,0)</f>
        <v>31</v>
      </c>
    </row>
    <row r="968" spans="1:12" x14ac:dyDescent="0.2">
      <c r="A968" s="69" t="s">
        <v>40</v>
      </c>
      <c r="B968" s="70">
        <v>42952</v>
      </c>
      <c r="C968" s="69">
        <v>868</v>
      </c>
      <c r="D968" s="69">
        <v>85</v>
      </c>
      <c r="E968" s="69">
        <v>827.1400000000001</v>
      </c>
      <c r="F968" s="69">
        <v>125.21000000000001</v>
      </c>
      <c r="G968" s="69" t="s">
        <v>11</v>
      </c>
      <c r="H968" s="69" t="str">
        <f>IFERROR(VLOOKUP(Data!$G968,canon!$I$2:$K$27,2,FALSE),"")</f>
        <v>KNIT</v>
      </c>
      <c r="I968" s="69" t="str">
        <f>IFERROR(VLOOKUP(Data!$G968,canon!$I$2:$K$27,3,FALSE),"")</f>
        <v>APPAREL</v>
      </c>
      <c r="J968" s="69">
        <f t="shared" si="30"/>
        <v>7</v>
      </c>
      <c r="K968" s="69">
        <f t="shared" si="31"/>
        <v>35</v>
      </c>
      <c r="L968" s="69">
        <f>VLOOKUP(Table_db1_backend_Daily.accdb[[#This Row],[TradingDate]],canon!B:E,4,0)</f>
        <v>31</v>
      </c>
    </row>
    <row r="969" spans="1:12" x14ac:dyDescent="0.2">
      <c r="A969" s="69" t="s">
        <v>40</v>
      </c>
      <c r="B969" s="70">
        <v>42952</v>
      </c>
      <c r="C969" s="69">
        <v>223</v>
      </c>
      <c r="D969" s="69">
        <v>12</v>
      </c>
      <c r="E969" s="69">
        <v>145.36000000000001</v>
      </c>
      <c r="F969" s="69">
        <v>63.209999999999994</v>
      </c>
      <c r="G969" s="69" t="s">
        <v>14</v>
      </c>
      <c r="H969" s="69" t="str">
        <f>IFERROR(VLOOKUP(Data!$G969,canon!$I$2:$K$27,2,FALSE),"")</f>
        <v>LEGGING</v>
      </c>
      <c r="I969" s="69" t="str">
        <f>IFERROR(VLOOKUP(Data!$G969,canon!$I$2:$K$27,3,FALSE),"")</f>
        <v>APPAREL</v>
      </c>
      <c r="J969" s="69">
        <f t="shared" si="30"/>
        <v>7</v>
      </c>
      <c r="K969" s="69">
        <f t="shared" si="31"/>
        <v>35</v>
      </c>
      <c r="L969" s="69">
        <f>VLOOKUP(Table_db1_backend_Daily.accdb[[#This Row],[TradingDate]],canon!B:E,4,0)</f>
        <v>31</v>
      </c>
    </row>
    <row r="970" spans="1:12" x14ac:dyDescent="0.2">
      <c r="A970" s="69" t="s">
        <v>40</v>
      </c>
      <c r="B970" s="70">
        <v>42952</v>
      </c>
      <c r="C970" s="69">
        <v>1</v>
      </c>
      <c r="D970" s="69">
        <v>0</v>
      </c>
      <c r="E970" s="69">
        <v>0</v>
      </c>
      <c r="F970" s="69">
        <v>0</v>
      </c>
      <c r="G970" s="69" t="s">
        <v>37</v>
      </c>
      <c r="H970" s="69" t="str">
        <f>IFERROR(VLOOKUP(Data!$G970,canon!$I$2:$K$27,2,FALSE),"")</f>
        <v>SHOES</v>
      </c>
      <c r="I970" s="69" t="str">
        <f>IFERROR(VLOOKUP(Data!$G970,canon!$I$2:$K$27,3,FALSE),"")</f>
        <v>N.APPAREL</v>
      </c>
      <c r="J970" s="69">
        <f t="shared" si="30"/>
        <v>7</v>
      </c>
      <c r="K970" s="69">
        <f t="shared" si="31"/>
        <v>35</v>
      </c>
      <c r="L970" s="69">
        <f>VLOOKUP(Table_db1_backend_Daily.accdb[[#This Row],[TradingDate]],canon!B:E,4,0)</f>
        <v>31</v>
      </c>
    </row>
    <row r="971" spans="1:12" x14ac:dyDescent="0.2">
      <c r="A971" s="69" t="s">
        <v>40</v>
      </c>
      <c r="B971" s="70">
        <v>42952</v>
      </c>
      <c r="C971" s="69">
        <v>499</v>
      </c>
      <c r="D971" s="69">
        <v>27</v>
      </c>
      <c r="E971" s="69">
        <v>281.78000000000003</v>
      </c>
      <c r="F971" s="69">
        <v>19.28</v>
      </c>
      <c r="G971" s="69" t="s">
        <v>17</v>
      </c>
      <c r="H971" s="69" t="str">
        <f>IFERROR(VLOOKUP(Data!$G971,canon!$I$2:$K$27,2,FALSE),"")</f>
        <v>OUTER</v>
      </c>
      <c r="I971" s="69" t="str">
        <f>IFERROR(VLOOKUP(Data!$G971,canon!$I$2:$K$27,3,FALSE),"")</f>
        <v>APPAREL</v>
      </c>
      <c r="J971" s="69">
        <f t="shared" si="30"/>
        <v>7</v>
      </c>
      <c r="K971" s="69">
        <f t="shared" si="31"/>
        <v>35</v>
      </c>
      <c r="L971" s="69">
        <f>VLOOKUP(Table_db1_backend_Daily.accdb[[#This Row],[TradingDate]],canon!B:E,4,0)</f>
        <v>31</v>
      </c>
    </row>
    <row r="972" spans="1:12" x14ac:dyDescent="0.2">
      <c r="A972" s="69" t="s">
        <v>40</v>
      </c>
      <c r="B972" s="70">
        <v>42952</v>
      </c>
      <c r="C972" s="69">
        <v>328</v>
      </c>
      <c r="D972" s="69">
        <v>1</v>
      </c>
      <c r="E972" s="69">
        <v>9.09</v>
      </c>
      <c r="F972" s="69">
        <v>0.39</v>
      </c>
      <c r="G972" s="69" t="s">
        <v>19</v>
      </c>
      <c r="H972" s="69" t="str">
        <f>IFERROR(VLOOKUP(Data!$G972,canon!$I$2:$K$27,2,FALSE),"")</f>
        <v>PANT</v>
      </c>
      <c r="I972" s="69" t="str">
        <f>IFERROR(VLOOKUP(Data!$G972,canon!$I$2:$K$27,3,FALSE),"")</f>
        <v>APPAREL</v>
      </c>
      <c r="J972" s="69">
        <f t="shared" si="30"/>
        <v>7</v>
      </c>
      <c r="K972" s="69">
        <f t="shared" si="31"/>
        <v>35</v>
      </c>
      <c r="L972" s="69">
        <f>VLOOKUP(Table_db1_backend_Daily.accdb[[#This Row],[TradingDate]],canon!B:E,4,0)</f>
        <v>31</v>
      </c>
    </row>
    <row r="973" spans="1:12" x14ac:dyDescent="0.2">
      <c r="A973" s="69" t="s">
        <v>40</v>
      </c>
      <c r="B973" s="70">
        <v>42952</v>
      </c>
      <c r="C973" s="69">
        <v>32</v>
      </c>
      <c r="D973" s="69">
        <v>0</v>
      </c>
      <c r="E973" s="69">
        <v>0</v>
      </c>
      <c r="F973" s="69">
        <v>0</v>
      </c>
      <c r="G973" s="69" t="s">
        <v>21</v>
      </c>
      <c r="H973" s="69" t="str">
        <f>IFERROR(VLOOKUP(Data!$G973,canon!$I$2:$K$27,2,FALSE),"")</f>
        <v>ACCESSORY</v>
      </c>
      <c r="I973" s="69" t="str">
        <f>IFERROR(VLOOKUP(Data!$G973,canon!$I$2:$K$27,3,FALSE),"")</f>
        <v>N.APPAREL</v>
      </c>
      <c r="J973" s="69">
        <f t="shared" si="30"/>
        <v>7</v>
      </c>
      <c r="K973" s="69">
        <f t="shared" si="31"/>
        <v>35</v>
      </c>
      <c r="L973" s="69">
        <f>VLOOKUP(Table_db1_backend_Daily.accdb[[#This Row],[TradingDate]],canon!B:E,4,0)</f>
        <v>31</v>
      </c>
    </row>
    <row r="974" spans="1:12" x14ac:dyDescent="0.2">
      <c r="A974" s="69" t="s">
        <v>40</v>
      </c>
      <c r="B974" s="70">
        <v>42952</v>
      </c>
      <c r="C974" s="69">
        <v>746</v>
      </c>
      <c r="D974" s="69">
        <v>14</v>
      </c>
      <c r="E974" s="69">
        <v>101.2</v>
      </c>
      <c r="F974" s="69">
        <v>77.94</v>
      </c>
      <c r="G974" s="69" t="s">
        <v>22</v>
      </c>
      <c r="H974" s="69" t="str">
        <f>IFERROR(VLOOKUP(Data!$G974,canon!$I$2:$K$27,2,FALSE),"")</f>
        <v>SCARF</v>
      </c>
      <c r="I974" s="69" t="str">
        <f>IFERROR(VLOOKUP(Data!$G974,canon!$I$2:$K$27,3,FALSE),"")</f>
        <v>N.APPAREL</v>
      </c>
      <c r="J974" s="69">
        <f t="shared" si="30"/>
        <v>7</v>
      </c>
      <c r="K974" s="69">
        <f t="shared" si="31"/>
        <v>35</v>
      </c>
      <c r="L974" s="69">
        <f>VLOOKUP(Table_db1_backend_Daily.accdb[[#This Row],[TradingDate]],canon!B:E,4,0)</f>
        <v>31</v>
      </c>
    </row>
    <row r="975" spans="1:12" x14ac:dyDescent="0.2">
      <c r="A975" s="69" t="s">
        <v>40</v>
      </c>
      <c r="B975" s="70">
        <v>42952</v>
      </c>
      <c r="C975" s="69">
        <v>138</v>
      </c>
      <c r="D975" s="69">
        <v>9</v>
      </c>
      <c r="E975" s="69">
        <v>81.81</v>
      </c>
      <c r="F975" s="69">
        <v>9.18</v>
      </c>
      <c r="G975" s="69" t="s">
        <v>23</v>
      </c>
      <c r="H975" s="69" t="str">
        <f>IFERROR(VLOOKUP(Data!$G975,canon!$I$2:$K$27,2,FALSE),"")</f>
        <v>SH&amp;BL</v>
      </c>
      <c r="I975" s="69" t="str">
        <f>IFERROR(VLOOKUP(Data!$G975,canon!$I$2:$K$27,3,FALSE),"")</f>
        <v>APPAREL</v>
      </c>
      <c r="J975" s="69">
        <f t="shared" si="30"/>
        <v>7</v>
      </c>
      <c r="K975" s="69">
        <f t="shared" si="31"/>
        <v>35</v>
      </c>
      <c r="L975" s="69">
        <f>VLOOKUP(Table_db1_backend_Daily.accdb[[#This Row],[TradingDate]],canon!B:E,4,0)</f>
        <v>31</v>
      </c>
    </row>
    <row r="976" spans="1:12" x14ac:dyDescent="0.2">
      <c r="A976" s="69" t="s">
        <v>40</v>
      </c>
      <c r="B976" s="70">
        <v>42952</v>
      </c>
      <c r="C976" s="69">
        <v>298</v>
      </c>
      <c r="D976" s="69">
        <v>1</v>
      </c>
      <c r="E976" s="69">
        <v>18.14</v>
      </c>
      <c r="F976" s="69">
        <v>12.71</v>
      </c>
      <c r="G976" s="69" t="s">
        <v>32</v>
      </c>
      <c r="H976" s="69" t="str">
        <f>IFERROR(VLOOKUP(Data!$G976,canon!$I$2:$K$27,2,FALSE),"")</f>
        <v>SKIRT</v>
      </c>
      <c r="I976" s="69" t="str">
        <f>IFERROR(VLOOKUP(Data!$G976,canon!$I$2:$K$27,3,FALSE),"")</f>
        <v>APPAREL</v>
      </c>
      <c r="J976" s="69">
        <f t="shared" si="30"/>
        <v>7</v>
      </c>
      <c r="K976" s="69">
        <f t="shared" si="31"/>
        <v>35</v>
      </c>
      <c r="L976" s="69">
        <f>VLOOKUP(Table_db1_backend_Daily.accdb[[#This Row],[TradingDate]],canon!B:E,4,0)</f>
        <v>31</v>
      </c>
    </row>
    <row r="977" spans="1:12" x14ac:dyDescent="0.2">
      <c r="A977" s="69" t="s">
        <v>40</v>
      </c>
      <c r="B977" s="70">
        <v>42952</v>
      </c>
      <c r="C977" s="69">
        <v>820</v>
      </c>
      <c r="D977" s="69">
        <v>23</v>
      </c>
      <c r="E977" s="69">
        <v>227.15000000000003</v>
      </c>
      <c r="F977" s="69">
        <v>96.259999999999991</v>
      </c>
      <c r="G977" s="69" t="s">
        <v>25</v>
      </c>
      <c r="H977" s="69" t="str">
        <f>IFERROR(VLOOKUP(Data!$G977,canon!$I$2:$K$27,2,FALSE),"")</f>
        <v>TOP</v>
      </c>
      <c r="I977" s="69" t="str">
        <f>IFERROR(VLOOKUP(Data!$G977,canon!$I$2:$K$27,3,FALSE),"")</f>
        <v>APPAREL</v>
      </c>
      <c r="J977" s="69">
        <f t="shared" si="30"/>
        <v>7</v>
      </c>
      <c r="K977" s="69">
        <f t="shared" si="31"/>
        <v>35</v>
      </c>
      <c r="L977" s="69">
        <f>VLOOKUP(Table_db1_backend_Daily.accdb[[#This Row],[TradingDate]],canon!B:E,4,0)</f>
        <v>31</v>
      </c>
    </row>
    <row r="978" spans="1:12" x14ac:dyDescent="0.2">
      <c r="A978" s="69" t="s">
        <v>41</v>
      </c>
      <c r="B978" s="70">
        <v>42925</v>
      </c>
      <c r="C978" s="69">
        <v>4</v>
      </c>
      <c r="D978" s="69">
        <v>0</v>
      </c>
      <c r="E978" s="69">
        <v>0</v>
      </c>
      <c r="F978" s="69">
        <v>0</v>
      </c>
      <c r="G978" s="69" t="s">
        <v>27</v>
      </c>
      <c r="H978" s="69" t="str">
        <f>IFERROR(VLOOKUP(Data!$G978,canon!$I$2:$K$27,2,FALSE),"")</f>
        <v>ACCESSORY</v>
      </c>
      <c r="I978" s="69" t="str">
        <f>IFERROR(VLOOKUP(Data!$G978,canon!$I$2:$K$27,3,FALSE),"")</f>
        <v>N.APPAREL</v>
      </c>
      <c r="J978" s="69">
        <f t="shared" si="30"/>
        <v>1</v>
      </c>
      <c r="K978" s="69">
        <f t="shared" si="31"/>
        <v>37</v>
      </c>
      <c r="L978" s="69">
        <f>VLOOKUP(Table_db1_backend_Daily.accdb[[#This Row],[TradingDate]],canon!B:E,4,0)</f>
        <v>28</v>
      </c>
    </row>
    <row r="979" spans="1:12" x14ac:dyDescent="0.2">
      <c r="A979" s="69" t="s">
        <v>41</v>
      </c>
      <c r="B979" s="70">
        <v>42925</v>
      </c>
      <c r="C979" s="69">
        <v>26</v>
      </c>
      <c r="D979" s="69">
        <v>0</v>
      </c>
      <c r="E979" s="69">
        <v>0</v>
      </c>
      <c r="F979" s="69">
        <v>0</v>
      </c>
      <c r="G979" s="69" t="s">
        <v>34</v>
      </c>
      <c r="H979" s="69" t="str">
        <f>IFERROR(VLOOKUP(Data!$G979,canon!$I$2:$K$27,2,FALSE),"")</f>
        <v>SHOES</v>
      </c>
      <c r="I979" s="69" t="str">
        <f>IFERROR(VLOOKUP(Data!$G979,canon!$I$2:$K$27,3,FALSE),"")</f>
        <v>N.APPAREL</v>
      </c>
      <c r="J979" s="69">
        <f t="shared" si="30"/>
        <v>1</v>
      </c>
      <c r="K979" s="69">
        <f t="shared" si="31"/>
        <v>37</v>
      </c>
      <c r="L979" s="69">
        <f>VLOOKUP(Table_db1_backend_Daily.accdb[[#This Row],[TradingDate]],canon!B:E,4,0)</f>
        <v>28</v>
      </c>
    </row>
    <row r="980" spans="1:12" x14ac:dyDescent="0.2">
      <c r="A980" s="69" t="s">
        <v>41</v>
      </c>
      <c r="B980" s="70">
        <v>42925</v>
      </c>
      <c r="C980" s="69">
        <v>3</v>
      </c>
      <c r="D980" s="69">
        <v>0</v>
      </c>
      <c r="E980" s="69">
        <v>0</v>
      </c>
      <c r="F980" s="69">
        <v>0</v>
      </c>
      <c r="G980" s="69" t="s">
        <v>38</v>
      </c>
      <c r="H980" s="69" t="str">
        <f>IFERROR(VLOOKUP(Data!$G980,canon!$I$2:$K$27,2,FALSE),"")</f>
        <v>SHOES</v>
      </c>
      <c r="I980" s="69" t="str">
        <f>IFERROR(VLOOKUP(Data!$G980,canon!$I$2:$K$27,3,FALSE),"")</f>
        <v>N.APPAREL</v>
      </c>
      <c r="J980" s="69">
        <f t="shared" si="30"/>
        <v>1</v>
      </c>
      <c r="K980" s="69">
        <f t="shared" si="31"/>
        <v>37</v>
      </c>
      <c r="L980" s="69">
        <f>VLOOKUP(Table_db1_backend_Daily.accdb[[#This Row],[TradingDate]],canon!B:E,4,0)</f>
        <v>28</v>
      </c>
    </row>
    <row r="981" spans="1:12" x14ac:dyDescent="0.2">
      <c r="A981" s="69" t="s">
        <v>41</v>
      </c>
      <c r="B981" s="70">
        <v>42925</v>
      </c>
      <c r="C981" s="69">
        <v>663</v>
      </c>
      <c r="D981" s="69">
        <v>2</v>
      </c>
      <c r="E981" s="69">
        <v>54.47</v>
      </c>
      <c r="F981" s="69">
        <v>38.39</v>
      </c>
      <c r="G981" s="69" t="s">
        <v>35</v>
      </c>
      <c r="H981" s="69" t="str">
        <f>IFERROR(VLOOKUP(Data!$G981,canon!$I$2:$K$27,2,FALSE),"")</f>
        <v>DRESS</v>
      </c>
      <c r="I981" s="69" t="str">
        <f>IFERROR(VLOOKUP(Data!$G981,canon!$I$2:$K$27,3,FALSE),"")</f>
        <v>APPAREL</v>
      </c>
      <c r="J981" s="69">
        <f t="shared" si="30"/>
        <v>1</v>
      </c>
      <c r="K981" s="69">
        <f t="shared" si="31"/>
        <v>37</v>
      </c>
      <c r="L981" s="69">
        <f>VLOOKUP(Table_db1_backend_Daily.accdb[[#This Row],[TradingDate]],canon!B:E,4,0)</f>
        <v>28</v>
      </c>
    </row>
    <row r="982" spans="1:12" x14ac:dyDescent="0.2">
      <c r="A982" s="69" t="s">
        <v>41</v>
      </c>
      <c r="B982" s="70">
        <v>42925</v>
      </c>
      <c r="C982" s="69">
        <v>39</v>
      </c>
      <c r="D982" s="69">
        <v>0</v>
      </c>
      <c r="E982" s="69">
        <v>0</v>
      </c>
      <c r="F982" s="69">
        <v>0</v>
      </c>
      <c r="G982" s="69" t="s">
        <v>10</v>
      </c>
      <c r="H982" s="69" t="str">
        <f>IFERROR(VLOOKUP(Data!$G982,canon!$I$2:$K$27,2,FALSE),"")</f>
        <v>ACCESSORY</v>
      </c>
      <c r="I982" s="69" t="str">
        <f>IFERROR(VLOOKUP(Data!$G982,canon!$I$2:$K$27,3,FALSE),"")</f>
        <v>N.APPAREL</v>
      </c>
      <c r="J982" s="69">
        <f t="shared" si="30"/>
        <v>1</v>
      </c>
      <c r="K982" s="69">
        <f t="shared" si="31"/>
        <v>37</v>
      </c>
      <c r="L982" s="69">
        <f>VLOOKUP(Table_db1_backend_Daily.accdb[[#This Row],[TradingDate]],canon!B:E,4,0)</f>
        <v>28</v>
      </c>
    </row>
    <row r="983" spans="1:12" x14ac:dyDescent="0.2">
      <c r="A983" s="69" t="s">
        <v>41</v>
      </c>
      <c r="B983" s="70">
        <v>42925</v>
      </c>
      <c r="C983" s="69">
        <v>2</v>
      </c>
      <c r="D983" s="69">
        <v>0</v>
      </c>
      <c r="E983" s="69">
        <v>0</v>
      </c>
      <c r="F983" s="69">
        <v>0</v>
      </c>
      <c r="G983" s="69" t="s">
        <v>28</v>
      </c>
      <c r="H983" s="69" t="str">
        <f>IFERROR(VLOOKUP(Data!$G983,canon!$I$2:$K$27,2,FALSE),"")</f>
        <v>ACCESSORY</v>
      </c>
      <c r="I983" s="69" t="str">
        <f>IFERROR(VLOOKUP(Data!$G983,canon!$I$2:$K$27,3,FALSE),"")</f>
        <v>N.APPAREL</v>
      </c>
      <c r="J983" s="69">
        <f t="shared" si="30"/>
        <v>1</v>
      </c>
      <c r="K983" s="69">
        <f t="shared" si="31"/>
        <v>37</v>
      </c>
      <c r="L983" s="69">
        <f>VLOOKUP(Table_db1_backend_Daily.accdb[[#This Row],[TradingDate]],canon!B:E,4,0)</f>
        <v>28</v>
      </c>
    </row>
    <row r="984" spans="1:12" x14ac:dyDescent="0.2">
      <c r="A984" s="69" t="s">
        <v>41</v>
      </c>
      <c r="B984" s="70">
        <v>42925</v>
      </c>
      <c r="C984" s="69">
        <v>1494</v>
      </c>
      <c r="D984" s="69">
        <v>39</v>
      </c>
      <c r="E984" s="69">
        <v>404.44999999999993</v>
      </c>
      <c r="F984" s="69">
        <v>128.94999999999999</v>
      </c>
      <c r="G984" s="69" t="s">
        <v>11</v>
      </c>
      <c r="H984" s="69" t="str">
        <f>IFERROR(VLOOKUP(Data!$G984,canon!$I$2:$K$27,2,FALSE),"")</f>
        <v>KNIT</v>
      </c>
      <c r="I984" s="69" t="str">
        <f>IFERROR(VLOOKUP(Data!$G984,canon!$I$2:$K$27,3,FALSE),"")</f>
        <v>APPAREL</v>
      </c>
      <c r="J984" s="69">
        <f t="shared" si="30"/>
        <v>1</v>
      </c>
      <c r="K984" s="69">
        <f t="shared" si="31"/>
        <v>37</v>
      </c>
      <c r="L984" s="69">
        <f>VLOOKUP(Table_db1_backend_Daily.accdb[[#This Row],[TradingDate]],canon!B:E,4,0)</f>
        <v>28</v>
      </c>
    </row>
    <row r="985" spans="1:12" x14ac:dyDescent="0.2">
      <c r="A985" s="69" t="s">
        <v>41</v>
      </c>
      <c r="B985" s="70">
        <v>42925</v>
      </c>
      <c r="C985" s="69">
        <v>564</v>
      </c>
      <c r="D985" s="69">
        <v>1</v>
      </c>
      <c r="E985" s="69">
        <v>3.0299999999999994</v>
      </c>
      <c r="F985" s="69">
        <v>-3.4900000000000007</v>
      </c>
      <c r="G985" s="69" t="s">
        <v>14</v>
      </c>
      <c r="H985" s="69" t="str">
        <f>IFERROR(VLOOKUP(Data!$G985,canon!$I$2:$K$27,2,FALSE),"")</f>
        <v>LEGGING</v>
      </c>
      <c r="I985" s="69" t="str">
        <f>IFERROR(VLOOKUP(Data!$G985,canon!$I$2:$K$27,3,FALSE),"")</f>
        <v>APPAREL</v>
      </c>
      <c r="J985" s="69">
        <f t="shared" si="30"/>
        <v>1</v>
      </c>
      <c r="K985" s="69">
        <f t="shared" si="31"/>
        <v>37</v>
      </c>
      <c r="L985" s="69">
        <f>VLOOKUP(Table_db1_backend_Daily.accdb[[#This Row],[TradingDate]],canon!B:E,4,0)</f>
        <v>28</v>
      </c>
    </row>
    <row r="986" spans="1:12" x14ac:dyDescent="0.2">
      <c r="A986" s="69" t="s">
        <v>41</v>
      </c>
      <c r="B986" s="70">
        <v>42925</v>
      </c>
      <c r="C986" s="69">
        <v>-43</v>
      </c>
      <c r="D986" s="69">
        <v>0</v>
      </c>
      <c r="E986" s="69">
        <v>0</v>
      </c>
      <c r="F986" s="69">
        <v>0</v>
      </c>
      <c r="G986" s="69" t="s">
        <v>37</v>
      </c>
      <c r="H986" s="69" t="str">
        <f>IFERROR(VLOOKUP(Data!$G986,canon!$I$2:$K$27,2,FALSE),"")</f>
        <v>SHOES</v>
      </c>
      <c r="I986" s="69" t="str">
        <f>IFERROR(VLOOKUP(Data!$G986,canon!$I$2:$K$27,3,FALSE),"")</f>
        <v>N.APPAREL</v>
      </c>
      <c r="J986" s="69">
        <f t="shared" si="30"/>
        <v>1</v>
      </c>
      <c r="K986" s="69">
        <f t="shared" si="31"/>
        <v>37</v>
      </c>
      <c r="L986" s="69">
        <f>VLOOKUP(Table_db1_backend_Daily.accdb[[#This Row],[TradingDate]],canon!B:E,4,0)</f>
        <v>28</v>
      </c>
    </row>
    <row r="987" spans="1:12" x14ac:dyDescent="0.2">
      <c r="A987" s="69" t="s">
        <v>41</v>
      </c>
      <c r="B987" s="70">
        <v>42925</v>
      </c>
      <c r="C987" s="69">
        <v>17</v>
      </c>
      <c r="D987" s="69">
        <v>0</v>
      </c>
      <c r="E987" s="69">
        <v>0</v>
      </c>
      <c r="F987" s="69">
        <v>0</v>
      </c>
      <c r="G987" s="69" t="s">
        <v>29</v>
      </c>
      <c r="H987" s="69" t="str">
        <f>IFERROR(VLOOKUP(Data!$G987,canon!$I$2:$K$27,2,FALSE),"")</f>
        <v>SHOES</v>
      </c>
      <c r="I987" s="69" t="str">
        <f>IFERROR(VLOOKUP(Data!$G987,canon!$I$2:$K$27,3,FALSE),"")</f>
        <v>N.APPAREL</v>
      </c>
      <c r="J987" s="69">
        <f t="shared" si="30"/>
        <v>1</v>
      </c>
      <c r="K987" s="69">
        <f t="shared" si="31"/>
        <v>37</v>
      </c>
      <c r="L987" s="69">
        <f>VLOOKUP(Table_db1_backend_Daily.accdb[[#This Row],[TradingDate]],canon!B:E,4,0)</f>
        <v>28</v>
      </c>
    </row>
    <row r="988" spans="1:12" x14ac:dyDescent="0.2">
      <c r="A988" s="69" t="s">
        <v>41</v>
      </c>
      <c r="B988" s="70">
        <v>42925</v>
      </c>
      <c r="C988" s="69">
        <v>558</v>
      </c>
      <c r="D988" s="69">
        <v>7</v>
      </c>
      <c r="E988" s="69">
        <v>121.14999999999999</v>
      </c>
      <c r="F988" s="69">
        <v>66.820000000000007</v>
      </c>
      <c r="G988" s="69" t="s">
        <v>17</v>
      </c>
      <c r="H988" s="69" t="str">
        <f>IFERROR(VLOOKUP(Data!$G988,canon!$I$2:$K$27,2,FALSE),"")</f>
        <v>OUTER</v>
      </c>
      <c r="I988" s="69" t="str">
        <f>IFERROR(VLOOKUP(Data!$G988,canon!$I$2:$K$27,3,FALSE),"")</f>
        <v>APPAREL</v>
      </c>
      <c r="J988" s="69">
        <f t="shared" si="30"/>
        <v>1</v>
      </c>
      <c r="K988" s="69">
        <f t="shared" si="31"/>
        <v>37</v>
      </c>
      <c r="L988" s="69">
        <f>VLOOKUP(Table_db1_backend_Daily.accdb[[#This Row],[TradingDate]],canon!B:E,4,0)</f>
        <v>28</v>
      </c>
    </row>
    <row r="989" spans="1:12" x14ac:dyDescent="0.2">
      <c r="A989" s="69" t="s">
        <v>41</v>
      </c>
      <c r="B989" s="70">
        <v>42925</v>
      </c>
      <c r="C989" s="69">
        <v>318</v>
      </c>
      <c r="D989" s="69">
        <v>1</v>
      </c>
      <c r="E989" s="69">
        <v>9.09</v>
      </c>
      <c r="F989" s="69">
        <v>3</v>
      </c>
      <c r="G989" s="69" t="s">
        <v>19</v>
      </c>
      <c r="H989" s="69" t="str">
        <f>IFERROR(VLOOKUP(Data!$G989,canon!$I$2:$K$27,2,FALSE),"")</f>
        <v>PANT</v>
      </c>
      <c r="I989" s="69" t="str">
        <f>IFERROR(VLOOKUP(Data!$G989,canon!$I$2:$K$27,3,FALSE),"")</f>
        <v>APPAREL</v>
      </c>
      <c r="J989" s="69">
        <f t="shared" si="30"/>
        <v>1</v>
      </c>
      <c r="K989" s="69">
        <f t="shared" si="31"/>
        <v>37</v>
      </c>
      <c r="L989" s="69">
        <f>VLOOKUP(Table_db1_backend_Daily.accdb[[#This Row],[TradingDate]],canon!B:E,4,0)</f>
        <v>28</v>
      </c>
    </row>
    <row r="990" spans="1:12" x14ac:dyDescent="0.2">
      <c r="A990" s="69" t="s">
        <v>41</v>
      </c>
      <c r="B990" s="70">
        <v>42925</v>
      </c>
      <c r="C990" s="69">
        <v>33</v>
      </c>
      <c r="D990" s="69">
        <v>0</v>
      </c>
      <c r="E990" s="69">
        <v>0</v>
      </c>
      <c r="F990" s="69">
        <v>0</v>
      </c>
      <c r="G990" s="69" t="s">
        <v>21</v>
      </c>
      <c r="H990" s="69" t="str">
        <f>IFERROR(VLOOKUP(Data!$G990,canon!$I$2:$K$27,2,FALSE),"")</f>
        <v>ACCESSORY</v>
      </c>
      <c r="I990" s="69" t="str">
        <f>IFERROR(VLOOKUP(Data!$G990,canon!$I$2:$K$27,3,FALSE),"")</f>
        <v>N.APPAREL</v>
      </c>
      <c r="J990" s="69">
        <f t="shared" si="30"/>
        <v>1</v>
      </c>
      <c r="K990" s="69">
        <f t="shared" si="31"/>
        <v>37</v>
      </c>
      <c r="L990" s="69">
        <f>VLOOKUP(Table_db1_backend_Daily.accdb[[#This Row],[TradingDate]],canon!B:E,4,0)</f>
        <v>28</v>
      </c>
    </row>
    <row r="991" spans="1:12" x14ac:dyDescent="0.2">
      <c r="A991" s="69" t="s">
        <v>41</v>
      </c>
      <c r="B991" s="70">
        <v>42925</v>
      </c>
      <c r="C991" s="69">
        <v>751</v>
      </c>
      <c r="D991" s="69">
        <v>11</v>
      </c>
      <c r="E991" s="69">
        <v>50.009999999999991</v>
      </c>
      <c r="F991" s="69">
        <v>28.09</v>
      </c>
      <c r="G991" s="69" t="s">
        <v>22</v>
      </c>
      <c r="H991" s="69" t="str">
        <f>IFERROR(VLOOKUP(Data!$G991,canon!$I$2:$K$27,2,FALSE),"")</f>
        <v>SCARF</v>
      </c>
      <c r="I991" s="69" t="str">
        <f>IFERROR(VLOOKUP(Data!$G991,canon!$I$2:$K$27,3,FALSE),"")</f>
        <v>N.APPAREL</v>
      </c>
      <c r="J991" s="69">
        <f t="shared" si="30"/>
        <v>1</v>
      </c>
      <c r="K991" s="69">
        <f t="shared" si="31"/>
        <v>37</v>
      </c>
      <c r="L991" s="69">
        <f>VLOOKUP(Table_db1_backend_Daily.accdb[[#This Row],[TradingDate]],canon!B:E,4,0)</f>
        <v>28</v>
      </c>
    </row>
    <row r="992" spans="1:12" x14ac:dyDescent="0.2">
      <c r="A992" s="69" t="s">
        <v>41</v>
      </c>
      <c r="B992" s="70">
        <v>42925</v>
      </c>
      <c r="C992" s="69">
        <v>110</v>
      </c>
      <c r="D992" s="69">
        <v>1</v>
      </c>
      <c r="E992" s="69">
        <v>9.09</v>
      </c>
      <c r="F992" s="69">
        <v>0.61</v>
      </c>
      <c r="G992" s="69" t="s">
        <v>23</v>
      </c>
      <c r="H992" s="69" t="str">
        <f>IFERROR(VLOOKUP(Data!$G992,canon!$I$2:$K$27,2,FALSE),"")</f>
        <v>SH&amp;BL</v>
      </c>
      <c r="I992" s="69" t="str">
        <f>IFERROR(VLOOKUP(Data!$G992,canon!$I$2:$K$27,3,FALSE),"")</f>
        <v>APPAREL</v>
      </c>
      <c r="J992" s="69">
        <f t="shared" si="30"/>
        <v>1</v>
      </c>
      <c r="K992" s="69">
        <f t="shared" si="31"/>
        <v>37</v>
      </c>
      <c r="L992" s="69">
        <f>VLOOKUP(Table_db1_backend_Daily.accdb[[#This Row],[TradingDate]],canon!B:E,4,0)</f>
        <v>28</v>
      </c>
    </row>
    <row r="993" spans="1:12" x14ac:dyDescent="0.2">
      <c r="A993" s="69" t="s">
        <v>41</v>
      </c>
      <c r="B993" s="70">
        <v>42925</v>
      </c>
      <c r="C993" s="69">
        <v>442</v>
      </c>
      <c r="D993" s="69">
        <v>5</v>
      </c>
      <c r="E993" s="69">
        <v>31.79</v>
      </c>
      <c r="F993" s="69">
        <v>-2.3400000000000007</v>
      </c>
      <c r="G993" s="69" t="s">
        <v>32</v>
      </c>
      <c r="H993" s="69" t="str">
        <f>IFERROR(VLOOKUP(Data!$G993,canon!$I$2:$K$27,2,FALSE),"")</f>
        <v>SKIRT</v>
      </c>
      <c r="I993" s="69" t="str">
        <f>IFERROR(VLOOKUP(Data!$G993,canon!$I$2:$K$27,3,FALSE),"")</f>
        <v>APPAREL</v>
      </c>
      <c r="J993" s="69">
        <f t="shared" si="30"/>
        <v>1</v>
      </c>
      <c r="K993" s="69">
        <f t="shared" si="31"/>
        <v>37</v>
      </c>
      <c r="L993" s="69">
        <f>VLOOKUP(Table_db1_backend_Daily.accdb[[#This Row],[TradingDate]],canon!B:E,4,0)</f>
        <v>28</v>
      </c>
    </row>
    <row r="994" spans="1:12" x14ac:dyDescent="0.2">
      <c r="A994" s="69" t="s">
        <v>41</v>
      </c>
      <c r="B994" s="70">
        <v>42925</v>
      </c>
      <c r="C994" s="69">
        <v>1398</v>
      </c>
      <c r="D994" s="69">
        <v>35</v>
      </c>
      <c r="E994" s="69">
        <v>207.54000000000002</v>
      </c>
      <c r="F994" s="69">
        <v>51.17</v>
      </c>
      <c r="G994" s="69" t="s">
        <v>25</v>
      </c>
      <c r="H994" s="69" t="str">
        <f>IFERROR(VLOOKUP(Data!$G994,canon!$I$2:$K$27,2,FALSE),"")</f>
        <v>TOP</v>
      </c>
      <c r="I994" s="69" t="str">
        <f>IFERROR(VLOOKUP(Data!$G994,canon!$I$2:$K$27,3,FALSE),"")</f>
        <v>APPAREL</v>
      </c>
      <c r="J994" s="69">
        <f t="shared" si="30"/>
        <v>1</v>
      </c>
      <c r="K994" s="69">
        <f t="shared" si="31"/>
        <v>37</v>
      </c>
      <c r="L994" s="69">
        <f>VLOOKUP(Table_db1_backend_Daily.accdb[[#This Row],[TradingDate]],canon!B:E,4,0)</f>
        <v>28</v>
      </c>
    </row>
    <row r="995" spans="1:12" x14ac:dyDescent="0.2">
      <c r="A995" s="69" t="s">
        <v>41</v>
      </c>
      <c r="B995" s="70">
        <v>42926</v>
      </c>
      <c r="C995" s="69">
        <v>4</v>
      </c>
      <c r="D995" s="69">
        <v>0</v>
      </c>
      <c r="E995" s="69">
        <v>0</v>
      </c>
      <c r="F995" s="69">
        <v>0</v>
      </c>
      <c r="G995" s="69" t="s">
        <v>27</v>
      </c>
      <c r="H995" s="69" t="str">
        <f>IFERROR(VLOOKUP(Data!$G995,canon!$I$2:$K$27,2,FALSE),"")</f>
        <v>ACCESSORY</v>
      </c>
      <c r="I995" s="69" t="str">
        <f>IFERROR(VLOOKUP(Data!$G995,canon!$I$2:$K$27,3,FALSE),"")</f>
        <v>N.APPAREL</v>
      </c>
      <c r="J995" s="69">
        <f t="shared" si="30"/>
        <v>2</v>
      </c>
      <c r="K995" s="69">
        <f t="shared" si="31"/>
        <v>37</v>
      </c>
      <c r="L995" s="69">
        <f>VLOOKUP(Table_db1_backend_Daily.accdb[[#This Row],[TradingDate]],canon!B:E,4,0)</f>
        <v>28</v>
      </c>
    </row>
    <row r="996" spans="1:12" x14ac:dyDescent="0.2">
      <c r="A996" s="69" t="s">
        <v>41</v>
      </c>
      <c r="B996" s="70">
        <v>42926</v>
      </c>
      <c r="C996" s="69">
        <v>26</v>
      </c>
      <c r="D996" s="69">
        <v>0</v>
      </c>
      <c r="E996" s="69">
        <v>0</v>
      </c>
      <c r="F996" s="69">
        <v>0</v>
      </c>
      <c r="G996" s="69" t="s">
        <v>34</v>
      </c>
      <c r="H996" s="69" t="str">
        <f>IFERROR(VLOOKUP(Data!$G996,canon!$I$2:$K$27,2,FALSE),"")</f>
        <v>SHOES</v>
      </c>
      <c r="I996" s="69" t="str">
        <f>IFERROR(VLOOKUP(Data!$G996,canon!$I$2:$K$27,3,FALSE),"")</f>
        <v>N.APPAREL</v>
      </c>
      <c r="J996" s="69">
        <f t="shared" si="30"/>
        <v>2</v>
      </c>
      <c r="K996" s="69">
        <f t="shared" si="31"/>
        <v>37</v>
      </c>
      <c r="L996" s="69">
        <f>VLOOKUP(Table_db1_backend_Daily.accdb[[#This Row],[TradingDate]],canon!B:E,4,0)</f>
        <v>28</v>
      </c>
    </row>
    <row r="997" spans="1:12" x14ac:dyDescent="0.2">
      <c r="A997" s="69" t="s">
        <v>41</v>
      </c>
      <c r="B997" s="70">
        <v>42926</v>
      </c>
      <c r="C997" s="69">
        <v>3</v>
      </c>
      <c r="D997" s="69">
        <v>0</v>
      </c>
      <c r="E997" s="69">
        <v>0</v>
      </c>
      <c r="F997" s="69">
        <v>0</v>
      </c>
      <c r="G997" s="69" t="s">
        <v>38</v>
      </c>
      <c r="H997" s="69" t="str">
        <f>IFERROR(VLOOKUP(Data!$G997,canon!$I$2:$K$27,2,FALSE),"")</f>
        <v>SHOES</v>
      </c>
      <c r="I997" s="69" t="str">
        <f>IFERROR(VLOOKUP(Data!$G997,canon!$I$2:$K$27,3,FALSE),"")</f>
        <v>N.APPAREL</v>
      </c>
      <c r="J997" s="69">
        <f t="shared" si="30"/>
        <v>2</v>
      </c>
      <c r="K997" s="69">
        <f t="shared" si="31"/>
        <v>37</v>
      </c>
      <c r="L997" s="69">
        <f>VLOOKUP(Table_db1_backend_Daily.accdb[[#This Row],[TradingDate]],canon!B:E,4,0)</f>
        <v>28</v>
      </c>
    </row>
    <row r="998" spans="1:12" x14ac:dyDescent="0.2">
      <c r="A998" s="69" t="s">
        <v>41</v>
      </c>
      <c r="B998" s="70">
        <v>42926</v>
      </c>
      <c r="C998" s="69">
        <v>663</v>
      </c>
      <c r="D998" s="69">
        <v>0</v>
      </c>
      <c r="E998" s="69">
        <v>0</v>
      </c>
      <c r="F998" s="69">
        <v>0</v>
      </c>
      <c r="G998" s="69" t="s">
        <v>35</v>
      </c>
      <c r="H998" s="69" t="str">
        <f>IFERROR(VLOOKUP(Data!$G998,canon!$I$2:$K$27,2,FALSE),"")</f>
        <v>DRESS</v>
      </c>
      <c r="I998" s="69" t="str">
        <f>IFERROR(VLOOKUP(Data!$G998,canon!$I$2:$K$27,3,FALSE),"")</f>
        <v>APPAREL</v>
      </c>
      <c r="J998" s="69">
        <f t="shared" si="30"/>
        <v>2</v>
      </c>
      <c r="K998" s="69">
        <f t="shared" si="31"/>
        <v>37</v>
      </c>
      <c r="L998" s="69">
        <f>VLOOKUP(Table_db1_backend_Daily.accdb[[#This Row],[TradingDate]],canon!B:E,4,0)</f>
        <v>28</v>
      </c>
    </row>
    <row r="999" spans="1:12" x14ac:dyDescent="0.2">
      <c r="A999" s="69" t="s">
        <v>41</v>
      </c>
      <c r="B999" s="70">
        <v>42926</v>
      </c>
      <c r="C999" s="69">
        <v>39</v>
      </c>
      <c r="D999" s="69">
        <v>0</v>
      </c>
      <c r="E999" s="69">
        <v>0</v>
      </c>
      <c r="F999" s="69">
        <v>0</v>
      </c>
      <c r="G999" s="69" t="s">
        <v>10</v>
      </c>
      <c r="H999" s="69" t="str">
        <f>IFERROR(VLOOKUP(Data!$G999,canon!$I$2:$K$27,2,FALSE),"")</f>
        <v>ACCESSORY</v>
      </c>
      <c r="I999" s="69" t="str">
        <f>IFERROR(VLOOKUP(Data!$G999,canon!$I$2:$K$27,3,FALSE),"")</f>
        <v>N.APPAREL</v>
      </c>
      <c r="J999" s="69">
        <f t="shared" si="30"/>
        <v>2</v>
      </c>
      <c r="K999" s="69">
        <f t="shared" si="31"/>
        <v>37</v>
      </c>
      <c r="L999" s="69">
        <f>VLOOKUP(Table_db1_backend_Daily.accdb[[#This Row],[TradingDate]],canon!B:E,4,0)</f>
        <v>28</v>
      </c>
    </row>
    <row r="1000" spans="1:12" x14ac:dyDescent="0.2">
      <c r="A1000" s="69" t="s">
        <v>41</v>
      </c>
      <c r="B1000" s="70">
        <v>42926</v>
      </c>
      <c r="C1000" s="69">
        <v>2</v>
      </c>
      <c r="D1000" s="69">
        <v>0</v>
      </c>
      <c r="E1000" s="69">
        <v>0</v>
      </c>
      <c r="F1000" s="69">
        <v>0</v>
      </c>
      <c r="G1000" s="69" t="s">
        <v>28</v>
      </c>
      <c r="H1000" s="69" t="str">
        <f>IFERROR(VLOOKUP(Data!$G1000,canon!$I$2:$K$27,2,FALSE),"")</f>
        <v>ACCESSORY</v>
      </c>
      <c r="I1000" s="69" t="str">
        <f>IFERROR(VLOOKUP(Data!$G1000,canon!$I$2:$K$27,3,FALSE),"")</f>
        <v>N.APPAREL</v>
      </c>
      <c r="J1000" s="69">
        <f t="shared" si="30"/>
        <v>2</v>
      </c>
      <c r="K1000" s="69">
        <f t="shared" si="31"/>
        <v>37</v>
      </c>
      <c r="L1000" s="69">
        <f>VLOOKUP(Table_db1_backend_Daily.accdb[[#This Row],[TradingDate]],canon!B:E,4,0)</f>
        <v>28</v>
      </c>
    </row>
    <row r="1001" spans="1:12" x14ac:dyDescent="0.2">
      <c r="A1001" s="69" t="s">
        <v>41</v>
      </c>
      <c r="B1001" s="70">
        <v>42926</v>
      </c>
      <c r="C1001" s="69">
        <v>1822</v>
      </c>
      <c r="D1001" s="69">
        <v>24</v>
      </c>
      <c r="E1001" s="69">
        <v>336.18</v>
      </c>
      <c r="F1001" s="69">
        <v>148.24</v>
      </c>
      <c r="G1001" s="69" t="s">
        <v>11</v>
      </c>
      <c r="H1001" s="69" t="str">
        <f>IFERROR(VLOOKUP(Data!$G1001,canon!$I$2:$K$27,2,FALSE),"")</f>
        <v>KNIT</v>
      </c>
      <c r="I1001" s="69" t="str">
        <f>IFERROR(VLOOKUP(Data!$G1001,canon!$I$2:$K$27,3,FALSE),"")</f>
        <v>APPAREL</v>
      </c>
      <c r="J1001" s="69">
        <f t="shared" si="30"/>
        <v>2</v>
      </c>
      <c r="K1001" s="69">
        <f t="shared" si="31"/>
        <v>37</v>
      </c>
      <c r="L1001" s="69">
        <f>VLOOKUP(Table_db1_backend_Daily.accdb[[#This Row],[TradingDate]],canon!B:E,4,0)</f>
        <v>28</v>
      </c>
    </row>
    <row r="1002" spans="1:12" x14ac:dyDescent="0.2">
      <c r="A1002" s="69" t="s">
        <v>41</v>
      </c>
      <c r="B1002" s="70">
        <v>42926</v>
      </c>
      <c r="C1002" s="69">
        <v>563</v>
      </c>
      <c r="D1002" s="69">
        <v>1</v>
      </c>
      <c r="E1002" s="69">
        <v>9.09</v>
      </c>
      <c r="F1002" s="69">
        <v>3</v>
      </c>
      <c r="G1002" s="69" t="s">
        <v>14</v>
      </c>
      <c r="H1002" s="69" t="str">
        <f>IFERROR(VLOOKUP(Data!$G1002,canon!$I$2:$K$27,2,FALSE),"")</f>
        <v>LEGGING</v>
      </c>
      <c r="I1002" s="69" t="str">
        <f>IFERROR(VLOOKUP(Data!$G1002,canon!$I$2:$K$27,3,FALSE),"")</f>
        <v>APPAREL</v>
      </c>
      <c r="J1002" s="69">
        <f t="shared" si="30"/>
        <v>2</v>
      </c>
      <c r="K1002" s="69">
        <f t="shared" si="31"/>
        <v>37</v>
      </c>
      <c r="L1002" s="69">
        <f>VLOOKUP(Table_db1_backend_Daily.accdb[[#This Row],[TradingDate]],canon!B:E,4,0)</f>
        <v>28</v>
      </c>
    </row>
    <row r="1003" spans="1:12" x14ac:dyDescent="0.2">
      <c r="A1003" s="69" t="s">
        <v>41</v>
      </c>
      <c r="B1003" s="70">
        <v>42926</v>
      </c>
      <c r="C1003" s="69">
        <v>-43</v>
      </c>
      <c r="D1003" s="69">
        <v>0</v>
      </c>
      <c r="E1003" s="69">
        <v>0</v>
      </c>
      <c r="F1003" s="69">
        <v>0</v>
      </c>
      <c r="G1003" s="69" t="s">
        <v>37</v>
      </c>
      <c r="H1003" s="69" t="str">
        <f>IFERROR(VLOOKUP(Data!$G1003,canon!$I$2:$K$27,2,FALSE),"")</f>
        <v>SHOES</v>
      </c>
      <c r="I1003" s="69" t="str">
        <f>IFERROR(VLOOKUP(Data!$G1003,canon!$I$2:$K$27,3,FALSE),"")</f>
        <v>N.APPAREL</v>
      </c>
      <c r="J1003" s="69">
        <f t="shared" si="30"/>
        <v>2</v>
      </c>
      <c r="K1003" s="69">
        <f t="shared" si="31"/>
        <v>37</v>
      </c>
      <c r="L1003" s="69">
        <f>VLOOKUP(Table_db1_backend_Daily.accdb[[#This Row],[TradingDate]],canon!B:E,4,0)</f>
        <v>28</v>
      </c>
    </row>
    <row r="1004" spans="1:12" x14ac:dyDescent="0.2">
      <c r="A1004" s="69" t="s">
        <v>41</v>
      </c>
      <c r="B1004" s="70">
        <v>42926</v>
      </c>
      <c r="C1004" s="69">
        <v>17</v>
      </c>
      <c r="D1004" s="69">
        <v>0</v>
      </c>
      <c r="E1004" s="69">
        <v>0</v>
      </c>
      <c r="F1004" s="69">
        <v>0</v>
      </c>
      <c r="G1004" s="69" t="s">
        <v>29</v>
      </c>
      <c r="H1004" s="69" t="str">
        <f>IFERROR(VLOOKUP(Data!$G1004,canon!$I$2:$K$27,2,FALSE),"")</f>
        <v>SHOES</v>
      </c>
      <c r="I1004" s="69" t="str">
        <f>IFERROR(VLOOKUP(Data!$G1004,canon!$I$2:$K$27,3,FALSE),"")</f>
        <v>N.APPAREL</v>
      </c>
      <c r="J1004" s="69">
        <f t="shared" si="30"/>
        <v>2</v>
      </c>
      <c r="K1004" s="69">
        <f t="shared" si="31"/>
        <v>37</v>
      </c>
      <c r="L1004" s="69">
        <f>VLOOKUP(Table_db1_backend_Daily.accdb[[#This Row],[TradingDate]],canon!B:E,4,0)</f>
        <v>28</v>
      </c>
    </row>
    <row r="1005" spans="1:12" x14ac:dyDescent="0.2">
      <c r="A1005" s="69" t="s">
        <v>41</v>
      </c>
      <c r="B1005" s="70">
        <v>42926</v>
      </c>
      <c r="C1005" s="69">
        <v>557</v>
      </c>
      <c r="D1005" s="69">
        <v>1</v>
      </c>
      <c r="E1005" s="69">
        <v>27.22</v>
      </c>
      <c r="F1005" s="69">
        <v>16.350000000000001</v>
      </c>
      <c r="G1005" s="69" t="s">
        <v>17</v>
      </c>
      <c r="H1005" s="69" t="str">
        <f>IFERROR(VLOOKUP(Data!$G1005,canon!$I$2:$K$27,2,FALSE),"")</f>
        <v>OUTER</v>
      </c>
      <c r="I1005" s="69" t="str">
        <f>IFERROR(VLOOKUP(Data!$G1005,canon!$I$2:$K$27,3,FALSE),"")</f>
        <v>APPAREL</v>
      </c>
      <c r="J1005" s="69">
        <f t="shared" si="30"/>
        <v>2</v>
      </c>
      <c r="K1005" s="69">
        <f t="shared" si="31"/>
        <v>37</v>
      </c>
      <c r="L1005" s="69">
        <f>VLOOKUP(Table_db1_backend_Daily.accdb[[#This Row],[TradingDate]],canon!B:E,4,0)</f>
        <v>28</v>
      </c>
    </row>
    <row r="1006" spans="1:12" x14ac:dyDescent="0.2">
      <c r="A1006" s="69" t="s">
        <v>41</v>
      </c>
      <c r="B1006" s="70">
        <v>42926</v>
      </c>
      <c r="C1006" s="69">
        <v>317</v>
      </c>
      <c r="D1006" s="69">
        <v>1</v>
      </c>
      <c r="E1006" s="69">
        <v>9.09</v>
      </c>
      <c r="F1006" s="69">
        <v>2.79</v>
      </c>
      <c r="G1006" s="69" t="s">
        <v>19</v>
      </c>
      <c r="H1006" s="69" t="str">
        <f>IFERROR(VLOOKUP(Data!$G1006,canon!$I$2:$K$27,2,FALSE),"")</f>
        <v>PANT</v>
      </c>
      <c r="I1006" s="69" t="str">
        <f>IFERROR(VLOOKUP(Data!$G1006,canon!$I$2:$K$27,3,FALSE),"")</f>
        <v>APPAREL</v>
      </c>
      <c r="J1006" s="69">
        <f t="shared" si="30"/>
        <v>2</v>
      </c>
      <c r="K1006" s="69">
        <f t="shared" si="31"/>
        <v>37</v>
      </c>
      <c r="L1006" s="69">
        <f>VLOOKUP(Table_db1_backend_Daily.accdb[[#This Row],[TradingDate]],canon!B:E,4,0)</f>
        <v>28</v>
      </c>
    </row>
    <row r="1007" spans="1:12" x14ac:dyDescent="0.2">
      <c r="A1007" s="69" t="s">
        <v>41</v>
      </c>
      <c r="B1007" s="70">
        <v>42926</v>
      </c>
      <c r="C1007" s="69">
        <v>33</v>
      </c>
      <c r="D1007" s="69">
        <v>0</v>
      </c>
      <c r="E1007" s="69">
        <v>0</v>
      </c>
      <c r="F1007" s="69">
        <v>0</v>
      </c>
      <c r="G1007" s="69" t="s">
        <v>21</v>
      </c>
      <c r="H1007" s="69" t="str">
        <f>IFERROR(VLOOKUP(Data!$G1007,canon!$I$2:$K$27,2,FALSE),"")</f>
        <v>ACCESSORY</v>
      </c>
      <c r="I1007" s="69" t="str">
        <f>IFERROR(VLOOKUP(Data!$G1007,canon!$I$2:$K$27,3,FALSE),"")</f>
        <v>N.APPAREL</v>
      </c>
      <c r="J1007" s="69">
        <f t="shared" si="30"/>
        <v>2</v>
      </c>
      <c r="K1007" s="69">
        <f t="shared" si="31"/>
        <v>37</v>
      </c>
      <c r="L1007" s="69">
        <f>VLOOKUP(Table_db1_backend_Daily.accdb[[#This Row],[TradingDate]],canon!B:E,4,0)</f>
        <v>28</v>
      </c>
    </row>
    <row r="1008" spans="1:12" x14ac:dyDescent="0.2">
      <c r="A1008" s="69" t="s">
        <v>41</v>
      </c>
      <c r="B1008" s="70">
        <v>42926</v>
      </c>
      <c r="C1008" s="69">
        <v>740</v>
      </c>
      <c r="D1008" s="69">
        <v>11</v>
      </c>
      <c r="E1008" s="69">
        <v>50.029999999999994</v>
      </c>
      <c r="F1008" s="69">
        <v>29.729999999999997</v>
      </c>
      <c r="G1008" s="69" t="s">
        <v>22</v>
      </c>
      <c r="H1008" s="69" t="str">
        <f>IFERROR(VLOOKUP(Data!$G1008,canon!$I$2:$K$27,2,FALSE),"")</f>
        <v>SCARF</v>
      </c>
      <c r="I1008" s="69" t="str">
        <f>IFERROR(VLOOKUP(Data!$G1008,canon!$I$2:$K$27,3,FALSE),"")</f>
        <v>N.APPAREL</v>
      </c>
      <c r="J1008" s="69">
        <f t="shared" si="30"/>
        <v>2</v>
      </c>
      <c r="K1008" s="69">
        <f t="shared" si="31"/>
        <v>37</v>
      </c>
      <c r="L1008" s="69">
        <f>VLOOKUP(Table_db1_backend_Daily.accdb[[#This Row],[TradingDate]],canon!B:E,4,0)</f>
        <v>28</v>
      </c>
    </row>
    <row r="1009" spans="1:12" x14ac:dyDescent="0.2">
      <c r="A1009" s="69" t="s">
        <v>41</v>
      </c>
      <c r="B1009" s="70">
        <v>42926</v>
      </c>
      <c r="C1009" s="69">
        <v>110</v>
      </c>
      <c r="D1009" s="69">
        <v>0</v>
      </c>
      <c r="E1009" s="69">
        <v>0</v>
      </c>
      <c r="F1009" s="69">
        <v>0</v>
      </c>
      <c r="G1009" s="69" t="s">
        <v>23</v>
      </c>
      <c r="H1009" s="69" t="str">
        <f>IFERROR(VLOOKUP(Data!$G1009,canon!$I$2:$K$27,2,FALSE),"")</f>
        <v>SH&amp;BL</v>
      </c>
      <c r="I1009" s="69" t="str">
        <f>IFERROR(VLOOKUP(Data!$G1009,canon!$I$2:$K$27,3,FALSE),"")</f>
        <v>APPAREL</v>
      </c>
      <c r="J1009" s="69">
        <f t="shared" si="30"/>
        <v>2</v>
      </c>
      <c r="K1009" s="69">
        <f t="shared" si="31"/>
        <v>37</v>
      </c>
      <c r="L1009" s="69">
        <f>VLOOKUP(Table_db1_backend_Daily.accdb[[#This Row],[TradingDate]],canon!B:E,4,0)</f>
        <v>28</v>
      </c>
    </row>
    <row r="1010" spans="1:12" x14ac:dyDescent="0.2">
      <c r="A1010" s="69" t="s">
        <v>41</v>
      </c>
      <c r="B1010" s="70">
        <v>42926</v>
      </c>
      <c r="C1010" s="69">
        <v>439</v>
      </c>
      <c r="D1010" s="69">
        <v>3</v>
      </c>
      <c r="E1010" s="69">
        <v>40.82</v>
      </c>
      <c r="F1010" s="69">
        <v>25.169999999999998</v>
      </c>
      <c r="G1010" s="69" t="s">
        <v>32</v>
      </c>
      <c r="H1010" s="69" t="str">
        <f>IFERROR(VLOOKUP(Data!$G1010,canon!$I$2:$K$27,2,FALSE),"")</f>
        <v>SKIRT</v>
      </c>
      <c r="I1010" s="69" t="str">
        <f>IFERROR(VLOOKUP(Data!$G1010,canon!$I$2:$K$27,3,FALSE),"")</f>
        <v>APPAREL</v>
      </c>
      <c r="J1010" s="69">
        <f t="shared" si="30"/>
        <v>2</v>
      </c>
      <c r="K1010" s="69">
        <f t="shared" si="31"/>
        <v>37</v>
      </c>
      <c r="L1010" s="69">
        <f>VLOOKUP(Table_db1_backend_Daily.accdb[[#This Row],[TradingDate]],canon!B:E,4,0)</f>
        <v>28</v>
      </c>
    </row>
    <row r="1011" spans="1:12" x14ac:dyDescent="0.2">
      <c r="A1011" s="69" t="s">
        <v>41</v>
      </c>
      <c r="B1011" s="70">
        <v>42926</v>
      </c>
      <c r="C1011" s="69">
        <v>1368</v>
      </c>
      <c r="D1011" s="69">
        <v>30</v>
      </c>
      <c r="E1011" s="69">
        <v>168.20000000000002</v>
      </c>
      <c r="F1011" s="69">
        <v>36.78</v>
      </c>
      <c r="G1011" s="69" t="s">
        <v>25</v>
      </c>
      <c r="H1011" s="69" t="str">
        <f>IFERROR(VLOOKUP(Data!$G1011,canon!$I$2:$K$27,2,FALSE),"")</f>
        <v>TOP</v>
      </c>
      <c r="I1011" s="69" t="str">
        <f>IFERROR(VLOOKUP(Data!$G1011,canon!$I$2:$K$27,3,FALSE),"")</f>
        <v>APPAREL</v>
      </c>
      <c r="J1011" s="69">
        <f t="shared" si="30"/>
        <v>2</v>
      </c>
      <c r="K1011" s="69">
        <f t="shared" si="31"/>
        <v>37</v>
      </c>
      <c r="L1011" s="69">
        <f>VLOOKUP(Table_db1_backend_Daily.accdb[[#This Row],[TradingDate]],canon!B:E,4,0)</f>
        <v>28</v>
      </c>
    </row>
    <row r="1012" spans="1:12" x14ac:dyDescent="0.2">
      <c r="A1012" s="69" t="s">
        <v>41</v>
      </c>
      <c r="B1012" s="70">
        <v>42927</v>
      </c>
      <c r="C1012" s="69">
        <v>4</v>
      </c>
      <c r="D1012" s="69">
        <v>0</v>
      </c>
      <c r="E1012" s="69">
        <v>0</v>
      </c>
      <c r="F1012" s="69">
        <v>0</v>
      </c>
      <c r="G1012" s="69" t="s">
        <v>27</v>
      </c>
      <c r="H1012" s="69" t="str">
        <f>IFERROR(VLOOKUP(Data!$G1012,canon!$I$2:$K$27,2,FALSE),"")</f>
        <v>ACCESSORY</v>
      </c>
      <c r="I1012" s="69" t="str">
        <f>IFERROR(VLOOKUP(Data!$G1012,canon!$I$2:$K$27,3,FALSE),"")</f>
        <v>N.APPAREL</v>
      </c>
      <c r="J1012" s="69">
        <f t="shared" si="30"/>
        <v>3</v>
      </c>
      <c r="K1012" s="69">
        <f t="shared" si="31"/>
        <v>37</v>
      </c>
      <c r="L1012" s="69">
        <f>VLOOKUP(Table_db1_backend_Daily.accdb[[#This Row],[TradingDate]],canon!B:E,4,0)</f>
        <v>28</v>
      </c>
    </row>
    <row r="1013" spans="1:12" x14ac:dyDescent="0.2">
      <c r="A1013" s="69" t="s">
        <v>41</v>
      </c>
      <c r="B1013" s="70">
        <v>42927</v>
      </c>
      <c r="C1013" s="69">
        <v>26</v>
      </c>
      <c r="D1013" s="69">
        <v>0</v>
      </c>
      <c r="E1013" s="69">
        <v>0</v>
      </c>
      <c r="F1013" s="69">
        <v>0</v>
      </c>
      <c r="G1013" s="69" t="s">
        <v>34</v>
      </c>
      <c r="H1013" s="69" t="str">
        <f>IFERROR(VLOOKUP(Data!$G1013,canon!$I$2:$K$27,2,FALSE),"")</f>
        <v>SHOES</v>
      </c>
      <c r="I1013" s="69" t="str">
        <f>IFERROR(VLOOKUP(Data!$G1013,canon!$I$2:$K$27,3,FALSE),"")</f>
        <v>N.APPAREL</v>
      </c>
      <c r="J1013" s="69">
        <f t="shared" si="30"/>
        <v>3</v>
      </c>
      <c r="K1013" s="69">
        <f t="shared" si="31"/>
        <v>37</v>
      </c>
      <c r="L1013" s="69">
        <f>VLOOKUP(Table_db1_backend_Daily.accdb[[#This Row],[TradingDate]],canon!B:E,4,0)</f>
        <v>28</v>
      </c>
    </row>
    <row r="1014" spans="1:12" x14ac:dyDescent="0.2">
      <c r="A1014" s="69" t="s">
        <v>41</v>
      </c>
      <c r="B1014" s="70">
        <v>42927</v>
      </c>
      <c r="C1014" s="69">
        <v>3</v>
      </c>
      <c r="D1014" s="69">
        <v>0</v>
      </c>
      <c r="E1014" s="69">
        <v>0</v>
      </c>
      <c r="F1014" s="69">
        <v>0</v>
      </c>
      <c r="G1014" s="69" t="s">
        <v>38</v>
      </c>
      <c r="H1014" s="69" t="str">
        <f>IFERROR(VLOOKUP(Data!$G1014,canon!$I$2:$K$27,2,FALSE),"")</f>
        <v>SHOES</v>
      </c>
      <c r="I1014" s="69" t="str">
        <f>IFERROR(VLOOKUP(Data!$G1014,canon!$I$2:$K$27,3,FALSE),"")</f>
        <v>N.APPAREL</v>
      </c>
      <c r="J1014" s="69">
        <f t="shared" si="30"/>
        <v>3</v>
      </c>
      <c r="K1014" s="69">
        <f t="shared" si="31"/>
        <v>37</v>
      </c>
      <c r="L1014" s="69">
        <f>VLOOKUP(Table_db1_backend_Daily.accdb[[#This Row],[TradingDate]],canon!B:E,4,0)</f>
        <v>28</v>
      </c>
    </row>
    <row r="1015" spans="1:12" x14ac:dyDescent="0.2">
      <c r="A1015" s="69" t="s">
        <v>41</v>
      </c>
      <c r="B1015" s="70">
        <v>42927</v>
      </c>
      <c r="C1015" s="69">
        <v>663</v>
      </c>
      <c r="D1015" s="69">
        <v>0</v>
      </c>
      <c r="E1015" s="69">
        <v>0</v>
      </c>
      <c r="F1015" s="69">
        <v>0</v>
      </c>
      <c r="G1015" s="69" t="s">
        <v>35</v>
      </c>
      <c r="H1015" s="69" t="str">
        <f>IFERROR(VLOOKUP(Data!$G1015,canon!$I$2:$K$27,2,FALSE),"")</f>
        <v>DRESS</v>
      </c>
      <c r="I1015" s="69" t="str">
        <f>IFERROR(VLOOKUP(Data!$G1015,canon!$I$2:$K$27,3,FALSE),"")</f>
        <v>APPAREL</v>
      </c>
      <c r="J1015" s="69">
        <f t="shared" si="30"/>
        <v>3</v>
      </c>
      <c r="K1015" s="69">
        <f t="shared" si="31"/>
        <v>37</v>
      </c>
      <c r="L1015" s="69">
        <f>VLOOKUP(Table_db1_backend_Daily.accdb[[#This Row],[TradingDate]],canon!B:E,4,0)</f>
        <v>28</v>
      </c>
    </row>
    <row r="1016" spans="1:12" x14ac:dyDescent="0.2">
      <c r="A1016" s="69" t="s">
        <v>41</v>
      </c>
      <c r="B1016" s="70">
        <v>42927</v>
      </c>
      <c r="C1016" s="69">
        <v>39</v>
      </c>
      <c r="D1016" s="69">
        <v>0</v>
      </c>
      <c r="E1016" s="69">
        <v>0</v>
      </c>
      <c r="F1016" s="69">
        <v>0</v>
      </c>
      <c r="G1016" s="69" t="s">
        <v>10</v>
      </c>
      <c r="H1016" s="69" t="str">
        <f>IFERROR(VLOOKUP(Data!$G1016,canon!$I$2:$K$27,2,FALSE),"")</f>
        <v>ACCESSORY</v>
      </c>
      <c r="I1016" s="69" t="str">
        <f>IFERROR(VLOOKUP(Data!$G1016,canon!$I$2:$K$27,3,FALSE),"")</f>
        <v>N.APPAREL</v>
      </c>
      <c r="J1016" s="69">
        <f t="shared" si="30"/>
        <v>3</v>
      </c>
      <c r="K1016" s="69">
        <f t="shared" si="31"/>
        <v>37</v>
      </c>
      <c r="L1016" s="69">
        <f>VLOOKUP(Table_db1_backend_Daily.accdb[[#This Row],[TradingDate]],canon!B:E,4,0)</f>
        <v>28</v>
      </c>
    </row>
    <row r="1017" spans="1:12" x14ac:dyDescent="0.2">
      <c r="A1017" s="69" t="s">
        <v>41</v>
      </c>
      <c r="B1017" s="70">
        <v>42927</v>
      </c>
      <c r="C1017" s="69">
        <v>2</v>
      </c>
      <c r="D1017" s="69">
        <v>0</v>
      </c>
      <c r="E1017" s="69">
        <v>0</v>
      </c>
      <c r="F1017" s="69">
        <v>0</v>
      </c>
      <c r="G1017" s="69" t="s">
        <v>28</v>
      </c>
      <c r="H1017" s="69" t="str">
        <f>IFERROR(VLOOKUP(Data!$G1017,canon!$I$2:$K$27,2,FALSE),"")</f>
        <v>ACCESSORY</v>
      </c>
      <c r="I1017" s="69" t="str">
        <f>IFERROR(VLOOKUP(Data!$G1017,canon!$I$2:$K$27,3,FALSE),"")</f>
        <v>N.APPAREL</v>
      </c>
      <c r="J1017" s="69">
        <f t="shared" si="30"/>
        <v>3</v>
      </c>
      <c r="K1017" s="69">
        <f t="shared" si="31"/>
        <v>37</v>
      </c>
      <c r="L1017" s="69">
        <f>VLOOKUP(Table_db1_backend_Daily.accdb[[#This Row],[TradingDate]],canon!B:E,4,0)</f>
        <v>28</v>
      </c>
    </row>
    <row r="1018" spans="1:12" x14ac:dyDescent="0.2">
      <c r="A1018" s="69" t="s">
        <v>41</v>
      </c>
      <c r="B1018" s="70">
        <v>42927</v>
      </c>
      <c r="C1018" s="69">
        <v>1887</v>
      </c>
      <c r="D1018" s="69">
        <v>58</v>
      </c>
      <c r="E1018" s="69">
        <v>572.97</v>
      </c>
      <c r="F1018" s="69">
        <v>134.23000000000002</v>
      </c>
      <c r="G1018" s="69" t="s">
        <v>11</v>
      </c>
      <c r="H1018" s="69" t="str">
        <f>IFERROR(VLOOKUP(Data!$G1018,canon!$I$2:$K$27,2,FALSE),"")</f>
        <v>KNIT</v>
      </c>
      <c r="I1018" s="69" t="str">
        <f>IFERROR(VLOOKUP(Data!$G1018,canon!$I$2:$K$27,3,FALSE),"")</f>
        <v>APPAREL</v>
      </c>
      <c r="J1018" s="69">
        <f t="shared" si="30"/>
        <v>3</v>
      </c>
      <c r="K1018" s="69">
        <f t="shared" si="31"/>
        <v>37</v>
      </c>
      <c r="L1018" s="69">
        <f>VLOOKUP(Table_db1_backend_Daily.accdb[[#This Row],[TradingDate]],canon!B:E,4,0)</f>
        <v>28</v>
      </c>
    </row>
    <row r="1019" spans="1:12" x14ac:dyDescent="0.2">
      <c r="A1019" s="69" t="s">
        <v>41</v>
      </c>
      <c r="B1019" s="70">
        <v>42927</v>
      </c>
      <c r="C1019" s="69">
        <v>558</v>
      </c>
      <c r="D1019" s="69">
        <v>5</v>
      </c>
      <c r="E1019" s="69">
        <v>40.619999999999997</v>
      </c>
      <c r="F1019" s="69">
        <v>5.9599999999999991</v>
      </c>
      <c r="G1019" s="69" t="s">
        <v>14</v>
      </c>
      <c r="H1019" s="69" t="str">
        <f>IFERROR(VLOOKUP(Data!$G1019,canon!$I$2:$K$27,2,FALSE),"")</f>
        <v>LEGGING</v>
      </c>
      <c r="I1019" s="69" t="str">
        <f>IFERROR(VLOOKUP(Data!$G1019,canon!$I$2:$K$27,3,FALSE),"")</f>
        <v>APPAREL</v>
      </c>
      <c r="J1019" s="69">
        <f t="shared" si="30"/>
        <v>3</v>
      </c>
      <c r="K1019" s="69">
        <f t="shared" si="31"/>
        <v>37</v>
      </c>
      <c r="L1019" s="69">
        <f>VLOOKUP(Table_db1_backend_Daily.accdb[[#This Row],[TradingDate]],canon!B:E,4,0)</f>
        <v>28</v>
      </c>
    </row>
    <row r="1020" spans="1:12" x14ac:dyDescent="0.2">
      <c r="A1020" s="69" t="s">
        <v>41</v>
      </c>
      <c r="B1020" s="70">
        <v>42927</v>
      </c>
      <c r="C1020" s="69">
        <v>-43</v>
      </c>
      <c r="D1020" s="69">
        <v>0</v>
      </c>
      <c r="E1020" s="69">
        <v>0</v>
      </c>
      <c r="F1020" s="69">
        <v>0</v>
      </c>
      <c r="G1020" s="69" t="s">
        <v>37</v>
      </c>
      <c r="H1020" s="69" t="str">
        <f>IFERROR(VLOOKUP(Data!$G1020,canon!$I$2:$K$27,2,FALSE),"")</f>
        <v>SHOES</v>
      </c>
      <c r="I1020" s="69" t="str">
        <f>IFERROR(VLOOKUP(Data!$G1020,canon!$I$2:$K$27,3,FALSE),"")</f>
        <v>N.APPAREL</v>
      </c>
      <c r="J1020" s="69">
        <f t="shared" si="30"/>
        <v>3</v>
      </c>
      <c r="K1020" s="69">
        <f t="shared" si="31"/>
        <v>37</v>
      </c>
      <c r="L1020" s="69">
        <f>VLOOKUP(Table_db1_backend_Daily.accdb[[#This Row],[TradingDate]],canon!B:E,4,0)</f>
        <v>28</v>
      </c>
    </row>
    <row r="1021" spans="1:12" x14ac:dyDescent="0.2">
      <c r="A1021" s="69" t="s">
        <v>41</v>
      </c>
      <c r="B1021" s="70">
        <v>42927</v>
      </c>
      <c r="C1021" s="69">
        <v>17</v>
      </c>
      <c r="D1021" s="69">
        <v>0</v>
      </c>
      <c r="E1021" s="69">
        <v>0</v>
      </c>
      <c r="F1021" s="69">
        <v>0</v>
      </c>
      <c r="G1021" s="69" t="s">
        <v>29</v>
      </c>
      <c r="H1021" s="69" t="str">
        <f>IFERROR(VLOOKUP(Data!$G1021,canon!$I$2:$K$27,2,FALSE),"")</f>
        <v>SHOES</v>
      </c>
      <c r="I1021" s="69" t="str">
        <f>IFERROR(VLOOKUP(Data!$G1021,canon!$I$2:$K$27,3,FALSE),"")</f>
        <v>N.APPAREL</v>
      </c>
      <c r="J1021" s="69">
        <f t="shared" si="30"/>
        <v>3</v>
      </c>
      <c r="K1021" s="69">
        <f t="shared" si="31"/>
        <v>37</v>
      </c>
      <c r="L1021" s="69">
        <f>VLOOKUP(Table_db1_backend_Daily.accdb[[#This Row],[TradingDate]],canon!B:E,4,0)</f>
        <v>28</v>
      </c>
    </row>
    <row r="1022" spans="1:12" x14ac:dyDescent="0.2">
      <c r="A1022" s="69" t="s">
        <v>41</v>
      </c>
      <c r="B1022" s="70">
        <v>42927</v>
      </c>
      <c r="C1022" s="69">
        <v>574</v>
      </c>
      <c r="D1022" s="69">
        <v>7</v>
      </c>
      <c r="E1022" s="69">
        <v>100.61</v>
      </c>
      <c r="F1022" s="69">
        <v>39.03</v>
      </c>
      <c r="G1022" s="69" t="s">
        <v>17</v>
      </c>
      <c r="H1022" s="69" t="str">
        <f>IFERROR(VLOOKUP(Data!$G1022,canon!$I$2:$K$27,2,FALSE),"")</f>
        <v>OUTER</v>
      </c>
      <c r="I1022" s="69" t="str">
        <f>IFERROR(VLOOKUP(Data!$G1022,canon!$I$2:$K$27,3,FALSE),"")</f>
        <v>APPAREL</v>
      </c>
      <c r="J1022" s="69">
        <f t="shared" si="30"/>
        <v>3</v>
      </c>
      <c r="K1022" s="69">
        <f t="shared" si="31"/>
        <v>37</v>
      </c>
      <c r="L1022" s="69">
        <f>VLOOKUP(Table_db1_backend_Daily.accdb[[#This Row],[TradingDate]],canon!B:E,4,0)</f>
        <v>28</v>
      </c>
    </row>
    <row r="1023" spans="1:12" x14ac:dyDescent="0.2">
      <c r="A1023" s="69" t="s">
        <v>41</v>
      </c>
      <c r="B1023" s="70">
        <v>42927</v>
      </c>
      <c r="C1023" s="69">
        <v>310</v>
      </c>
      <c r="D1023" s="69">
        <v>7</v>
      </c>
      <c r="E1023" s="69">
        <v>34.86</v>
      </c>
      <c r="F1023" s="69">
        <v>-11.46</v>
      </c>
      <c r="G1023" s="69" t="s">
        <v>19</v>
      </c>
      <c r="H1023" s="69" t="str">
        <f>IFERROR(VLOOKUP(Data!$G1023,canon!$I$2:$K$27,2,FALSE),"")</f>
        <v>PANT</v>
      </c>
      <c r="I1023" s="69" t="str">
        <f>IFERROR(VLOOKUP(Data!$G1023,canon!$I$2:$K$27,3,FALSE),"")</f>
        <v>APPAREL</v>
      </c>
      <c r="J1023" s="69">
        <f t="shared" si="30"/>
        <v>3</v>
      </c>
      <c r="K1023" s="69">
        <f t="shared" si="31"/>
        <v>37</v>
      </c>
      <c r="L1023" s="69">
        <f>VLOOKUP(Table_db1_backend_Daily.accdb[[#This Row],[TradingDate]],canon!B:E,4,0)</f>
        <v>28</v>
      </c>
    </row>
    <row r="1024" spans="1:12" x14ac:dyDescent="0.2">
      <c r="A1024" s="69" t="s">
        <v>41</v>
      </c>
      <c r="B1024" s="70">
        <v>42927</v>
      </c>
      <c r="C1024" s="69">
        <v>33</v>
      </c>
      <c r="D1024" s="69">
        <v>0</v>
      </c>
      <c r="E1024" s="69">
        <v>0</v>
      </c>
      <c r="F1024" s="69">
        <v>0</v>
      </c>
      <c r="G1024" s="69" t="s">
        <v>21</v>
      </c>
      <c r="H1024" s="69" t="str">
        <f>IFERROR(VLOOKUP(Data!$G1024,canon!$I$2:$K$27,2,FALSE),"")</f>
        <v>ACCESSORY</v>
      </c>
      <c r="I1024" s="69" t="str">
        <f>IFERROR(VLOOKUP(Data!$G1024,canon!$I$2:$K$27,3,FALSE),"")</f>
        <v>N.APPAREL</v>
      </c>
      <c r="J1024" s="69">
        <f t="shared" si="30"/>
        <v>3</v>
      </c>
      <c r="K1024" s="69">
        <f t="shared" si="31"/>
        <v>37</v>
      </c>
      <c r="L1024" s="69">
        <f>VLOOKUP(Table_db1_backend_Daily.accdb[[#This Row],[TradingDate]],canon!B:E,4,0)</f>
        <v>28</v>
      </c>
    </row>
    <row r="1025" spans="1:12" x14ac:dyDescent="0.2">
      <c r="A1025" s="69" t="s">
        <v>41</v>
      </c>
      <c r="B1025" s="70">
        <v>42927</v>
      </c>
      <c r="C1025" s="69">
        <v>724</v>
      </c>
      <c r="D1025" s="69">
        <v>16</v>
      </c>
      <c r="E1025" s="69">
        <v>72.8</v>
      </c>
      <c r="F1025" s="69">
        <v>46.719999999999992</v>
      </c>
      <c r="G1025" s="69" t="s">
        <v>22</v>
      </c>
      <c r="H1025" s="69" t="str">
        <f>IFERROR(VLOOKUP(Data!$G1025,canon!$I$2:$K$27,2,FALSE),"")</f>
        <v>SCARF</v>
      </c>
      <c r="I1025" s="69" t="str">
        <f>IFERROR(VLOOKUP(Data!$G1025,canon!$I$2:$K$27,3,FALSE),"")</f>
        <v>N.APPAREL</v>
      </c>
      <c r="J1025" s="69">
        <f t="shared" si="30"/>
        <v>3</v>
      </c>
      <c r="K1025" s="69">
        <f t="shared" si="31"/>
        <v>37</v>
      </c>
      <c r="L1025" s="69">
        <f>VLOOKUP(Table_db1_backend_Daily.accdb[[#This Row],[TradingDate]],canon!B:E,4,0)</f>
        <v>28</v>
      </c>
    </row>
    <row r="1026" spans="1:12" x14ac:dyDescent="0.2">
      <c r="A1026" s="69" t="s">
        <v>41</v>
      </c>
      <c r="B1026" s="70">
        <v>42927</v>
      </c>
      <c r="C1026" s="69">
        <v>107</v>
      </c>
      <c r="D1026" s="69">
        <v>3</v>
      </c>
      <c r="E1026" s="69">
        <v>40.92</v>
      </c>
      <c r="F1026" s="69">
        <v>17.22</v>
      </c>
      <c r="G1026" s="69" t="s">
        <v>23</v>
      </c>
      <c r="H1026" s="69" t="str">
        <f>IFERROR(VLOOKUP(Data!$G1026,canon!$I$2:$K$27,2,FALSE),"")</f>
        <v>SH&amp;BL</v>
      </c>
      <c r="I1026" s="69" t="str">
        <f>IFERROR(VLOOKUP(Data!$G1026,canon!$I$2:$K$27,3,FALSE),"")</f>
        <v>APPAREL</v>
      </c>
      <c r="J1026" s="69">
        <f t="shared" ref="J1026:J1089" si="32">WEEKDAY(B1026)</f>
        <v>3</v>
      </c>
      <c r="K1026" s="69">
        <f t="shared" ref="K1026:K1089" si="33">INT(A1026)</f>
        <v>37</v>
      </c>
      <c r="L1026" s="69">
        <f>VLOOKUP(Table_db1_backend_Daily.accdb[[#This Row],[TradingDate]],canon!B:E,4,0)</f>
        <v>28</v>
      </c>
    </row>
    <row r="1027" spans="1:12" x14ac:dyDescent="0.2">
      <c r="A1027" s="69" t="s">
        <v>41</v>
      </c>
      <c r="B1027" s="70">
        <v>42927</v>
      </c>
      <c r="C1027" s="69">
        <v>435</v>
      </c>
      <c r="D1027" s="69">
        <v>4</v>
      </c>
      <c r="E1027" s="69">
        <v>11.370000000000001</v>
      </c>
      <c r="F1027" s="69">
        <v>-21.89</v>
      </c>
      <c r="G1027" s="69" t="s">
        <v>32</v>
      </c>
      <c r="H1027" s="69" t="str">
        <f>IFERROR(VLOOKUP(Data!$G1027,canon!$I$2:$K$27,2,FALSE),"")</f>
        <v>SKIRT</v>
      </c>
      <c r="I1027" s="69" t="str">
        <f>IFERROR(VLOOKUP(Data!$G1027,canon!$I$2:$K$27,3,FALSE),"")</f>
        <v>APPAREL</v>
      </c>
      <c r="J1027" s="69">
        <f t="shared" si="32"/>
        <v>3</v>
      </c>
      <c r="K1027" s="69">
        <f t="shared" si="33"/>
        <v>37</v>
      </c>
      <c r="L1027" s="69">
        <f>VLOOKUP(Table_db1_backend_Daily.accdb[[#This Row],[TradingDate]],canon!B:E,4,0)</f>
        <v>28</v>
      </c>
    </row>
    <row r="1028" spans="1:12" x14ac:dyDescent="0.2">
      <c r="A1028" s="69" t="s">
        <v>41</v>
      </c>
      <c r="B1028" s="70">
        <v>42927</v>
      </c>
      <c r="C1028" s="69">
        <v>1342</v>
      </c>
      <c r="D1028" s="69">
        <v>26</v>
      </c>
      <c r="E1028" s="69">
        <v>193.67999999999998</v>
      </c>
      <c r="F1028" s="69">
        <v>68.839999999999989</v>
      </c>
      <c r="G1028" s="69" t="s">
        <v>25</v>
      </c>
      <c r="H1028" s="69" t="str">
        <f>IFERROR(VLOOKUP(Data!$G1028,canon!$I$2:$K$27,2,FALSE),"")</f>
        <v>TOP</v>
      </c>
      <c r="I1028" s="69" t="str">
        <f>IFERROR(VLOOKUP(Data!$G1028,canon!$I$2:$K$27,3,FALSE),"")</f>
        <v>APPAREL</v>
      </c>
      <c r="J1028" s="69">
        <f t="shared" si="32"/>
        <v>3</v>
      </c>
      <c r="K1028" s="69">
        <f t="shared" si="33"/>
        <v>37</v>
      </c>
      <c r="L1028" s="69">
        <f>VLOOKUP(Table_db1_backend_Daily.accdb[[#This Row],[TradingDate]],canon!B:E,4,0)</f>
        <v>28</v>
      </c>
    </row>
    <row r="1029" spans="1:12" x14ac:dyDescent="0.2">
      <c r="A1029" s="69" t="s">
        <v>41</v>
      </c>
      <c r="B1029" s="70">
        <v>42928</v>
      </c>
      <c r="C1029" s="69">
        <v>4</v>
      </c>
      <c r="D1029" s="69">
        <v>0</v>
      </c>
      <c r="E1029" s="69">
        <v>0</v>
      </c>
      <c r="F1029" s="69">
        <v>0</v>
      </c>
      <c r="G1029" s="69" t="s">
        <v>27</v>
      </c>
      <c r="H1029" s="69" t="str">
        <f>IFERROR(VLOOKUP(Data!$G1029,canon!$I$2:$K$27,2,FALSE),"")</f>
        <v>ACCESSORY</v>
      </c>
      <c r="I1029" s="69" t="str">
        <f>IFERROR(VLOOKUP(Data!$G1029,canon!$I$2:$K$27,3,FALSE),"")</f>
        <v>N.APPAREL</v>
      </c>
      <c r="J1029" s="69">
        <f t="shared" si="32"/>
        <v>4</v>
      </c>
      <c r="K1029" s="69">
        <f t="shared" si="33"/>
        <v>37</v>
      </c>
      <c r="L1029" s="69">
        <f>VLOOKUP(Table_db1_backend_Daily.accdb[[#This Row],[TradingDate]],canon!B:E,4,0)</f>
        <v>28</v>
      </c>
    </row>
    <row r="1030" spans="1:12" x14ac:dyDescent="0.2">
      <c r="A1030" s="69" t="s">
        <v>41</v>
      </c>
      <c r="B1030" s="70">
        <v>42928</v>
      </c>
      <c r="C1030" s="69">
        <v>26</v>
      </c>
      <c r="D1030" s="69">
        <v>0</v>
      </c>
      <c r="E1030" s="69">
        <v>0</v>
      </c>
      <c r="F1030" s="69">
        <v>0</v>
      </c>
      <c r="G1030" s="69" t="s">
        <v>34</v>
      </c>
      <c r="H1030" s="69" t="str">
        <f>IFERROR(VLOOKUP(Data!$G1030,canon!$I$2:$K$27,2,FALSE),"")</f>
        <v>SHOES</v>
      </c>
      <c r="I1030" s="69" t="str">
        <f>IFERROR(VLOOKUP(Data!$G1030,canon!$I$2:$K$27,3,FALSE),"")</f>
        <v>N.APPAREL</v>
      </c>
      <c r="J1030" s="69">
        <f t="shared" si="32"/>
        <v>4</v>
      </c>
      <c r="K1030" s="69">
        <f t="shared" si="33"/>
        <v>37</v>
      </c>
      <c r="L1030" s="69">
        <f>VLOOKUP(Table_db1_backend_Daily.accdb[[#This Row],[TradingDate]],canon!B:E,4,0)</f>
        <v>28</v>
      </c>
    </row>
    <row r="1031" spans="1:12" x14ac:dyDescent="0.2">
      <c r="A1031" s="69" t="s">
        <v>41</v>
      </c>
      <c r="B1031" s="70">
        <v>42928</v>
      </c>
      <c r="C1031" s="69">
        <v>3</v>
      </c>
      <c r="D1031" s="69">
        <v>0</v>
      </c>
      <c r="E1031" s="69">
        <v>0</v>
      </c>
      <c r="F1031" s="69">
        <v>0</v>
      </c>
      <c r="G1031" s="69" t="s">
        <v>38</v>
      </c>
      <c r="H1031" s="69" t="str">
        <f>IFERROR(VLOOKUP(Data!$G1031,canon!$I$2:$K$27,2,FALSE),"")</f>
        <v>SHOES</v>
      </c>
      <c r="I1031" s="69" t="str">
        <f>IFERROR(VLOOKUP(Data!$G1031,canon!$I$2:$K$27,3,FALSE),"")</f>
        <v>N.APPAREL</v>
      </c>
      <c r="J1031" s="69">
        <f t="shared" si="32"/>
        <v>4</v>
      </c>
      <c r="K1031" s="69">
        <f t="shared" si="33"/>
        <v>37</v>
      </c>
      <c r="L1031" s="69">
        <f>VLOOKUP(Table_db1_backend_Daily.accdb[[#This Row],[TradingDate]],canon!B:E,4,0)</f>
        <v>28</v>
      </c>
    </row>
    <row r="1032" spans="1:12" x14ac:dyDescent="0.2">
      <c r="A1032" s="69" t="s">
        <v>41</v>
      </c>
      <c r="B1032" s="70">
        <v>42928</v>
      </c>
      <c r="C1032" s="69">
        <v>660</v>
      </c>
      <c r="D1032" s="69">
        <v>3</v>
      </c>
      <c r="E1032" s="69">
        <v>27.27</v>
      </c>
      <c r="F1032" s="69">
        <v>2.4900000000000002</v>
      </c>
      <c r="G1032" s="69" t="s">
        <v>35</v>
      </c>
      <c r="H1032" s="69" t="str">
        <f>IFERROR(VLOOKUP(Data!$G1032,canon!$I$2:$K$27,2,FALSE),"")</f>
        <v>DRESS</v>
      </c>
      <c r="I1032" s="69" t="str">
        <f>IFERROR(VLOOKUP(Data!$G1032,canon!$I$2:$K$27,3,FALSE),"")</f>
        <v>APPAREL</v>
      </c>
      <c r="J1032" s="69">
        <f t="shared" si="32"/>
        <v>4</v>
      </c>
      <c r="K1032" s="69">
        <f t="shared" si="33"/>
        <v>37</v>
      </c>
      <c r="L1032" s="69">
        <f>VLOOKUP(Table_db1_backend_Daily.accdb[[#This Row],[TradingDate]],canon!B:E,4,0)</f>
        <v>28</v>
      </c>
    </row>
    <row r="1033" spans="1:12" x14ac:dyDescent="0.2">
      <c r="A1033" s="69" t="s">
        <v>41</v>
      </c>
      <c r="B1033" s="70">
        <v>42928</v>
      </c>
      <c r="C1033" s="69">
        <v>39</v>
      </c>
      <c r="D1033" s="69">
        <v>0</v>
      </c>
      <c r="E1033" s="69">
        <v>0</v>
      </c>
      <c r="F1033" s="69">
        <v>0</v>
      </c>
      <c r="G1033" s="69" t="s">
        <v>10</v>
      </c>
      <c r="H1033" s="69" t="str">
        <f>IFERROR(VLOOKUP(Data!$G1033,canon!$I$2:$K$27,2,FALSE),"")</f>
        <v>ACCESSORY</v>
      </c>
      <c r="I1033" s="69" t="str">
        <f>IFERROR(VLOOKUP(Data!$G1033,canon!$I$2:$K$27,3,FALSE),"")</f>
        <v>N.APPAREL</v>
      </c>
      <c r="J1033" s="69">
        <f t="shared" si="32"/>
        <v>4</v>
      </c>
      <c r="K1033" s="69">
        <f t="shared" si="33"/>
        <v>37</v>
      </c>
      <c r="L1033" s="69">
        <f>VLOOKUP(Table_db1_backend_Daily.accdb[[#This Row],[TradingDate]],canon!B:E,4,0)</f>
        <v>28</v>
      </c>
    </row>
    <row r="1034" spans="1:12" x14ac:dyDescent="0.2">
      <c r="A1034" s="69" t="s">
        <v>41</v>
      </c>
      <c r="B1034" s="70">
        <v>42928</v>
      </c>
      <c r="C1034" s="69">
        <v>2</v>
      </c>
      <c r="D1034" s="69">
        <v>0</v>
      </c>
      <c r="E1034" s="69">
        <v>0</v>
      </c>
      <c r="F1034" s="69">
        <v>0</v>
      </c>
      <c r="G1034" s="69" t="s">
        <v>28</v>
      </c>
      <c r="H1034" s="69" t="str">
        <f>IFERROR(VLOOKUP(Data!$G1034,canon!$I$2:$K$27,2,FALSE),"")</f>
        <v>ACCESSORY</v>
      </c>
      <c r="I1034" s="69" t="str">
        <f>IFERROR(VLOOKUP(Data!$G1034,canon!$I$2:$K$27,3,FALSE),"")</f>
        <v>N.APPAREL</v>
      </c>
      <c r="J1034" s="69">
        <f t="shared" si="32"/>
        <v>4</v>
      </c>
      <c r="K1034" s="69">
        <f t="shared" si="33"/>
        <v>37</v>
      </c>
      <c r="L1034" s="69">
        <f>VLOOKUP(Table_db1_backend_Daily.accdb[[#This Row],[TradingDate]],canon!B:E,4,0)</f>
        <v>28</v>
      </c>
    </row>
    <row r="1035" spans="1:12" x14ac:dyDescent="0.2">
      <c r="A1035" s="69" t="s">
        <v>41</v>
      </c>
      <c r="B1035" s="70">
        <v>42928</v>
      </c>
      <c r="C1035" s="69">
        <v>1820</v>
      </c>
      <c r="D1035" s="69">
        <v>67</v>
      </c>
      <c r="E1035" s="69">
        <v>702.26</v>
      </c>
      <c r="F1035" s="69">
        <v>190.29000000000002</v>
      </c>
      <c r="G1035" s="69" t="s">
        <v>11</v>
      </c>
      <c r="H1035" s="69" t="str">
        <f>IFERROR(VLOOKUP(Data!$G1035,canon!$I$2:$K$27,2,FALSE),"")</f>
        <v>KNIT</v>
      </c>
      <c r="I1035" s="69" t="str">
        <f>IFERROR(VLOOKUP(Data!$G1035,canon!$I$2:$K$27,3,FALSE),"")</f>
        <v>APPAREL</v>
      </c>
      <c r="J1035" s="69">
        <f t="shared" si="32"/>
        <v>4</v>
      </c>
      <c r="K1035" s="69">
        <f t="shared" si="33"/>
        <v>37</v>
      </c>
      <c r="L1035" s="69">
        <f>VLOOKUP(Table_db1_backend_Daily.accdb[[#This Row],[TradingDate]],canon!B:E,4,0)</f>
        <v>28</v>
      </c>
    </row>
    <row r="1036" spans="1:12" x14ac:dyDescent="0.2">
      <c r="A1036" s="69" t="s">
        <v>41</v>
      </c>
      <c r="B1036" s="70">
        <v>42928</v>
      </c>
      <c r="C1036" s="69">
        <v>554</v>
      </c>
      <c r="D1036" s="69">
        <v>4</v>
      </c>
      <c r="E1036" s="69">
        <v>22.09</v>
      </c>
      <c r="F1036" s="69">
        <v>-3.57</v>
      </c>
      <c r="G1036" s="69" t="s">
        <v>14</v>
      </c>
      <c r="H1036" s="69" t="str">
        <f>IFERROR(VLOOKUP(Data!$G1036,canon!$I$2:$K$27,2,FALSE),"")</f>
        <v>LEGGING</v>
      </c>
      <c r="I1036" s="69" t="str">
        <f>IFERROR(VLOOKUP(Data!$G1036,canon!$I$2:$K$27,3,FALSE),"")</f>
        <v>APPAREL</v>
      </c>
      <c r="J1036" s="69">
        <f t="shared" si="32"/>
        <v>4</v>
      </c>
      <c r="K1036" s="69">
        <f t="shared" si="33"/>
        <v>37</v>
      </c>
      <c r="L1036" s="69">
        <f>VLOOKUP(Table_db1_backend_Daily.accdb[[#This Row],[TradingDate]],canon!B:E,4,0)</f>
        <v>28</v>
      </c>
    </row>
    <row r="1037" spans="1:12" x14ac:dyDescent="0.2">
      <c r="A1037" s="69" t="s">
        <v>41</v>
      </c>
      <c r="B1037" s="70">
        <v>42928</v>
      </c>
      <c r="C1037" s="69">
        <v>-43</v>
      </c>
      <c r="D1037" s="69">
        <v>0</v>
      </c>
      <c r="E1037" s="69">
        <v>0</v>
      </c>
      <c r="F1037" s="69">
        <v>0</v>
      </c>
      <c r="G1037" s="69" t="s">
        <v>37</v>
      </c>
      <c r="H1037" s="69" t="str">
        <f>IFERROR(VLOOKUP(Data!$G1037,canon!$I$2:$K$27,2,FALSE),"")</f>
        <v>SHOES</v>
      </c>
      <c r="I1037" s="69" t="str">
        <f>IFERROR(VLOOKUP(Data!$G1037,canon!$I$2:$K$27,3,FALSE),"")</f>
        <v>N.APPAREL</v>
      </c>
      <c r="J1037" s="69">
        <f t="shared" si="32"/>
        <v>4</v>
      </c>
      <c r="K1037" s="69">
        <f t="shared" si="33"/>
        <v>37</v>
      </c>
      <c r="L1037" s="69">
        <f>VLOOKUP(Table_db1_backend_Daily.accdb[[#This Row],[TradingDate]],canon!B:E,4,0)</f>
        <v>28</v>
      </c>
    </row>
    <row r="1038" spans="1:12" x14ac:dyDescent="0.2">
      <c r="A1038" s="69" t="s">
        <v>41</v>
      </c>
      <c r="B1038" s="70">
        <v>42928</v>
      </c>
      <c r="C1038" s="69">
        <v>17</v>
      </c>
      <c r="D1038" s="69">
        <v>0</v>
      </c>
      <c r="E1038" s="69">
        <v>0</v>
      </c>
      <c r="F1038" s="69">
        <v>0</v>
      </c>
      <c r="G1038" s="69" t="s">
        <v>29</v>
      </c>
      <c r="H1038" s="69" t="str">
        <f>IFERROR(VLOOKUP(Data!$G1038,canon!$I$2:$K$27,2,FALSE),"")</f>
        <v>SHOES</v>
      </c>
      <c r="I1038" s="69" t="str">
        <f>IFERROR(VLOOKUP(Data!$G1038,canon!$I$2:$K$27,3,FALSE),"")</f>
        <v>N.APPAREL</v>
      </c>
      <c r="J1038" s="69">
        <f t="shared" si="32"/>
        <v>4</v>
      </c>
      <c r="K1038" s="69">
        <f t="shared" si="33"/>
        <v>37</v>
      </c>
      <c r="L1038" s="69">
        <f>VLOOKUP(Table_db1_backend_Daily.accdb[[#This Row],[TradingDate]],canon!B:E,4,0)</f>
        <v>28</v>
      </c>
    </row>
    <row r="1039" spans="1:12" x14ac:dyDescent="0.2">
      <c r="A1039" s="69" t="s">
        <v>41</v>
      </c>
      <c r="B1039" s="70">
        <v>42928</v>
      </c>
      <c r="C1039" s="69">
        <v>559</v>
      </c>
      <c r="D1039" s="69">
        <v>15</v>
      </c>
      <c r="E1039" s="69">
        <v>195.32999999999998</v>
      </c>
      <c r="F1039" s="69">
        <v>57.78</v>
      </c>
      <c r="G1039" s="69" t="s">
        <v>17</v>
      </c>
      <c r="H1039" s="69" t="str">
        <f>IFERROR(VLOOKUP(Data!$G1039,canon!$I$2:$K$27,2,FALSE),"")</f>
        <v>OUTER</v>
      </c>
      <c r="I1039" s="69" t="str">
        <f>IFERROR(VLOOKUP(Data!$G1039,canon!$I$2:$K$27,3,FALSE),"")</f>
        <v>APPAREL</v>
      </c>
      <c r="J1039" s="69">
        <f t="shared" si="32"/>
        <v>4</v>
      </c>
      <c r="K1039" s="69">
        <f t="shared" si="33"/>
        <v>37</v>
      </c>
      <c r="L1039" s="69">
        <f>VLOOKUP(Table_db1_backend_Daily.accdb[[#This Row],[TradingDate]],canon!B:E,4,0)</f>
        <v>28</v>
      </c>
    </row>
    <row r="1040" spans="1:12" x14ac:dyDescent="0.2">
      <c r="A1040" s="69" t="s">
        <v>41</v>
      </c>
      <c r="B1040" s="70">
        <v>42928</v>
      </c>
      <c r="C1040" s="69">
        <v>309</v>
      </c>
      <c r="D1040" s="69">
        <v>1</v>
      </c>
      <c r="E1040" s="69">
        <v>4.55</v>
      </c>
      <c r="F1040" s="69">
        <v>-2.19</v>
      </c>
      <c r="G1040" s="69" t="s">
        <v>19</v>
      </c>
      <c r="H1040" s="69" t="str">
        <f>IFERROR(VLOOKUP(Data!$G1040,canon!$I$2:$K$27,2,FALSE),"")</f>
        <v>PANT</v>
      </c>
      <c r="I1040" s="69" t="str">
        <f>IFERROR(VLOOKUP(Data!$G1040,canon!$I$2:$K$27,3,FALSE),"")</f>
        <v>APPAREL</v>
      </c>
      <c r="J1040" s="69">
        <f t="shared" si="32"/>
        <v>4</v>
      </c>
      <c r="K1040" s="69">
        <f t="shared" si="33"/>
        <v>37</v>
      </c>
      <c r="L1040" s="69">
        <f>VLOOKUP(Table_db1_backend_Daily.accdb[[#This Row],[TradingDate]],canon!B:E,4,0)</f>
        <v>28</v>
      </c>
    </row>
    <row r="1041" spans="1:12" x14ac:dyDescent="0.2">
      <c r="A1041" s="69" t="s">
        <v>41</v>
      </c>
      <c r="B1041" s="70">
        <v>42928</v>
      </c>
      <c r="C1041" s="69">
        <v>33</v>
      </c>
      <c r="D1041" s="69">
        <v>0</v>
      </c>
      <c r="E1041" s="69">
        <v>0</v>
      </c>
      <c r="F1041" s="69">
        <v>0</v>
      </c>
      <c r="G1041" s="69" t="s">
        <v>21</v>
      </c>
      <c r="H1041" s="69" t="str">
        <f>IFERROR(VLOOKUP(Data!$G1041,canon!$I$2:$K$27,2,FALSE),"")</f>
        <v>ACCESSORY</v>
      </c>
      <c r="I1041" s="69" t="str">
        <f>IFERROR(VLOOKUP(Data!$G1041,canon!$I$2:$K$27,3,FALSE),"")</f>
        <v>N.APPAREL</v>
      </c>
      <c r="J1041" s="69">
        <f t="shared" si="32"/>
        <v>4</v>
      </c>
      <c r="K1041" s="69">
        <f t="shared" si="33"/>
        <v>37</v>
      </c>
      <c r="L1041" s="69">
        <f>VLOOKUP(Table_db1_backend_Daily.accdb[[#This Row],[TradingDate]],canon!B:E,4,0)</f>
        <v>28</v>
      </c>
    </row>
    <row r="1042" spans="1:12" x14ac:dyDescent="0.2">
      <c r="A1042" s="69" t="s">
        <v>41</v>
      </c>
      <c r="B1042" s="70">
        <v>42928</v>
      </c>
      <c r="C1042" s="69">
        <v>702</v>
      </c>
      <c r="D1042" s="69">
        <v>22</v>
      </c>
      <c r="E1042" s="69">
        <v>100.06999999999996</v>
      </c>
      <c r="F1042" s="69">
        <v>63.14</v>
      </c>
      <c r="G1042" s="69" t="s">
        <v>22</v>
      </c>
      <c r="H1042" s="69" t="str">
        <f>IFERROR(VLOOKUP(Data!$G1042,canon!$I$2:$K$27,2,FALSE),"")</f>
        <v>SCARF</v>
      </c>
      <c r="I1042" s="69" t="str">
        <f>IFERROR(VLOOKUP(Data!$G1042,canon!$I$2:$K$27,3,FALSE),"")</f>
        <v>N.APPAREL</v>
      </c>
      <c r="J1042" s="69">
        <f t="shared" si="32"/>
        <v>4</v>
      </c>
      <c r="K1042" s="69">
        <f t="shared" si="33"/>
        <v>37</v>
      </c>
      <c r="L1042" s="69">
        <f>VLOOKUP(Table_db1_backend_Daily.accdb[[#This Row],[TradingDate]],canon!B:E,4,0)</f>
        <v>28</v>
      </c>
    </row>
    <row r="1043" spans="1:12" x14ac:dyDescent="0.2">
      <c r="A1043" s="69" t="s">
        <v>41</v>
      </c>
      <c r="B1043" s="70">
        <v>42928</v>
      </c>
      <c r="C1043" s="69">
        <v>106</v>
      </c>
      <c r="D1043" s="69">
        <v>1</v>
      </c>
      <c r="E1043" s="69">
        <v>2.27</v>
      </c>
      <c r="F1043" s="69">
        <v>-3.6</v>
      </c>
      <c r="G1043" s="69" t="s">
        <v>23</v>
      </c>
      <c r="H1043" s="69" t="str">
        <f>IFERROR(VLOOKUP(Data!$G1043,canon!$I$2:$K$27,2,FALSE),"")</f>
        <v>SH&amp;BL</v>
      </c>
      <c r="I1043" s="69" t="str">
        <f>IFERROR(VLOOKUP(Data!$G1043,canon!$I$2:$K$27,3,FALSE),"")</f>
        <v>APPAREL</v>
      </c>
      <c r="J1043" s="69">
        <f t="shared" si="32"/>
        <v>4</v>
      </c>
      <c r="K1043" s="69">
        <f t="shared" si="33"/>
        <v>37</v>
      </c>
      <c r="L1043" s="69">
        <f>VLOOKUP(Table_db1_backend_Daily.accdb[[#This Row],[TradingDate]],canon!B:E,4,0)</f>
        <v>28</v>
      </c>
    </row>
    <row r="1044" spans="1:12" x14ac:dyDescent="0.2">
      <c r="A1044" s="69" t="s">
        <v>41</v>
      </c>
      <c r="B1044" s="70">
        <v>42928</v>
      </c>
      <c r="C1044" s="69">
        <v>430</v>
      </c>
      <c r="D1044" s="69">
        <v>5</v>
      </c>
      <c r="E1044" s="69">
        <v>22.73</v>
      </c>
      <c r="F1044" s="69">
        <v>-17.93</v>
      </c>
      <c r="G1044" s="69" t="s">
        <v>32</v>
      </c>
      <c r="H1044" s="69" t="str">
        <f>IFERROR(VLOOKUP(Data!$G1044,canon!$I$2:$K$27,2,FALSE),"")</f>
        <v>SKIRT</v>
      </c>
      <c r="I1044" s="69" t="str">
        <f>IFERROR(VLOOKUP(Data!$G1044,canon!$I$2:$K$27,3,FALSE),"")</f>
        <v>APPAREL</v>
      </c>
      <c r="J1044" s="69">
        <f t="shared" si="32"/>
        <v>4</v>
      </c>
      <c r="K1044" s="69">
        <f t="shared" si="33"/>
        <v>37</v>
      </c>
      <c r="L1044" s="69">
        <f>VLOOKUP(Table_db1_backend_Daily.accdb[[#This Row],[TradingDate]],canon!B:E,4,0)</f>
        <v>28</v>
      </c>
    </row>
    <row r="1045" spans="1:12" x14ac:dyDescent="0.2">
      <c r="A1045" s="69" t="s">
        <v>41</v>
      </c>
      <c r="B1045" s="70">
        <v>42928</v>
      </c>
      <c r="C1045" s="69">
        <v>1317</v>
      </c>
      <c r="D1045" s="69">
        <v>25</v>
      </c>
      <c r="E1045" s="69">
        <v>150.03000000000003</v>
      </c>
      <c r="F1045" s="69">
        <v>34.03</v>
      </c>
      <c r="G1045" s="69" t="s">
        <v>25</v>
      </c>
      <c r="H1045" s="69" t="str">
        <f>IFERROR(VLOOKUP(Data!$G1045,canon!$I$2:$K$27,2,FALSE),"")</f>
        <v>TOP</v>
      </c>
      <c r="I1045" s="69" t="str">
        <f>IFERROR(VLOOKUP(Data!$G1045,canon!$I$2:$K$27,3,FALSE),"")</f>
        <v>APPAREL</v>
      </c>
      <c r="J1045" s="69">
        <f t="shared" si="32"/>
        <v>4</v>
      </c>
      <c r="K1045" s="69">
        <f t="shared" si="33"/>
        <v>37</v>
      </c>
      <c r="L1045" s="69">
        <f>VLOOKUP(Table_db1_backend_Daily.accdb[[#This Row],[TradingDate]],canon!B:E,4,0)</f>
        <v>28</v>
      </c>
    </row>
    <row r="1046" spans="1:12" x14ac:dyDescent="0.2">
      <c r="A1046" s="69" t="s">
        <v>41</v>
      </c>
      <c r="B1046" s="70">
        <v>42929</v>
      </c>
      <c r="C1046" s="69">
        <v>4</v>
      </c>
      <c r="D1046" s="69">
        <v>0</v>
      </c>
      <c r="E1046" s="69">
        <v>0</v>
      </c>
      <c r="F1046" s="69">
        <v>0</v>
      </c>
      <c r="G1046" s="69" t="s">
        <v>27</v>
      </c>
      <c r="H1046" s="69" t="str">
        <f>IFERROR(VLOOKUP(Data!$G1046,canon!$I$2:$K$27,2,FALSE),"")</f>
        <v>ACCESSORY</v>
      </c>
      <c r="I1046" s="69" t="str">
        <f>IFERROR(VLOOKUP(Data!$G1046,canon!$I$2:$K$27,3,FALSE),"")</f>
        <v>N.APPAREL</v>
      </c>
      <c r="J1046" s="69">
        <f t="shared" si="32"/>
        <v>5</v>
      </c>
      <c r="K1046" s="69">
        <f t="shared" si="33"/>
        <v>37</v>
      </c>
      <c r="L1046" s="69">
        <f>VLOOKUP(Table_db1_backend_Daily.accdb[[#This Row],[TradingDate]],canon!B:E,4,0)</f>
        <v>28</v>
      </c>
    </row>
    <row r="1047" spans="1:12" x14ac:dyDescent="0.2">
      <c r="A1047" s="69" t="s">
        <v>41</v>
      </c>
      <c r="B1047" s="70">
        <v>42929</v>
      </c>
      <c r="C1047" s="69">
        <v>26</v>
      </c>
      <c r="D1047" s="69">
        <v>0</v>
      </c>
      <c r="E1047" s="69">
        <v>0</v>
      </c>
      <c r="F1047" s="69">
        <v>0</v>
      </c>
      <c r="G1047" s="69" t="s">
        <v>34</v>
      </c>
      <c r="H1047" s="69" t="str">
        <f>IFERROR(VLOOKUP(Data!$G1047,canon!$I$2:$K$27,2,FALSE),"")</f>
        <v>SHOES</v>
      </c>
      <c r="I1047" s="69" t="str">
        <f>IFERROR(VLOOKUP(Data!$G1047,canon!$I$2:$K$27,3,FALSE),"")</f>
        <v>N.APPAREL</v>
      </c>
      <c r="J1047" s="69">
        <f t="shared" si="32"/>
        <v>5</v>
      </c>
      <c r="K1047" s="69">
        <f t="shared" si="33"/>
        <v>37</v>
      </c>
      <c r="L1047" s="69">
        <f>VLOOKUP(Table_db1_backend_Daily.accdb[[#This Row],[TradingDate]],canon!B:E,4,0)</f>
        <v>28</v>
      </c>
    </row>
    <row r="1048" spans="1:12" x14ac:dyDescent="0.2">
      <c r="A1048" s="69" t="s">
        <v>41</v>
      </c>
      <c r="B1048" s="70">
        <v>42929</v>
      </c>
      <c r="C1048" s="69">
        <v>3</v>
      </c>
      <c r="D1048" s="69">
        <v>0</v>
      </c>
      <c r="E1048" s="69">
        <v>0</v>
      </c>
      <c r="F1048" s="69">
        <v>0</v>
      </c>
      <c r="G1048" s="69" t="s">
        <v>38</v>
      </c>
      <c r="H1048" s="69" t="str">
        <f>IFERROR(VLOOKUP(Data!$G1048,canon!$I$2:$K$27,2,FALSE),"")</f>
        <v>SHOES</v>
      </c>
      <c r="I1048" s="69" t="str">
        <f>IFERROR(VLOOKUP(Data!$G1048,canon!$I$2:$K$27,3,FALSE),"")</f>
        <v>N.APPAREL</v>
      </c>
      <c r="J1048" s="69">
        <f t="shared" si="32"/>
        <v>5</v>
      </c>
      <c r="K1048" s="69">
        <f t="shared" si="33"/>
        <v>37</v>
      </c>
      <c r="L1048" s="69">
        <f>VLOOKUP(Table_db1_backend_Daily.accdb[[#This Row],[TradingDate]],canon!B:E,4,0)</f>
        <v>28</v>
      </c>
    </row>
    <row r="1049" spans="1:12" x14ac:dyDescent="0.2">
      <c r="A1049" s="69" t="s">
        <v>41</v>
      </c>
      <c r="B1049" s="70">
        <v>42929</v>
      </c>
      <c r="C1049" s="69">
        <v>656</v>
      </c>
      <c r="D1049" s="69">
        <v>4</v>
      </c>
      <c r="E1049" s="69">
        <v>41.77</v>
      </c>
      <c r="F1049" s="69">
        <v>8.0699999999999985</v>
      </c>
      <c r="G1049" s="69" t="s">
        <v>35</v>
      </c>
      <c r="H1049" s="69" t="str">
        <f>IFERROR(VLOOKUP(Data!$G1049,canon!$I$2:$K$27,2,FALSE),"")</f>
        <v>DRESS</v>
      </c>
      <c r="I1049" s="69" t="str">
        <f>IFERROR(VLOOKUP(Data!$G1049,canon!$I$2:$K$27,3,FALSE),"")</f>
        <v>APPAREL</v>
      </c>
      <c r="J1049" s="69">
        <f t="shared" si="32"/>
        <v>5</v>
      </c>
      <c r="K1049" s="69">
        <f t="shared" si="33"/>
        <v>37</v>
      </c>
      <c r="L1049" s="69">
        <f>VLOOKUP(Table_db1_backend_Daily.accdb[[#This Row],[TradingDate]],canon!B:E,4,0)</f>
        <v>28</v>
      </c>
    </row>
    <row r="1050" spans="1:12" x14ac:dyDescent="0.2">
      <c r="A1050" s="69" t="s">
        <v>41</v>
      </c>
      <c r="B1050" s="70">
        <v>42929</v>
      </c>
      <c r="C1050" s="69">
        <v>39</v>
      </c>
      <c r="D1050" s="69">
        <v>0</v>
      </c>
      <c r="E1050" s="69">
        <v>0</v>
      </c>
      <c r="F1050" s="69">
        <v>0</v>
      </c>
      <c r="G1050" s="69" t="s">
        <v>10</v>
      </c>
      <c r="H1050" s="69" t="str">
        <f>IFERROR(VLOOKUP(Data!$G1050,canon!$I$2:$K$27,2,FALSE),"")</f>
        <v>ACCESSORY</v>
      </c>
      <c r="I1050" s="69" t="str">
        <f>IFERROR(VLOOKUP(Data!$G1050,canon!$I$2:$K$27,3,FALSE),"")</f>
        <v>N.APPAREL</v>
      </c>
      <c r="J1050" s="69">
        <f t="shared" si="32"/>
        <v>5</v>
      </c>
      <c r="K1050" s="69">
        <f t="shared" si="33"/>
        <v>37</v>
      </c>
      <c r="L1050" s="69">
        <f>VLOOKUP(Table_db1_backend_Daily.accdb[[#This Row],[TradingDate]],canon!B:E,4,0)</f>
        <v>28</v>
      </c>
    </row>
    <row r="1051" spans="1:12" x14ac:dyDescent="0.2">
      <c r="A1051" s="69" t="s">
        <v>41</v>
      </c>
      <c r="B1051" s="70">
        <v>42929</v>
      </c>
      <c r="C1051" s="69">
        <v>2</v>
      </c>
      <c r="D1051" s="69">
        <v>0</v>
      </c>
      <c r="E1051" s="69">
        <v>0</v>
      </c>
      <c r="F1051" s="69">
        <v>0</v>
      </c>
      <c r="G1051" s="69" t="s">
        <v>28</v>
      </c>
      <c r="H1051" s="69" t="str">
        <f>IFERROR(VLOOKUP(Data!$G1051,canon!$I$2:$K$27,2,FALSE),"")</f>
        <v>ACCESSORY</v>
      </c>
      <c r="I1051" s="69" t="str">
        <f>IFERROR(VLOOKUP(Data!$G1051,canon!$I$2:$K$27,3,FALSE),"")</f>
        <v>N.APPAREL</v>
      </c>
      <c r="J1051" s="69">
        <f t="shared" si="32"/>
        <v>5</v>
      </c>
      <c r="K1051" s="69">
        <f t="shared" si="33"/>
        <v>37</v>
      </c>
      <c r="L1051" s="69">
        <f>VLOOKUP(Table_db1_backend_Daily.accdb[[#This Row],[TradingDate]],canon!B:E,4,0)</f>
        <v>28</v>
      </c>
    </row>
    <row r="1052" spans="1:12" x14ac:dyDescent="0.2">
      <c r="A1052" s="69" t="s">
        <v>41</v>
      </c>
      <c r="B1052" s="70">
        <v>42929</v>
      </c>
      <c r="C1052" s="69">
        <v>1753</v>
      </c>
      <c r="D1052" s="69">
        <v>67</v>
      </c>
      <c r="E1052" s="69">
        <v>711.17999999999972</v>
      </c>
      <c r="F1052" s="69">
        <v>220.37999999999994</v>
      </c>
      <c r="G1052" s="69" t="s">
        <v>11</v>
      </c>
      <c r="H1052" s="69" t="str">
        <f>IFERROR(VLOOKUP(Data!$G1052,canon!$I$2:$K$27,2,FALSE),"")</f>
        <v>KNIT</v>
      </c>
      <c r="I1052" s="69" t="str">
        <f>IFERROR(VLOOKUP(Data!$G1052,canon!$I$2:$K$27,3,FALSE),"")</f>
        <v>APPAREL</v>
      </c>
      <c r="J1052" s="69">
        <f t="shared" si="32"/>
        <v>5</v>
      </c>
      <c r="K1052" s="69">
        <f t="shared" si="33"/>
        <v>37</v>
      </c>
      <c r="L1052" s="69">
        <f>VLOOKUP(Table_db1_backend_Daily.accdb[[#This Row],[TradingDate]],canon!B:E,4,0)</f>
        <v>28</v>
      </c>
    </row>
    <row r="1053" spans="1:12" x14ac:dyDescent="0.2">
      <c r="A1053" s="69" t="s">
        <v>41</v>
      </c>
      <c r="B1053" s="70">
        <v>42929</v>
      </c>
      <c r="C1053" s="69">
        <v>550</v>
      </c>
      <c r="D1053" s="69">
        <v>4</v>
      </c>
      <c r="E1053" s="69">
        <v>51.75</v>
      </c>
      <c r="F1053" s="69">
        <v>24.14</v>
      </c>
      <c r="G1053" s="69" t="s">
        <v>14</v>
      </c>
      <c r="H1053" s="69" t="str">
        <f>IFERROR(VLOOKUP(Data!$G1053,canon!$I$2:$K$27,2,FALSE),"")</f>
        <v>LEGGING</v>
      </c>
      <c r="I1053" s="69" t="str">
        <f>IFERROR(VLOOKUP(Data!$G1053,canon!$I$2:$K$27,3,FALSE),"")</f>
        <v>APPAREL</v>
      </c>
      <c r="J1053" s="69">
        <f t="shared" si="32"/>
        <v>5</v>
      </c>
      <c r="K1053" s="69">
        <f t="shared" si="33"/>
        <v>37</v>
      </c>
      <c r="L1053" s="69">
        <f>VLOOKUP(Table_db1_backend_Daily.accdb[[#This Row],[TradingDate]],canon!B:E,4,0)</f>
        <v>28</v>
      </c>
    </row>
    <row r="1054" spans="1:12" x14ac:dyDescent="0.2">
      <c r="A1054" s="69" t="s">
        <v>41</v>
      </c>
      <c r="B1054" s="70">
        <v>42929</v>
      </c>
      <c r="C1054" s="69">
        <v>-43</v>
      </c>
      <c r="D1054" s="69">
        <v>0</v>
      </c>
      <c r="E1054" s="69">
        <v>0</v>
      </c>
      <c r="F1054" s="69">
        <v>0</v>
      </c>
      <c r="G1054" s="69" t="s">
        <v>37</v>
      </c>
      <c r="H1054" s="69" t="str">
        <f>IFERROR(VLOOKUP(Data!$G1054,canon!$I$2:$K$27,2,FALSE),"")</f>
        <v>SHOES</v>
      </c>
      <c r="I1054" s="69" t="str">
        <f>IFERROR(VLOOKUP(Data!$G1054,canon!$I$2:$K$27,3,FALSE),"")</f>
        <v>N.APPAREL</v>
      </c>
      <c r="J1054" s="69">
        <f t="shared" si="32"/>
        <v>5</v>
      </c>
      <c r="K1054" s="69">
        <f t="shared" si="33"/>
        <v>37</v>
      </c>
      <c r="L1054" s="69">
        <f>VLOOKUP(Table_db1_backend_Daily.accdb[[#This Row],[TradingDate]],canon!B:E,4,0)</f>
        <v>28</v>
      </c>
    </row>
    <row r="1055" spans="1:12" x14ac:dyDescent="0.2">
      <c r="A1055" s="69" t="s">
        <v>41</v>
      </c>
      <c r="B1055" s="70">
        <v>42929</v>
      </c>
      <c r="C1055" s="69">
        <v>17</v>
      </c>
      <c r="D1055" s="69">
        <v>0</v>
      </c>
      <c r="E1055" s="69">
        <v>0</v>
      </c>
      <c r="F1055" s="69">
        <v>0</v>
      </c>
      <c r="G1055" s="69" t="s">
        <v>29</v>
      </c>
      <c r="H1055" s="69" t="str">
        <f>IFERROR(VLOOKUP(Data!$G1055,canon!$I$2:$K$27,2,FALSE),"")</f>
        <v>SHOES</v>
      </c>
      <c r="I1055" s="69" t="str">
        <f>IFERROR(VLOOKUP(Data!$G1055,canon!$I$2:$K$27,3,FALSE),"")</f>
        <v>N.APPAREL</v>
      </c>
      <c r="J1055" s="69">
        <f t="shared" si="32"/>
        <v>5</v>
      </c>
      <c r="K1055" s="69">
        <f t="shared" si="33"/>
        <v>37</v>
      </c>
      <c r="L1055" s="69">
        <f>VLOOKUP(Table_db1_backend_Daily.accdb[[#This Row],[TradingDate]],canon!B:E,4,0)</f>
        <v>28</v>
      </c>
    </row>
    <row r="1056" spans="1:12" x14ac:dyDescent="0.2">
      <c r="A1056" s="69" t="s">
        <v>41</v>
      </c>
      <c r="B1056" s="70">
        <v>42929</v>
      </c>
      <c r="C1056" s="69">
        <v>537</v>
      </c>
      <c r="D1056" s="69">
        <v>22</v>
      </c>
      <c r="E1056" s="69">
        <v>281.12</v>
      </c>
      <c r="F1056" s="69">
        <v>85.24</v>
      </c>
      <c r="G1056" s="69" t="s">
        <v>17</v>
      </c>
      <c r="H1056" s="69" t="str">
        <f>IFERROR(VLOOKUP(Data!$G1056,canon!$I$2:$K$27,2,FALSE),"")</f>
        <v>OUTER</v>
      </c>
      <c r="I1056" s="69" t="str">
        <f>IFERROR(VLOOKUP(Data!$G1056,canon!$I$2:$K$27,3,FALSE),"")</f>
        <v>APPAREL</v>
      </c>
      <c r="J1056" s="69">
        <f t="shared" si="32"/>
        <v>5</v>
      </c>
      <c r="K1056" s="69">
        <f t="shared" si="33"/>
        <v>37</v>
      </c>
      <c r="L1056" s="69">
        <f>VLOOKUP(Table_db1_backend_Daily.accdb[[#This Row],[TradingDate]],canon!B:E,4,0)</f>
        <v>28</v>
      </c>
    </row>
    <row r="1057" spans="1:12" x14ac:dyDescent="0.2">
      <c r="A1057" s="69" t="s">
        <v>41</v>
      </c>
      <c r="B1057" s="70">
        <v>42929</v>
      </c>
      <c r="C1057" s="69">
        <v>306</v>
      </c>
      <c r="D1057" s="69">
        <v>3</v>
      </c>
      <c r="E1057" s="69">
        <v>13.59</v>
      </c>
      <c r="F1057" s="69">
        <v>-5.66</v>
      </c>
      <c r="G1057" s="69" t="s">
        <v>19</v>
      </c>
      <c r="H1057" s="69" t="str">
        <f>IFERROR(VLOOKUP(Data!$G1057,canon!$I$2:$K$27,2,FALSE),"")</f>
        <v>PANT</v>
      </c>
      <c r="I1057" s="69" t="str">
        <f>IFERROR(VLOOKUP(Data!$G1057,canon!$I$2:$K$27,3,FALSE),"")</f>
        <v>APPAREL</v>
      </c>
      <c r="J1057" s="69">
        <f t="shared" si="32"/>
        <v>5</v>
      </c>
      <c r="K1057" s="69">
        <f t="shared" si="33"/>
        <v>37</v>
      </c>
      <c r="L1057" s="69">
        <f>VLOOKUP(Table_db1_backend_Daily.accdb[[#This Row],[TradingDate]],canon!B:E,4,0)</f>
        <v>28</v>
      </c>
    </row>
    <row r="1058" spans="1:12" x14ac:dyDescent="0.2">
      <c r="A1058" s="69" t="s">
        <v>41</v>
      </c>
      <c r="B1058" s="70">
        <v>42929</v>
      </c>
      <c r="C1058" s="69">
        <v>33</v>
      </c>
      <c r="D1058" s="69">
        <v>0</v>
      </c>
      <c r="E1058" s="69">
        <v>0</v>
      </c>
      <c r="F1058" s="69">
        <v>0</v>
      </c>
      <c r="G1058" s="69" t="s">
        <v>21</v>
      </c>
      <c r="H1058" s="69" t="str">
        <f>IFERROR(VLOOKUP(Data!$G1058,canon!$I$2:$K$27,2,FALSE),"")</f>
        <v>ACCESSORY</v>
      </c>
      <c r="I1058" s="69" t="str">
        <f>IFERROR(VLOOKUP(Data!$G1058,canon!$I$2:$K$27,3,FALSE),"")</f>
        <v>N.APPAREL</v>
      </c>
      <c r="J1058" s="69">
        <f t="shared" si="32"/>
        <v>5</v>
      </c>
      <c r="K1058" s="69">
        <f t="shared" si="33"/>
        <v>37</v>
      </c>
      <c r="L1058" s="69">
        <f>VLOOKUP(Table_db1_backend_Daily.accdb[[#This Row],[TradingDate]],canon!B:E,4,0)</f>
        <v>28</v>
      </c>
    </row>
    <row r="1059" spans="1:12" x14ac:dyDescent="0.2">
      <c r="A1059" s="69" t="s">
        <v>41</v>
      </c>
      <c r="B1059" s="70">
        <v>42929</v>
      </c>
      <c r="C1059" s="69">
        <v>667</v>
      </c>
      <c r="D1059" s="69">
        <v>35</v>
      </c>
      <c r="E1059" s="69">
        <v>159.19999999999999</v>
      </c>
      <c r="F1059" s="69">
        <v>100.76</v>
      </c>
      <c r="G1059" s="69" t="s">
        <v>22</v>
      </c>
      <c r="H1059" s="69" t="str">
        <f>IFERROR(VLOOKUP(Data!$G1059,canon!$I$2:$K$27,2,FALSE),"")</f>
        <v>SCARF</v>
      </c>
      <c r="I1059" s="69" t="str">
        <f>IFERROR(VLOOKUP(Data!$G1059,canon!$I$2:$K$27,3,FALSE),"")</f>
        <v>N.APPAREL</v>
      </c>
      <c r="J1059" s="69">
        <f t="shared" si="32"/>
        <v>5</v>
      </c>
      <c r="K1059" s="69">
        <f t="shared" si="33"/>
        <v>37</v>
      </c>
      <c r="L1059" s="69">
        <f>VLOOKUP(Table_db1_backend_Daily.accdb[[#This Row],[TradingDate]],canon!B:E,4,0)</f>
        <v>28</v>
      </c>
    </row>
    <row r="1060" spans="1:12" x14ac:dyDescent="0.2">
      <c r="A1060" s="69" t="s">
        <v>41</v>
      </c>
      <c r="B1060" s="70">
        <v>42929</v>
      </c>
      <c r="C1060" s="69">
        <v>102</v>
      </c>
      <c r="D1060" s="69">
        <v>4</v>
      </c>
      <c r="E1060" s="69">
        <v>74.89</v>
      </c>
      <c r="F1060" s="69">
        <v>44.660000000000004</v>
      </c>
      <c r="G1060" s="69" t="s">
        <v>23</v>
      </c>
      <c r="H1060" s="69" t="str">
        <f>IFERROR(VLOOKUP(Data!$G1060,canon!$I$2:$K$27,2,FALSE),"")</f>
        <v>SH&amp;BL</v>
      </c>
      <c r="I1060" s="69" t="str">
        <f>IFERROR(VLOOKUP(Data!$G1060,canon!$I$2:$K$27,3,FALSE),"")</f>
        <v>APPAREL</v>
      </c>
      <c r="J1060" s="69">
        <f t="shared" si="32"/>
        <v>5</v>
      </c>
      <c r="K1060" s="69">
        <f t="shared" si="33"/>
        <v>37</v>
      </c>
      <c r="L1060" s="69">
        <f>VLOOKUP(Table_db1_backend_Daily.accdb[[#This Row],[TradingDate]],canon!B:E,4,0)</f>
        <v>28</v>
      </c>
    </row>
    <row r="1061" spans="1:12" x14ac:dyDescent="0.2">
      <c r="A1061" s="69" t="s">
        <v>41</v>
      </c>
      <c r="B1061" s="70">
        <v>42929</v>
      </c>
      <c r="C1061" s="69">
        <v>424</v>
      </c>
      <c r="D1061" s="69">
        <v>6</v>
      </c>
      <c r="E1061" s="69">
        <v>83.96</v>
      </c>
      <c r="F1061" s="69">
        <v>46.79</v>
      </c>
      <c r="G1061" s="69" t="s">
        <v>32</v>
      </c>
      <c r="H1061" s="69" t="str">
        <f>IFERROR(VLOOKUP(Data!$G1061,canon!$I$2:$K$27,2,FALSE),"")</f>
        <v>SKIRT</v>
      </c>
      <c r="I1061" s="69" t="str">
        <f>IFERROR(VLOOKUP(Data!$G1061,canon!$I$2:$K$27,3,FALSE),"")</f>
        <v>APPAREL</v>
      </c>
      <c r="J1061" s="69">
        <f t="shared" si="32"/>
        <v>5</v>
      </c>
      <c r="K1061" s="69">
        <f t="shared" si="33"/>
        <v>37</v>
      </c>
      <c r="L1061" s="69">
        <f>VLOOKUP(Table_db1_backend_Daily.accdb[[#This Row],[TradingDate]],canon!B:E,4,0)</f>
        <v>28</v>
      </c>
    </row>
    <row r="1062" spans="1:12" x14ac:dyDescent="0.2">
      <c r="A1062" s="69" t="s">
        <v>41</v>
      </c>
      <c r="B1062" s="70">
        <v>42929</v>
      </c>
      <c r="C1062" s="69">
        <v>1263</v>
      </c>
      <c r="D1062" s="69">
        <v>54</v>
      </c>
      <c r="E1062" s="69">
        <v>373.84999999999991</v>
      </c>
      <c r="F1062" s="69">
        <v>135.34</v>
      </c>
      <c r="G1062" s="69" t="s">
        <v>25</v>
      </c>
      <c r="H1062" s="69" t="str">
        <f>IFERROR(VLOOKUP(Data!$G1062,canon!$I$2:$K$27,2,FALSE),"")</f>
        <v>TOP</v>
      </c>
      <c r="I1062" s="69" t="str">
        <f>IFERROR(VLOOKUP(Data!$G1062,canon!$I$2:$K$27,3,FALSE),"")</f>
        <v>APPAREL</v>
      </c>
      <c r="J1062" s="69">
        <f t="shared" si="32"/>
        <v>5</v>
      </c>
      <c r="K1062" s="69">
        <f t="shared" si="33"/>
        <v>37</v>
      </c>
      <c r="L1062" s="69">
        <f>VLOOKUP(Table_db1_backend_Daily.accdb[[#This Row],[TradingDate]],canon!B:E,4,0)</f>
        <v>28</v>
      </c>
    </row>
    <row r="1063" spans="1:12" x14ac:dyDescent="0.2">
      <c r="A1063" s="69" t="s">
        <v>41</v>
      </c>
      <c r="B1063" s="70">
        <v>42930</v>
      </c>
      <c r="C1063" s="69">
        <v>4</v>
      </c>
      <c r="D1063" s="69">
        <v>0</v>
      </c>
      <c r="E1063" s="69">
        <v>0</v>
      </c>
      <c r="F1063" s="69">
        <v>0</v>
      </c>
      <c r="G1063" s="69" t="s">
        <v>27</v>
      </c>
      <c r="H1063" s="69" t="str">
        <f>IFERROR(VLOOKUP(Data!$G1063,canon!$I$2:$K$27,2,FALSE),"")</f>
        <v>ACCESSORY</v>
      </c>
      <c r="I1063" s="69" t="str">
        <f>IFERROR(VLOOKUP(Data!$G1063,canon!$I$2:$K$27,3,FALSE),"")</f>
        <v>N.APPAREL</v>
      </c>
      <c r="J1063" s="69">
        <f t="shared" si="32"/>
        <v>6</v>
      </c>
      <c r="K1063" s="69">
        <f t="shared" si="33"/>
        <v>37</v>
      </c>
      <c r="L1063" s="69">
        <f>VLOOKUP(Table_db1_backend_Daily.accdb[[#This Row],[TradingDate]],canon!B:E,4,0)</f>
        <v>28</v>
      </c>
    </row>
    <row r="1064" spans="1:12" x14ac:dyDescent="0.2">
      <c r="A1064" s="69" t="s">
        <v>41</v>
      </c>
      <c r="B1064" s="70">
        <v>42930</v>
      </c>
      <c r="C1064" s="69">
        <v>26</v>
      </c>
      <c r="D1064" s="69">
        <v>0</v>
      </c>
      <c r="E1064" s="69">
        <v>0</v>
      </c>
      <c r="F1064" s="69">
        <v>0</v>
      </c>
      <c r="G1064" s="69" t="s">
        <v>34</v>
      </c>
      <c r="H1064" s="69" t="str">
        <f>IFERROR(VLOOKUP(Data!$G1064,canon!$I$2:$K$27,2,FALSE),"")</f>
        <v>SHOES</v>
      </c>
      <c r="I1064" s="69" t="str">
        <f>IFERROR(VLOOKUP(Data!$G1064,canon!$I$2:$K$27,3,FALSE),"")</f>
        <v>N.APPAREL</v>
      </c>
      <c r="J1064" s="69">
        <f t="shared" si="32"/>
        <v>6</v>
      </c>
      <c r="K1064" s="69">
        <f t="shared" si="33"/>
        <v>37</v>
      </c>
      <c r="L1064" s="69">
        <f>VLOOKUP(Table_db1_backend_Daily.accdb[[#This Row],[TradingDate]],canon!B:E,4,0)</f>
        <v>28</v>
      </c>
    </row>
    <row r="1065" spans="1:12" x14ac:dyDescent="0.2">
      <c r="A1065" s="69" t="s">
        <v>41</v>
      </c>
      <c r="B1065" s="70">
        <v>42930</v>
      </c>
      <c r="C1065" s="69">
        <v>3</v>
      </c>
      <c r="D1065" s="69">
        <v>0</v>
      </c>
      <c r="E1065" s="69">
        <v>0</v>
      </c>
      <c r="F1065" s="69">
        <v>0</v>
      </c>
      <c r="G1065" s="69" t="s">
        <v>38</v>
      </c>
      <c r="H1065" s="69" t="str">
        <f>IFERROR(VLOOKUP(Data!$G1065,canon!$I$2:$K$27,2,FALSE),"")</f>
        <v>SHOES</v>
      </c>
      <c r="I1065" s="69" t="str">
        <f>IFERROR(VLOOKUP(Data!$G1065,canon!$I$2:$K$27,3,FALSE),"")</f>
        <v>N.APPAREL</v>
      </c>
      <c r="J1065" s="69">
        <f t="shared" si="32"/>
        <v>6</v>
      </c>
      <c r="K1065" s="69">
        <f t="shared" si="33"/>
        <v>37</v>
      </c>
      <c r="L1065" s="69">
        <f>VLOOKUP(Table_db1_backend_Daily.accdb[[#This Row],[TradingDate]],canon!B:E,4,0)</f>
        <v>28</v>
      </c>
    </row>
    <row r="1066" spans="1:12" x14ac:dyDescent="0.2">
      <c r="A1066" s="69" t="s">
        <v>41</v>
      </c>
      <c r="B1066" s="70">
        <v>42930</v>
      </c>
      <c r="C1066" s="69">
        <v>654</v>
      </c>
      <c r="D1066" s="69">
        <v>2</v>
      </c>
      <c r="E1066" s="69">
        <v>32.68</v>
      </c>
      <c r="F1066" s="69">
        <v>16.380000000000003</v>
      </c>
      <c r="G1066" s="69" t="s">
        <v>35</v>
      </c>
      <c r="H1066" s="69" t="str">
        <f>IFERROR(VLOOKUP(Data!$G1066,canon!$I$2:$K$27,2,FALSE),"")</f>
        <v>DRESS</v>
      </c>
      <c r="I1066" s="69" t="str">
        <f>IFERROR(VLOOKUP(Data!$G1066,canon!$I$2:$K$27,3,FALSE),"")</f>
        <v>APPAREL</v>
      </c>
      <c r="J1066" s="69">
        <f t="shared" si="32"/>
        <v>6</v>
      </c>
      <c r="K1066" s="69">
        <f t="shared" si="33"/>
        <v>37</v>
      </c>
      <c r="L1066" s="69">
        <f>VLOOKUP(Table_db1_backend_Daily.accdb[[#This Row],[TradingDate]],canon!B:E,4,0)</f>
        <v>28</v>
      </c>
    </row>
    <row r="1067" spans="1:12" x14ac:dyDescent="0.2">
      <c r="A1067" s="69" t="s">
        <v>41</v>
      </c>
      <c r="B1067" s="70">
        <v>42930</v>
      </c>
      <c r="C1067" s="69">
        <v>39</v>
      </c>
      <c r="D1067" s="69">
        <v>0</v>
      </c>
      <c r="E1067" s="69">
        <v>0</v>
      </c>
      <c r="F1067" s="69">
        <v>0</v>
      </c>
      <c r="G1067" s="69" t="s">
        <v>10</v>
      </c>
      <c r="H1067" s="69" t="str">
        <f>IFERROR(VLOOKUP(Data!$G1067,canon!$I$2:$K$27,2,FALSE),"")</f>
        <v>ACCESSORY</v>
      </c>
      <c r="I1067" s="69" t="str">
        <f>IFERROR(VLOOKUP(Data!$G1067,canon!$I$2:$K$27,3,FALSE),"")</f>
        <v>N.APPAREL</v>
      </c>
      <c r="J1067" s="69">
        <f t="shared" si="32"/>
        <v>6</v>
      </c>
      <c r="K1067" s="69">
        <f t="shared" si="33"/>
        <v>37</v>
      </c>
      <c r="L1067" s="69">
        <f>VLOOKUP(Table_db1_backend_Daily.accdb[[#This Row],[TradingDate]],canon!B:E,4,0)</f>
        <v>28</v>
      </c>
    </row>
    <row r="1068" spans="1:12" x14ac:dyDescent="0.2">
      <c r="A1068" s="69" t="s">
        <v>41</v>
      </c>
      <c r="B1068" s="70">
        <v>42930</v>
      </c>
      <c r="C1068" s="69">
        <v>2</v>
      </c>
      <c r="D1068" s="69">
        <v>0</v>
      </c>
      <c r="E1068" s="69">
        <v>0</v>
      </c>
      <c r="F1068" s="69">
        <v>0</v>
      </c>
      <c r="G1068" s="69" t="s">
        <v>28</v>
      </c>
      <c r="H1068" s="69" t="str">
        <f>IFERROR(VLOOKUP(Data!$G1068,canon!$I$2:$K$27,2,FALSE),"")</f>
        <v>ACCESSORY</v>
      </c>
      <c r="I1068" s="69" t="str">
        <f>IFERROR(VLOOKUP(Data!$G1068,canon!$I$2:$K$27,3,FALSE),"")</f>
        <v>N.APPAREL</v>
      </c>
      <c r="J1068" s="69">
        <f t="shared" si="32"/>
        <v>6</v>
      </c>
      <c r="K1068" s="69">
        <f t="shared" si="33"/>
        <v>37</v>
      </c>
      <c r="L1068" s="69">
        <f>VLOOKUP(Table_db1_backend_Daily.accdb[[#This Row],[TradingDate]],canon!B:E,4,0)</f>
        <v>28</v>
      </c>
    </row>
    <row r="1069" spans="1:12" x14ac:dyDescent="0.2">
      <c r="A1069" s="69" t="s">
        <v>41</v>
      </c>
      <c r="B1069" s="70">
        <v>42930</v>
      </c>
      <c r="C1069" s="69">
        <v>1678</v>
      </c>
      <c r="D1069" s="69">
        <v>75</v>
      </c>
      <c r="E1069" s="69">
        <v>714.22999999999979</v>
      </c>
      <c r="F1069" s="69">
        <v>164.77</v>
      </c>
      <c r="G1069" s="69" t="s">
        <v>11</v>
      </c>
      <c r="H1069" s="69" t="str">
        <f>IFERROR(VLOOKUP(Data!$G1069,canon!$I$2:$K$27,2,FALSE),"")</f>
        <v>KNIT</v>
      </c>
      <c r="I1069" s="69" t="str">
        <f>IFERROR(VLOOKUP(Data!$G1069,canon!$I$2:$K$27,3,FALSE),"")</f>
        <v>APPAREL</v>
      </c>
      <c r="J1069" s="69">
        <f t="shared" si="32"/>
        <v>6</v>
      </c>
      <c r="K1069" s="69">
        <f t="shared" si="33"/>
        <v>37</v>
      </c>
      <c r="L1069" s="69">
        <f>VLOOKUP(Table_db1_backend_Daily.accdb[[#This Row],[TradingDate]],canon!B:E,4,0)</f>
        <v>28</v>
      </c>
    </row>
    <row r="1070" spans="1:12" x14ac:dyDescent="0.2">
      <c r="A1070" s="69" t="s">
        <v>41</v>
      </c>
      <c r="B1070" s="70">
        <v>42930</v>
      </c>
      <c r="C1070" s="69">
        <v>541</v>
      </c>
      <c r="D1070" s="69">
        <v>9</v>
      </c>
      <c r="E1070" s="69">
        <v>112.13</v>
      </c>
      <c r="F1070" s="69">
        <v>47.78</v>
      </c>
      <c r="G1070" s="69" t="s">
        <v>14</v>
      </c>
      <c r="H1070" s="69" t="str">
        <f>IFERROR(VLOOKUP(Data!$G1070,canon!$I$2:$K$27,2,FALSE),"")</f>
        <v>LEGGING</v>
      </c>
      <c r="I1070" s="69" t="str">
        <f>IFERROR(VLOOKUP(Data!$G1070,canon!$I$2:$K$27,3,FALSE),"")</f>
        <v>APPAREL</v>
      </c>
      <c r="J1070" s="69">
        <f t="shared" si="32"/>
        <v>6</v>
      </c>
      <c r="K1070" s="69">
        <f t="shared" si="33"/>
        <v>37</v>
      </c>
      <c r="L1070" s="69">
        <f>VLOOKUP(Table_db1_backend_Daily.accdb[[#This Row],[TradingDate]],canon!B:E,4,0)</f>
        <v>28</v>
      </c>
    </row>
    <row r="1071" spans="1:12" x14ac:dyDescent="0.2">
      <c r="A1071" s="69" t="s">
        <v>41</v>
      </c>
      <c r="B1071" s="70">
        <v>42930</v>
      </c>
      <c r="C1071" s="69">
        <v>-43</v>
      </c>
      <c r="D1071" s="69">
        <v>0</v>
      </c>
      <c r="E1071" s="69">
        <v>0</v>
      </c>
      <c r="F1071" s="69">
        <v>0</v>
      </c>
      <c r="G1071" s="69" t="s">
        <v>37</v>
      </c>
      <c r="H1071" s="69" t="str">
        <f>IFERROR(VLOOKUP(Data!$G1071,canon!$I$2:$K$27,2,FALSE),"")</f>
        <v>SHOES</v>
      </c>
      <c r="I1071" s="69" t="str">
        <f>IFERROR(VLOOKUP(Data!$G1071,canon!$I$2:$K$27,3,FALSE),"")</f>
        <v>N.APPAREL</v>
      </c>
      <c r="J1071" s="69">
        <f t="shared" si="32"/>
        <v>6</v>
      </c>
      <c r="K1071" s="69">
        <f t="shared" si="33"/>
        <v>37</v>
      </c>
      <c r="L1071" s="69">
        <f>VLOOKUP(Table_db1_backend_Daily.accdb[[#This Row],[TradingDate]],canon!B:E,4,0)</f>
        <v>28</v>
      </c>
    </row>
    <row r="1072" spans="1:12" x14ac:dyDescent="0.2">
      <c r="A1072" s="69" t="s">
        <v>41</v>
      </c>
      <c r="B1072" s="70">
        <v>42930</v>
      </c>
      <c r="C1072" s="69">
        <v>17</v>
      </c>
      <c r="D1072" s="69">
        <v>0</v>
      </c>
      <c r="E1072" s="69">
        <v>0</v>
      </c>
      <c r="F1072" s="69">
        <v>0</v>
      </c>
      <c r="G1072" s="69" t="s">
        <v>29</v>
      </c>
      <c r="H1072" s="69" t="str">
        <f>IFERROR(VLOOKUP(Data!$G1072,canon!$I$2:$K$27,2,FALSE),"")</f>
        <v>SHOES</v>
      </c>
      <c r="I1072" s="69" t="str">
        <f>IFERROR(VLOOKUP(Data!$G1072,canon!$I$2:$K$27,3,FALSE),"")</f>
        <v>N.APPAREL</v>
      </c>
      <c r="J1072" s="69">
        <f t="shared" si="32"/>
        <v>6</v>
      </c>
      <c r="K1072" s="69">
        <f t="shared" si="33"/>
        <v>37</v>
      </c>
      <c r="L1072" s="69">
        <f>VLOOKUP(Table_db1_backend_Daily.accdb[[#This Row],[TradingDate]],canon!B:E,4,0)</f>
        <v>28</v>
      </c>
    </row>
    <row r="1073" spans="1:12" x14ac:dyDescent="0.2">
      <c r="A1073" s="69" t="s">
        <v>41</v>
      </c>
      <c r="B1073" s="70">
        <v>42930</v>
      </c>
      <c r="C1073" s="69">
        <v>523</v>
      </c>
      <c r="D1073" s="69">
        <v>14</v>
      </c>
      <c r="E1073" s="69">
        <v>152.14000000000001</v>
      </c>
      <c r="F1073" s="69">
        <v>42.769999999999996</v>
      </c>
      <c r="G1073" s="69" t="s">
        <v>17</v>
      </c>
      <c r="H1073" s="69" t="str">
        <f>IFERROR(VLOOKUP(Data!$G1073,canon!$I$2:$K$27,2,FALSE),"")</f>
        <v>OUTER</v>
      </c>
      <c r="I1073" s="69" t="str">
        <f>IFERROR(VLOOKUP(Data!$G1073,canon!$I$2:$K$27,3,FALSE),"")</f>
        <v>APPAREL</v>
      </c>
      <c r="J1073" s="69">
        <f t="shared" si="32"/>
        <v>6</v>
      </c>
      <c r="K1073" s="69">
        <f t="shared" si="33"/>
        <v>37</v>
      </c>
      <c r="L1073" s="69">
        <f>VLOOKUP(Table_db1_backend_Daily.accdb[[#This Row],[TradingDate]],canon!B:E,4,0)</f>
        <v>28</v>
      </c>
    </row>
    <row r="1074" spans="1:12" x14ac:dyDescent="0.2">
      <c r="A1074" s="69" t="s">
        <v>41</v>
      </c>
      <c r="B1074" s="70">
        <v>42930</v>
      </c>
      <c r="C1074" s="69">
        <v>298</v>
      </c>
      <c r="D1074" s="69">
        <v>8</v>
      </c>
      <c r="E1074" s="69">
        <v>29.53</v>
      </c>
      <c r="F1074" s="69">
        <v>-29.83</v>
      </c>
      <c r="G1074" s="69" t="s">
        <v>19</v>
      </c>
      <c r="H1074" s="69" t="str">
        <f>IFERROR(VLOOKUP(Data!$G1074,canon!$I$2:$K$27,2,FALSE),"")</f>
        <v>PANT</v>
      </c>
      <c r="I1074" s="69" t="str">
        <f>IFERROR(VLOOKUP(Data!$G1074,canon!$I$2:$K$27,3,FALSE),"")</f>
        <v>APPAREL</v>
      </c>
      <c r="J1074" s="69">
        <f t="shared" si="32"/>
        <v>6</v>
      </c>
      <c r="K1074" s="69">
        <f t="shared" si="33"/>
        <v>37</v>
      </c>
      <c r="L1074" s="69">
        <f>VLOOKUP(Table_db1_backend_Daily.accdb[[#This Row],[TradingDate]],canon!B:E,4,0)</f>
        <v>28</v>
      </c>
    </row>
    <row r="1075" spans="1:12" x14ac:dyDescent="0.2">
      <c r="A1075" s="69" t="s">
        <v>41</v>
      </c>
      <c r="B1075" s="70">
        <v>42930</v>
      </c>
      <c r="C1075" s="69">
        <v>33</v>
      </c>
      <c r="D1075" s="69">
        <v>0</v>
      </c>
      <c r="E1075" s="69">
        <v>0</v>
      </c>
      <c r="F1075" s="69">
        <v>0</v>
      </c>
      <c r="G1075" s="69" t="s">
        <v>21</v>
      </c>
      <c r="H1075" s="69" t="str">
        <f>IFERROR(VLOOKUP(Data!$G1075,canon!$I$2:$K$27,2,FALSE),"")</f>
        <v>ACCESSORY</v>
      </c>
      <c r="I1075" s="69" t="str">
        <f>IFERROR(VLOOKUP(Data!$G1075,canon!$I$2:$K$27,3,FALSE),"")</f>
        <v>N.APPAREL</v>
      </c>
      <c r="J1075" s="69">
        <f t="shared" si="32"/>
        <v>6</v>
      </c>
      <c r="K1075" s="69">
        <f t="shared" si="33"/>
        <v>37</v>
      </c>
      <c r="L1075" s="69">
        <f>VLOOKUP(Table_db1_backend_Daily.accdb[[#This Row],[TradingDate]],canon!B:E,4,0)</f>
        <v>28</v>
      </c>
    </row>
    <row r="1076" spans="1:12" x14ac:dyDescent="0.2">
      <c r="A1076" s="69" t="s">
        <v>41</v>
      </c>
      <c r="B1076" s="70">
        <v>42930</v>
      </c>
      <c r="C1076" s="69">
        <v>635</v>
      </c>
      <c r="D1076" s="69">
        <v>32</v>
      </c>
      <c r="E1076" s="69">
        <v>147.04000000000002</v>
      </c>
      <c r="F1076" s="69">
        <v>94.899999999999991</v>
      </c>
      <c r="G1076" s="69" t="s">
        <v>22</v>
      </c>
      <c r="H1076" s="69" t="str">
        <f>IFERROR(VLOOKUP(Data!$G1076,canon!$I$2:$K$27,2,FALSE),"")</f>
        <v>SCARF</v>
      </c>
      <c r="I1076" s="69" t="str">
        <f>IFERROR(VLOOKUP(Data!$G1076,canon!$I$2:$K$27,3,FALSE),"")</f>
        <v>N.APPAREL</v>
      </c>
      <c r="J1076" s="69">
        <f t="shared" si="32"/>
        <v>6</v>
      </c>
      <c r="K1076" s="69">
        <f t="shared" si="33"/>
        <v>37</v>
      </c>
      <c r="L1076" s="69">
        <f>VLOOKUP(Table_db1_backend_Daily.accdb[[#This Row],[TradingDate]],canon!B:E,4,0)</f>
        <v>28</v>
      </c>
    </row>
    <row r="1077" spans="1:12" x14ac:dyDescent="0.2">
      <c r="A1077" s="69" t="s">
        <v>41</v>
      </c>
      <c r="B1077" s="70">
        <v>42930</v>
      </c>
      <c r="C1077" s="69">
        <v>101</v>
      </c>
      <c r="D1077" s="69">
        <v>1</v>
      </c>
      <c r="E1077" s="69">
        <v>-1.5199999999999996</v>
      </c>
      <c r="F1077" s="69">
        <v>-3.87</v>
      </c>
      <c r="G1077" s="69" t="s">
        <v>23</v>
      </c>
      <c r="H1077" s="69" t="str">
        <f>IFERROR(VLOOKUP(Data!$G1077,canon!$I$2:$K$27,2,FALSE),"")</f>
        <v>SH&amp;BL</v>
      </c>
      <c r="I1077" s="69" t="str">
        <f>IFERROR(VLOOKUP(Data!$G1077,canon!$I$2:$K$27,3,FALSE),"")</f>
        <v>APPAREL</v>
      </c>
      <c r="J1077" s="69">
        <f t="shared" si="32"/>
        <v>6</v>
      </c>
      <c r="K1077" s="69">
        <f t="shared" si="33"/>
        <v>37</v>
      </c>
      <c r="L1077" s="69">
        <f>VLOOKUP(Table_db1_backend_Daily.accdb[[#This Row],[TradingDate]],canon!B:E,4,0)</f>
        <v>28</v>
      </c>
    </row>
    <row r="1078" spans="1:12" x14ac:dyDescent="0.2">
      <c r="A1078" s="69" t="s">
        <v>41</v>
      </c>
      <c r="B1078" s="70">
        <v>42930</v>
      </c>
      <c r="C1078" s="69">
        <v>410</v>
      </c>
      <c r="D1078" s="69">
        <v>14</v>
      </c>
      <c r="E1078" s="69">
        <v>124.07000000000001</v>
      </c>
      <c r="F1078" s="69">
        <v>36.04</v>
      </c>
      <c r="G1078" s="69" t="s">
        <v>32</v>
      </c>
      <c r="H1078" s="69" t="str">
        <f>IFERROR(VLOOKUP(Data!$G1078,canon!$I$2:$K$27,2,FALSE),"")</f>
        <v>SKIRT</v>
      </c>
      <c r="I1078" s="69" t="str">
        <f>IFERROR(VLOOKUP(Data!$G1078,canon!$I$2:$K$27,3,FALSE),"")</f>
        <v>APPAREL</v>
      </c>
      <c r="J1078" s="69">
        <f t="shared" si="32"/>
        <v>6</v>
      </c>
      <c r="K1078" s="69">
        <f t="shared" si="33"/>
        <v>37</v>
      </c>
      <c r="L1078" s="69">
        <f>VLOOKUP(Table_db1_backend_Daily.accdb[[#This Row],[TradingDate]],canon!B:E,4,0)</f>
        <v>28</v>
      </c>
    </row>
    <row r="1079" spans="1:12" x14ac:dyDescent="0.2">
      <c r="A1079" s="69" t="s">
        <v>41</v>
      </c>
      <c r="B1079" s="70">
        <v>42930</v>
      </c>
      <c r="C1079" s="69">
        <v>1242</v>
      </c>
      <c r="D1079" s="69">
        <v>21</v>
      </c>
      <c r="E1079" s="69">
        <v>224.75000000000003</v>
      </c>
      <c r="F1079" s="69">
        <v>120.27000000000001</v>
      </c>
      <c r="G1079" s="69" t="s">
        <v>25</v>
      </c>
      <c r="H1079" s="69" t="str">
        <f>IFERROR(VLOOKUP(Data!$G1079,canon!$I$2:$K$27,2,FALSE),"")</f>
        <v>TOP</v>
      </c>
      <c r="I1079" s="69" t="str">
        <f>IFERROR(VLOOKUP(Data!$G1079,canon!$I$2:$K$27,3,FALSE),"")</f>
        <v>APPAREL</v>
      </c>
      <c r="J1079" s="69">
        <f t="shared" si="32"/>
        <v>6</v>
      </c>
      <c r="K1079" s="69">
        <f t="shared" si="33"/>
        <v>37</v>
      </c>
      <c r="L1079" s="69">
        <f>VLOOKUP(Table_db1_backend_Daily.accdb[[#This Row],[TradingDate]],canon!B:E,4,0)</f>
        <v>28</v>
      </c>
    </row>
    <row r="1080" spans="1:12" x14ac:dyDescent="0.2">
      <c r="A1080" s="69" t="s">
        <v>41</v>
      </c>
      <c r="B1080" s="70">
        <v>42931</v>
      </c>
      <c r="C1080" s="69">
        <v>4</v>
      </c>
      <c r="D1080" s="69">
        <v>0</v>
      </c>
      <c r="E1080" s="69">
        <v>0</v>
      </c>
      <c r="F1080" s="69">
        <v>0</v>
      </c>
      <c r="G1080" s="69" t="s">
        <v>27</v>
      </c>
      <c r="H1080" s="69" t="str">
        <f>IFERROR(VLOOKUP(Data!$G1080,canon!$I$2:$K$27,2,FALSE),"")</f>
        <v>ACCESSORY</v>
      </c>
      <c r="I1080" s="69" t="str">
        <f>IFERROR(VLOOKUP(Data!$G1080,canon!$I$2:$K$27,3,FALSE),"")</f>
        <v>N.APPAREL</v>
      </c>
      <c r="J1080" s="69">
        <f t="shared" si="32"/>
        <v>7</v>
      </c>
      <c r="K1080" s="69">
        <f t="shared" si="33"/>
        <v>37</v>
      </c>
      <c r="L1080" s="69">
        <f>VLOOKUP(Table_db1_backend_Daily.accdb[[#This Row],[TradingDate]],canon!B:E,4,0)</f>
        <v>28</v>
      </c>
    </row>
    <row r="1081" spans="1:12" x14ac:dyDescent="0.2">
      <c r="A1081" s="69" t="s">
        <v>41</v>
      </c>
      <c r="B1081" s="70">
        <v>42931</v>
      </c>
      <c r="C1081" s="69">
        <v>26</v>
      </c>
      <c r="D1081" s="69">
        <v>0</v>
      </c>
      <c r="E1081" s="69">
        <v>0</v>
      </c>
      <c r="F1081" s="69">
        <v>0</v>
      </c>
      <c r="G1081" s="69" t="s">
        <v>34</v>
      </c>
      <c r="H1081" s="69" t="str">
        <f>IFERROR(VLOOKUP(Data!$G1081,canon!$I$2:$K$27,2,FALSE),"")</f>
        <v>SHOES</v>
      </c>
      <c r="I1081" s="69" t="str">
        <f>IFERROR(VLOOKUP(Data!$G1081,canon!$I$2:$K$27,3,FALSE),"")</f>
        <v>N.APPAREL</v>
      </c>
      <c r="J1081" s="69">
        <f t="shared" si="32"/>
        <v>7</v>
      </c>
      <c r="K1081" s="69">
        <f t="shared" si="33"/>
        <v>37</v>
      </c>
      <c r="L1081" s="69">
        <f>VLOOKUP(Table_db1_backend_Daily.accdb[[#This Row],[TradingDate]],canon!B:E,4,0)</f>
        <v>28</v>
      </c>
    </row>
    <row r="1082" spans="1:12" x14ac:dyDescent="0.2">
      <c r="A1082" s="69" t="s">
        <v>41</v>
      </c>
      <c r="B1082" s="70">
        <v>42931</v>
      </c>
      <c r="C1082" s="69">
        <v>3</v>
      </c>
      <c r="D1082" s="69">
        <v>0</v>
      </c>
      <c r="E1082" s="69">
        <v>0</v>
      </c>
      <c r="F1082" s="69">
        <v>0</v>
      </c>
      <c r="G1082" s="69" t="s">
        <v>38</v>
      </c>
      <c r="H1082" s="69" t="str">
        <f>IFERROR(VLOOKUP(Data!$G1082,canon!$I$2:$K$27,2,FALSE),"")</f>
        <v>SHOES</v>
      </c>
      <c r="I1082" s="69" t="str">
        <f>IFERROR(VLOOKUP(Data!$G1082,canon!$I$2:$K$27,3,FALSE),"")</f>
        <v>N.APPAREL</v>
      </c>
      <c r="J1082" s="69">
        <f t="shared" si="32"/>
        <v>7</v>
      </c>
      <c r="K1082" s="69">
        <f t="shared" si="33"/>
        <v>37</v>
      </c>
      <c r="L1082" s="69">
        <f>VLOOKUP(Table_db1_backend_Daily.accdb[[#This Row],[TradingDate]],canon!B:E,4,0)</f>
        <v>28</v>
      </c>
    </row>
    <row r="1083" spans="1:12" x14ac:dyDescent="0.2">
      <c r="A1083" s="69" t="s">
        <v>41</v>
      </c>
      <c r="B1083" s="70">
        <v>42931</v>
      </c>
      <c r="C1083" s="69">
        <v>651</v>
      </c>
      <c r="D1083" s="69">
        <v>3</v>
      </c>
      <c r="E1083" s="69">
        <v>46.959999999999994</v>
      </c>
      <c r="F1083" s="69">
        <v>20.439999999999998</v>
      </c>
      <c r="G1083" s="69" t="s">
        <v>35</v>
      </c>
      <c r="H1083" s="69" t="str">
        <f>IFERROR(VLOOKUP(Data!$G1083,canon!$I$2:$K$27,2,FALSE),"")</f>
        <v>DRESS</v>
      </c>
      <c r="I1083" s="69" t="str">
        <f>IFERROR(VLOOKUP(Data!$G1083,canon!$I$2:$K$27,3,FALSE),"")</f>
        <v>APPAREL</v>
      </c>
      <c r="J1083" s="69">
        <f t="shared" si="32"/>
        <v>7</v>
      </c>
      <c r="K1083" s="69">
        <f t="shared" si="33"/>
        <v>37</v>
      </c>
      <c r="L1083" s="69">
        <f>VLOOKUP(Table_db1_backend_Daily.accdb[[#This Row],[TradingDate]],canon!B:E,4,0)</f>
        <v>28</v>
      </c>
    </row>
    <row r="1084" spans="1:12" x14ac:dyDescent="0.2">
      <c r="A1084" s="69" t="s">
        <v>41</v>
      </c>
      <c r="B1084" s="70">
        <v>42931</v>
      </c>
      <c r="C1084" s="69">
        <v>39</v>
      </c>
      <c r="D1084" s="69">
        <v>0</v>
      </c>
      <c r="E1084" s="69">
        <v>0</v>
      </c>
      <c r="F1084" s="69">
        <v>0</v>
      </c>
      <c r="G1084" s="69" t="s">
        <v>10</v>
      </c>
      <c r="H1084" s="69" t="str">
        <f>IFERROR(VLOOKUP(Data!$G1084,canon!$I$2:$K$27,2,FALSE),"")</f>
        <v>ACCESSORY</v>
      </c>
      <c r="I1084" s="69" t="str">
        <f>IFERROR(VLOOKUP(Data!$G1084,canon!$I$2:$K$27,3,FALSE),"")</f>
        <v>N.APPAREL</v>
      </c>
      <c r="J1084" s="69">
        <f t="shared" si="32"/>
        <v>7</v>
      </c>
      <c r="K1084" s="69">
        <f t="shared" si="33"/>
        <v>37</v>
      </c>
      <c r="L1084" s="69">
        <f>VLOOKUP(Table_db1_backend_Daily.accdb[[#This Row],[TradingDate]],canon!B:E,4,0)</f>
        <v>28</v>
      </c>
    </row>
    <row r="1085" spans="1:12" x14ac:dyDescent="0.2">
      <c r="A1085" s="69" t="s">
        <v>41</v>
      </c>
      <c r="B1085" s="70">
        <v>42931</v>
      </c>
      <c r="C1085" s="69">
        <v>2</v>
      </c>
      <c r="D1085" s="69">
        <v>0</v>
      </c>
      <c r="E1085" s="69">
        <v>0</v>
      </c>
      <c r="F1085" s="69">
        <v>0</v>
      </c>
      <c r="G1085" s="69" t="s">
        <v>28</v>
      </c>
      <c r="H1085" s="69" t="str">
        <f>IFERROR(VLOOKUP(Data!$G1085,canon!$I$2:$K$27,2,FALSE),"")</f>
        <v>ACCESSORY</v>
      </c>
      <c r="I1085" s="69" t="str">
        <f>IFERROR(VLOOKUP(Data!$G1085,canon!$I$2:$K$27,3,FALSE),"")</f>
        <v>N.APPAREL</v>
      </c>
      <c r="J1085" s="69">
        <f t="shared" si="32"/>
        <v>7</v>
      </c>
      <c r="K1085" s="69">
        <f t="shared" si="33"/>
        <v>37</v>
      </c>
      <c r="L1085" s="69">
        <f>VLOOKUP(Table_db1_backend_Daily.accdb[[#This Row],[TradingDate]],canon!B:E,4,0)</f>
        <v>28</v>
      </c>
    </row>
    <row r="1086" spans="1:12" x14ac:dyDescent="0.2">
      <c r="A1086" s="69" t="s">
        <v>41</v>
      </c>
      <c r="B1086" s="70">
        <v>42931</v>
      </c>
      <c r="C1086" s="69">
        <v>1607</v>
      </c>
      <c r="D1086" s="69">
        <v>71</v>
      </c>
      <c r="E1086" s="69">
        <v>699.49999999999989</v>
      </c>
      <c r="F1086" s="69">
        <v>145.69</v>
      </c>
      <c r="G1086" s="69" t="s">
        <v>11</v>
      </c>
      <c r="H1086" s="69" t="str">
        <f>IFERROR(VLOOKUP(Data!$G1086,canon!$I$2:$K$27,2,FALSE),"")</f>
        <v>KNIT</v>
      </c>
      <c r="I1086" s="69" t="str">
        <f>IFERROR(VLOOKUP(Data!$G1086,canon!$I$2:$K$27,3,FALSE),"")</f>
        <v>APPAREL</v>
      </c>
      <c r="J1086" s="69">
        <f t="shared" si="32"/>
        <v>7</v>
      </c>
      <c r="K1086" s="69">
        <f t="shared" si="33"/>
        <v>37</v>
      </c>
      <c r="L1086" s="69">
        <f>VLOOKUP(Table_db1_backend_Daily.accdb[[#This Row],[TradingDate]],canon!B:E,4,0)</f>
        <v>28</v>
      </c>
    </row>
    <row r="1087" spans="1:12" x14ac:dyDescent="0.2">
      <c r="A1087" s="69" t="s">
        <v>41</v>
      </c>
      <c r="B1087" s="70">
        <v>42931</v>
      </c>
      <c r="C1087" s="69">
        <v>535</v>
      </c>
      <c r="D1087" s="69">
        <v>6</v>
      </c>
      <c r="E1087" s="69">
        <v>57.52</v>
      </c>
      <c r="F1087" s="69">
        <v>15.58</v>
      </c>
      <c r="G1087" s="69" t="s">
        <v>14</v>
      </c>
      <c r="H1087" s="69" t="str">
        <f>IFERROR(VLOOKUP(Data!$G1087,canon!$I$2:$K$27,2,FALSE),"")</f>
        <v>LEGGING</v>
      </c>
      <c r="I1087" s="69" t="str">
        <f>IFERROR(VLOOKUP(Data!$G1087,canon!$I$2:$K$27,3,FALSE),"")</f>
        <v>APPAREL</v>
      </c>
      <c r="J1087" s="69">
        <f t="shared" si="32"/>
        <v>7</v>
      </c>
      <c r="K1087" s="69">
        <f t="shared" si="33"/>
        <v>37</v>
      </c>
      <c r="L1087" s="69">
        <f>VLOOKUP(Table_db1_backend_Daily.accdb[[#This Row],[TradingDate]],canon!B:E,4,0)</f>
        <v>28</v>
      </c>
    </row>
    <row r="1088" spans="1:12" x14ac:dyDescent="0.2">
      <c r="A1088" s="69" t="s">
        <v>41</v>
      </c>
      <c r="B1088" s="70">
        <v>42931</v>
      </c>
      <c r="C1088" s="69">
        <v>-43</v>
      </c>
      <c r="D1088" s="69">
        <v>0</v>
      </c>
      <c r="E1088" s="69">
        <v>0</v>
      </c>
      <c r="F1088" s="69">
        <v>0</v>
      </c>
      <c r="G1088" s="69" t="s">
        <v>37</v>
      </c>
      <c r="H1088" s="69" t="str">
        <f>IFERROR(VLOOKUP(Data!$G1088,canon!$I$2:$K$27,2,FALSE),"")</f>
        <v>SHOES</v>
      </c>
      <c r="I1088" s="69" t="str">
        <f>IFERROR(VLOOKUP(Data!$G1088,canon!$I$2:$K$27,3,FALSE),"")</f>
        <v>N.APPAREL</v>
      </c>
      <c r="J1088" s="69">
        <f t="shared" si="32"/>
        <v>7</v>
      </c>
      <c r="K1088" s="69">
        <f t="shared" si="33"/>
        <v>37</v>
      </c>
      <c r="L1088" s="69">
        <f>VLOOKUP(Table_db1_backend_Daily.accdb[[#This Row],[TradingDate]],canon!B:E,4,0)</f>
        <v>28</v>
      </c>
    </row>
    <row r="1089" spans="1:12" x14ac:dyDescent="0.2">
      <c r="A1089" s="69" t="s">
        <v>41</v>
      </c>
      <c r="B1089" s="70">
        <v>42931</v>
      </c>
      <c r="C1089" s="69">
        <v>17</v>
      </c>
      <c r="D1089" s="69">
        <v>0</v>
      </c>
      <c r="E1089" s="69">
        <v>0</v>
      </c>
      <c r="F1089" s="69">
        <v>0</v>
      </c>
      <c r="G1089" s="69" t="s">
        <v>29</v>
      </c>
      <c r="H1089" s="69" t="str">
        <f>IFERROR(VLOOKUP(Data!$G1089,canon!$I$2:$K$27,2,FALSE),"")</f>
        <v>SHOES</v>
      </c>
      <c r="I1089" s="69" t="str">
        <f>IFERROR(VLOOKUP(Data!$G1089,canon!$I$2:$K$27,3,FALSE),"")</f>
        <v>N.APPAREL</v>
      </c>
      <c r="J1089" s="69">
        <f t="shared" si="32"/>
        <v>7</v>
      </c>
      <c r="K1089" s="69">
        <f t="shared" si="33"/>
        <v>37</v>
      </c>
      <c r="L1089" s="69">
        <f>VLOOKUP(Table_db1_backend_Daily.accdb[[#This Row],[TradingDate]],canon!B:E,4,0)</f>
        <v>28</v>
      </c>
    </row>
    <row r="1090" spans="1:12" x14ac:dyDescent="0.2">
      <c r="A1090" s="69" t="s">
        <v>41</v>
      </c>
      <c r="B1090" s="70">
        <v>42931</v>
      </c>
      <c r="C1090" s="69">
        <v>512</v>
      </c>
      <c r="D1090" s="69">
        <v>11</v>
      </c>
      <c r="E1090" s="69">
        <v>199.75</v>
      </c>
      <c r="F1090" s="69">
        <v>94.65</v>
      </c>
      <c r="G1090" s="69" t="s">
        <v>17</v>
      </c>
      <c r="H1090" s="69" t="str">
        <f>IFERROR(VLOOKUP(Data!$G1090,canon!$I$2:$K$27,2,FALSE),"")</f>
        <v>OUTER</v>
      </c>
      <c r="I1090" s="69" t="str">
        <f>IFERROR(VLOOKUP(Data!$G1090,canon!$I$2:$K$27,3,FALSE),"")</f>
        <v>APPAREL</v>
      </c>
      <c r="J1090" s="69">
        <f t="shared" ref="J1090:J1153" si="34">WEEKDAY(B1090)</f>
        <v>7</v>
      </c>
      <c r="K1090" s="69">
        <f t="shared" ref="K1090:K1153" si="35">INT(A1090)</f>
        <v>37</v>
      </c>
      <c r="L1090" s="69">
        <f>VLOOKUP(Table_db1_backend_Daily.accdb[[#This Row],[TradingDate]],canon!B:E,4,0)</f>
        <v>28</v>
      </c>
    </row>
    <row r="1091" spans="1:12" x14ac:dyDescent="0.2">
      <c r="A1091" s="69" t="s">
        <v>41</v>
      </c>
      <c r="B1091" s="70">
        <v>42931</v>
      </c>
      <c r="C1091" s="69">
        <v>291</v>
      </c>
      <c r="D1091" s="69">
        <v>7</v>
      </c>
      <c r="E1091" s="69">
        <v>69.650000000000006</v>
      </c>
      <c r="F1091" s="69">
        <v>21.37</v>
      </c>
      <c r="G1091" s="69" t="s">
        <v>19</v>
      </c>
      <c r="H1091" s="69" t="str">
        <f>IFERROR(VLOOKUP(Data!$G1091,canon!$I$2:$K$27,2,FALSE),"")</f>
        <v>PANT</v>
      </c>
      <c r="I1091" s="69" t="str">
        <f>IFERROR(VLOOKUP(Data!$G1091,canon!$I$2:$K$27,3,FALSE),"")</f>
        <v>APPAREL</v>
      </c>
      <c r="J1091" s="69">
        <f t="shared" si="34"/>
        <v>7</v>
      </c>
      <c r="K1091" s="69">
        <f t="shared" si="35"/>
        <v>37</v>
      </c>
      <c r="L1091" s="69">
        <f>VLOOKUP(Table_db1_backend_Daily.accdb[[#This Row],[TradingDate]],canon!B:E,4,0)</f>
        <v>28</v>
      </c>
    </row>
    <row r="1092" spans="1:12" x14ac:dyDescent="0.2">
      <c r="A1092" s="69" t="s">
        <v>41</v>
      </c>
      <c r="B1092" s="70">
        <v>42931</v>
      </c>
      <c r="C1092" s="69">
        <v>33</v>
      </c>
      <c r="D1092" s="69">
        <v>0</v>
      </c>
      <c r="E1092" s="69">
        <v>0</v>
      </c>
      <c r="F1092" s="69">
        <v>0</v>
      </c>
      <c r="G1092" s="69" t="s">
        <v>21</v>
      </c>
      <c r="H1092" s="69" t="str">
        <f>IFERROR(VLOOKUP(Data!$G1092,canon!$I$2:$K$27,2,FALSE),"")</f>
        <v>ACCESSORY</v>
      </c>
      <c r="I1092" s="69" t="str">
        <f>IFERROR(VLOOKUP(Data!$G1092,canon!$I$2:$K$27,3,FALSE),"")</f>
        <v>N.APPAREL</v>
      </c>
      <c r="J1092" s="69">
        <f t="shared" si="34"/>
        <v>7</v>
      </c>
      <c r="K1092" s="69">
        <f t="shared" si="35"/>
        <v>37</v>
      </c>
      <c r="L1092" s="69">
        <f>VLOOKUP(Table_db1_backend_Daily.accdb[[#This Row],[TradingDate]],canon!B:E,4,0)</f>
        <v>28</v>
      </c>
    </row>
    <row r="1093" spans="1:12" x14ac:dyDescent="0.2">
      <c r="A1093" s="69" t="s">
        <v>41</v>
      </c>
      <c r="B1093" s="70">
        <v>42931</v>
      </c>
      <c r="C1093" s="69">
        <v>607</v>
      </c>
      <c r="D1093" s="69">
        <v>28</v>
      </c>
      <c r="E1093" s="69">
        <v>127.37999999999998</v>
      </c>
      <c r="F1093" s="69">
        <v>80.000000000000014</v>
      </c>
      <c r="G1093" s="69" t="s">
        <v>22</v>
      </c>
      <c r="H1093" s="69" t="str">
        <f>IFERROR(VLOOKUP(Data!$G1093,canon!$I$2:$K$27,2,FALSE),"")</f>
        <v>SCARF</v>
      </c>
      <c r="I1093" s="69" t="str">
        <f>IFERROR(VLOOKUP(Data!$G1093,canon!$I$2:$K$27,3,FALSE),"")</f>
        <v>N.APPAREL</v>
      </c>
      <c r="J1093" s="69">
        <f t="shared" si="34"/>
        <v>7</v>
      </c>
      <c r="K1093" s="69">
        <f t="shared" si="35"/>
        <v>37</v>
      </c>
      <c r="L1093" s="69">
        <f>VLOOKUP(Table_db1_backend_Daily.accdb[[#This Row],[TradingDate]],canon!B:E,4,0)</f>
        <v>28</v>
      </c>
    </row>
    <row r="1094" spans="1:12" x14ac:dyDescent="0.2">
      <c r="A1094" s="69" t="s">
        <v>41</v>
      </c>
      <c r="B1094" s="70">
        <v>42931</v>
      </c>
      <c r="C1094" s="69">
        <v>99</v>
      </c>
      <c r="D1094" s="69">
        <v>2</v>
      </c>
      <c r="E1094" s="69">
        <v>6.06</v>
      </c>
      <c r="F1094" s="69">
        <v>-8.2799999999999994</v>
      </c>
      <c r="G1094" s="69" t="s">
        <v>23</v>
      </c>
      <c r="H1094" s="69" t="str">
        <f>IFERROR(VLOOKUP(Data!$G1094,canon!$I$2:$K$27,2,FALSE),"")</f>
        <v>SH&amp;BL</v>
      </c>
      <c r="I1094" s="69" t="str">
        <f>IFERROR(VLOOKUP(Data!$G1094,canon!$I$2:$K$27,3,FALSE),"")</f>
        <v>APPAREL</v>
      </c>
      <c r="J1094" s="69">
        <f t="shared" si="34"/>
        <v>7</v>
      </c>
      <c r="K1094" s="69">
        <f t="shared" si="35"/>
        <v>37</v>
      </c>
      <c r="L1094" s="69">
        <f>VLOOKUP(Table_db1_backend_Daily.accdb[[#This Row],[TradingDate]],canon!B:E,4,0)</f>
        <v>28</v>
      </c>
    </row>
    <row r="1095" spans="1:12" x14ac:dyDescent="0.2">
      <c r="A1095" s="69" t="s">
        <v>41</v>
      </c>
      <c r="B1095" s="70">
        <v>42931</v>
      </c>
      <c r="C1095" s="69">
        <v>404</v>
      </c>
      <c r="D1095" s="69">
        <v>6</v>
      </c>
      <c r="E1095" s="69">
        <v>33.31</v>
      </c>
      <c r="F1095" s="69">
        <v>-11.469999999999999</v>
      </c>
      <c r="G1095" s="69" t="s">
        <v>32</v>
      </c>
      <c r="H1095" s="69" t="str">
        <f>IFERROR(VLOOKUP(Data!$G1095,canon!$I$2:$K$27,2,FALSE),"")</f>
        <v>SKIRT</v>
      </c>
      <c r="I1095" s="69" t="str">
        <f>IFERROR(VLOOKUP(Data!$G1095,canon!$I$2:$K$27,3,FALSE),"")</f>
        <v>APPAREL</v>
      </c>
      <c r="J1095" s="69">
        <f t="shared" si="34"/>
        <v>7</v>
      </c>
      <c r="K1095" s="69">
        <f t="shared" si="35"/>
        <v>37</v>
      </c>
      <c r="L1095" s="69">
        <f>VLOOKUP(Table_db1_backend_Daily.accdb[[#This Row],[TradingDate]],canon!B:E,4,0)</f>
        <v>28</v>
      </c>
    </row>
    <row r="1096" spans="1:12" x14ac:dyDescent="0.2">
      <c r="A1096" s="69" t="s">
        <v>41</v>
      </c>
      <c r="B1096" s="70">
        <v>42931</v>
      </c>
      <c r="C1096" s="69">
        <v>1207</v>
      </c>
      <c r="D1096" s="69">
        <v>35</v>
      </c>
      <c r="E1096" s="69">
        <v>263.48</v>
      </c>
      <c r="F1096" s="69">
        <v>96.28</v>
      </c>
      <c r="G1096" s="69" t="s">
        <v>25</v>
      </c>
      <c r="H1096" s="69" t="str">
        <f>IFERROR(VLOOKUP(Data!$G1096,canon!$I$2:$K$27,2,FALSE),"")</f>
        <v>TOP</v>
      </c>
      <c r="I1096" s="69" t="str">
        <f>IFERROR(VLOOKUP(Data!$G1096,canon!$I$2:$K$27,3,FALSE),"")</f>
        <v>APPAREL</v>
      </c>
      <c r="J1096" s="69">
        <f t="shared" si="34"/>
        <v>7</v>
      </c>
      <c r="K1096" s="69">
        <f t="shared" si="35"/>
        <v>37</v>
      </c>
      <c r="L1096" s="69">
        <f>VLOOKUP(Table_db1_backend_Daily.accdb[[#This Row],[TradingDate]],canon!B:E,4,0)</f>
        <v>28</v>
      </c>
    </row>
    <row r="1097" spans="1:12" x14ac:dyDescent="0.2">
      <c r="A1097" s="69" t="s">
        <v>41</v>
      </c>
      <c r="B1097" s="70">
        <v>42932</v>
      </c>
      <c r="C1097" s="69">
        <v>4</v>
      </c>
      <c r="D1097" s="69">
        <v>0</v>
      </c>
      <c r="E1097" s="69">
        <v>0</v>
      </c>
      <c r="F1097" s="69">
        <v>0</v>
      </c>
      <c r="G1097" s="69" t="s">
        <v>27</v>
      </c>
      <c r="H1097" s="69" t="str">
        <f>IFERROR(VLOOKUP(Data!$G1097,canon!$I$2:$K$27,2,FALSE),"")</f>
        <v>ACCESSORY</v>
      </c>
      <c r="I1097" s="69" t="str">
        <f>IFERROR(VLOOKUP(Data!$G1097,canon!$I$2:$K$27,3,FALSE),"")</f>
        <v>N.APPAREL</v>
      </c>
      <c r="J1097" s="69">
        <f t="shared" si="34"/>
        <v>1</v>
      </c>
      <c r="K1097" s="69">
        <f t="shared" si="35"/>
        <v>37</v>
      </c>
      <c r="L1097" s="69">
        <f>VLOOKUP(Table_db1_backend_Daily.accdb[[#This Row],[TradingDate]],canon!B:E,4,0)</f>
        <v>29</v>
      </c>
    </row>
    <row r="1098" spans="1:12" x14ac:dyDescent="0.2">
      <c r="A1098" s="69" t="s">
        <v>41</v>
      </c>
      <c r="B1098" s="70">
        <v>42932</v>
      </c>
      <c r="C1098" s="69">
        <v>26</v>
      </c>
      <c r="D1098" s="69">
        <v>0</v>
      </c>
      <c r="E1098" s="69">
        <v>0</v>
      </c>
      <c r="F1098" s="69">
        <v>0</v>
      </c>
      <c r="G1098" s="69" t="s">
        <v>34</v>
      </c>
      <c r="H1098" s="69" t="str">
        <f>IFERROR(VLOOKUP(Data!$G1098,canon!$I$2:$K$27,2,FALSE),"")</f>
        <v>SHOES</v>
      </c>
      <c r="I1098" s="69" t="str">
        <f>IFERROR(VLOOKUP(Data!$G1098,canon!$I$2:$K$27,3,FALSE),"")</f>
        <v>N.APPAREL</v>
      </c>
      <c r="J1098" s="69">
        <f t="shared" si="34"/>
        <v>1</v>
      </c>
      <c r="K1098" s="69">
        <f t="shared" si="35"/>
        <v>37</v>
      </c>
      <c r="L1098" s="69">
        <f>VLOOKUP(Table_db1_backend_Daily.accdb[[#This Row],[TradingDate]],canon!B:E,4,0)</f>
        <v>29</v>
      </c>
    </row>
    <row r="1099" spans="1:12" x14ac:dyDescent="0.2">
      <c r="A1099" s="69" t="s">
        <v>41</v>
      </c>
      <c r="B1099" s="70">
        <v>42932</v>
      </c>
      <c r="C1099" s="69">
        <v>3</v>
      </c>
      <c r="D1099" s="69">
        <v>0</v>
      </c>
      <c r="E1099" s="69">
        <v>0</v>
      </c>
      <c r="F1099" s="69">
        <v>0</v>
      </c>
      <c r="G1099" s="69" t="s">
        <v>38</v>
      </c>
      <c r="H1099" s="69" t="str">
        <f>IFERROR(VLOOKUP(Data!$G1099,canon!$I$2:$K$27,2,FALSE),"")</f>
        <v>SHOES</v>
      </c>
      <c r="I1099" s="69" t="str">
        <f>IFERROR(VLOOKUP(Data!$G1099,canon!$I$2:$K$27,3,FALSE),"")</f>
        <v>N.APPAREL</v>
      </c>
      <c r="J1099" s="69">
        <f t="shared" si="34"/>
        <v>1</v>
      </c>
      <c r="K1099" s="69">
        <f t="shared" si="35"/>
        <v>37</v>
      </c>
      <c r="L1099" s="69">
        <f>VLOOKUP(Table_db1_backend_Daily.accdb[[#This Row],[TradingDate]],canon!B:E,4,0)</f>
        <v>29</v>
      </c>
    </row>
    <row r="1100" spans="1:12" x14ac:dyDescent="0.2">
      <c r="A1100" s="69" t="s">
        <v>41</v>
      </c>
      <c r="B1100" s="70">
        <v>42932</v>
      </c>
      <c r="C1100" s="69">
        <v>648</v>
      </c>
      <c r="D1100" s="69">
        <v>3</v>
      </c>
      <c r="E1100" s="69">
        <v>57.56</v>
      </c>
      <c r="F1100" s="69">
        <v>33.209999999999994</v>
      </c>
      <c r="G1100" s="69" t="s">
        <v>35</v>
      </c>
      <c r="H1100" s="69" t="str">
        <f>IFERROR(VLOOKUP(Data!$G1100,canon!$I$2:$K$27,2,FALSE),"")</f>
        <v>DRESS</v>
      </c>
      <c r="I1100" s="69" t="str">
        <f>IFERROR(VLOOKUP(Data!$G1100,canon!$I$2:$K$27,3,FALSE),"")</f>
        <v>APPAREL</v>
      </c>
      <c r="J1100" s="69">
        <f t="shared" si="34"/>
        <v>1</v>
      </c>
      <c r="K1100" s="69">
        <f t="shared" si="35"/>
        <v>37</v>
      </c>
      <c r="L1100" s="69">
        <f>VLOOKUP(Table_db1_backend_Daily.accdb[[#This Row],[TradingDate]],canon!B:E,4,0)</f>
        <v>29</v>
      </c>
    </row>
    <row r="1101" spans="1:12" x14ac:dyDescent="0.2">
      <c r="A1101" s="69" t="s">
        <v>41</v>
      </c>
      <c r="B1101" s="70">
        <v>42932</v>
      </c>
      <c r="C1101" s="69">
        <v>39</v>
      </c>
      <c r="D1101" s="69">
        <v>0</v>
      </c>
      <c r="E1101" s="69">
        <v>0</v>
      </c>
      <c r="F1101" s="69">
        <v>0</v>
      </c>
      <c r="G1101" s="69" t="s">
        <v>10</v>
      </c>
      <c r="H1101" s="69" t="str">
        <f>IFERROR(VLOOKUP(Data!$G1101,canon!$I$2:$K$27,2,FALSE),"")</f>
        <v>ACCESSORY</v>
      </c>
      <c r="I1101" s="69" t="str">
        <f>IFERROR(VLOOKUP(Data!$G1101,canon!$I$2:$K$27,3,FALSE),"")</f>
        <v>N.APPAREL</v>
      </c>
      <c r="J1101" s="69">
        <f t="shared" si="34"/>
        <v>1</v>
      </c>
      <c r="K1101" s="69">
        <f t="shared" si="35"/>
        <v>37</v>
      </c>
      <c r="L1101" s="69">
        <f>VLOOKUP(Table_db1_backend_Daily.accdb[[#This Row],[TradingDate]],canon!B:E,4,0)</f>
        <v>29</v>
      </c>
    </row>
    <row r="1102" spans="1:12" x14ac:dyDescent="0.2">
      <c r="A1102" s="69" t="s">
        <v>41</v>
      </c>
      <c r="B1102" s="70">
        <v>42932</v>
      </c>
      <c r="C1102" s="69">
        <v>2</v>
      </c>
      <c r="D1102" s="69">
        <v>0</v>
      </c>
      <c r="E1102" s="69">
        <v>0</v>
      </c>
      <c r="F1102" s="69">
        <v>0</v>
      </c>
      <c r="G1102" s="69" t="s">
        <v>28</v>
      </c>
      <c r="H1102" s="69" t="str">
        <f>IFERROR(VLOOKUP(Data!$G1102,canon!$I$2:$K$27,2,FALSE),"")</f>
        <v>ACCESSORY</v>
      </c>
      <c r="I1102" s="69" t="str">
        <f>IFERROR(VLOOKUP(Data!$G1102,canon!$I$2:$K$27,3,FALSE),"")</f>
        <v>N.APPAREL</v>
      </c>
      <c r="J1102" s="69">
        <f t="shared" si="34"/>
        <v>1</v>
      </c>
      <c r="K1102" s="69">
        <f t="shared" si="35"/>
        <v>37</v>
      </c>
      <c r="L1102" s="69">
        <f>VLOOKUP(Table_db1_backend_Daily.accdb[[#This Row],[TradingDate]],canon!B:E,4,0)</f>
        <v>29</v>
      </c>
    </row>
    <row r="1103" spans="1:12" x14ac:dyDescent="0.2">
      <c r="A1103" s="69" t="s">
        <v>41</v>
      </c>
      <c r="B1103" s="70">
        <v>42932</v>
      </c>
      <c r="C1103" s="69">
        <v>1548</v>
      </c>
      <c r="D1103" s="69">
        <v>59</v>
      </c>
      <c r="E1103" s="69">
        <v>612.88999999999987</v>
      </c>
      <c r="F1103" s="69">
        <v>186.36999999999998</v>
      </c>
      <c r="G1103" s="69" t="s">
        <v>11</v>
      </c>
      <c r="H1103" s="69" t="str">
        <f>IFERROR(VLOOKUP(Data!$G1103,canon!$I$2:$K$27,2,FALSE),"")</f>
        <v>KNIT</v>
      </c>
      <c r="I1103" s="69" t="str">
        <f>IFERROR(VLOOKUP(Data!$G1103,canon!$I$2:$K$27,3,FALSE),"")</f>
        <v>APPAREL</v>
      </c>
      <c r="J1103" s="69">
        <f t="shared" si="34"/>
        <v>1</v>
      </c>
      <c r="K1103" s="69">
        <f t="shared" si="35"/>
        <v>37</v>
      </c>
      <c r="L1103" s="69">
        <f>VLOOKUP(Table_db1_backend_Daily.accdb[[#This Row],[TradingDate]],canon!B:E,4,0)</f>
        <v>29</v>
      </c>
    </row>
    <row r="1104" spans="1:12" x14ac:dyDescent="0.2">
      <c r="A1104" s="69" t="s">
        <v>41</v>
      </c>
      <c r="B1104" s="70">
        <v>42932</v>
      </c>
      <c r="C1104" s="69">
        <v>533</v>
      </c>
      <c r="D1104" s="69">
        <v>2</v>
      </c>
      <c r="E1104" s="69">
        <v>18.18</v>
      </c>
      <c r="F1104" s="69">
        <v>5.14</v>
      </c>
      <c r="G1104" s="69" t="s">
        <v>14</v>
      </c>
      <c r="H1104" s="69" t="str">
        <f>IFERROR(VLOOKUP(Data!$G1104,canon!$I$2:$K$27,2,FALSE),"")</f>
        <v>LEGGING</v>
      </c>
      <c r="I1104" s="69" t="str">
        <f>IFERROR(VLOOKUP(Data!$G1104,canon!$I$2:$K$27,3,FALSE),"")</f>
        <v>APPAREL</v>
      </c>
      <c r="J1104" s="69">
        <f t="shared" si="34"/>
        <v>1</v>
      </c>
      <c r="K1104" s="69">
        <f t="shared" si="35"/>
        <v>37</v>
      </c>
      <c r="L1104" s="69">
        <f>VLOOKUP(Table_db1_backend_Daily.accdb[[#This Row],[TradingDate]],canon!B:E,4,0)</f>
        <v>29</v>
      </c>
    </row>
    <row r="1105" spans="1:12" x14ac:dyDescent="0.2">
      <c r="A1105" s="69" t="s">
        <v>41</v>
      </c>
      <c r="B1105" s="70">
        <v>42932</v>
      </c>
      <c r="C1105" s="69">
        <v>-43</v>
      </c>
      <c r="D1105" s="69">
        <v>0</v>
      </c>
      <c r="E1105" s="69">
        <v>0</v>
      </c>
      <c r="F1105" s="69">
        <v>0</v>
      </c>
      <c r="G1105" s="69" t="s">
        <v>37</v>
      </c>
      <c r="H1105" s="69" t="str">
        <f>IFERROR(VLOOKUP(Data!$G1105,canon!$I$2:$K$27,2,FALSE),"")</f>
        <v>SHOES</v>
      </c>
      <c r="I1105" s="69" t="str">
        <f>IFERROR(VLOOKUP(Data!$G1105,canon!$I$2:$K$27,3,FALSE),"")</f>
        <v>N.APPAREL</v>
      </c>
      <c r="J1105" s="69">
        <f t="shared" si="34"/>
        <v>1</v>
      </c>
      <c r="K1105" s="69">
        <f t="shared" si="35"/>
        <v>37</v>
      </c>
      <c r="L1105" s="69">
        <f>VLOOKUP(Table_db1_backend_Daily.accdb[[#This Row],[TradingDate]],canon!B:E,4,0)</f>
        <v>29</v>
      </c>
    </row>
    <row r="1106" spans="1:12" x14ac:dyDescent="0.2">
      <c r="A1106" s="69" t="s">
        <v>41</v>
      </c>
      <c r="B1106" s="70">
        <v>42932</v>
      </c>
      <c r="C1106" s="69">
        <v>17</v>
      </c>
      <c r="D1106" s="69">
        <v>0</v>
      </c>
      <c r="E1106" s="69">
        <v>0</v>
      </c>
      <c r="F1106" s="69">
        <v>0</v>
      </c>
      <c r="G1106" s="69" t="s">
        <v>29</v>
      </c>
      <c r="H1106" s="69" t="str">
        <f>IFERROR(VLOOKUP(Data!$G1106,canon!$I$2:$K$27,2,FALSE),"")</f>
        <v>SHOES</v>
      </c>
      <c r="I1106" s="69" t="str">
        <f>IFERROR(VLOOKUP(Data!$G1106,canon!$I$2:$K$27,3,FALSE),"")</f>
        <v>N.APPAREL</v>
      </c>
      <c r="J1106" s="69">
        <f t="shared" si="34"/>
        <v>1</v>
      </c>
      <c r="K1106" s="69">
        <f t="shared" si="35"/>
        <v>37</v>
      </c>
      <c r="L1106" s="69">
        <f>VLOOKUP(Table_db1_backend_Daily.accdb[[#This Row],[TradingDate]],canon!B:E,4,0)</f>
        <v>29</v>
      </c>
    </row>
    <row r="1107" spans="1:12" x14ac:dyDescent="0.2">
      <c r="A1107" s="69" t="s">
        <v>41</v>
      </c>
      <c r="B1107" s="70">
        <v>42932</v>
      </c>
      <c r="C1107" s="69">
        <v>509</v>
      </c>
      <c r="D1107" s="69">
        <v>3</v>
      </c>
      <c r="E1107" s="69">
        <v>40.89</v>
      </c>
      <c r="F1107" s="69">
        <v>16.329999999999998</v>
      </c>
      <c r="G1107" s="69" t="s">
        <v>17</v>
      </c>
      <c r="H1107" s="69" t="str">
        <f>IFERROR(VLOOKUP(Data!$G1107,canon!$I$2:$K$27,2,FALSE),"")</f>
        <v>OUTER</v>
      </c>
      <c r="I1107" s="69" t="str">
        <f>IFERROR(VLOOKUP(Data!$G1107,canon!$I$2:$K$27,3,FALSE),"")</f>
        <v>APPAREL</v>
      </c>
      <c r="J1107" s="69">
        <f t="shared" si="34"/>
        <v>1</v>
      </c>
      <c r="K1107" s="69">
        <f t="shared" si="35"/>
        <v>37</v>
      </c>
      <c r="L1107" s="69">
        <f>VLOOKUP(Table_db1_backend_Daily.accdb[[#This Row],[TradingDate]],canon!B:E,4,0)</f>
        <v>29</v>
      </c>
    </row>
    <row r="1108" spans="1:12" x14ac:dyDescent="0.2">
      <c r="A1108" s="69" t="s">
        <v>41</v>
      </c>
      <c r="B1108" s="70">
        <v>42932</v>
      </c>
      <c r="C1108" s="69">
        <v>291</v>
      </c>
      <c r="D1108" s="69">
        <v>0</v>
      </c>
      <c r="E1108" s="69">
        <v>0</v>
      </c>
      <c r="F1108" s="69">
        <v>0</v>
      </c>
      <c r="G1108" s="69" t="s">
        <v>19</v>
      </c>
      <c r="H1108" s="69" t="str">
        <f>IFERROR(VLOOKUP(Data!$G1108,canon!$I$2:$K$27,2,FALSE),"")</f>
        <v>PANT</v>
      </c>
      <c r="I1108" s="69" t="str">
        <f>IFERROR(VLOOKUP(Data!$G1108,canon!$I$2:$K$27,3,FALSE),"")</f>
        <v>APPAREL</v>
      </c>
      <c r="J1108" s="69">
        <f t="shared" si="34"/>
        <v>1</v>
      </c>
      <c r="K1108" s="69">
        <f t="shared" si="35"/>
        <v>37</v>
      </c>
      <c r="L1108" s="69">
        <f>VLOOKUP(Table_db1_backend_Daily.accdb[[#This Row],[TradingDate]],canon!B:E,4,0)</f>
        <v>29</v>
      </c>
    </row>
    <row r="1109" spans="1:12" x14ac:dyDescent="0.2">
      <c r="A1109" s="69" t="s">
        <v>41</v>
      </c>
      <c r="B1109" s="70">
        <v>42932</v>
      </c>
      <c r="C1109" s="69">
        <v>33</v>
      </c>
      <c r="D1109" s="69">
        <v>0</v>
      </c>
      <c r="E1109" s="69">
        <v>0</v>
      </c>
      <c r="F1109" s="69">
        <v>0</v>
      </c>
      <c r="G1109" s="69" t="s">
        <v>21</v>
      </c>
      <c r="H1109" s="69" t="str">
        <f>IFERROR(VLOOKUP(Data!$G1109,canon!$I$2:$K$27,2,FALSE),"")</f>
        <v>ACCESSORY</v>
      </c>
      <c r="I1109" s="69" t="str">
        <f>IFERROR(VLOOKUP(Data!$G1109,canon!$I$2:$K$27,3,FALSE),"")</f>
        <v>N.APPAREL</v>
      </c>
      <c r="J1109" s="69">
        <f t="shared" si="34"/>
        <v>1</v>
      </c>
      <c r="K1109" s="69">
        <f t="shared" si="35"/>
        <v>37</v>
      </c>
      <c r="L1109" s="69">
        <f>VLOOKUP(Table_db1_backend_Daily.accdb[[#This Row],[TradingDate]],canon!B:E,4,0)</f>
        <v>29</v>
      </c>
    </row>
    <row r="1110" spans="1:12" x14ac:dyDescent="0.2">
      <c r="A1110" s="69" t="s">
        <v>41</v>
      </c>
      <c r="B1110" s="70">
        <v>42932</v>
      </c>
      <c r="C1110" s="69">
        <v>599</v>
      </c>
      <c r="D1110" s="69">
        <v>8</v>
      </c>
      <c r="E1110" s="69">
        <v>36.4</v>
      </c>
      <c r="F1110" s="69">
        <v>21.849999999999998</v>
      </c>
      <c r="G1110" s="69" t="s">
        <v>22</v>
      </c>
      <c r="H1110" s="69" t="str">
        <f>IFERROR(VLOOKUP(Data!$G1110,canon!$I$2:$K$27,2,FALSE),"")</f>
        <v>SCARF</v>
      </c>
      <c r="I1110" s="69" t="str">
        <f>IFERROR(VLOOKUP(Data!$G1110,canon!$I$2:$K$27,3,FALSE),"")</f>
        <v>N.APPAREL</v>
      </c>
      <c r="J1110" s="69">
        <f t="shared" si="34"/>
        <v>1</v>
      </c>
      <c r="K1110" s="69">
        <f t="shared" si="35"/>
        <v>37</v>
      </c>
      <c r="L1110" s="69">
        <f>VLOOKUP(Table_db1_backend_Daily.accdb[[#This Row],[TradingDate]],canon!B:E,4,0)</f>
        <v>29</v>
      </c>
    </row>
    <row r="1111" spans="1:12" x14ac:dyDescent="0.2">
      <c r="A1111" s="69" t="s">
        <v>41</v>
      </c>
      <c r="B1111" s="70">
        <v>42932</v>
      </c>
      <c r="C1111" s="69">
        <v>95</v>
      </c>
      <c r="D1111" s="69">
        <v>4</v>
      </c>
      <c r="E1111" s="69">
        <v>34.79</v>
      </c>
      <c r="F1111" s="69">
        <v>8.27</v>
      </c>
      <c r="G1111" s="69" t="s">
        <v>23</v>
      </c>
      <c r="H1111" s="69" t="str">
        <f>IFERROR(VLOOKUP(Data!$G1111,canon!$I$2:$K$27,2,FALSE),"")</f>
        <v>SH&amp;BL</v>
      </c>
      <c r="I1111" s="69" t="str">
        <f>IFERROR(VLOOKUP(Data!$G1111,canon!$I$2:$K$27,3,FALSE),"")</f>
        <v>APPAREL</v>
      </c>
      <c r="J1111" s="69">
        <f t="shared" si="34"/>
        <v>1</v>
      </c>
      <c r="K1111" s="69">
        <f t="shared" si="35"/>
        <v>37</v>
      </c>
      <c r="L1111" s="69">
        <f>VLOOKUP(Table_db1_backend_Daily.accdb[[#This Row],[TradingDate]],canon!B:E,4,0)</f>
        <v>29</v>
      </c>
    </row>
    <row r="1112" spans="1:12" x14ac:dyDescent="0.2">
      <c r="A1112" s="69" t="s">
        <v>41</v>
      </c>
      <c r="B1112" s="70">
        <v>42932</v>
      </c>
      <c r="C1112" s="69">
        <v>400</v>
      </c>
      <c r="D1112" s="69">
        <v>4</v>
      </c>
      <c r="E1112" s="69">
        <v>30.259999999999998</v>
      </c>
      <c r="F1112" s="69">
        <v>6.6900000000000013</v>
      </c>
      <c r="G1112" s="69" t="s">
        <v>32</v>
      </c>
      <c r="H1112" s="69" t="str">
        <f>IFERROR(VLOOKUP(Data!$G1112,canon!$I$2:$K$27,2,FALSE),"")</f>
        <v>SKIRT</v>
      </c>
      <c r="I1112" s="69" t="str">
        <f>IFERROR(VLOOKUP(Data!$G1112,canon!$I$2:$K$27,3,FALSE),"")</f>
        <v>APPAREL</v>
      </c>
      <c r="J1112" s="69">
        <f t="shared" si="34"/>
        <v>1</v>
      </c>
      <c r="K1112" s="69">
        <f t="shared" si="35"/>
        <v>37</v>
      </c>
      <c r="L1112" s="69">
        <f>VLOOKUP(Table_db1_backend_Daily.accdb[[#This Row],[TradingDate]],canon!B:E,4,0)</f>
        <v>29</v>
      </c>
    </row>
    <row r="1113" spans="1:12" x14ac:dyDescent="0.2">
      <c r="A1113" s="69" t="s">
        <v>41</v>
      </c>
      <c r="B1113" s="70">
        <v>42932</v>
      </c>
      <c r="C1113" s="69">
        <v>1173</v>
      </c>
      <c r="D1113" s="69">
        <v>34</v>
      </c>
      <c r="E1113" s="69">
        <v>186.39000000000004</v>
      </c>
      <c r="F1113" s="69">
        <v>14.830000000000005</v>
      </c>
      <c r="G1113" s="69" t="s">
        <v>25</v>
      </c>
      <c r="H1113" s="69" t="str">
        <f>IFERROR(VLOOKUP(Data!$G1113,canon!$I$2:$K$27,2,FALSE),"")</f>
        <v>TOP</v>
      </c>
      <c r="I1113" s="69" t="str">
        <f>IFERROR(VLOOKUP(Data!$G1113,canon!$I$2:$K$27,3,FALSE),"")</f>
        <v>APPAREL</v>
      </c>
      <c r="J1113" s="69">
        <f t="shared" si="34"/>
        <v>1</v>
      </c>
      <c r="K1113" s="69">
        <f t="shared" si="35"/>
        <v>37</v>
      </c>
      <c r="L1113" s="69">
        <f>VLOOKUP(Table_db1_backend_Daily.accdb[[#This Row],[TradingDate]],canon!B:E,4,0)</f>
        <v>29</v>
      </c>
    </row>
    <row r="1114" spans="1:12" x14ac:dyDescent="0.2">
      <c r="A1114" s="69" t="s">
        <v>41</v>
      </c>
      <c r="B1114" s="70">
        <v>42933</v>
      </c>
      <c r="C1114" s="69">
        <v>4</v>
      </c>
      <c r="D1114" s="69">
        <v>0</v>
      </c>
      <c r="E1114" s="69">
        <v>0</v>
      </c>
      <c r="F1114" s="69">
        <v>0</v>
      </c>
      <c r="G1114" s="69" t="s">
        <v>27</v>
      </c>
      <c r="H1114" s="69" t="str">
        <f>IFERROR(VLOOKUP(Data!$G1114,canon!$I$2:$K$27,2,FALSE),"")</f>
        <v>ACCESSORY</v>
      </c>
      <c r="I1114" s="69" t="str">
        <f>IFERROR(VLOOKUP(Data!$G1114,canon!$I$2:$K$27,3,FALSE),"")</f>
        <v>N.APPAREL</v>
      </c>
      <c r="J1114" s="69">
        <f t="shared" si="34"/>
        <v>2</v>
      </c>
      <c r="K1114" s="69">
        <f t="shared" si="35"/>
        <v>37</v>
      </c>
      <c r="L1114" s="69">
        <f>VLOOKUP(Table_db1_backend_Daily.accdb[[#This Row],[TradingDate]],canon!B:E,4,0)</f>
        <v>29</v>
      </c>
    </row>
    <row r="1115" spans="1:12" x14ac:dyDescent="0.2">
      <c r="A1115" s="69" t="s">
        <v>41</v>
      </c>
      <c r="B1115" s="70">
        <v>42933</v>
      </c>
      <c r="C1115" s="69">
        <v>26</v>
      </c>
      <c r="D1115" s="69">
        <v>0</v>
      </c>
      <c r="E1115" s="69">
        <v>0</v>
      </c>
      <c r="F1115" s="69">
        <v>0</v>
      </c>
      <c r="G1115" s="69" t="s">
        <v>34</v>
      </c>
      <c r="H1115" s="69" t="str">
        <f>IFERROR(VLOOKUP(Data!$G1115,canon!$I$2:$K$27,2,FALSE),"")</f>
        <v>SHOES</v>
      </c>
      <c r="I1115" s="69" t="str">
        <f>IFERROR(VLOOKUP(Data!$G1115,canon!$I$2:$K$27,3,FALSE),"")</f>
        <v>N.APPAREL</v>
      </c>
      <c r="J1115" s="69">
        <f t="shared" si="34"/>
        <v>2</v>
      </c>
      <c r="K1115" s="69">
        <f t="shared" si="35"/>
        <v>37</v>
      </c>
      <c r="L1115" s="69">
        <f>VLOOKUP(Table_db1_backend_Daily.accdb[[#This Row],[TradingDate]],canon!B:E,4,0)</f>
        <v>29</v>
      </c>
    </row>
    <row r="1116" spans="1:12" x14ac:dyDescent="0.2">
      <c r="A1116" s="69" t="s">
        <v>41</v>
      </c>
      <c r="B1116" s="70">
        <v>42933</v>
      </c>
      <c r="C1116" s="69">
        <v>3</v>
      </c>
      <c r="D1116" s="69">
        <v>0</v>
      </c>
      <c r="E1116" s="69">
        <v>0</v>
      </c>
      <c r="F1116" s="69">
        <v>0</v>
      </c>
      <c r="G1116" s="69" t="s">
        <v>38</v>
      </c>
      <c r="H1116" s="69" t="str">
        <f>IFERROR(VLOOKUP(Data!$G1116,canon!$I$2:$K$27,2,FALSE),"")</f>
        <v>SHOES</v>
      </c>
      <c r="I1116" s="69" t="str">
        <f>IFERROR(VLOOKUP(Data!$G1116,canon!$I$2:$K$27,3,FALSE),"")</f>
        <v>N.APPAREL</v>
      </c>
      <c r="J1116" s="69">
        <f t="shared" si="34"/>
        <v>2</v>
      </c>
      <c r="K1116" s="69">
        <f t="shared" si="35"/>
        <v>37</v>
      </c>
      <c r="L1116" s="69">
        <f>VLOOKUP(Table_db1_backend_Daily.accdb[[#This Row],[TradingDate]],canon!B:E,4,0)</f>
        <v>29</v>
      </c>
    </row>
    <row r="1117" spans="1:12" x14ac:dyDescent="0.2">
      <c r="A1117" s="69" t="s">
        <v>41</v>
      </c>
      <c r="B1117" s="70">
        <v>42933</v>
      </c>
      <c r="C1117" s="69">
        <v>646</v>
      </c>
      <c r="D1117" s="69">
        <v>2</v>
      </c>
      <c r="E1117" s="69">
        <v>6.06</v>
      </c>
      <c r="F1117" s="69">
        <v>-11.34</v>
      </c>
      <c r="G1117" s="69" t="s">
        <v>35</v>
      </c>
      <c r="H1117" s="69" t="str">
        <f>IFERROR(VLOOKUP(Data!$G1117,canon!$I$2:$K$27,2,FALSE),"")</f>
        <v>DRESS</v>
      </c>
      <c r="I1117" s="69" t="str">
        <f>IFERROR(VLOOKUP(Data!$G1117,canon!$I$2:$K$27,3,FALSE),"")</f>
        <v>APPAREL</v>
      </c>
      <c r="J1117" s="69">
        <f t="shared" si="34"/>
        <v>2</v>
      </c>
      <c r="K1117" s="69">
        <f t="shared" si="35"/>
        <v>37</v>
      </c>
      <c r="L1117" s="69">
        <f>VLOOKUP(Table_db1_backend_Daily.accdb[[#This Row],[TradingDate]],canon!B:E,4,0)</f>
        <v>29</v>
      </c>
    </row>
    <row r="1118" spans="1:12" x14ac:dyDescent="0.2">
      <c r="A1118" s="69" t="s">
        <v>41</v>
      </c>
      <c r="B1118" s="70">
        <v>42933</v>
      </c>
      <c r="C1118" s="69">
        <v>39</v>
      </c>
      <c r="D1118" s="69">
        <v>0</v>
      </c>
      <c r="E1118" s="69">
        <v>0</v>
      </c>
      <c r="F1118" s="69">
        <v>0</v>
      </c>
      <c r="G1118" s="69" t="s">
        <v>10</v>
      </c>
      <c r="H1118" s="69" t="str">
        <f>IFERROR(VLOOKUP(Data!$G1118,canon!$I$2:$K$27,2,FALSE),"")</f>
        <v>ACCESSORY</v>
      </c>
      <c r="I1118" s="69" t="str">
        <f>IFERROR(VLOOKUP(Data!$G1118,canon!$I$2:$K$27,3,FALSE),"")</f>
        <v>N.APPAREL</v>
      </c>
      <c r="J1118" s="69">
        <f t="shared" si="34"/>
        <v>2</v>
      </c>
      <c r="K1118" s="69">
        <f t="shared" si="35"/>
        <v>37</v>
      </c>
      <c r="L1118" s="69">
        <f>VLOOKUP(Table_db1_backend_Daily.accdb[[#This Row],[TradingDate]],canon!B:E,4,0)</f>
        <v>29</v>
      </c>
    </row>
    <row r="1119" spans="1:12" x14ac:dyDescent="0.2">
      <c r="A1119" s="69" t="s">
        <v>41</v>
      </c>
      <c r="B1119" s="70">
        <v>42933</v>
      </c>
      <c r="C1119" s="69">
        <v>2</v>
      </c>
      <c r="D1119" s="69">
        <v>0</v>
      </c>
      <c r="E1119" s="69">
        <v>0</v>
      </c>
      <c r="F1119" s="69">
        <v>0</v>
      </c>
      <c r="G1119" s="69" t="s">
        <v>28</v>
      </c>
      <c r="H1119" s="69" t="str">
        <f>IFERROR(VLOOKUP(Data!$G1119,canon!$I$2:$K$27,2,FALSE),"")</f>
        <v>ACCESSORY</v>
      </c>
      <c r="I1119" s="69" t="str">
        <f>IFERROR(VLOOKUP(Data!$G1119,canon!$I$2:$K$27,3,FALSE),"")</f>
        <v>N.APPAREL</v>
      </c>
      <c r="J1119" s="69">
        <f t="shared" si="34"/>
        <v>2</v>
      </c>
      <c r="K1119" s="69">
        <f t="shared" si="35"/>
        <v>37</v>
      </c>
      <c r="L1119" s="69">
        <f>VLOOKUP(Table_db1_backend_Daily.accdb[[#This Row],[TradingDate]],canon!B:E,4,0)</f>
        <v>29</v>
      </c>
    </row>
    <row r="1120" spans="1:12" x14ac:dyDescent="0.2">
      <c r="A1120" s="69" t="s">
        <v>41</v>
      </c>
      <c r="B1120" s="70">
        <v>42933</v>
      </c>
      <c r="C1120" s="69">
        <v>1501</v>
      </c>
      <c r="D1120" s="69">
        <v>47</v>
      </c>
      <c r="E1120" s="69">
        <v>382.53999999999985</v>
      </c>
      <c r="F1120" s="69">
        <v>45.27</v>
      </c>
      <c r="G1120" s="69" t="s">
        <v>11</v>
      </c>
      <c r="H1120" s="69" t="str">
        <f>IFERROR(VLOOKUP(Data!$G1120,canon!$I$2:$K$27,2,FALSE),"")</f>
        <v>KNIT</v>
      </c>
      <c r="I1120" s="69" t="str">
        <f>IFERROR(VLOOKUP(Data!$G1120,canon!$I$2:$K$27,3,FALSE),"")</f>
        <v>APPAREL</v>
      </c>
      <c r="J1120" s="69">
        <f t="shared" si="34"/>
        <v>2</v>
      </c>
      <c r="K1120" s="69">
        <f t="shared" si="35"/>
        <v>37</v>
      </c>
      <c r="L1120" s="69">
        <f>VLOOKUP(Table_db1_backend_Daily.accdb[[#This Row],[TradingDate]],canon!B:E,4,0)</f>
        <v>29</v>
      </c>
    </row>
    <row r="1121" spans="1:12" x14ac:dyDescent="0.2">
      <c r="A1121" s="69" t="s">
        <v>41</v>
      </c>
      <c r="B1121" s="70">
        <v>42933</v>
      </c>
      <c r="C1121" s="69">
        <v>527</v>
      </c>
      <c r="D1121" s="69">
        <v>6</v>
      </c>
      <c r="E1121" s="69">
        <v>30.93</v>
      </c>
      <c r="F1121" s="69">
        <v>0.50999999999999979</v>
      </c>
      <c r="G1121" s="69" t="s">
        <v>14</v>
      </c>
      <c r="H1121" s="69" t="str">
        <f>IFERROR(VLOOKUP(Data!$G1121,canon!$I$2:$K$27,2,FALSE),"")</f>
        <v>LEGGING</v>
      </c>
      <c r="I1121" s="69" t="str">
        <f>IFERROR(VLOOKUP(Data!$G1121,canon!$I$2:$K$27,3,FALSE),"")</f>
        <v>APPAREL</v>
      </c>
      <c r="J1121" s="69">
        <f t="shared" si="34"/>
        <v>2</v>
      </c>
      <c r="K1121" s="69">
        <f t="shared" si="35"/>
        <v>37</v>
      </c>
      <c r="L1121" s="69">
        <f>VLOOKUP(Table_db1_backend_Daily.accdb[[#This Row],[TradingDate]],canon!B:E,4,0)</f>
        <v>29</v>
      </c>
    </row>
    <row r="1122" spans="1:12" x14ac:dyDescent="0.2">
      <c r="A1122" s="69" t="s">
        <v>41</v>
      </c>
      <c r="B1122" s="70">
        <v>42933</v>
      </c>
      <c r="C1122" s="69">
        <v>-43</v>
      </c>
      <c r="D1122" s="69">
        <v>0</v>
      </c>
      <c r="E1122" s="69">
        <v>0</v>
      </c>
      <c r="F1122" s="69">
        <v>0</v>
      </c>
      <c r="G1122" s="69" t="s">
        <v>37</v>
      </c>
      <c r="H1122" s="69" t="str">
        <f>IFERROR(VLOOKUP(Data!$G1122,canon!$I$2:$K$27,2,FALSE),"")</f>
        <v>SHOES</v>
      </c>
      <c r="I1122" s="69" t="str">
        <f>IFERROR(VLOOKUP(Data!$G1122,canon!$I$2:$K$27,3,FALSE),"")</f>
        <v>N.APPAREL</v>
      </c>
      <c r="J1122" s="69">
        <f t="shared" si="34"/>
        <v>2</v>
      </c>
      <c r="K1122" s="69">
        <f t="shared" si="35"/>
        <v>37</v>
      </c>
      <c r="L1122" s="69">
        <f>VLOOKUP(Table_db1_backend_Daily.accdb[[#This Row],[TradingDate]],canon!B:E,4,0)</f>
        <v>29</v>
      </c>
    </row>
    <row r="1123" spans="1:12" x14ac:dyDescent="0.2">
      <c r="A1123" s="69" t="s">
        <v>41</v>
      </c>
      <c r="B1123" s="70">
        <v>42933</v>
      </c>
      <c r="C1123" s="69">
        <v>17</v>
      </c>
      <c r="D1123" s="69">
        <v>0</v>
      </c>
      <c r="E1123" s="69">
        <v>0</v>
      </c>
      <c r="F1123" s="69">
        <v>0</v>
      </c>
      <c r="G1123" s="69" t="s">
        <v>29</v>
      </c>
      <c r="H1123" s="69" t="str">
        <f>IFERROR(VLOOKUP(Data!$G1123,canon!$I$2:$K$27,2,FALSE),"")</f>
        <v>SHOES</v>
      </c>
      <c r="I1123" s="69" t="str">
        <f>IFERROR(VLOOKUP(Data!$G1123,canon!$I$2:$K$27,3,FALSE),"")</f>
        <v>N.APPAREL</v>
      </c>
      <c r="J1123" s="69">
        <f t="shared" si="34"/>
        <v>2</v>
      </c>
      <c r="K1123" s="69">
        <f t="shared" si="35"/>
        <v>37</v>
      </c>
      <c r="L1123" s="69">
        <f>VLOOKUP(Table_db1_backend_Daily.accdb[[#This Row],[TradingDate]],canon!B:E,4,0)</f>
        <v>29</v>
      </c>
    </row>
    <row r="1124" spans="1:12" x14ac:dyDescent="0.2">
      <c r="A1124" s="69" t="s">
        <v>41</v>
      </c>
      <c r="B1124" s="70">
        <v>42933</v>
      </c>
      <c r="C1124" s="69">
        <v>501</v>
      </c>
      <c r="D1124" s="69">
        <v>8</v>
      </c>
      <c r="E1124" s="69">
        <v>124.4</v>
      </c>
      <c r="F1124" s="69">
        <v>52.410000000000004</v>
      </c>
      <c r="G1124" s="69" t="s">
        <v>17</v>
      </c>
      <c r="H1124" s="69" t="str">
        <f>IFERROR(VLOOKUP(Data!$G1124,canon!$I$2:$K$27,2,FALSE),"")</f>
        <v>OUTER</v>
      </c>
      <c r="I1124" s="69" t="str">
        <f>IFERROR(VLOOKUP(Data!$G1124,canon!$I$2:$K$27,3,FALSE),"")</f>
        <v>APPAREL</v>
      </c>
      <c r="J1124" s="69">
        <f t="shared" si="34"/>
        <v>2</v>
      </c>
      <c r="K1124" s="69">
        <f t="shared" si="35"/>
        <v>37</v>
      </c>
      <c r="L1124" s="69">
        <f>VLOOKUP(Table_db1_backend_Daily.accdb[[#This Row],[TradingDate]],canon!B:E,4,0)</f>
        <v>29</v>
      </c>
    </row>
    <row r="1125" spans="1:12" x14ac:dyDescent="0.2">
      <c r="A1125" s="69" t="s">
        <v>41</v>
      </c>
      <c r="B1125" s="70">
        <v>42933</v>
      </c>
      <c r="C1125" s="69">
        <v>284</v>
      </c>
      <c r="D1125" s="69">
        <v>7</v>
      </c>
      <c r="E1125" s="69">
        <v>63.550000000000011</v>
      </c>
      <c r="F1125" s="69">
        <v>23.75</v>
      </c>
      <c r="G1125" s="69" t="s">
        <v>19</v>
      </c>
      <c r="H1125" s="69" t="str">
        <f>IFERROR(VLOOKUP(Data!$G1125,canon!$I$2:$K$27,2,FALSE),"")</f>
        <v>PANT</v>
      </c>
      <c r="I1125" s="69" t="str">
        <f>IFERROR(VLOOKUP(Data!$G1125,canon!$I$2:$K$27,3,FALSE),"")</f>
        <v>APPAREL</v>
      </c>
      <c r="J1125" s="69">
        <f t="shared" si="34"/>
        <v>2</v>
      </c>
      <c r="K1125" s="69">
        <f t="shared" si="35"/>
        <v>37</v>
      </c>
      <c r="L1125" s="69">
        <f>VLOOKUP(Table_db1_backend_Daily.accdb[[#This Row],[TradingDate]],canon!B:E,4,0)</f>
        <v>29</v>
      </c>
    </row>
    <row r="1126" spans="1:12" x14ac:dyDescent="0.2">
      <c r="A1126" s="69" t="s">
        <v>41</v>
      </c>
      <c r="B1126" s="70">
        <v>42933</v>
      </c>
      <c r="C1126" s="69">
        <v>33</v>
      </c>
      <c r="D1126" s="69">
        <v>0</v>
      </c>
      <c r="E1126" s="69">
        <v>0</v>
      </c>
      <c r="F1126" s="69">
        <v>0</v>
      </c>
      <c r="G1126" s="69" t="s">
        <v>21</v>
      </c>
      <c r="H1126" s="69" t="str">
        <f>IFERROR(VLOOKUP(Data!$G1126,canon!$I$2:$K$27,2,FALSE),"")</f>
        <v>ACCESSORY</v>
      </c>
      <c r="I1126" s="69" t="str">
        <f>IFERROR(VLOOKUP(Data!$G1126,canon!$I$2:$K$27,3,FALSE),"")</f>
        <v>N.APPAREL</v>
      </c>
      <c r="J1126" s="69">
        <f t="shared" si="34"/>
        <v>2</v>
      </c>
      <c r="K1126" s="69">
        <f t="shared" si="35"/>
        <v>37</v>
      </c>
      <c r="L1126" s="69">
        <f>VLOOKUP(Table_db1_backend_Daily.accdb[[#This Row],[TradingDate]],canon!B:E,4,0)</f>
        <v>29</v>
      </c>
    </row>
    <row r="1127" spans="1:12" x14ac:dyDescent="0.2">
      <c r="A1127" s="69" t="s">
        <v>41</v>
      </c>
      <c r="B1127" s="70">
        <v>42933</v>
      </c>
      <c r="C1127" s="69">
        <v>591</v>
      </c>
      <c r="D1127" s="69">
        <v>8</v>
      </c>
      <c r="E1127" s="69">
        <v>36.39</v>
      </c>
      <c r="F1127" s="69">
        <v>21.73</v>
      </c>
      <c r="G1127" s="69" t="s">
        <v>22</v>
      </c>
      <c r="H1127" s="69" t="str">
        <f>IFERROR(VLOOKUP(Data!$G1127,canon!$I$2:$K$27,2,FALSE),"")</f>
        <v>SCARF</v>
      </c>
      <c r="I1127" s="69" t="str">
        <f>IFERROR(VLOOKUP(Data!$G1127,canon!$I$2:$K$27,3,FALSE),"")</f>
        <v>N.APPAREL</v>
      </c>
      <c r="J1127" s="69">
        <f t="shared" si="34"/>
        <v>2</v>
      </c>
      <c r="K1127" s="69">
        <f t="shared" si="35"/>
        <v>37</v>
      </c>
      <c r="L1127" s="69">
        <f>VLOOKUP(Table_db1_backend_Daily.accdb[[#This Row],[TradingDate]],canon!B:E,4,0)</f>
        <v>29</v>
      </c>
    </row>
    <row r="1128" spans="1:12" x14ac:dyDescent="0.2">
      <c r="A1128" s="69" t="s">
        <v>41</v>
      </c>
      <c r="B1128" s="70">
        <v>42933</v>
      </c>
      <c r="C1128" s="69">
        <v>93</v>
      </c>
      <c r="D1128" s="69">
        <v>2</v>
      </c>
      <c r="E1128" s="69">
        <v>4.55</v>
      </c>
      <c r="F1128" s="69">
        <v>-9.7899999999999991</v>
      </c>
      <c r="G1128" s="69" t="s">
        <v>23</v>
      </c>
      <c r="H1128" s="69" t="str">
        <f>IFERROR(VLOOKUP(Data!$G1128,canon!$I$2:$K$27,2,FALSE),"")</f>
        <v>SH&amp;BL</v>
      </c>
      <c r="I1128" s="69" t="str">
        <f>IFERROR(VLOOKUP(Data!$G1128,canon!$I$2:$K$27,3,FALSE),"")</f>
        <v>APPAREL</v>
      </c>
      <c r="J1128" s="69">
        <f t="shared" si="34"/>
        <v>2</v>
      </c>
      <c r="K1128" s="69">
        <f t="shared" si="35"/>
        <v>37</v>
      </c>
      <c r="L1128" s="69">
        <f>VLOOKUP(Table_db1_backend_Daily.accdb[[#This Row],[TradingDate]],canon!B:E,4,0)</f>
        <v>29</v>
      </c>
    </row>
    <row r="1129" spans="1:12" x14ac:dyDescent="0.2">
      <c r="A1129" s="69" t="s">
        <v>41</v>
      </c>
      <c r="B1129" s="70">
        <v>42933</v>
      </c>
      <c r="C1129" s="69">
        <v>393</v>
      </c>
      <c r="D1129" s="69">
        <v>7</v>
      </c>
      <c r="E1129" s="69">
        <v>56.620000000000005</v>
      </c>
      <c r="F1129" s="69">
        <v>9.77</v>
      </c>
      <c r="G1129" s="69" t="s">
        <v>32</v>
      </c>
      <c r="H1129" s="69" t="str">
        <f>IFERROR(VLOOKUP(Data!$G1129,canon!$I$2:$K$27,2,FALSE),"")</f>
        <v>SKIRT</v>
      </c>
      <c r="I1129" s="69" t="str">
        <f>IFERROR(VLOOKUP(Data!$G1129,canon!$I$2:$K$27,3,FALSE),"")</f>
        <v>APPAREL</v>
      </c>
      <c r="J1129" s="69">
        <f t="shared" si="34"/>
        <v>2</v>
      </c>
      <c r="K1129" s="69">
        <f t="shared" si="35"/>
        <v>37</v>
      </c>
      <c r="L1129" s="69">
        <f>VLOOKUP(Table_db1_backend_Daily.accdb[[#This Row],[TradingDate]],canon!B:E,4,0)</f>
        <v>29</v>
      </c>
    </row>
    <row r="1130" spans="1:12" x14ac:dyDescent="0.2">
      <c r="A1130" s="69" t="s">
        <v>41</v>
      </c>
      <c r="B1130" s="70">
        <v>42933</v>
      </c>
      <c r="C1130" s="69">
        <v>1152</v>
      </c>
      <c r="D1130" s="69">
        <v>21</v>
      </c>
      <c r="E1130" s="69">
        <v>139.89000000000001</v>
      </c>
      <c r="F1130" s="69">
        <v>42.63</v>
      </c>
      <c r="G1130" s="69" t="s">
        <v>25</v>
      </c>
      <c r="H1130" s="69" t="str">
        <f>IFERROR(VLOOKUP(Data!$G1130,canon!$I$2:$K$27,2,FALSE),"")</f>
        <v>TOP</v>
      </c>
      <c r="I1130" s="69" t="str">
        <f>IFERROR(VLOOKUP(Data!$G1130,canon!$I$2:$K$27,3,FALSE),"")</f>
        <v>APPAREL</v>
      </c>
      <c r="J1130" s="69">
        <f t="shared" si="34"/>
        <v>2</v>
      </c>
      <c r="K1130" s="69">
        <f t="shared" si="35"/>
        <v>37</v>
      </c>
      <c r="L1130" s="69">
        <f>VLOOKUP(Table_db1_backend_Daily.accdb[[#This Row],[TradingDate]],canon!B:E,4,0)</f>
        <v>29</v>
      </c>
    </row>
    <row r="1131" spans="1:12" x14ac:dyDescent="0.2">
      <c r="A1131" s="69" t="s">
        <v>41</v>
      </c>
      <c r="B1131" s="70">
        <v>42934</v>
      </c>
      <c r="C1131" s="69">
        <v>4</v>
      </c>
      <c r="D1131" s="69">
        <v>0</v>
      </c>
      <c r="E1131" s="69">
        <v>0</v>
      </c>
      <c r="F1131" s="69">
        <v>0</v>
      </c>
      <c r="G1131" s="69" t="s">
        <v>27</v>
      </c>
      <c r="H1131" s="69" t="str">
        <f>IFERROR(VLOOKUP(Data!$G1131,canon!$I$2:$K$27,2,FALSE),"")</f>
        <v>ACCESSORY</v>
      </c>
      <c r="I1131" s="69" t="str">
        <f>IFERROR(VLOOKUP(Data!$G1131,canon!$I$2:$K$27,3,FALSE),"")</f>
        <v>N.APPAREL</v>
      </c>
      <c r="J1131" s="69">
        <f t="shared" si="34"/>
        <v>3</v>
      </c>
      <c r="K1131" s="69">
        <f t="shared" si="35"/>
        <v>37</v>
      </c>
      <c r="L1131" s="69">
        <f>VLOOKUP(Table_db1_backend_Daily.accdb[[#This Row],[TradingDate]],canon!B:E,4,0)</f>
        <v>29</v>
      </c>
    </row>
    <row r="1132" spans="1:12" x14ac:dyDescent="0.2">
      <c r="A1132" s="69" t="s">
        <v>41</v>
      </c>
      <c r="B1132" s="70">
        <v>42934</v>
      </c>
      <c r="C1132" s="69">
        <v>26</v>
      </c>
      <c r="D1132" s="69">
        <v>0</v>
      </c>
      <c r="E1132" s="69">
        <v>0</v>
      </c>
      <c r="F1132" s="69">
        <v>0</v>
      </c>
      <c r="G1132" s="69" t="s">
        <v>34</v>
      </c>
      <c r="H1132" s="69" t="str">
        <f>IFERROR(VLOOKUP(Data!$G1132,canon!$I$2:$K$27,2,FALSE),"")</f>
        <v>SHOES</v>
      </c>
      <c r="I1132" s="69" t="str">
        <f>IFERROR(VLOOKUP(Data!$G1132,canon!$I$2:$K$27,3,FALSE),"")</f>
        <v>N.APPAREL</v>
      </c>
      <c r="J1132" s="69">
        <f t="shared" si="34"/>
        <v>3</v>
      </c>
      <c r="K1132" s="69">
        <f t="shared" si="35"/>
        <v>37</v>
      </c>
      <c r="L1132" s="69">
        <f>VLOOKUP(Table_db1_backend_Daily.accdb[[#This Row],[TradingDate]],canon!B:E,4,0)</f>
        <v>29</v>
      </c>
    </row>
    <row r="1133" spans="1:12" x14ac:dyDescent="0.2">
      <c r="A1133" s="69" t="s">
        <v>41</v>
      </c>
      <c r="B1133" s="70">
        <v>42934</v>
      </c>
      <c r="C1133" s="69">
        <v>3</v>
      </c>
      <c r="D1133" s="69">
        <v>0</v>
      </c>
      <c r="E1133" s="69">
        <v>0</v>
      </c>
      <c r="F1133" s="69">
        <v>0</v>
      </c>
      <c r="G1133" s="69" t="s">
        <v>38</v>
      </c>
      <c r="H1133" s="69" t="str">
        <f>IFERROR(VLOOKUP(Data!$G1133,canon!$I$2:$K$27,2,FALSE),"")</f>
        <v>SHOES</v>
      </c>
      <c r="I1133" s="69" t="str">
        <f>IFERROR(VLOOKUP(Data!$G1133,canon!$I$2:$K$27,3,FALSE),"")</f>
        <v>N.APPAREL</v>
      </c>
      <c r="J1133" s="69">
        <f t="shared" si="34"/>
        <v>3</v>
      </c>
      <c r="K1133" s="69">
        <f t="shared" si="35"/>
        <v>37</v>
      </c>
      <c r="L1133" s="69">
        <f>VLOOKUP(Table_db1_backend_Daily.accdb[[#This Row],[TradingDate]],canon!B:E,4,0)</f>
        <v>29</v>
      </c>
    </row>
    <row r="1134" spans="1:12" x14ac:dyDescent="0.2">
      <c r="A1134" s="69" t="s">
        <v>41</v>
      </c>
      <c r="B1134" s="70">
        <v>42934</v>
      </c>
      <c r="C1134" s="69">
        <v>639</v>
      </c>
      <c r="D1134" s="69">
        <v>7</v>
      </c>
      <c r="E1134" s="69">
        <v>72.239999999999995</v>
      </c>
      <c r="F1134" s="69">
        <v>11.370000000000001</v>
      </c>
      <c r="G1134" s="69" t="s">
        <v>35</v>
      </c>
      <c r="H1134" s="69" t="str">
        <f>IFERROR(VLOOKUP(Data!$G1134,canon!$I$2:$K$27,2,FALSE),"")</f>
        <v>DRESS</v>
      </c>
      <c r="I1134" s="69" t="str">
        <f>IFERROR(VLOOKUP(Data!$G1134,canon!$I$2:$K$27,3,FALSE),"")</f>
        <v>APPAREL</v>
      </c>
      <c r="J1134" s="69">
        <f t="shared" si="34"/>
        <v>3</v>
      </c>
      <c r="K1134" s="69">
        <f t="shared" si="35"/>
        <v>37</v>
      </c>
      <c r="L1134" s="69">
        <f>VLOOKUP(Table_db1_backend_Daily.accdb[[#This Row],[TradingDate]],canon!B:E,4,0)</f>
        <v>29</v>
      </c>
    </row>
    <row r="1135" spans="1:12" x14ac:dyDescent="0.2">
      <c r="A1135" s="69" t="s">
        <v>41</v>
      </c>
      <c r="B1135" s="70">
        <v>42934</v>
      </c>
      <c r="C1135" s="69">
        <v>39</v>
      </c>
      <c r="D1135" s="69">
        <v>0</v>
      </c>
      <c r="E1135" s="69">
        <v>0</v>
      </c>
      <c r="F1135" s="69">
        <v>0</v>
      </c>
      <c r="G1135" s="69" t="s">
        <v>10</v>
      </c>
      <c r="H1135" s="69" t="str">
        <f>IFERROR(VLOOKUP(Data!$G1135,canon!$I$2:$K$27,2,FALSE),"")</f>
        <v>ACCESSORY</v>
      </c>
      <c r="I1135" s="69" t="str">
        <f>IFERROR(VLOOKUP(Data!$G1135,canon!$I$2:$K$27,3,FALSE),"")</f>
        <v>N.APPAREL</v>
      </c>
      <c r="J1135" s="69">
        <f t="shared" si="34"/>
        <v>3</v>
      </c>
      <c r="K1135" s="69">
        <f t="shared" si="35"/>
        <v>37</v>
      </c>
      <c r="L1135" s="69">
        <f>VLOOKUP(Table_db1_backend_Daily.accdb[[#This Row],[TradingDate]],canon!B:E,4,0)</f>
        <v>29</v>
      </c>
    </row>
    <row r="1136" spans="1:12" x14ac:dyDescent="0.2">
      <c r="A1136" s="69" t="s">
        <v>41</v>
      </c>
      <c r="B1136" s="70">
        <v>42934</v>
      </c>
      <c r="C1136" s="69">
        <v>2</v>
      </c>
      <c r="D1136" s="69">
        <v>0</v>
      </c>
      <c r="E1136" s="69">
        <v>0</v>
      </c>
      <c r="F1136" s="69">
        <v>0</v>
      </c>
      <c r="G1136" s="69" t="s">
        <v>28</v>
      </c>
      <c r="H1136" s="69" t="str">
        <f>IFERROR(VLOOKUP(Data!$G1136,canon!$I$2:$K$27,2,FALSE),"")</f>
        <v>ACCESSORY</v>
      </c>
      <c r="I1136" s="69" t="str">
        <f>IFERROR(VLOOKUP(Data!$G1136,canon!$I$2:$K$27,3,FALSE),"")</f>
        <v>N.APPAREL</v>
      </c>
      <c r="J1136" s="69">
        <f t="shared" si="34"/>
        <v>3</v>
      </c>
      <c r="K1136" s="69">
        <f t="shared" si="35"/>
        <v>37</v>
      </c>
      <c r="L1136" s="69">
        <f>VLOOKUP(Table_db1_backend_Daily.accdb[[#This Row],[TradingDate]],canon!B:E,4,0)</f>
        <v>29</v>
      </c>
    </row>
    <row r="1137" spans="1:12" x14ac:dyDescent="0.2">
      <c r="A1137" s="69" t="s">
        <v>41</v>
      </c>
      <c r="B1137" s="70">
        <v>42934</v>
      </c>
      <c r="C1137" s="69">
        <v>1873</v>
      </c>
      <c r="D1137" s="69">
        <v>45</v>
      </c>
      <c r="E1137" s="69">
        <v>399.28</v>
      </c>
      <c r="F1137" s="69">
        <v>64.470000000000013</v>
      </c>
      <c r="G1137" s="69" t="s">
        <v>11</v>
      </c>
      <c r="H1137" s="69" t="str">
        <f>IFERROR(VLOOKUP(Data!$G1137,canon!$I$2:$K$27,2,FALSE),"")</f>
        <v>KNIT</v>
      </c>
      <c r="I1137" s="69" t="str">
        <f>IFERROR(VLOOKUP(Data!$G1137,canon!$I$2:$K$27,3,FALSE),"")</f>
        <v>APPAREL</v>
      </c>
      <c r="J1137" s="69">
        <f t="shared" si="34"/>
        <v>3</v>
      </c>
      <c r="K1137" s="69">
        <f t="shared" si="35"/>
        <v>37</v>
      </c>
      <c r="L1137" s="69">
        <f>VLOOKUP(Table_db1_backend_Daily.accdb[[#This Row],[TradingDate]],canon!B:E,4,0)</f>
        <v>29</v>
      </c>
    </row>
    <row r="1138" spans="1:12" x14ac:dyDescent="0.2">
      <c r="A1138" s="69" t="s">
        <v>41</v>
      </c>
      <c r="B1138" s="70">
        <v>42934</v>
      </c>
      <c r="C1138" s="69">
        <v>533</v>
      </c>
      <c r="D1138" s="69">
        <v>0</v>
      </c>
      <c r="E1138" s="69">
        <v>0</v>
      </c>
      <c r="F1138" s="69">
        <v>0</v>
      </c>
      <c r="G1138" s="69" t="s">
        <v>14</v>
      </c>
      <c r="H1138" s="69" t="str">
        <f>IFERROR(VLOOKUP(Data!$G1138,canon!$I$2:$K$27,2,FALSE),"")</f>
        <v>LEGGING</v>
      </c>
      <c r="I1138" s="69" t="str">
        <f>IFERROR(VLOOKUP(Data!$G1138,canon!$I$2:$K$27,3,FALSE),"")</f>
        <v>APPAREL</v>
      </c>
      <c r="J1138" s="69">
        <f t="shared" si="34"/>
        <v>3</v>
      </c>
      <c r="K1138" s="69">
        <f t="shared" si="35"/>
        <v>37</v>
      </c>
      <c r="L1138" s="69">
        <f>VLOOKUP(Table_db1_backend_Daily.accdb[[#This Row],[TradingDate]],canon!B:E,4,0)</f>
        <v>29</v>
      </c>
    </row>
    <row r="1139" spans="1:12" x14ac:dyDescent="0.2">
      <c r="A1139" s="69" t="s">
        <v>41</v>
      </c>
      <c r="B1139" s="70">
        <v>42934</v>
      </c>
      <c r="C1139" s="69">
        <v>-43</v>
      </c>
      <c r="D1139" s="69">
        <v>0</v>
      </c>
      <c r="E1139" s="69">
        <v>0</v>
      </c>
      <c r="F1139" s="69">
        <v>0</v>
      </c>
      <c r="G1139" s="69" t="s">
        <v>37</v>
      </c>
      <c r="H1139" s="69" t="str">
        <f>IFERROR(VLOOKUP(Data!$G1139,canon!$I$2:$K$27,2,FALSE),"")</f>
        <v>SHOES</v>
      </c>
      <c r="I1139" s="69" t="str">
        <f>IFERROR(VLOOKUP(Data!$G1139,canon!$I$2:$K$27,3,FALSE),"")</f>
        <v>N.APPAREL</v>
      </c>
      <c r="J1139" s="69">
        <f t="shared" si="34"/>
        <v>3</v>
      </c>
      <c r="K1139" s="69">
        <f t="shared" si="35"/>
        <v>37</v>
      </c>
      <c r="L1139" s="69">
        <f>VLOOKUP(Table_db1_backend_Daily.accdb[[#This Row],[TradingDate]],canon!B:E,4,0)</f>
        <v>29</v>
      </c>
    </row>
    <row r="1140" spans="1:12" x14ac:dyDescent="0.2">
      <c r="A1140" s="69" t="s">
        <v>41</v>
      </c>
      <c r="B1140" s="70">
        <v>42934</v>
      </c>
      <c r="C1140" s="69">
        <v>17</v>
      </c>
      <c r="D1140" s="69">
        <v>0</v>
      </c>
      <c r="E1140" s="69">
        <v>0</v>
      </c>
      <c r="F1140" s="69">
        <v>0</v>
      </c>
      <c r="G1140" s="69" t="s">
        <v>29</v>
      </c>
      <c r="H1140" s="69" t="str">
        <f>IFERROR(VLOOKUP(Data!$G1140,canon!$I$2:$K$27,2,FALSE),"")</f>
        <v>SHOES</v>
      </c>
      <c r="I1140" s="69" t="str">
        <f>IFERROR(VLOOKUP(Data!$G1140,canon!$I$2:$K$27,3,FALSE),"")</f>
        <v>N.APPAREL</v>
      </c>
      <c r="J1140" s="69">
        <f t="shared" si="34"/>
        <v>3</v>
      </c>
      <c r="K1140" s="69">
        <f t="shared" si="35"/>
        <v>37</v>
      </c>
      <c r="L1140" s="69">
        <f>VLOOKUP(Table_db1_backend_Daily.accdb[[#This Row],[TradingDate]],canon!B:E,4,0)</f>
        <v>29</v>
      </c>
    </row>
    <row r="1141" spans="1:12" x14ac:dyDescent="0.2">
      <c r="A1141" s="69" t="s">
        <v>41</v>
      </c>
      <c r="B1141" s="70">
        <v>42934</v>
      </c>
      <c r="C1141" s="69">
        <v>507</v>
      </c>
      <c r="D1141" s="69">
        <v>6</v>
      </c>
      <c r="E1141" s="69">
        <v>94.75</v>
      </c>
      <c r="F1141" s="69">
        <v>33.6</v>
      </c>
      <c r="G1141" s="69" t="s">
        <v>17</v>
      </c>
      <c r="H1141" s="69" t="str">
        <f>IFERROR(VLOOKUP(Data!$G1141,canon!$I$2:$K$27,2,FALSE),"")</f>
        <v>OUTER</v>
      </c>
      <c r="I1141" s="69" t="str">
        <f>IFERROR(VLOOKUP(Data!$G1141,canon!$I$2:$K$27,3,FALSE),"")</f>
        <v>APPAREL</v>
      </c>
      <c r="J1141" s="69">
        <f t="shared" si="34"/>
        <v>3</v>
      </c>
      <c r="K1141" s="69">
        <f t="shared" si="35"/>
        <v>37</v>
      </c>
      <c r="L1141" s="69">
        <f>VLOOKUP(Table_db1_backend_Daily.accdb[[#This Row],[TradingDate]],canon!B:E,4,0)</f>
        <v>29</v>
      </c>
    </row>
    <row r="1142" spans="1:12" x14ac:dyDescent="0.2">
      <c r="A1142" s="69" t="s">
        <v>41</v>
      </c>
      <c r="B1142" s="70">
        <v>42934</v>
      </c>
      <c r="C1142" s="69">
        <v>282</v>
      </c>
      <c r="D1142" s="69">
        <v>2</v>
      </c>
      <c r="E1142" s="69">
        <v>13.64</v>
      </c>
      <c r="F1142" s="69">
        <v>1.3499999999999996</v>
      </c>
      <c r="G1142" s="69" t="s">
        <v>19</v>
      </c>
      <c r="H1142" s="69" t="str">
        <f>IFERROR(VLOOKUP(Data!$G1142,canon!$I$2:$K$27,2,FALSE),"")</f>
        <v>PANT</v>
      </c>
      <c r="I1142" s="69" t="str">
        <f>IFERROR(VLOOKUP(Data!$G1142,canon!$I$2:$K$27,3,FALSE),"")</f>
        <v>APPAREL</v>
      </c>
      <c r="J1142" s="69">
        <f t="shared" si="34"/>
        <v>3</v>
      </c>
      <c r="K1142" s="69">
        <f t="shared" si="35"/>
        <v>37</v>
      </c>
      <c r="L1142" s="69">
        <f>VLOOKUP(Table_db1_backend_Daily.accdb[[#This Row],[TradingDate]],canon!B:E,4,0)</f>
        <v>29</v>
      </c>
    </row>
    <row r="1143" spans="1:12" x14ac:dyDescent="0.2">
      <c r="A1143" s="69" t="s">
        <v>41</v>
      </c>
      <c r="B1143" s="70">
        <v>42934</v>
      </c>
      <c r="C1143" s="69">
        <v>33</v>
      </c>
      <c r="D1143" s="69">
        <v>0</v>
      </c>
      <c r="E1143" s="69">
        <v>0</v>
      </c>
      <c r="F1143" s="69">
        <v>0</v>
      </c>
      <c r="G1143" s="69" t="s">
        <v>21</v>
      </c>
      <c r="H1143" s="69" t="str">
        <f>IFERROR(VLOOKUP(Data!$G1143,canon!$I$2:$K$27,2,FALSE),"")</f>
        <v>ACCESSORY</v>
      </c>
      <c r="I1143" s="69" t="str">
        <f>IFERROR(VLOOKUP(Data!$G1143,canon!$I$2:$K$27,3,FALSE),"")</f>
        <v>N.APPAREL</v>
      </c>
      <c r="J1143" s="69">
        <f t="shared" si="34"/>
        <v>3</v>
      </c>
      <c r="K1143" s="69">
        <f t="shared" si="35"/>
        <v>37</v>
      </c>
      <c r="L1143" s="69">
        <f>VLOOKUP(Table_db1_backend_Daily.accdb[[#This Row],[TradingDate]],canon!B:E,4,0)</f>
        <v>29</v>
      </c>
    </row>
    <row r="1144" spans="1:12" x14ac:dyDescent="0.2">
      <c r="A1144" s="69" t="s">
        <v>41</v>
      </c>
      <c r="B1144" s="70">
        <v>42934</v>
      </c>
      <c r="C1144" s="69">
        <v>580</v>
      </c>
      <c r="D1144" s="69">
        <v>11</v>
      </c>
      <c r="E1144" s="69">
        <v>50.019999999999996</v>
      </c>
      <c r="F1144" s="69">
        <v>34.17</v>
      </c>
      <c r="G1144" s="69" t="s">
        <v>22</v>
      </c>
      <c r="H1144" s="69" t="str">
        <f>IFERROR(VLOOKUP(Data!$G1144,canon!$I$2:$K$27,2,FALSE),"")</f>
        <v>SCARF</v>
      </c>
      <c r="I1144" s="69" t="str">
        <f>IFERROR(VLOOKUP(Data!$G1144,canon!$I$2:$K$27,3,FALSE),"")</f>
        <v>N.APPAREL</v>
      </c>
      <c r="J1144" s="69">
        <f t="shared" si="34"/>
        <v>3</v>
      </c>
      <c r="K1144" s="69">
        <f t="shared" si="35"/>
        <v>37</v>
      </c>
      <c r="L1144" s="69">
        <f>VLOOKUP(Table_db1_backend_Daily.accdb[[#This Row],[TradingDate]],canon!B:E,4,0)</f>
        <v>29</v>
      </c>
    </row>
    <row r="1145" spans="1:12" x14ac:dyDescent="0.2">
      <c r="A1145" s="69" t="s">
        <v>41</v>
      </c>
      <c r="B1145" s="70">
        <v>42934</v>
      </c>
      <c r="C1145" s="69">
        <v>91</v>
      </c>
      <c r="D1145" s="69">
        <v>2</v>
      </c>
      <c r="E1145" s="69">
        <v>12.129999999999999</v>
      </c>
      <c r="F1145" s="69">
        <v>-1.31</v>
      </c>
      <c r="G1145" s="69" t="s">
        <v>23</v>
      </c>
      <c r="H1145" s="69" t="str">
        <f>IFERROR(VLOOKUP(Data!$G1145,canon!$I$2:$K$27,2,FALSE),"")</f>
        <v>SH&amp;BL</v>
      </c>
      <c r="I1145" s="69" t="str">
        <f>IFERROR(VLOOKUP(Data!$G1145,canon!$I$2:$K$27,3,FALSE),"")</f>
        <v>APPAREL</v>
      </c>
      <c r="J1145" s="69">
        <f t="shared" si="34"/>
        <v>3</v>
      </c>
      <c r="K1145" s="69">
        <f t="shared" si="35"/>
        <v>37</v>
      </c>
      <c r="L1145" s="69">
        <f>VLOOKUP(Table_db1_backend_Daily.accdb[[#This Row],[TradingDate]],canon!B:E,4,0)</f>
        <v>29</v>
      </c>
    </row>
    <row r="1146" spans="1:12" x14ac:dyDescent="0.2">
      <c r="A1146" s="69" t="s">
        <v>41</v>
      </c>
      <c r="B1146" s="70">
        <v>42934</v>
      </c>
      <c r="C1146" s="69">
        <v>434</v>
      </c>
      <c r="D1146" s="69">
        <v>7</v>
      </c>
      <c r="E1146" s="69">
        <v>51.480000000000004</v>
      </c>
      <c r="F1146" s="69">
        <v>13.22</v>
      </c>
      <c r="G1146" s="69" t="s">
        <v>32</v>
      </c>
      <c r="H1146" s="69" t="str">
        <f>IFERROR(VLOOKUP(Data!$G1146,canon!$I$2:$K$27,2,FALSE),"")</f>
        <v>SKIRT</v>
      </c>
      <c r="I1146" s="69" t="str">
        <f>IFERROR(VLOOKUP(Data!$G1146,canon!$I$2:$K$27,3,FALSE),"")</f>
        <v>APPAREL</v>
      </c>
      <c r="J1146" s="69">
        <f t="shared" si="34"/>
        <v>3</v>
      </c>
      <c r="K1146" s="69">
        <f t="shared" si="35"/>
        <v>37</v>
      </c>
      <c r="L1146" s="69">
        <f>VLOOKUP(Table_db1_backend_Daily.accdb[[#This Row],[TradingDate]],canon!B:E,4,0)</f>
        <v>29</v>
      </c>
    </row>
    <row r="1147" spans="1:12" x14ac:dyDescent="0.2">
      <c r="A1147" s="69" t="s">
        <v>41</v>
      </c>
      <c r="B1147" s="70">
        <v>42934</v>
      </c>
      <c r="C1147" s="69">
        <v>1201</v>
      </c>
      <c r="D1147" s="69">
        <v>13</v>
      </c>
      <c r="E1147" s="69">
        <v>106.00000000000001</v>
      </c>
      <c r="F1147" s="69">
        <v>33.340000000000003</v>
      </c>
      <c r="G1147" s="69" t="s">
        <v>25</v>
      </c>
      <c r="H1147" s="69" t="str">
        <f>IFERROR(VLOOKUP(Data!$G1147,canon!$I$2:$K$27,2,FALSE),"")</f>
        <v>TOP</v>
      </c>
      <c r="I1147" s="69" t="str">
        <f>IFERROR(VLOOKUP(Data!$G1147,canon!$I$2:$K$27,3,FALSE),"")</f>
        <v>APPAREL</v>
      </c>
      <c r="J1147" s="69">
        <f t="shared" si="34"/>
        <v>3</v>
      </c>
      <c r="K1147" s="69">
        <f t="shared" si="35"/>
        <v>37</v>
      </c>
      <c r="L1147" s="69">
        <f>VLOOKUP(Table_db1_backend_Daily.accdb[[#This Row],[TradingDate]],canon!B:E,4,0)</f>
        <v>29</v>
      </c>
    </row>
    <row r="1148" spans="1:12" x14ac:dyDescent="0.2">
      <c r="A1148" s="69" t="s">
        <v>41</v>
      </c>
      <c r="B1148" s="70">
        <v>42935</v>
      </c>
      <c r="C1148" s="69">
        <v>4</v>
      </c>
      <c r="D1148" s="69">
        <v>0</v>
      </c>
      <c r="E1148" s="69">
        <v>0</v>
      </c>
      <c r="F1148" s="69">
        <v>0</v>
      </c>
      <c r="G1148" s="69" t="s">
        <v>27</v>
      </c>
      <c r="H1148" s="69" t="str">
        <f>IFERROR(VLOOKUP(Data!$G1148,canon!$I$2:$K$27,2,FALSE),"")</f>
        <v>ACCESSORY</v>
      </c>
      <c r="I1148" s="69" t="str">
        <f>IFERROR(VLOOKUP(Data!$G1148,canon!$I$2:$K$27,3,FALSE),"")</f>
        <v>N.APPAREL</v>
      </c>
      <c r="J1148" s="69">
        <f t="shared" si="34"/>
        <v>4</v>
      </c>
      <c r="K1148" s="69">
        <f t="shared" si="35"/>
        <v>37</v>
      </c>
      <c r="L1148" s="69">
        <f>VLOOKUP(Table_db1_backend_Daily.accdb[[#This Row],[TradingDate]],canon!B:E,4,0)</f>
        <v>29</v>
      </c>
    </row>
    <row r="1149" spans="1:12" x14ac:dyDescent="0.2">
      <c r="A1149" s="69" t="s">
        <v>41</v>
      </c>
      <c r="B1149" s="70">
        <v>42935</v>
      </c>
      <c r="C1149" s="69">
        <v>26</v>
      </c>
      <c r="D1149" s="69">
        <v>0</v>
      </c>
      <c r="E1149" s="69">
        <v>0</v>
      </c>
      <c r="F1149" s="69">
        <v>0</v>
      </c>
      <c r="G1149" s="69" t="s">
        <v>34</v>
      </c>
      <c r="H1149" s="69" t="str">
        <f>IFERROR(VLOOKUP(Data!$G1149,canon!$I$2:$K$27,2,FALSE),"")</f>
        <v>SHOES</v>
      </c>
      <c r="I1149" s="69" t="str">
        <f>IFERROR(VLOOKUP(Data!$G1149,canon!$I$2:$K$27,3,FALSE),"")</f>
        <v>N.APPAREL</v>
      </c>
      <c r="J1149" s="69">
        <f t="shared" si="34"/>
        <v>4</v>
      </c>
      <c r="K1149" s="69">
        <f t="shared" si="35"/>
        <v>37</v>
      </c>
      <c r="L1149" s="69">
        <f>VLOOKUP(Table_db1_backend_Daily.accdb[[#This Row],[TradingDate]],canon!B:E,4,0)</f>
        <v>29</v>
      </c>
    </row>
    <row r="1150" spans="1:12" x14ac:dyDescent="0.2">
      <c r="A1150" s="69" t="s">
        <v>41</v>
      </c>
      <c r="B1150" s="70">
        <v>42935</v>
      </c>
      <c r="C1150" s="69">
        <v>3</v>
      </c>
      <c r="D1150" s="69">
        <v>0</v>
      </c>
      <c r="E1150" s="69">
        <v>0</v>
      </c>
      <c r="F1150" s="69">
        <v>0</v>
      </c>
      <c r="G1150" s="69" t="s">
        <v>38</v>
      </c>
      <c r="H1150" s="69" t="str">
        <f>IFERROR(VLOOKUP(Data!$G1150,canon!$I$2:$K$27,2,FALSE),"")</f>
        <v>SHOES</v>
      </c>
      <c r="I1150" s="69" t="str">
        <f>IFERROR(VLOOKUP(Data!$G1150,canon!$I$2:$K$27,3,FALSE),"")</f>
        <v>N.APPAREL</v>
      </c>
      <c r="J1150" s="69">
        <f t="shared" si="34"/>
        <v>4</v>
      </c>
      <c r="K1150" s="69">
        <f t="shared" si="35"/>
        <v>37</v>
      </c>
      <c r="L1150" s="69">
        <f>VLOOKUP(Table_db1_backend_Daily.accdb[[#This Row],[TradingDate]],canon!B:E,4,0)</f>
        <v>29</v>
      </c>
    </row>
    <row r="1151" spans="1:12" x14ac:dyDescent="0.2">
      <c r="A1151" s="69" t="s">
        <v>41</v>
      </c>
      <c r="B1151" s="70">
        <v>42935</v>
      </c>
      <c r="C1151" s="69">
        <v>635</v>
      </c>
      <c r="D1151" s="69">
        <v>4</v>
      </c>
      <c r="E1151" s="69">
        <v>46.989999999999995</v>
      </c>
      <c r="F1151" s="69">
        <v>12.650000000000002</v>
      </c>
      <c r="G1151" s="69" t="s">
        <v>35</v>
      </c>
      <c r="H1151" s="69" t="str">
        <f>IFERROR(VLOOKUP(Data!$G1151,canon!$I$2:$K$27,2,FALSE),"")</f>
        <v>DRESS</v>
      </c>
      <c r="I1151" s="69" t="str">
        <f>IFERROR(VLOOKUP(Data!$G1151,canon!$I$2:$K$27,3,FALSE),"")</f>
        <v>APPAREL</v>
      </c>
      <c r="J1151" s="69">
        <f t="shared" si="34"/>
        <v>4</v>
      </c>
      <c r="K1151" s="69">
        <f t="shared" si="35"/>
        <v>37</v>
      </c>
      <c r="L1151" s="69">
        <f>VLOOKUP(Table_db1_backend_Daily.accdb[[#This Row],[TradingDate]],canon!B:E,4,0)</f>
        <v>29</v>
      </c>
    </row>
    <row r="1152" spans="1:12" x14ac:dyDescent="0.2">
      <c r="A1152" s="69" t="s">
        <v>41</v>
      </c>
      <c r="B1152" s="70">
        <v>42935</v>
      </c>
      <c r="C1152" s="69">
        <v>39</v>
      </c>
      <c r="D1152" s="69">
        <v>0</v>
      </c>
      <c r="E1152" s="69">
        <v>0</v>
      </c>
      <c r="F1152" s="69">
        <v>0</v>
      </c>
      <c r="G1152" s="69" t="s">
        <v>10</v>
      </c>
      <c r="H1152" s="69" t="str">
        <f>IFERROR(VLOOKUP(Data!$G1152,canon!$I$2:$K$27,2,FALSE),"")</f>
        <v>ACCESSORY</v>
      </c>
      <c r="I1152" s="69" t="str">
        <f>IFERROR(VLOOKUP(Data!$G1152,canon!$I$2:$K$27,3,FALSE),"")</f>
        <v>N.APPAREL</v>
      </c>
      <c r="J1152" s="69">
        <f t="shared" si="34"/>
        <v>4</v>
      </c>
      <c r="K1152" s="69">
        <f t="shared" si="35"/>
        <v>37</v>
      </c>
      <c r="L1152" s="69">
        <f>VLOOKUP(Table_db1_backend_Daily.accdb[[#This Row],[TradingDate]],canon!B:E,4,0)</f>
        <v>29</v>
      </c>
    </row>
    <row r="1153" spans="1:12" x14ac:dyDescent="0.2">
      <c r="A1153" s="69" t="s">
        <v>41</v>
      </c>
      <c r="B1153" s="70">
        <v>42935</v>
      </c>
      <c r="C1153" s="69">
        <v>2</v>
      </c>
      <c r="D1153" s="69">
        <v>0</v>
      </c>
      <c r="E1153" s="69">
        <v>0</v>
      </c>
      <c r="F1153" s="69">
        <v>0</v>
      </c>
      <c r="G1153" s="69" t="s">
        <v>28</v>
      </c>
      <c r="H1153" s="69" t="str">
        <f>IFERROR(VLOOKUP(Data!$G1153,canon!$I$2:$K$27,2,FALSE),"")</f>
        <v>ACCESSORY</v>
      </c>
      <c r="I1153" s="69" t="str">
        <f>IFERROR(VLOOKUP(Data!$G1153,canon!$I$2:$K$27,3,FALSE),"")</f>
        <v>N.APPAREL</v>
      </c>
      <c r="J1153" s="69">
        <f t="shared" si="34"/>
        <v>4</v>
      </c>
      <c r="K1153" s="69">
        <f t="shared" si="35"/>
        <v>37</v>
      </c>
      <c r="L1153" s="69">
        <f>VLOOKUP(Table_db1_backend_Daily.accdb[[#This Row],[TradingDate]],canon!B:E,4,0)</f>
        <v>29</v>
      </c>
    </row>
    <row r="1154" spans="1:12" x14ac:dyDescent="0.2">
      <c r="A1154" s="69" t="s">
        <v>41</v>
      </c>
      <c r="B1154" s="70">
        <v>42935</v>
      </c>
      <c r="C1154" s="69">
        <v>1813</v>
      </c>
      <c r="D1154" s="69">
        <v>56</v>
      </c>
      <c r="E1154" s="69">
        <v>530.24</v>
      </c>
      <c r="F1154" s="69">
        <v>107.16000000000003</v>
      </c>
      <c r="G1154" s="69" t="s">
        <v>11</v>
      </c>
      <c r="H1154" s="69" t="str">
        <f>IFERROR(VLOOKUP(Data!$G1154,canon!$I$2:$K$27,2,FALSE),"")</f>
        <v>KNIT</v>
      </c>
      <c r="I1154" s="69" t="str">
        <f>IFERROR(VLOOKUP(Data!$G1154,canon!$I$2:$K$27,3,FALSE),"")</f>
        <v>APPAREL</v>
      </c>
      <c r="J1154" s="69">
        <f t="shared" ref="J1154:J1217" si="36">WEEKDAY(B1154)</f>
        <v>4</v>
      </c>
      <c r="K1154" s="69">
        <f t="shared" ref="K1154:K1217" si="37">INT(A1154)</f>
        <v>37</v>
      </c>
      <c r="L1154" s="69">
        <f>VLOOKUP(Table_db1_backend_Daily.accdb[[#This Row],[TradingDate]],canon!B:E,4,0)</f>
        <v>29</v>
      </c>
    </row>
    <row r="1155" spans="1:12" x14ac:dyDescent="0.2">
      <c r="A1155" s="69" t="s">
        <v>41</v>
      </c>
      <c r="B1155" s="70">
        <v>42935</v>
      </c>
      <c r="C1155" s="69">
        <v>532</v>
      </c>
      <c r="D1155" s="69">
        <v>1</v>
      </c>
      <c r="E1155" s="69">
        <v>9.09</v>
      </c>
      <c r="F1155" s="69">
        <v>1.81</v>
      </c>
      <c r="G1155" s="69" t="s">
        <v>14</v>
      </c>
      <c r="H1155" s="69" t="str">
        <f>IFERROR(VLOOKUP(Data!$G1155,canon!$I$2:$K$27,2,FALSE),"")</f>
        <v>LEGGING</v>
      </c>
      <c r="I1155" s="69" t="str">
        <f>IFERROR(VLOOKUP(Data!$G1155,canon!$I$2:$K$27,3,FALSE),"")</f>
        <v>APPAREL</v>
      </c>
      <c r="J1155" s="69">
        <f t="shared" si="36"/>
        <v>4</v>
      </c>
      <c r="K1155" s="69">
        <f t="shared" si="37"/>
        <v>37</v>
      </c>
      <c r="L1155" s="69">
        <f>VLOOKUP(Table_db1_backend_Daily.accdb[[#This Row],[TradingDate]],canon!B:E,4,0)</f>
        <v>29</v>
      </c>
    </row>
    <row r="1156" spans="1:12" x14ac:dyDescent="0.2">
      <c r="A1156" s="69" t="s">
        <v>41</v>
      </c>
      <c r="B1156" s="70">
        <v>42935</v>
      </c>
      <c r="C1156" s="69">
        <v>-43</v>
      </c>
      <c r="D1156" s="69">
        <v>0</v>
      </c>
      <c r="E1156" s="69">
        <v>0</v>
      </c>
      <c r="F1156" s="69">
        <v>0</v>
      </c>
      <c r="G1156" s="69" t="s">
        <v>37</v>
      </c>
      <c r="H1156" s="69" t="str">
        <f>IFERROR(VLOOKUP(Data!$G1156,canon!$I$2:$K$27,2,FALSE),"")</f>
        <v>SHOES</v>
      </c>
      <c r="I1156" s="69" t="str">
        <f>IFERROR(VLOOKUP(Data!$G1156,canon!$I$2:$K$27,3,FALSE),"")</f>
        <v>N.APPAREL</v>
      </c>
      <c r="J1156" s="69">
        <f t="shared" si="36"/>
        <v>4</v>
      </c>
      <c r="K1156" s="69">
        <f t="shared" si="37"/>
        <v>37</v>
      </c>
      <c r="L1156" s="69">
        <f>VLOOKUP(Table_db1_backend_Daily.accdb[[#This Row],[TradingDate]],canon!B:E,4,0)</f>
        <v>29</v>
      </c>
    </row>
    <row r="1157" spans="1:12" x14ac:dyDescent="0.2">
      <c r="A1157" s="69" t="s">
        <v>41</v>
      </c>
      <c r="B1157" s="70">
        <v>42935</v>
      </c>
      <c r="C1157" s="69">
        <v>17</v>
      </c>
      <c r="D1157" s="69">
        <v>0</v>
      </c>
      <c r="E1157" s="69">
        <v>0</v>
      </c>
      <c r="F1157" s="69">
        <v>0</v>
      </c>
      <c r="G1157" s="69" t="s">
        <v>29</v>
      </c>
      <c r="H1157" s="69" t="str">
        <f>IFERROR(VLOOKUP(Data!$G1157,canon!$I$2:$K$27,2,FALSE),"")</f>
        <v>SHOES</v>
      </c>
      <c r="I1157" s="69" t="str">
        <f>IFERROR(VLOOKUP(Data!$G1157,canon!$I$2:$K$27,3,FALSE),"")</f>
        <v>N.APPAREL</v>
      </c>
      <c r="J1157" s="69">
        <f t="shared" si="36"/>
        <v>4</v>
      </c>
      <c r="K1157" s="69">
        <f t="shared" si="37"/>
        <v>37</v>
      </c>
      <c r="L1157" s="69">
        <f>VLOOKUP(Table_db1_backend_Daily.accdb[[#This Row],[TradingDate]],canon!B:E,4,0)</f>
        <v>29</v>
      </c>
    </row>
    <row r="1158" spans="1:12" x14ac:dyDescent="0.2">
      <c r="A1158" s="69" t="s">
        <v>41</v>
      </c>
      <c r="B1158" s="70">
        <v>42935</v>
      </c>
      <c r="C1158" s="69">
        <v>495</v>
      </c>
      <c r="D1158" s="69">
        <v>10</v>
      </c>
      <c r="E1158" s="69">
        <v>129.44999999999999</v>
      </c>
      <c r="F1158" s="69">
        <v>44.81</v>
      </c>
      <c r="G1158" s="69" t="s">
        <v>17</v>
      </c>
      <c r="H1158" s="69" t="str">
        <f>IFERROR(VLOOKUP(Data!$G1158,canon!$I$2:$K$27,2,FALSE),"")</f>
        <v>OUTER</v>
      </c>
      <c r="I1158" s="69" t="str">
        <f>IFERROR(VLOOKUP(Data!$G1158,canon!$I$2:$K$27,3,FALSE),"")</f>
        <v>APPAREL</v>
      </c>
      <c r="J1158" s="69">
        <f t="shared" si="36"/>
        <v>4</v>
      </c>
      <c r="K1158" s="69">
        <f t="shared" si="37"/>
        <v>37</v>
      </c>
      <c r="L1158" s="69">
        <f>VLOOKUP(Table_db1_backend_Daily.accdb[[#This Row],[TradingDate]],canon!B:E,4,0)</f>
        <v>29</v>
      </c>
    </row>
    <row r="1159" spans="1:12" x14ac:dyDescent="0.2">
      <c r="A1159" s="69" t="s">
        <v>41</v>
      </c>
      <c r="B1159" s="70">
        <v>42935</v>
      </c>
      <c r="C1159" s="69">
        <v>280</v>
      </c>
      <c r="D1159" s="69">
        <v>1</v>
      </c>
      <c r="E1159" s="69">
        <v>9.5</v>
      </c>
      <c r="F1159" s="69">
        <v>1.89</v>
      </c>
      <c r="G1159" s="69" t="s">
        <v>19</v>
      </c>
      <c r="H1159" s="69" t="str">
        <f>IFERROR(VLOOKUP(Data!$G1159,canon!$I$2:$K$27,2,FALSE),"")</f>
        <v>PANT</v>
      </c>
      <c r="I1159" s="69" t="str">
        <f>IFERROR(VLOOKUP(Data!$G1159,canon!$I$2:$K$27,3,FALSE),"")</f>
        <v>APPAREL</v>
      </c>
      <c r="J1159" s="69">
        <f t="shared" si="36"/>
        <v>4</v>
      </c>
      <c r="K1159" s="69">
        <f t="shared" si="37"/>
        <v>37</v>
      </c>
      <c r="L1159" s="69">
        <f>VLOOKUP(Table_db1_backend_Daily.accdb[[#This Row],[TradingDate]],canon!B:E,4,0)</f>
        <v>29</v>
      </c>
    </row>
    <row r="1160" spans="1:12" x14ac:dyDescent="0.2">
      <c r="A1160" s="69" t="s">
        <v>41</v>
      </c>
      <c r="B1160" s="70">
        <v>42935</v>
      </c>
      <c r="C1160" s="69">
        <v>33</v>
      </c>
      <c r="D1160" s="69">
        <v>0</v>
      </c>
      <c r="E1160" s="69">
        <v>0</v>
      </c>
      <c r="F1160" s="69">
        <v>0</v>
      </c>
      <c r="G1160" s="69" t="s">
        <v>21</v>
      </c>
      <c r="H1160" s="69" t="str">
        <f>IFERROR(VLOOKUP(Data!$G1160,canon!$I$2:$K$27,2,FALSE),"")</f>
        <v>ACCESSORY</v>
      </c>
      <c r="I1160" s="69" t="str">
        <f>IFERROR(VLOOKUP(Data!$G1160,canon!$I$2:$K$27,3,FALSE),"")</f>
        <v>N.APPAREL</v>
      </c>
      <c r="J1160" s="69">
        <f t="shared" si="36"/>
        <v>4</v>
      </c>
      <c r="K1160" s="69">
        <f t="shared" si="37"/>
        <v>37</v>
      </c>
      <c r="L1160" s="69">
        <f>VLOOKUP(Table_db1_backend_Daily.accdb[[#This Row],[TradingDate]],canon!B:E,4,0)</f>
        <v>29</v>
      </c>
    </row>
    <row r="1161" spans="1:12" x14ac:dyDescent="0.2">
      <c r="A1161" s="69" t="s">
        <v>41</v>
      </c>
      <c r="B1161" s="70">
        <v>42935</v>
      </c>
      <c r="C1161" s="69">
        <v>557</v>
      </c>
      <c r="D1161" s="69">
        <v>20</v>
      </c>
      <c r="E1161" s="69">
        <v>90.96</v>
      </c>
      <c r="F1161" s="69">
        <v>61.08</v>
      </c>
      <c r="G1161" s="69" t="s">
        <v>22</v>
      </c>
      <c r="H1161" s="69" t="str">
        <f>IFERROR(VLOOKUP(Data!$G1161,canon!$I$2:$K$27,2,FALSE),"")</f>
        <v>SCARF</v>
      </c>
      <c r="I1161" s="69" t="str">
        <f>IFERROR(VLOOKUP(Data!$G1161,canon!$I$2:$K$27,3,FALSE),"")</f>
        <v>N.APPAREL</v>
      </c>
      <c r="J1161" s="69">
        <f t="shared" si="36"/>
        <v>4</v>
      </c>
      <c r="K1161" s="69">
        <f t="shared" si="37"/>
        <v>37</v>
      </c>
      <c r="L1161" s="69">
        <f>VLOOKUP(Table_db1_backend_Daily.accdb[[#This Row],[TradingDate]],canon!B:E,4,0)</f>
        <v>29</v>
      </c>
    </row>
    <row r="1162" spans="1:12" x14ac:dyDescent="0.2">
      <c r="A1162" s="69" t="s">
        <v>41</v>
      </c>
      <c r="B1162" s="70">
        <v>42935</v>
      </c>
      <c r="C1162" s="69">
        <v>90</v>
      </c>
      <c r="D1162" s="69">
        <v>1</v>
      </c>
      <c r="E1162" s="69">
        <v>4.97</v>
      </c>
      <c r="F1162" s="69">
        <v>-3.51</v>
      </c>
      <c r="G1162" s="69" t="s">
        <v>23</v>
      </c>
      <c r="H1162" s="69" t="str">
        <f>IFERROR(VLOOKUP(Data!$G1162,canon!$I$2:$K$27,2,FALSE),"")</f>
        <v>SH&amp;BL</v>
      </c>
      <c r="I1162" s="69" t="str">
        <f>IFERROR(VLOOKUP(Data!$G1162,canon!$I$2:$K$27,3,FALSE),"")</f>
        <v>APPAREL</v>
      </c>
      <c r="J1162" s="69">
        <f t="shared" si="36"/>
        <v>4</v>
      </c>
      <c r="K1162" s="69">
        <f t="shared" si="37"/>
        <v>37</v>
      </c>
      <c r="L1162" s="69">
        <f>VLOOKUP(Table_db1_backend_Daily.accdb[[#This Row],[TradingDate]],canon!B:E,4,0)</f>
        <v>29</v>
      </c>
    </row>
    <row r="1163" spans="1:12" x14ac:dyDescent="0.2">
      <c r="A1163" s="69" t="s">
        <v>41</v>
      </c>
      <c r="B1163" s="70">
        <v>42935</v>
      </c>
      <c r="C1163" s="69">
        <v>426</v>
      </c>
      <c r="D1163" s="69">
        <v>8</v>
      </c>
      <c r="E1163" s="69">
        <v>75.199999999999989</v>
      </c>
      <c r="F1163" s="69">
        <v>29.659999999999997</v>
      </c>
      <c r="G1163" s="69" t="s">
        <v>32</v>
      </c>
      <c r="H1163" s="69" t="str">
        <f>IFERROR(VLOOKUP(Data!$G1163,canon!$I$2:$K$27,2,FALSE),"")</f>
        <v>SKIRT</v>
      </c>
      <c r="I1163" s="69" t="str">
        <f>IFERROR(VLOOKUP(Data!$G1163,canon!$I$2:$K$27,3,FALSE),"")</f>
        <v>APPAREL</v>
      </c>
      <c r="J1163" s="69">
        <f t="shared" si="36"/>
        <v>4</v>
      </c>
      <c r="K1163" s="69">
        <f t="shared" si="37"/>
        <v>37</v>
      </c>
      <c r="L1163" s="69">
        <f>VLOOKUP(Table_db1_backend_Daily.accdb[[#This Row],[TradingDate]],canon!B:E,4,0)</f>
        <v>29</v>
      </c>
    </row>
    <row r="1164" spans="1:12" x14ac:dyDescent="0.2">
      <c r="A1164" s="69" t="s">
        <v>41</v>
      </c>
      <c r="B1164" s="70">
        <v>42935</v>
      </c>
      <c r="C1164" s="69">
        <v>1178</v>
      </c>
      <c r="D1164" s="69">
        <v>17</v>
      </c>
      <c r="E1164" s="69">
        <v>120.88000000000001</v>
      </c>
      <c r="F1164" s="69">
        <v>31.15</v>
      </c>
      <c r="G1164" s="69" t="s">
        <v>25</v>
      </c>
      <c r="H1164" s="69" t="str">
        <f>IFERROR(VLOOKUP(Data!$G1164,canon!$I$2:$K$27,2,FALSE),"")</f>
        <v>TOP</v>
      </c>
      <c r="I1164" s="69" t="str">
        <f>IFERROR(VLOOKUP(Data!$G1164,canon!$I$2:$K$27,3,FALSE),"")</f>
        <v>APPAREL</v>
      </c>
      <c r="J1164" s="69">
        <f t="shared" si="36"/>
        <v>4</v>
      </c>
      <c r="K1164" s="69">
        <f t="shared" si="37"/>
        <v>37</v>
      </c>
      <c r="L1164" s="69">
        <f>VLOOKUP(Table_db1_backend_Daily.accdb[[#This Row],[TradingDate]],canon!B:E,4,0)</f>
        <v>29</v>
      </c>
    </row>
    <row r="1165" spans="1:12" x14ac:dyDescent="0.2">
      <c r="A1165" s="69" t="s">
        <v>41</v>
      </c>
      <c r="B1165" s="70">
        <v>42936</v>
      </c>
      <c r="C1165" s="69">
        <v>4</v>
      </c>
      <c r="D1165" s="69">
        <v>0</v>
      </c>
      <c r="E1165" s="69">
        <v>0</v>
      </c>
      <c r="F1165" s="69">
        <v>0</v>
      </c>
      <c r="G1165" s="69" t="s">
        <v>27</v>
      </c>
      <c r="H1165" s="69" t="str">
        <f>IFERROR(VLOOKUP(Data!$G1165,canon!$I$2:$K$27,2,FALSE),"")</f>
        <v>ACCESSORY</v>
      </c>
      <c r="I1165" s="69" t="str">
        <f>IFERROR(VLOOKUP(Data!$G1165,canon!$I$2:$K$27,3,FALSE),"")</f>
        <v>N.APPAREL</v>
      </c>
      <c r="J1165" s="69">
        <f t="shared" si="36"/>
        <v>5</v>
      </c>
      <c r="K1165" s="69">
        <f t="shared" si="37"/>
        <v>37</v>
      </c>
      <c r="L1165" s="69">
        <f>VLOOKUP(Table_db1_backend_Daily.accdb[[#This Row],[TradingDate]],canon!B:E,4,0)</f>
        <v>29</v>
      </c>
    </row>
    <row r="1166" spans="1:12" x14ac:dyDescent="0.2">
      <c r="A1166" s="69" t="s">
        <v>41</v>
      </c>
      <c r="B1166" s="70">
        <v>42936</v>
      </c>
      <c r="C1166" s="69">
        <v>26</v>
      </c>
      <c r="D1166" s="69">
        <v>0</v>
      </c>
      <c r="E1166" s="69">
        <v>0</v>
      </c>
      <c r="F1166" s="69">
        <v>0</v>
      </c>
      <c r="G1166" s="69" t="s">
        <v>34</v>
      </c>
      <c r="H1166" s="69" t="str">
        <f>IFERROR(VLOOKUP(Data!$G1166,canon!$I$2:$K$27,2,FALSE),"")</f>
        <v>SHOES</v>
      </c>
      <c r="I1166" s="69" t="str">
        <f>IFERROR(VLOOKUP(Data!$G1166,canon!$I$2:$K$27,3,FALSE),"")</f>
        <v>N.APPAREL</v>
      </c>
      <c r="J1166" s="69">
        <f t="shared" si="36"/>
        <v>5</v>
      </c>
      <c r="K1166" s="69">
        <f t="shared" si="37"/>
        <v>37</v>
      </c>
      <c r="L1166" s="69">
        <f>VLOOKUP(Table_db1_backend_Daily.accdb[[#This Row],[TradingDate]],canon!B:E,4,0)</f>
        <v>29</v>
      </c>
    </row>
    <row r="1167" spans="1:12" x14ac:dyDescent="0.2">
      <c r="A1167" s="69" t="s">
        <v>41</v>
      </c>
      <c r="B1167" s="70">
        <v>42936</v>
      </c>
      <c r="C1167" s="69">
        <v>3</v>
      </c>
      <c r="D1167" s="69">
        <v>0</v>
      </c>
      <c r="E1167" s="69">
        <v>0</v>
      </c>
      <c r="F1167" s="69">
        <v>0</v>
      </c>
      <c r="G1167" s="69" t="s">
        <v>38</v>
      </c>
      <c r="H1167" s="69" t="str">
        <f>IFERROR(VLOOKUP(Data!$G1167,canon!$I$2:$K$27,2,FALSE),"")</f>
        <v>SHOES</v>
      </c>
      <c r="I1167" s="69" t="str">
        <f>IFERROR(VLOOKUP(Data!$G1167,canon!$I$2:$K$27,3,FALSE),"")</f>
        <v>N.APPAREL</v>
      </c>
      <c r="J1167" s="69">
        <f t="shared" si="36"/>
        <v>5</v>
      </c>
      <c r="K1167" s="69">
        <f t="shared" si="37"/>
        <v>37</v>
      </c>
      <c r="L1167" s="69">
        <f>VLOOKUP(Table_db1_backend_Daily.accdb[[#This Row],[TradingDate]],canon!B:E,4,0)</f>
        <v>29</v>
      </c>
    </row>
    <row r="1168" spans="1:12" x14ac:dyDescent="0.2">
      <c r="A1168" s="69" t="s">
        <v>41</v>
      </c>
      <c r="B1168" s="70">
        <v>42936</v>
      </c>
      <c r="C1168" s="69">
        <v>609</v>
      </c>
      <c r="D1168" s="69">
        <v>4</v>
      </c>
      <c r="E1168" s="69">
        <v>54.540000000000006</v>
      </c>
      <c r="F1168" s="69">
        <v>20.41</v>
      </c>
      <c r="G1168" s="69" t="s">
        <v>35</v>
      </c>
      <c r="H1168" s="69" t="str">
        <f>IFERROR(VLOOKUP(Data!$G1168,canon!$I$2:$K$27,2,FALSE),"")</f>
        <v>DRESS</v>
      </c>
      <c r="I1168" s="69" t="str">
        <f>IFERROR(VLOOKUP(Data!$G1168,canon!$I$2:$K$27,3,FALSE),"")</f>
        <v>APPAREL</v>
      </c>
      <c r="J1168" s="69">
        <f t="shared" si="36"/>
        <v>5</v>
      </c>
      <c r="K1168" s="69">
        <f t="shared" si="37"/>
        <v>37</v>
      </c>
      <c r="L1168" s="69">
        <f>VLOOKUP(Table_db1_backend_Daily.accdb[[#This Row],[TradingDate]],canon!B:E,4,0)</f>
        <v>29</v>
      </c>
    </row>
    <row r="1169" spans="1:12" x14ac:dyDescent="0.2">
      <c r="A1169" s="69" t="s">
        <v>41</v>
      </c>
      <c r="B1169" s="70">
        <v>42936</v>
      </c>
      <c r="C1169" s="69">
        <v>39</v>
      </c>
      <c r="D1169" s="69">
        <v>0</v>
      </c>
      <c r="E1169" s="69">
        <v>0</v>
      </c>
      <c r="F1169" s="69">
        <v>0</v>
      </c>
      <c r="G1169" s="69" t="s">
        <v>10</v>
      </c>
      <c r="H1169" s="69" t="str">
        <f>IFERROR(VLOOKUP(Data!$G1169,canon!$I$2:$K$27,2,FALSE),"")</f>
        <v>ACCESSORY</v>
      </c>
      <c r="I1169" s="69" t="str">
        <f>IFERROR(VLOOKUP(Data!$G1169,canon!$I$2:$K$27,3,FALSE),"")</f>
        <v>N.APPAREL</v>
      </c>
      <c r="J1169" s="69">
        <f t="shared" si="36"/>
        <v>5</v>
      </c>
      <c r="K1169" s="69">
        <f t="shared" si="37"/>
        <v>37</v>
      </c>
      <c r="L1169" s="69">
        <f>VLOOKUP(Table_db1_backend_Daily.accdb[[#This Row],[TradingDate]],canon!B:E,4,0)</f>
        <v>29</v>
      </c>
    </row>
    <row r="1170" spans="1:12" x14ac:dyDescent="0.2">
      <c r="A1170" s="69" t="s">
        <v>41</v>
      </c>
      <c r="B1170" s="70">
        <v>42936</v>
      </c>
      <c r="C1170" s="69">
        <v>2</v>
      </c>
      <c r="D1170" s="69">
        <v>0</v>
      </c>
      <c r="E1170" s="69">
        <v>0</v>
      </c>
      <c r="F1170" s="69">
        <v>0</v>
      </c>
      <c r="G1170" s="69" t="s">
        <v>28</v>
      </c>
      <c r="H1170" s="69" t="str">
        <f>IFERROR(VLOOKUP(Data!$G1170,canon!$I$2:$K$27,2,FALSE),"")</f>
        <v>ACCESSORY</v>
      </c>
      <c r="I1170" s="69" t="str">
        <f>IFERROR(VLOOKUP(Data!$G1170,canon!$I$2:$K$27,3,FALSE),"")</f>
        <v>N.APPAREL</v>
      </c>
      <c r="J1170" s="69">
        <f t="shared" si="36"/>
        <v>5</v>
      </c>
      <c r="K1170" s="69">
        <f t="shared" si="37"/>
        <v>37</v>
      </c>
      <c r="L1170" s="69">
        <f>VLOOKUP(Table_db1_backend_Daily.accdb[[#This Row],[TradingDate]],canon!B:E,4,0)</f>
        <v>29</v>
      </c>
    </row>
    <row r="1171" spans="1:12" x14ac:dyDescent="0.2">
      <c r="A1171" s="69" t="s">
        <v>41</v>
      </c>
      <c r="B1171" s="70">
        <v>42936</v>
      </c>
      <c r="C1171" s="69">
        <v>1663</v>
      </c>
      <c r="D1171" s="69">
        <v>50</v>
      </c>
      <c r="E1171" s="69">
        <v>545.4</v>
      </c>
      <c r="F1171" s="69">
        <v>152.48999999999998</v>
      </c>
      <c r="G1171" s="69" t="s">
        <v>11</v>
      </c>
      <c r="H1171" s="69" t="str">
        <f>IFERROR(VLOOKUP(Data!$G1171,canon!$I$2:$K$27,2,FALSE),"")</f>
        <v>KNIT</v>
      </c>
      <c r="I1171" s="69" t="str">
        <f>IFERROR(VLOOKUP(Data!$G1171,canon!$I$2:$K$27,3,FALSE),"")</f>
        <v>APPAREL</v>
      </c>
      <c r="J1171" s="69">
        <f t="shared" si="36"/>
        <v>5</v>
      </c>
      <c r="K1171" s="69">
        <f t="shared" si="37"/>
        <v>37</v>
      </c>
      <c r="L1171" s="69">
        <f>VLOOKUP(Table_db1_backend_Daily.accdb[[#This Row],[TradingDate]],canon!B:E,4,0)</f>
        <v>29</v>
      </c>
    </row>
    <row r="1172" spans="1:12" x14ac:dyDescent="0.2">
      <c r="A1172" s="69" t="s">
        <v>41</v>
      </c>
      <c r="B1172" s="70">
        <v>42936</v>
      </c>
      <c r="C1172" s="69">
        <v>524</v>
      </c>
      <c r="D1172" s="69">
        <v>8</v>
      </c>
      <c r="E1172" s="69">
        <v>90.89</v>
      </c>
      <c r="F1172" s="69">
        <v>36.989999999999995</v>
      </c>
      <c r="G1172" s="69" t="s">
        <v>14</v>
      </c>
      <c r="H1172" s="69" t="str">
        <f>IFERROR(VLOOKUP(Data!$G1172,canon!$I$2:$K$27,2,FALSE),"")</f>
        <v>LEGGING</v>
      </c>
      <c r="I1172" s="69" t="str">
        <f>IFERROR(VLOOKUP(Data!$G1172,canon!$I$2:$K$27,3,FALSE),"")</f>
        <v>APPAREL</v>
      </c>
      <c r="J1172" s="69">
        <f t="shared" si="36"/>
        <v>5</v>
      </c>
      <c r="K1172" s="69">
        <f t="shared" si="37"/>
        <v>37</v>
      </c>
      <c r="L1172" s="69">
        <f>VLOOKUP(Table_db1_backend_Daily.accdb[[#This Row],[TradingDate]],canon!B:E,4,0)</f>
        <v>29</v>
      </c>
    </row>
    <row r="1173" spans="1:12" x14ac:dyDescent="0.2">
      <c r="A1173" s="69" t="s">
        <v>41</v>
      </c>
      <c r="B1173" s="70">
        <v>42936</v>
      </c>
      <c r="C1173" s="69">
        <v>-43</v>
      </c>
      <c r="D1173" s="69">
        <v>0</v>
      </c>
      <c r="E1173" s="69">
        <v>0</v>
      </c>
      <c r="F1173" s="69">
        <v>0</v>
      </c>
      <c r="G1173" s="69" t="s">
        <v>37</v>
      </c>
      <c r="H1173" s="69" t="str">
        <f>IFERROR(VLOOKUP(Data!$G1173,canon!$I$2:$K$27,2,FALSE),"")</f>
        <v>SHOES</v>
      </c>
      <c r="I1173" s="69" t="str">
        <f>IFERROR(VLOOKUP(Data!$G1173,canon!$I$2:$K$27,3,FALSE),"")</f>
        <v>N.APPAREL</v>
      </c>
      <c r="J1173" s="69">
        <f t="shared" si="36"/>
        <v>5</v>
      </c>
      <c r="K1173" s="69">
        <f t="shared" si="37"/>
        <v>37</v>
      </c>
      <c r="L1173" s="69">
        <f>VLOOKUP(Table_db1_backend_Daily.accdb[[#This Row],[TradingDate]],canon!B:E,4,0)</f>
        <v>29</v>
      </c>
    </row>
    <row r="1174" spans="1:12" x14ac:dyDescent="0.2">
      <c r="A1174" s="69" t="s">
        <v>41</v>
      </c>
      <c r="B1174" s="70">
        <v>42936</v>
      </c>
      <c r="C1174" s="69">
        <v>17</v>
      </c>
      <c r="D1174" s="69">
        <v>0</v>
      </c>
      <c r="E1174" s="69">
        <v>0</v>
      </c>
      <c r="F1174" s="69">
        <v>0</v>
      </c>
      <c r="G1174" s="69" t="s">
        <v>29</v>
      </c>
      <c r="H1174" s="69" t="str">
        <f>IFERROR(VLOOKUP(Data!$G1174,canon!$I$2:$K$27,2,FALSE),"")</f>
        <v>SHOES</v>
      </c>
      <c r="I1174" s="69" t="str">
        <f>IFERROR(VLOOKUP(Data!$G1174,canon!$I$2:$K$27,3,FALSE),"")</f>
        <v>N.APPAREL</v>
      </c>
      <c r="J1174" s="69">
        <f t="shared" si="36"/>
        <v>5</v>
      </c>
      <c r="K1174" s="69">
        <f t="shared" si="37"/>
        <v>37</v>
      </c>
      <c r="L1174" s="69">
        <f>VLOOKUP(Table_db1_backend_Daily.accdb[[#This Row],[TradingDate]],canon!B:E,4,0)</f>
        <v>29</v>
      </c>
    </row>
    <row r="1175" spans="1:12" x14ac:dyDescent="0.2">
      <c r="A1175" s="69" t="s">
        <v>41</v>
      </c>
      <c r="B1175" s="70">
        <v>42936</v>
      </c>
      <c r="C1175" s="69">
        <v>485</v>
      </c>
      <c r="D1175" s="69">
        <v>10</v>
      </c>
      <c r="E1175" s="69">
        <v>149.94</v>
      </c>
      <c r="F1175" s="69">
        <v>68.360000000000014</v>
      </c>
      <c r="G1175" s="69" t="s">
        <v>17</v>
      </c>
      <c r="H1175" s="69" t="str">
        <f>IFERROR(VLOOKUP(Data!$G1175,canon!$I$2:$K$27,2,FALSE),"")</f>
        <v>OUTER</v>
      </c>
      <c r="I1175" s="69" t="str">
        <f>IFERROR(VLOOKUP(Data!$G1175,canon!$I$2:$K$27,3,FALSE),"")</f>
        <v>APPAREL</v>
      </c>
      <c r="J1175" s="69">
        <f t="shared" si="36"/>
        <v>5</v>
      </c>
      <c r="K1175" s="69">
        <f t="shared" si="37"/>
        <v>37</v>
      </c>
      <c r="L1175" s="69">
        <f>VLOOKUP(Table_db1_backend_Daily.accdb[[#This Row],[TradingDate]],canon!B:E,4,0)</f>
        <v>29</v>
      </c>
    </row>
    <row r="1176" spans="1:12" x14ac:dyDescent="0.2">
      <c r="A1176" s="69" t="s">
        <v>41</v>
      </c>
      <c r="B1176" s="70">
        <v>42936</v>
      </c>
      <c r="C1176" s="69">
        <v>277</v>
      </c>
      <c r="D1176" s="69">
        <v>3</v>
      </c>
      <c r="E1176" s="69">
        <v>63.570000000000007</v>
      </c>
      <c r="F1176" s="69">
        <v>39.699999999999996</v>
      </c>
      <c r="G1176" s="69" t="s">
        <v>19</v>
      </c>
      <c r="H1176" s="69" t="str">
        <f>IFERROR(VLOOKUP(Data!$G1176,canon!$I$2:$K$27,2,FALSE),"")</f>
        <v>PANT</v>
      </c>
      <c r="I1176" s="69" t="str">
        <f>IFERROR(VLOOKUP(Data!$G1176,canon!$I$2:$K$27,3,FALSE),"")</f>
        <v>APPAREL</v>
      </c>
      <c r="J1176" s="69">
        <f t="shared" si="36"/>
        <v>5</v>
      </c>
      <c r="K1176" s="69">
        <f t="shared" si="37"/>
        <v>37</v>
      </c>
      <c r="L1176" s="69">
        <f>VLOOKUP(Table_db1_backend_Daily.accdb[[#This Row],[TradingDate]],canon!B:E,4,0)</f>
        <v>29</v>
      </c>
    </row>
    <row r="1177" spans="1:12" x14ac:dyDescent="0.2">
      <c r="A1177" s="69" t="s">
        <v>41</v>
      </c>
      <c r="B1177" s="70">
        <v>42936</v>
      </c>
      <c r="C1177" s="69">
        <v>33</v>
      </c>
      <c r="D1177" s="69">
        <v>0</v>
      </c>
      <c r="E1177" s="69">
        <v>0</v>
      </c>
      <c r="F1177" s="69">
        <v>0</v>
      </c>
      <c r="G1177" s="69" t="s">
        <v>21</v>
      </c>
      <c r="H1177" s="69" t="str">
        <f>IFERROR(VLOOKUP(Data!$G1177,canon!$I$2:$K$27,2,FALSE),"")</f>
        <v>ACCESSORY</v>
      </c>
      <c r="I1177" s="69" t="str">
        <f>IFERROR(VLOOKUP(Data!$G1177,canon!$I$2:$K$27,3,FALSE),"")</f>
        <v>N.APPAREL</v>
      </c>
      <c r="J1177" s="69">
        <f t="shared" si="36"/>
        <v>5</v>
      </c>
      <c r="K1177" s="69">
        <f t="shared" si="37"/>
        <v>37</v>
      </c>
      <c r="L1177" s="69">
        <f>VLOOKUP(Table_db1_backend_Daily.accdb[[#This Row],[TradingDate]],canon!B:E,4,0)</f>
        <v>29</v>
      </c>
    </row>
    <row r="1178" spans="1:12" x14ac:dyDescent="0.2">
      <c r="A1178" s="69" t="s">
        <v>41</v>
      </c>
      <c r="B1178" s="70">
        <v>42936</v>
      </c>
      <c r="C1178" s="69">
        <v>536</v>
      </c>
      <c r="D1178" s="69">
        <v>21</v>
      </c>
      <c r="E1178" s="69">
        <v>95.52</v>
      </c>
      <c r="F1178" s="69">
        <v>62.820000000000014</v>
      </c>
      <c r="G1178" s="69" t="s">
        <v>22</v>
      </c>
      <c r="H1178" s="69" t="str">
        <f>IFERROR(VLOOKUP(Data!$G1178,canon!$I$2:$K$27,2,FALSE),"")</f>
        <v>SCARF</v>
      </c>
      <c r="I1178" s="69" t="str">
        <f>IFERROR(VLOOKUP(Data!$G1178,canon!$I$2:$K$27,3,FALSE),"")</f>
        <v>N.APPAREL</v>
      </c>
      <c r="J1178" s="69">
        <f t="shared" si="36"/>
        <v>5</v>
      </c>
      <c r="K1178" s="69">
        <f t="shared" si="37"/>
        <v>37</v>
      </c>
      <c r="L1178" s="69">
        <f>VLOOKUP(Table_db1_backend_Daily.accdb[[#This Row],[TradingDate]],canon!B:E,4,0)</f>
        <v>29</v>
      </c>
    </row>
    <row r="1179" spans="1:12" x14ac:dyDescent="0.2">
      <c r="A1179" s="69" t="s">
        <v>41</v>
      </c>
      <c r="B1179" s="70">
        <v>42936</v>
      </c>
      <c r="C1179" s="69">
        <v>89</v>
      </c>
      <c r="D1179" s="69">
        <v>1</v>
      </c>
      <c r="E1179" s="69">
        <v>18.18</v>
      </c>
      <c r="F1179" s="69">
        <v>10.14</v>
      </c>
      <c r="G1179" s="69" t="s">
        <v>23</v>
      </c>
      <c r="H1179" s="69" t="str">
        <f>IFERROR(VLOOKUP(Data!$G1179,canon!$I$2:$K$27,2,FALSE),"")</f>
        <v>SH&amp;BL</v>
      </c>
      <c r="I1179" s="69" t="str">
        <f>IFERROR(VLOOKUP(Data!$G1179,canon!$I$2:$K$27,3,FALSE),"")</f>
        <v>APPAREL</v>
      </c>
      <c r="J1179" s="69">
        <f t="shared" si="36"/>
        <v>5</v>
      </c>
      <c r="K1179" s="69">
        <f t="shared" si="37"/>
        <v>37</v>
      </c>
      <c r="L1179" s="69">
        <f>VLOOKUP(Table_db1_backend_Daily.accdb[[#This Row],[TradingDate]],canon!B:E,4,0)</f>
        <v>29</v>
      </c>
    </row>
    <row r="1180" spans="1:12" x14ac:dyDescent="0.2">
      <c r="A1180" s="69" t="s">
        <v>41</v>
      </c>
      <c r="B1180" s="70">
        <v>42936</v>
      </c>
      <c r="C1180" s="69">
        <v>424</v>
      </c>
      <c r="D1180" s="69">
        <v>2</v>
      </c>
      <c r="E1180" s="69">
        <v>18.18</v>
      </c>
      <c r="F1180" s="69">
        <v>6.87</v>
      </c>
      <c r="G1180" s="69" t="s">
        <v>32</v>
      </c>
      <c r="H1180" s="69" t="str">
        <f>IFERROR(VLOOKUP(Data!$G1180,canon!$I$2:$K$27,2,FALSE),"")</f>
        <v>SKIRT</v>
      </c>
      <c r="I1180" s="69" t="str">
        <f>IFERROR(VLOOKUP(Data!$G1180,canon!$I$2:$K$27,3,FALSE),"")</f>
        <v>APPAREL</v>
      </c>
      <c r="J1180" s="69">
        <f t="shared" si="36"/>
        <v>5</v>
      </c>
      <c r="K1180" s="69">
        <f t="shared" si="37"/>
        <v>37</v>
      </c>
      <c r="L1180" s="69">
        <f>VLOOKUP(Table_db1_backend_Daily.accdb[[#This Row],[TradingDate]],canon!B:E,4,0)</f>
        <v>29</v>
      </c>
    </row>
    <row r="1181" spans="1:12" x14ac:dyDescent="0.2">
      <c r="A1181" s="69" t="s">
        <v>41</v>
      </c>
      <c r="B1181" s="70">
        <v>42936</v>
      </c>
      <c r="C1181" s="69">
        <v>1139</v>
      </c>
      <c r="D1181" s="69">
        <v>24</v>
      </c>
      <c r="E1181" s="69">
        <v>258.87</v>
      </c>
      <c r="F1181" s="69">
        <v>132.04</v>
      </c>
      <c r="G1181" s="69" t="s">
        <v>25</v>
      </c>
      <c r="H1181" s="69" t="str">
        <f>IFERROR(VLOOKUP(Data!$G1181,canon!$I$2:$K$27,2,FALSE),"")</f>
        <v>TOP</v>
      </c>
      <c r="I1181" s="69" t="str">
        <f>IFERROR(VLOOKUP(Data!$G1181,canon!$I$2:$K$27,3,FALSE),"")</f>
        <v>APPAREL</v>
      </c>
      <c r="J1181" s="69">
        <f t="shared" si="36"/>
        <v>5</v>
      </c>
      <c r="K1181" s="69">
        <f t="shared" si="37"/>
        <v>37</v>
      </c>
      <c r="L1181" s="69">
        <f>VLOOKUP(Table_db1_backend_Daily.accdb[[#This Row],[TradingDate]],canon!B:E,4,0)</f>
        <v>29</v>
      </c>
    </row>
    <row r="1182" spans="1:12" x14ac:dyDescent="0.2">
      <c r="A1182" s="69" t="s">
        <v>41</v>
      </c>
      <c r="B1182" s="70">
        <v>42937</v>
      </c>
      <c r="C1182" s="69">
        <v>4</v>
      </c>
      <c r="D1182" s="69">
        <v>0</v>
      </c>
      <c r="E1182" s="69">
        <v>0</v>
      </c>
      <c r="F1182" s="69">
        <v>0</v>
      </c>
      <c r="G1182" s="69" t="s">
        <v>27</v>
      </c>
      <c r="H1182" s="69" t="str">
        <f>IFERROR(VLOOKUP(Data!$G1182,canon!$I$2:$K$27,2,FALSE),"")</f>
        <v>ACCESSORY</v>
      </c>
      <c r="I1182" s="69" t="str">
        <f>IFERROR(VLOOKUP(Data!$G1182,canon!$I$2:$K$27,3,FALSE),"")</f>
        <v>N.APPAREL</v>
      </c>
      <c r="J1182" s="69">
        <f t="shared" si="36"/>
        <v>6</v>
      </c>
      <c r="K1182" s="69">
        <f t="shared" si="37"/>
        <v>37</v>
      </c>
      <c r="L1182" s="69">
        <f>VLOOKUP(Table_db1_backend_Daily.accdb[[#This Row],[TradingDate]],canon!B:E,4,0)</f>
        <v>29</v>
      </c>
    </row>
    <row r="1183" spans="1:12" x14ac:dyDescent="0.2">
      <c r="A1183" s="69" t="s">
        <v>41</v>
      </c>
      <c r="B1183" s="70">
        <v>42937</v>
      </c>
      <c r="C1183" s="69">
        <v>26</v>
      </c>
      <c r="D1183" s="69">
        <v>0</v>
      </c>
      <c r="E1183" s="69">
        <v>0</v>
      </c>
      <c r="F1183" s="69">
        <v>0</v>
      </c>
      <c r="G1183" s="69" t="s">
        <v>34</v>
      </c>
      <c r="H1183" s="69" t="str">
        <f>IFERROR(VLOOKUP(Data!$G1183,canon!$I$2:$K$27,2,FALSE),"")</f>
        <v>SHOES</v>
      </c>
      <c r="I1183" s="69" t="str">
        <f>IFERROR(VLOOKUP(Data!$G1183,canon!$I$2:$K$27,3,FALSE),"")</f>
        <v>N.APPAREL</v>
      </c>
      <c r="J1183" s="69">
        <f t="shared" si="36"/>
        <v>6</v>
      </c>
      <c r="K1183" s="69">
        <f t="shared" si="37"/>
        <v>37</v>
      </c>
      <c r="L1183" s="69">
        <f>VLOOKUP(Table_db1_backend_Daily.accdb[[#This Row],[TradingDate]],canon!B:E,4,0)</f>
        <v>29</v>
      </c>
    </row>
    <row r="1184" spans="1:12" x14ac:dyDescent="0.2">
      <c r="A1184" s="69" t="s">
        <v>41</v>
      </c>
      <c r="B1184" s="70">
        <v>42937</v>
      </c>
      <c r="C1184" s="69">
        <v>3</v>
      </c>
      <c r="D1184" s="69">
        <v>0</v>
      </c>
      <c r="E1184" s="69">
        <v>0</v>
      </c>
      <c r="F1184" s="69">
        <v>0</v>
      </c>
      <c r="G1184" s="69" t="s">
        <v>38</v>
      </c>
      <c r="H1184" s="69" t="str">
        <f>IFERROR(VLOOKUP(Data!$G1184,canon!$I$2:$K$27,2,FALSE),"")</f>
        <v>SHOES</v>
      </c>
      <c r="I1184" s="69" t="str">
        <f>IFERROR(VLOOKUP(Data!$G1184,canon!$I$2:$K$27,3,FALSE),"")</f>
        <v>N.APPAREL</v>
      </c>
      <c r="J1184" s="69">
        <f t="shared" si="36"/>
        <v>6</v>
      </c>
      <c r="K1184" s="69">
        <f t="shared" si="37"/>
        <v>37</v>
      </c>
      <c r="L1184" s="69">
        <f>VLOOKUP(Table_db1_backend_Daily.accdb[[#This Row],[TradingDate]],canon!B:E,4,0)</f>
        <v>29</v>
      </c>
    </row>
    <row r="1185" spans="1:12" x14ac:dyDescent="0.2">
      <c r="A1185" s="69" t="s">
        <v>41</v>
      </c>
      <c r="B1185" s="70">
        <v>42937</v>
      </c>
      <c r="C1185" s="69">
        <v>605</v>
      </c>
      <c r="D1185" s="69">
        <v>4</v>
      </c>
      <c r="E1185" s="69">
        <v>81.759999999999991</v>
      </c>
      <c r="F1185" s="69">
        <v>54.15</v>
      </c>
      <c r="G1185" s="69" t="s">
        <v>35</v>
      </c>
      <c r="H1185" s="69" t="str">
        <f>IFERROR(VLOOKUP(Data!$G1185,canon!$I$2:$K$27,2,FALSE),"")</f>
        <v>DRESS</v>
      </c>
      <c r="I1185" s="69" t="str">
        <f>IFERROR(VLOOKUP(Data!$G1185,canon!$I$2:$K$27,3,FALSE),"")</f>
        <v>APPAREL</v>
      </c>
      <c r="J1185" s="69">
        <f t="shared" si="36"/>
        <v>6</v>
      </c>
      <c r="K1185" s="69">
        <f t="shared" si="37"/>
        <v>37</v>
      </c>
      <c r="L1185" s="69">
        <f>VLOOKUP(Table_db1_backend_Daily.accdb[[#This Row],[TradingDate]],canon!B:E,4,0)</f>
        <v>29</v>
      </c>
    </row>
    <row r="1186" spans="1:12" x14ac:dyDescent="0.2">
      <c r="A1186" s="69" t="s">
        <v>41</v>
      </c>
      <c r="B1186" s="70">
        <v>42937</v>
      </c>
      <c r="C1186" s="69">
        <v>39</v>
      </c>
      <c r="D1186" s="69">
        <v>0</v>
      </c>
      <c r="E1186" s="69">
        <v>0</v>
      </c>
      <c r="F1186" s="69">
        <v>0</v>
      </c>
      <c r="G1186" s="69" t="s">
        <v>10</v>
      </c>
      <c r="H1186" s="69" t="str">
        <f>IFERROR(VLOOKUP(Data!$G1186,canon!$I$2:$K$27,2,FALSE),"")</f>
        <v>ACCESSORY</v>
      </c>
      <c r="I1186" s="69" t="str">
        <f>IFERROR(VLOOKUP(Data!$G1186,canon!$I$2:$K$27,3,FALSE),"")</f>
        <v>N.APPAREL</v>
      </c>
      <c r="J1186" s="69">
        <f t="shared" si="36"/>
        <v>6</v>
      </c>
      <c r="K1186" s="69">
        <f t="shared" si="37"/>
        <v>37</v>
      </c>
      <c r="L1186" s="69">
        <f>VLOOKUP(Table_db1_backend_Daily.accdb[[#This Row],[TradingDate]],canon!B:E,4,0)</f>
        <v>29</v>
      </c>
    </row>
    <row r="1187" spans="1:12" x14ac:dyDescent="0.2">
      <c r="A1187" s="69" t="s">
        <v>41</v>
      </c>
      <c r="B1187" s="70">
        <v>42937</v>
      </c>
      <c r="C1187" s="69">
        <v>2</v>
      </c>
      <c r="D1187" s="69">
        <v>0</v>
      </c>
      <c r="E1187" s="69">
        <v>0</v>
      </c>
      <c r="F1187" s="69">
        <v>0</v>
      </c>
      <c r="G1187" s="69" t="s">
        <v>28</v>
      </c>
      <c r="H1187" s="69" t="str">
        <f>IFERROR(VLOOKUP(Data!$G1187,canon!$I$2:$K$27,2,FALSE),"")</f>
        <v>ACCESSORY</v>
      </c>
      <c r="I1187" s="69" t="str">
        <f>IFERROR(VLOOKUP(Data!$G1187,canon!$I$2:$K$27,3,FALSE),"")</f>
        <v>N.APPAREL</v>
      </c>
      <c r="J1187" s="69">
        <f t="shared" si="36"/>
        <v>6</v>
      </c>
      <c r="K1187" s="69">
        <f t="shared" si="37"/>
        <v>37</v>
      </c>
      <c r="L1187" s="69">
        <f>VLOOKUP(Table_db1_backend_Daily.accdb[[#This Row],[TradingDate]],canon!B:E,4,0)</f>
        <v>29</v>
      </c>
    </row>
    <row r="1188" spans="1:12" x14ac:dyDescent="0.2">
      <c r="A1188" s="69" t="s">
        <v>41</v>
      </c>
      <c r="B1188" s="70">
        <v>42937</v>
      </c>
      <c r="C1188" s="69">
        <v>1619</v>
      </c>
      <c r="D1188" s="69">
        <v>44</v>
      </c>
      <c r="E1188" s="69">
        <v>481.39999999999992</v>
      </c>
      <c r="F1188" s="69">
        <v>147.95000000000002</v>
      </c>
      <c r="G1188" s="69" t="s">
        <v>11</v>
      </c>
      <c r="H1188" s="69" t="str">
        <f>IFERROR(VLOOKUP(Data!$G1188,canon!$I$2:$K$27,2,FALSE),"")</f>
        <v>KNIT</v>
      </c>
      <c r="I1188" s="69" t="str">
        <f>IFERROR(VLOOKUP(Data!$G1188,canon!$I$2:$K$27,3,FALSE),"")</f>
        <v>APPAREL</v>
      </c>
      <c r="J1188" s="69">
        <f t="shared" si="36"/>
        <v>6</v>
      </c>
      <c r="K1188" s="69">
        <f t="shared" si="37"/>
        <v>37</v>
      </c>
      <c r="L1188" s="69">
        <f>VLOOKUP(Table_db1_backend_Daily.accdb[[#This Row],[TradingDate]],canon!B:E,4,0)</f>
        <v>29</v>
      </c>
    </row>
    <row r="1189" spans="1:12" x14ac:dyDescent="0.2">
      <c r="A1189" s="69" t="s">
        <v>41</v>
      </c>
      <c r="B1189" s="70">
        <v>42937</v>
      </c>
      <c r="C1189" s="69">
        <v>521</v>
      </c>
      <c r="D1189" s="69">
        <v>3</v>
      </c>
      <c r="E1189" s="69">
        <v>27.27</v>
      </c>
      <c r="F1189" s="69">
        <v>5.43</v>
      </c>
      <c r="G1189" s="69" t="s">
        <v>14</v>
      </c>
      <c r="H1189" s="69" t="str">
        <f>IFERROR(VLOOKUP(Data!$G1189,canon!$I$2:$K$27,2,FALSE),"")</f>
        <v>LEGGING</v>
      </c>
      <c r="I1189" s="69" t="str">
        <f>IFERROR(VLOOKUP(Data!$G1189,canon!$I$2:$K$27,3,FALSE),"")</f>
        <v>APPAREL</v>
      </c>
      <c r="J1189" s="69">
        <f t="shared" si="36"/>
        <v>6</v>
      </c>
      <c r="K1189" s="69">
        <f t="shared" si="37"/>
        <v>37</v>
      </c>
      <c r="L1189" s="69">
        <f>VLOOKUP(Table_db1_backend_Daily.accdb[[#This Row],[TradingDate]],canon!B:E,4,0)</f>
        <v>29</v>
      </c>
    </row>
    <row r="1190" spans="1:12" x14ac:dyDescent="0.2">
      <c r="A1190" s="69" t="s">
        <v>41</v>
      </c>
      <c r="B1190" s="70">
        <v>42937</v>
      </c>
      <c r="C1190" s="69">
        <v>-43</v>
      </c>
      <c r="D1190" s="69">
        <v>0</v>
      </c>
      <c r="E1190" s="69">
        <v>0</v>
      </c>
      <c r="F1190" s="69">
        <v>0</v>
      </c>
      <c r="G1190" s="69" t="s">
        <v>37</v>
      </c>
      <c r="H1190" s="69" t="str">
        <f>IFERROR(VLOOKUP(Data!$G1190,canon!$I$2:$K$27,2,FALSE),"")</f>
        <v>SHOES</v>
      </c>
      <c r="I1190" s="69" t="str">
        <f>IFERROR(VLOOKUP(Data!$G1190,canon!$I$2:$K$27,3,FALSE),"")</f>
        <v>N.APPAREL</v>
      </c>
      <c r="J1190" s="69">
        <f t="shared" si="36"/>
        <v>6</v>
      </c>
      <c r="K1190" s="69">
        <f t="shared" si="37"/>
        <v>37</v>
      </c>
      <c r="L1190" s="69">
        <f>VLOOKUP(Table_db1_backend_Daily.accdb[[#This Row],[TradingDate]],canon!B:E,4,0)</f>
        <v>29</v>
      </c>
    </row>
    <row r="1191" spans="1:12" x14ac:dyDescent="0.2">
      <c r="A1191" s="69" t="s">
        <v>41</v>
      </c>
      <c r="B1191" s="70">
        <v>42937</v>
      </c>
      <c r="C1191" s="69">
        <v>17</v>
      </c>
      <c r="D1191" s="69">
        <v>0</v>
      </c>
      <c r="E1191" s="69">
        <v>0</v>
      </c>
      <c r="F1191" s="69">
        <v>0</v>
      </c>
      <c r="G1191" s="69" t="s">
        <v>29</v>
      </c>
      <c r="H1191" s="69" t="str">
        <f>IFERROR(VLOOKUP(Data!$G1191,canon!$I$2:$K$27,2,FALSE),"")</f>
        <v>SHOES</v>
      </c>
      <c r="I1191" s="69" t="str">
        <f>IFERROR(VLOOKUP(Data!$G1191,canon!$I$2:$K$27,3,FALSE),"")</f>
        <v>N.APPAREL</v>
      </c>
      <c r="J1191" s="69">
        <f t="shared" si="36"/>
        <v>6</v>
      </c>
      <c r="K1191" s="69">
        <f t="shared" si="37"/>
        <v>37</v>
      </c>
      <c r="L1191" s="69">
        <f>VLOOKUP(Table_db1_backend_Daily.accdb[[#This Row],[TradingDate]],canon!B:E,4,0)</f>
        <v>29</v>
      </c>
    </row>
    <row r="1192" spans="1:12" x14ac:dyDescent="0.2">
      <c r="A1192" s="69" t="s">
        <v>41</v>
      </c>
      <c r="B1192" s="70">
        <v>42937</v>
      </c>
      <c r="C1192" s="69">
        <v>474</v>
      </c>
      <c r="D1192" s="69">
        <v>11</v>
      </c>
      <c r="E1192" s="69">
        <v>189.39000000000001</v>
      </c>
      <c r="F1192" s="69">
        <v>86.94</v>
      </c>
      <c r="G1192" s="69" t="s">
        <v>17</v>
      </c>
      <c r="H1192" s="69" t="str">
        <f>IFERROR(VLOOKUP(Data!$G1192,canon!$I$2:$K$27,2,FALSE),"")</f>
        <v>OUTER</v>
      </c>
      <c r="I1192" s="69" t="str">
        <f>IFERROR(VLOOKUP(Data!$G1192,canon!$I$2:$K$27,3,FALSE),"")</f>
        <v>APPAREL</v>
      </c>
      <c r="J1192" s="69">
        <f t="shared" si="36"/>
        <v>6</v>
      </c>
      <c r="K1192" s="69">
        <f t="shared" si="37"/>
        <v>37</v>
      </c>
      <c r="L1192" s="69">
        <f>VLOOKUP(Table_db1_backend_Daily.accdb[[#This Row],[TradingDate]],canon!B:E,4,0)</f>
        <v>29</v>
      </c>
    </row>
    <row r="1193" spans="1:12" x14ac:dyDescent="0.2">
      <c r="A1193" s="69" t="s">
        <v>41</v>
      </c>
      <c r="B1193" s="70">
        <v>42937</v>
      </c>
      <c r="C1193" s="69">
        <v>273</v>
      </c>
      <c r="D1193" s="69">
        <v>4</v>
      </c>
      <c r="E1193" s="69">
        <v>52.449999999999996</v>
      </c>
      <c r="F1193" s="69">
        <v>29.229999999999997</v>
      </c>
      <c r="G1193" s="69" t="s">
        <v>19</v>
      </c>
      <c r="H1193" s="69" t="str">
        <f>IFERROR(VLOOKUP(Data!$G1193,canon!$I$2:$K$27,2,FALSE),"")</f>
        <v>PANT</v>
      </c>
      <c r="I1193" s="69" t="str">
        <f>IFERROR(VLOOKUP(Data!$G1193,canon!$I$2:$K$27,3,FALSE),"")</f>
        <v>APPAREL</v>
      </c>
      <c r="J1193" s="69">
        <f t="shared" si="36"/>
        <v>6</v>
      </c>
      <c r="K1193" s="69">
        <f t="shared" si="37"/>
        <v>37</v>
      </c>
      <c r="L1193" s="69">
        <f>VLOOKUP(Table_db1_backend_Daily.accdb[[#This Row],[TradingDate]],canon!B:E,4,0)</f>
        <v>29</v>
      </c>
    </row>
    <row r="1194" spans="1:12" x14ac:dyDescent="0.2">
      <c r="A1194" s="69" t="s">
        <v>41</v>
      </c>
      <c r="B1194" s="70">
        <v>42937</v>
      </c>
      <c r="C1194" s="69">
        <v>33</v>
      </c>
      <c r="D1194" s="69">
        <v>0</v>
      </c>
      <c r="E1194" s="69">
        <v>0</v>
      </c>
      <c r="F1194" s="69">
        <v>0</v>
      </c>
      <c r="G1194" s="69" t="s">
        <v>21</v>
      </c>
      <c r="H1194" s="69" t="str">
        <f>IFERROR(VLOOKUP(Data!$G1194,canon!$I$2:$K$27,2,FALSE),"")</f>
        <v>ACCESSORY</v>
      </c>
      <c r="I1194" s="69" t="str">
        <f>IFERROR(VLOOKUP(Data!$G1194,canon!$I$2:$K$27,3,FALSE),"")</f>
        <v>N.APPAREL</v>
      </c>
      <c r="J1194" s="69">
        <f t="shared" si="36"/>
        <v>6</v>
      </c>
      <c r="K1194" s="69">
        <f t="shared" si="37"/>
        <v>37</v>
      </c>
      <c r="L1194" s="69">
        <f>VLOOKUP(Table_db1_backend_Daily.accdb[[#This Row],[TradingDate]],canon!B:E,4,0)</f>
        <v>29</v>
      </c>
    </row>
    <row r="1195" spans="1:12" x14ac:dyDescent="0.2">
      <c r="A1195" s="69" t="s">
        <v>41</v>
      </c>
      <c r="B1195" s="70">
        <v>42937</v>
      </c>
      <c r="C1195" s="69">
        <v>523</v>
      </c>
      <c r="D1195" s="69">
        <v>13</v>
      </c>
      <c r="E1195" s="69">
        <v>59.129999999999995</v>
      </c>
      <c r="F1195" s="69">
        <v>37.29</v>
      </c>
      <c r="G1195" s="69" t="s">
        <v>22</v>
      </c>
      <c r="H1195" s="69" t="str">
        <f>IFERROR(VLOOKUP(Data!$G1195,canon!$I$2:$K$27,2,FALSE),"")</f>
        <v>SCARF</v>
      </c>
      <c r="I1195" s="69" t="str">
        <f>IFERROR(VLOOKUP(Data!$G1195,canon!$I$2:$K$27,3,FALSE),"")</f>
        <v>N.APPAREL</v>
      </c>
      <c r="J1195" s="69">
        <f t="shared" si="36"/>
        <v>6</v>
      </c>
      <c r="K1195" s="69">
        <f t="shared" si="37"/>
        <v>37</v>
      </c>
      <c r="L1195" s="69">
        <f>VLOOKUP(Table_db1_backend_Daily.accdb[[#This Row],[TradingDate]],canon!B:E,4,0)</f>
        <v>29</v>
      </c>
    </row>
    <row r="1196" spans="1:12" x14ac:dyDescent="0.2">
      <c r="A1196" s="69" t="s">
        <v>41</v>
      </c>
      <c r="B1196" s="70">
        <v>42937</v>
      </c>
      <c r="C1196" s="69">
        <v>86</v>
      </c>
      <c r="D1196" s="69">
        <v>3</v>
      </c>
      <c r="E1196" s="69">
        <v>48.95</v>
      </c>
      <c r="F1196" s="69">
        <v>24.6</v>
      </c>
      <c r="G1196" s="69" t="s">
        <v>23</v>
      </c>
      <c r="H1196" s="69" t="str">
        <f>IFERROR(VLOOKUP(Data!$G1196,canon!$I$2:$K$27,2,FALSE),"")</f>
        <v>SH&amp;BL</v>
      </c>
      <c r="I1196" s="69" t="str">
        <f>IFERROR(VLOOKUP(Data!$G1196,canon!$I$2:$K$27,3,FALSE),"")</f>
        <v>APPAREL</v>
      </c>
      <c r="J1196" s="69">
        <f t="shared" si="36"/>
        <v>6</v>
      </c>
      <c r="K1196" s="69">
        <f t="shared" si="37"/>
        <v>37</v>
      </c>
      <c r="L1196" s="69">
        <f>VLOOKUP(Table_db1_backend_Daily.accdb[[#This Row],[TradingDate]],canon!B:E,4,0)</f>
        <v>29</v>
      </c>
    </row>
    <row r="1197" spans="1:12" x14ac:dyDescent="0.2">
      <c r="A1197" s="69" t="s">
        <v>41</v>
      </c>
      <c r="B1197" s="70">
        <v>42937</v>
      </c>
      <c r="C1197" s="69">
        <v>422</v>
      </c>
      <c r="D1197" s="69">
        <v>2</v>
      </c>
      <c r="E1197" s="69">
        <v>44.760000000000005</v>
      </c>
      <c r="F1197" s="69">
        <v>36.07</v>
      </c>
      <c r="G1197" s="69" t="s">
        <v>32</v>
      </c>
      <c r="H1197" s="69" t="str">
        <f>IFERROR(VLOOKUP(Data!$G1197,canon!$I$2:$K$27,2,FALSE),"")</f>
        <v>SKIRT</v>
      </c>
      <c r="I1197" s="69" t="str">
        <f>IFERROR(VLOOKUP(Data!$G1197,canon!$I$2:$K$27,3,FALSE),"")</f>
        <v>APPAREL</v>
      </c>
      <c r="J1197" s="69">
        <f t="shared" si="36"/>
        <v>6</v>
      </c>
      <c r="K1197" s="69">
        <f t="shared" si="37"/>
        <v>37</v>
      </c>
      <c r="L1197" s="69">
        <f>VLOOKUP(Table_db1_backend_Daily.accdb[[#This Row],[TradingDate]],canon!B:E,4,0)</f>
        <v>29</v>
      </c>
    </row>
    <row r="1198" spans="1:12" x14ac:dyDescent="0.2">
      <c r="A1198" s="69" t="s">
        <v>41</v>
      </c>
      <c r="B1198" s="70">
        <v>42937</v>
      </c>
      <c r="C1198" s="69">
        <v>1122</v>
      </c>
      <c r="D1198" s="69">
        <v>17</v>
      </c>
      <c r="E1198" s="69">
        <v>196.49</v>
      </c>
      <c r="F1198" s="69">
        <v>104.78</v>
      </c>
      <c r="G1198" s="69" t="s">
        <v>25</v>
      </c>
      <c r="H1198" s="69" t="str">
        <f>IFERROR(VLOOKUP(Data!$G1198,canon!$I$2:$K$27,2,FALSE),"")</f>
        <v>TOP</v>
      </c>
      <c r="I1198" s="69" t="str">
        <f>IFERROR(VLOOKUP(Data!$G1198,canon!$I$2:$K$27,3,FALSE),"")</f>
        <v>APPAREL</v>
      </c>
      <c r="J1198" s="69">
        <f t="shared" si="36"/>
        <v>6</v>
      </c>
      <c r="K1198" s="69">
        <f t="shared" si="37"/>
        <v>37</v>
      </c>
      <c r="L1198" s="69">
        <f>VLOOKUP(Table_db1_backend_Daily.accdb[[#This Row],[TradingDate]],canon!B:E,4,0)</f>
        <v>29</v>
      </c>
    </row>
    <row r="1199" spans="1:12" x14ac:dyDescent="0.2">
      <c r="A1199" s="69" t="s">
        <v>41</v>
      </c>
      <c r="B1199" s="70">
        <v>42938</v>
      </c>
      <c r="C1199" s="69">
        <v>4</v>
      </c>
      <c r="D1199" s="69">
        <v>0</v>
      </c>
      <c r="E1199" s="69">
        <v>0</v>
      </c>
      <c r="F1199" s="69">
        <v>0</v>
      </c>
      <c r="G1199" s="69" t="s">
        <v>27</v>
      </c>
      <c r="H1199" s="69" t="str">
        <f>IFERROR(VLOOKUP(Data!$G1199,canon!$I$2:$K$27,2,FALSE),"")</f>
        <v>ACCESSORY</v>
      </c>
      <c r="I1199" s="69" t="str">
        <f>IFERROR(VLOOKUP(Data!$G1199,canon!$I$2:$K$27,3,FALSE),"")</f>
        <v>N.APPAREL</v>
      </c>
      <c r="J1199" s="69">
        <f t="shared" si="36"/>
        <v>7</v>
      </c>
      <c r="K1199" s="69">
        <f t="shared" si="37"/>
        <v>37</v>
      </c>
      <c r="L1199" s="69">
        <f>VLOOKUP(Table_db1_backend_Daily.accdb[[#This Row],[TradingDate]],canon!B:E,4,0)</f>
        <v>29</v>
      </c>
    </row>
    <row r="1200" spans="1:12" x14ac:dyDescent="0.2">
      <c r="A1200" s="69" t="s">
        <v>41</v>
      </c>
      <c r="B1200" s="70">
        <v>42938</v>
      </c>
      <c r="C1200" s="69">
        <v>26</v>
      </c>
      <c r="D1200" s="69">
        <v>0</v>
      </c>
      <c r="E1200" s="69">
        <v>0</v>
      </c>
      <c r="F1200" s="69">
        <v>0</v>
      </c>
      <c r="G1200" s="69" t="s">
        <v>34</v>
      </c>
      <c r="H1200" s="69" t="str">
        <f>IFERROR(VLOOKUP(Data!$G1200,canon!$I$2:$K$27,2,FALSE),"")</f>
        <v>SHOES</v>
      </c>
      <c r="I1200" s="69" t="str">
        <f>IFERROR(VLOOKUP(Data!$G1200,canon!$I$2:$K$27,3,FALSE),"")</f>
        <v>N.APPAREL</v>
      </c>
      <c r="J1200" s="69">
        <f t="shared" si="36"/>
        <v>7</v>
      </c>
      <c r="K1200" s="69">
        <f t="shared" si="37"/>
        <v>37</v>
      </c>
      <c r="L1200" s="69">
        <f>VLOOKUP(Table_db1_backend_Daily.accdb[[#This Row],[TradingDate]],canon!B:E,4,0)</f>
        <v>29</v>
      </c>
    </row>
    <row r="1201" spans="1:12" x14ac:dyDescent="0.2">
      <c r="A1201" s="69" t="s">
        <v>41</v>
      </c>
      <c r="B1201" s="70">
        <v>42938</v>
      </c>
      <c r="C1201" s="69">
        <v>3</v>
      </c>
      <c r="D1201" s="69">
        <v>0</v>
      </c>
      <c r="E1201" s="69">
        <v>0</v>
      </c>
      <c r="F1201" s="69">
        <v>0</v>
      </c>
      <c r="G1201" s="69" t="s">
        <v>38</v>
      </c>
      <c r="H1201" s="69" t="str">
        <f>IFERROR(VLOOKUP(Data!$G1201,canon!$I$2:$K$27,2,FALSE),"")</f>
        <v>SHOES</v>
      </c>
      <c r="I1201" s="69" t="str">
        <f>IFERROR(VLOOKUP(Data!$G1201,canon!$I$2:$K$27,3,FALSE),"")</f>
        <v>N.APPAREL</v>
      </c>
      <c r="J1201" s="69">
        <f t="shared" si="36"/>
        <v>7</v>
      </c>
      <c r="K1201" s="69">
        <f t="shared" si="37"/>
        <v>37</v>
      </c>
      <c r="L1201" s="69">
        <f>VLOOKUP(Table_db1_backend_Daily.accdb[[#This Row],[TradingDate]],canon!B:E,4,0)</f>
        <v>29</v>
      </c>
    </row>
    <row r="1202" spans="1:12" x14ac:dyDescent="0.2">
      <c r="A1202" s="69" t="s">
        <v>41</v>
      </c>
      <c r="B1202" s="70">
        <v>42938</v>
      </c>
      <c r="C1202" s="69">
        <v>602</v>
      </c>
      <c r="D1202" s="69">
        <v>3</v>
      </c>
      <c r="E1202" s="69">
        <v>45.44</v>
      </c>
      <c r="F1202" s="69">
        <v>19.239999999999998</v>
      </c>
      <c r="G1202" s="69" t="s">
        <v>35</v>
      </c>
      <c r="H1202" s="69" t="str">
        <f>IFERROR(VLOOKUP(Data!$G1202,canon!$I$2:$K$27,2,FALSE),"")</f>
        <v>DRESS</v>
      </c>
      <c r="I1202" s="69" t="str">
        <f>IFERROR(VLOOKUP(Data!$G1202,canon!$I$2:$K$27,3,FALSE),"")</f>
        <v>APPAREL</v>
      </c>
      <c r="J1202" s="69">
        <f t="shared" si="36"/>
        <v>7</v>
      </c>
      <c r="K1202" s="69">
        <f t="shared" si="37"/>
        <v>37</v>
      </c>
      <c r="L1202" s="69">
        <f>VLOOKUP(Table_db1_backend_Daily.accdb[[#This Row],[TradingDate]],canon!B:E,4,0)</f>
        <v>29</v>
      </c>
    </row>
    <row r="1203" spans="1:12" x14ac:dyDescent="0.2">
      <c r="A1203" s="69" t="s">
        <v>41</v>
      </c>
      <c r="B1203" s="70">
        <v>42938</v>
      </c>
      <c r="C1203" s="69">
        <v>39</v>
      </c>
      <c r="D1203" s="69">
        <v>0</v>
      </c>
      <c r="E1203" s="69">
        <v>0</v>
      </c>
      <c r="F1203" s="69">
        <v>0</v>
      </c>
      <c r="G1203" s="69" t="s">
        <v>10</v>
      </c>
      <c r="H1203" s="69" t="str">
        <f>IFERROR(VLOOKUP(Data!$G1203,canon!$I$2:$K$27,2,FALSE),"")</f>
        <v>ACCESSORY</v>
      </c>
      <c r="I1203" s="69" t="str">
        <f>IFERROR(VLOOKUP(Data!$G1203,canon!$I$2:$K$27,3,FALSE),"")</f>
        <v>N.APPAREL</v>
      </c>
      <c r="J1203" s="69">
        <f t="shared" si="36"/>
        <v>7</v>
      </c>
      <c r="K1203" s="69">
        <f t="shared" si="37"/>
        <v>37</v>
      </c>
      <c r="L1203" s="69">
        <f>VLOOKUP(Table_db1_backend_Daily.accdb[[#This Row],[TradingDate]],canon!B:E,4,0)</f>
        <v>29</v>
      </c>
    </row>
    <row r="1204" spans="1:12" x14ac:dyDescent="0.2">
      <c r="A1204" s="69" t="s">
        <v>41</v>
      </c>
      <c r="B1204" s="70">
        <v>42938</v>
      </c>
      <c r="C1204" s="69">
        <v>2</v>
      </c>
      <c r="D1204" s="69">
        <v>0</v>
      </c>
      <c r="E1204" s="69">
        <v>0</v>
      </c>
      <c r="F1204" s="69">
        <v>0</v>
      </c>
      <c r="G1204" s="69" t="s">
        <v>28</v>
      </c>
      <c r="H1204" s="69" t="str">
        <f>IFERROR(VLOOKUP(Data!$G1204,canon!$I$2:$K$27,2,FALSE),"")</f>
        <v>ACCESSORY</v>
      </c>
      <c r="I1204" s="69" t="str">
        <f>IFERROR(VLOOKUP(Data!$G1204,canon!$I$2:$K$27,3,FALSE),"")</f>
        <v>N.APPAREL</v>
      </c>
      <c r="J1204" s="69">
        <f t="shared" si="36"/>
        <v>7</v>
      </c>
      <c r="K1204" s="69">
        <f t="shared" si="37"/>
        <v>37</v>
      </c>
      <c r="L1204" s="69">
        <f>VLOOKUP(Table_db1_backend_Daily.accdb[[#This Row],[TradingDate]],canon!B:E,4,0)</f>
        <v>29</v>
      </c>
    </row>
    <row r="1205" spans="1:12" x14ac:dyDescent="0.2">
      <c r="A1205" s="69" t="s">
        <v>41</v>
      </c>
      <c r="B1205" s="70">
        <v>42938</v>
      </c>
      <c r="C1205" s="69">
        <v>1565</v>
      </c>
      <c r="D1205" s="69">
        <v>54</v>
      </c>
      <c r="E1205" s="69">
        <v>681.75999999999988</v>
      </c>
      <c r="F1205" s="69">
        <v>273.34999999999997</v>
      </c>
      <c r="G1205" s="69" t="s">
        <v>11</v>
      </c>
      <c r="H1205" s="69" t="str">
        <f>IFERROR(VLOOKUP(Data!$G1205,canon!$I$2:$K$27,2,FALSE),"")</f>
        <v>KNIT</v>
      </c>
      <c r="I1205" s="69" t="str">
        <f>IFERROR(VLOOKUP(Data!$G1205,canon!$I$2:$K$27,3,FALSE),"")</f>
        <v>APPAREL</v>
      </c>
      <c r="J1205" s="69">
        <f t="shared" si="36"/>
        <v>7</v>
      </c>
      <c r="K1205" s="69">
        <f t="shared" si="37"/>
        <v>37</v>
      </c>
      <c r="L1205" s="69">
        <f>VLOOKUP(Table_db1_backend_Daily.accdb[[#This Row],[TradingDate]],canon!B:E,4,0)</f>
        <v>29</v>
      </c>
    </row>
    <row r="1206" spans="1:12" x14ac:dyDescent="0.2">
      <c r="A1206" s="69" t="s">
        <v>41</v>
      </c>
      <c r="B1206" s="70">
        <v>42938</v>
      </c>
      <c r="C1206" s="69">
        <v>512</v>
      </c>
      <c r="D1206" s="69">
        <v>9</v>
      </c>
      <c r="E1206" s="69">
        <v>99.980000000000018</v>
      </c>
      <c r="F1206" s="69">
        <v>38.029999999999987</v>
      </c>
      <c r="G1206" s="69" t="s">
        <v>14</v>
      </c>
      <c r="H1206" s="69" t="str">
        <f>IFERROR(VLOOKUP(Data!$G1206,canon!$I$2:$K$27,2,FALSE),"")</f>
        <v>LEGGING</v>
      </c>
      <c r="I1206" s="69" t="str">
        <f>IFERROR(VLOOKUP(Data!$G1206,canon!$I$2:$K$27,3,FALSE),"")</f>
        <v>APPAREL</v>
      </c>
      <c r="J1206" s="69">
        <f t="shared" si="36"/>
        <v>7</v>
      </c>
      <c r="K1206" s="69">
        <f t="shared" si="37"/>
        <v>37</v>
      </c>
      <c r="L1206" s="69">
        <f>VLOOKUP(Table_db1_backend_Daily.accdb[[#This Row],[TradingDate]],canon!B:E,4,0)</f>
        <v>29</v>
      </c>
    </row>
    <row r="1207" spans="1:12" x14ac:dyDescent="0.2">
      <c r="A1207" s="69" t="s">
        <v>41</v>
      </c>
      <c r="B1207" s="70">
        <v>42938</v>
      </c>
      <c r="C1207" s="69">
        <v>-43</v>
      </c>
      <c r="D1207" s="69">
        <v>0</v>
      </c>
      <c r="E1207" s="69">
        <v>0</v>
      </c>
      <c r="F1207" s="69">
        <v>0</v>
      </c>
      <c r="G1207" s="69" t="s">
        <v>37</v>
      </c>
      <c r="H1207" s="69" t="str">
        <f>IFERROR(VLOOKUP(Data!$G1207,canon!$I$2:$K$27,2,FALSE),"")</f>
        <v>SHOES</v>
      </c>
      <c r="I1207" s="69" t="str">
        <f>IFERROR(VLOOKUP(Data!$G1207,canon!$I$2:$K$27,3,FALSE),"")</f>
        <v>N.APPAREL</v>
      </c>
      <c r="J1207" s="69">
        <f t="shared" si="36"/>
        <v>7</v>
      </c>
      <c r="K1207" s="69">
        <f t="shared" si="37"/>
        <v>37</v>
      </c>
      <c r="L1207" s="69">
        <f>VLOOKUP(Table_db1_backend_Daily.accdb[[#This Row],[TradingDate]],canon!B:E,4,0)</f>
        <v>29</v>
      </c>
    </row>
    <row r="1208" spans="1:12" x14ac:dyDescent="0.2">
      <c r="A1208" s="69" t="s">
        <v>41</v>
      </c>
      <c r="B1208" s="70">
        <v>42938</v>
      </c>
      <c r="C1208" s="69">
        <v>17</v>
      </c>
      <c r="D1208" s="69">
        <v>0</v>
      </c>
      <c r="E1208" s="69">
        <v>0</v>
      </c>
      <c r="F1208" s="69">
        <v>0</v>
      </c>
      <c r="G1208" s="69" t="s">
        <v>29</v>
      </c>
      <c r="H1208" s="69" t="str">
        <f>IFERROR(VLOOKUP(Data!$G1208,canon!$I$2:$K$27,2,FALSE),"")</f>
        <v>SHOES</v>
      </c>
      <c r="I1208" s="69" t="str">
        <f>IFERROR(VLOOKUP(Data!$G1208,canon!$I$2:$K$27,3,FALSE),"")</f>
        <v>N.APPAREL</v>
      </c>
      <c r="J1208" s="69">
        <f t="shared" si="36"/>
        <v>7</v>
      </c>
      <c r="K1208" s="69">
        <f t="shared" si="37"/>
        <v>37</v>
      </c>
      <c r="L1208" s="69">
        <f>VLOOKUP(Table_db1_backend_Daily.accdb[[#This Row],[TradingDate]],canon!B:E,4,0)</f>
        <v>29</v>
      </c>
    </row>
    <row r="1209" spans="1:12" x14ac:dyDescent="0.2">
      <c r="A1209" s="69" t="s">
        <v>41</v>
      </c>
      <c r="B1209" s="70">
        <v>42938</v>
      </c>
      <c r="C1209" s="69">
        <v>458</v>
      </c>
      <c r="D1209" s="69">
        <v>16</v>
      </c>
      <c r="E1209" s="69">
        <v>254.53000000000003</v>
      </c>
      <c r="F1209" s="69">
        <v>105.25</v>
      </c>
      <c r="G1209" s="69" t="s">
        <v>17</v>
      </c>
      <c r="H1209" s="69" t="str">
        <f>IFERROR(VLOOKUP(Data!$G1209,canon!$I$2:$K$27,2,FALSE),"")</f>
        <v>OUTER</v>
      </c>
      <c r="I1209" s="69" t="str">
        <f>IFERROR(VLOOKUP(Data!$G1209,canon!$I$2:$K$27,3,FALSE),"")</f>
        <v>APPAREL</v>
      </c>
      <c r="J1209" s="69">
        <f t="shared" si="36"/>
        <v>7</v>
      </c>
      <c r="K1209" s="69">
        <f t="shared" si="37"/>
        <v>37</v>
      </c>
      <c r="L1209" s="69">
        <f>VLOOKUP(Table_db1_backend_Daily.accdb[[#This Row],[TradingDate]],canon!B:E,4,0)</f>
        <v>29</v>
      </c>
    </row>
    <row r="1210" spans="1:12" x14ac:dyDescent="0.2">
      <c r="A1210" s="69" t="s">
        <v>41</v>
      </c>
      <c r="B1210" s="70">
        <v>42938</v>
      </c>
      <c r="C1210" s="69">
        <v>269</v>
      </c>
      <c r="D1210" s="69">
        <v>4</v>
      </c>
      <c r="E1210" s="69">
        <v>72.69</v>
      </c>
      <c r="F1210" s="69">
        <v>46.21</v>
      </c>
      <c r="G1210" s="69" t="s">
        <v>19</v>
      </c>
      <c r="H1210" s="69" t="str">
        <f>IFERROR(VLOOKUP(Data!$G1210,canon!$I$2:$K$27,2,FALSE),"")</f>
        <v>PANT</v>
      </c>
      <c r="I1210" s="69" t="str">
        <f>IFERROR(VLOOKUP(Data!$G1210,canon!$I$2:$K$27,3,FALSE),"")</f>
        <v>APPAREL</v>
      </c>
      <c r="J1210" s="69">
        <f t="shared" si="36"/>
        <v>7</v>
      </c>
      <c r="K1210" s="69">
        <f t="shared" si="37"/>
        <v>37</v>
      </c>
      <c r="L1210" s="69">
        <f>VLOOKUP(Table_db1_backend_Daily.accdb[[#This Row],[TradingDate]],canon!B:E,4,0)</f>
        <v>29</v>
      </c>
    </row>
    <row r="1211" spans="1:12" x14ac:dyDescent="0.2">
      <c r="A1211" s="69" t="s">
        <v>41</v>
      </c>
      <c r="B1211" s="70">
        <v>42938</v>
      </c>
      <c r="C1211" s="69">
        <v>33</v>
      </c>
      <c r="D1211" s="69">
        <v>0</v>
      </c>
      <c r="E1211" s="69">
        <v>0</v>
      </c>
      <c r="F1211" s="69">
        <v>0</v>
      </c>
      <c r="G1211" s="69" t="s">
        <v>21</v>
      </c>
      <c r="H1211" s="69" t="str">
        <f>IFERROR(VLOOKUP(Data!$G1211,canon!$I$2:$K$27,2,FALSE),"")</f>
        <v>ACCESSORY</v>
      </c>
      <c r="I1211" s="69" t="str">
        <f>IFERROR(VLOOKUP(Data!$G1211,canon!$I$2:$K$27,3,FALSE),"")</f>
        <v>N.APPAREL</v>
      </c>
      <c r="J1211" s="69">
        <f t="shared" si="36"/>
        <v>7</v>
      </c>
      <c r="K1211" s="69">
        <f t="shared" si="37"/>
        <v>37</v>
      </c>
      <c r="L1211" s="69">
        <f>VLOOKUP(Table_db1_backend_Daily.accdb[[#This Row],[TradingDate]],canon!B:E,4,0)</f>
        <v>29</v>
      </c>
    </row>
    <row r="1212" spans="1:12" x14ac:dyDescent="0.2">
      <c r="A1212" s="69" t="s">
        <v>41</v>
      </c>
      <c r="B1212" s="70">
        <v>42938</v>
      </c>
      <c r="C1212" s="69">
        <v>498</v>
      </c>
      <c r="D1212" s="69">
        <v>25</v>
      </c>
      <c r="E1212" s="69">
        <v>113.05999999999997</v>
      </c>
      <c r="F1212" s="69">
        <v>75.160000000000011</v>
      </c>
      <c r="G1212" s="69" t="s">
        <v>22</v>
      </c>
      <c r="H1212" s="69" t="str">
        <f>IFERROR(VLOOKUP(Data!$G1212,canon!$I$2:$K$27,2,FALSE),"")</f>
        <v>SCARF</v>
      </c>
      <c r="I1212" s="69" t="str">
        <f>IFERROR(VLOOKUP(Data!$G1212,canon!$I$2:$K$27,3,FALSE),"")</f>
        <v>N.APPAREL</v>
      </c>
      <c r="J1212" s="69">
        <f t="shared" si="36"/>
        <v>7</v>
      </c>
      <c r="K1212" s="69">
        <f t="shared" si="37"/>
        <v>37</v>
      </c>
      <c r="L1212" s="69">
        <f>VLOOKUP(Table_db1_backend_Daily.accdb[[#This Row],[TradingDate]],canon!B:E,4,0)</f>
        <v>29</v>
      </c>
    </row>
    <row r="1213" spans="1:12" x14ac:dyDescent="0.2">
      <c r="A1213" s="69" t="s">
        <v>41</v>
      </c>
      <c r="B1213" s="70">
        <v>42938</v>
      </c>
      <c r="C1213" s="69">
        <v>86</v>
      </c>
      <c r="D1213" s="69">
        <v>0</v>
      </c>
      <c r="E1213" s="69">
        <v>0</v>
      </c>
      <c r="F1213" s="69">
        <v>0</v>
      </c>
      <c r="G1213" s="69" t="s">
        <v>23</v>
      </c>
      <c r="H1213" s="69" t="str">
        <f>IFERROR(VLOOKUP(Data!$G1213,canon!$I$2:$K$27,2,FALSE),"")</f>
        <v>SH&amp;BL</v>
      </c>
      <c r="I1213" s="69" t="str">
        <f>IFERROR(VLOOKUP(Data!$G1213,canon!$I$2:$K$27,3,FALSE),"")</f>
        <v>APPAREL</v>
      </c>
      <c r="J1213" s="69">
        <f t="shared" si="36"/>
        <v>7</v>
      </c>
      <c r="K1213" s="69">
        <f t="shared" si="37"/>
        <v>37</v>
      </c>
      <c r="L1213" s="69">
        <f>VLOOKUP(Table_db1_backend_Daily.accdb[[#This Row],[TradingDate]],canon!B:E,4,0)</f>
        <v>29</v>
      </c>
    </row>
    <row r="1214" spans="1:12" x14ac:dyDescent="0.2">
      <c r="A1214" s="69" t="s">
        <v>41</v>
      </c>
      <c r="B1214" s="70">
        <v>42938</v>
      </c>
      <c r="C1214" s="69">
        <v>420</v>
      </c>
      <c r="D1214" s="69">
        <v>2</v>
      </c>
      <c r="E1214" s="69">
        <v>18.18</v>
      </c>
      <c r="F1214" s="69">
        <v>5.35</v>
      </c>
      <c r="G1214" s="69" t="s">
        <v>32</v>
      </c>
      <c r="H1214" s="69" t="str">
        <f>IFERROR(VLOOKUP(Data!$G1214,canon!$I$2:$K$27,2,FALSE),"")</f>
        <v>SKIRT</v>
      </c>
      <c r="I1214" s="69" t="str">
        <f>IFERROR(VLOOKUP(Data!$G1214,canon!$I$2:$K$27,3,FALSE),"")</f>
        <v>APPAREL</v>
      </c>
      <c r="J1214" s="69">
        <f t="shared" si="36"/>
        <v>7</v>
      </c>
      <c r="K1214" s="69">
        <f t="shared" si="37"/>
        <v>37</v>
      </c>
      <c r="L1214" s="69">
        <f>VLOOKUP(Table_db1_backend_Daily.accdb[[#This Row],[TradingDate]],canon!B:E,4,0)</f>
        <v>29</v>
      </c>
    </row>
    <row r="1215" spans="1:12" x14ac:dyDescent="0.2">
      <c r="A1215" s="69" t="s">
        <v>41</v>
      </c>
      <c r="B1215" s="70">
        <v>42938</v>
      </c>
      <c r="C1215" s="69">
        <v>1110</v>
      </c>
      <c r="D1215" s="69">
        <v>12</v>
      </c>
      <c r="E1215" s="69">
        <v>145.44000000000003</v>
      </c>
      <c r="F1215" s="69">
        <v>78.169999999999987</v>
      </c>
      <c r="G1215" s="69" t="s">
        <v>25</v>
      </c>
      <c r="H1215" s="69" t="str">
        <f>IFERROR(VLOOKUP(Data!$G1215,canon!$I$2:$K$27,2,FALSE),"")</f>
        <v>TOP</v>
      </c>
      <c r="I1215" s="69" t="str">
        <f>IFERROR(VLOOKUP(Data!$G1215,canon!$I$2:$K$27,3,FALSE),"")</f>
        <v>APPAREL</v>
      </c>
      <c r="J1215" s="69">
        <f t="shared" si="36"/>
        <v>7</v>
      </c>
      <c r="K1215" s="69">
        <f t="shared" si="37"/>
        <v>37</v>
      </c>
      <c r="L1215" s="69">
        <f>VLOOKUP(Table_db1_backend_Daily.accdb[[#This Row],[TradingDate]],canon!B:E,4,0)</f>
        <v>29</v>
      </c>
    </row>
    <row r="1216" spans="1:12" x14ac:dyDescent="0.2">
      <c r="A1216" s="69" t="s">
        <v>41</v>
      </c>
      <c r="B1216" s="70">
        <v>42939</v>
      </c>
      <c r="C1216" s="69">
        <v>4</v>
      </c>
      <c r="D1216" s="69">
        <v>0</v>
      </c>
      <c r="E1216" s="69">
        <v>0</v>
      </c>
      <c r="F1216" s="69">
        <v>0</v>
      </c>
      <c r="G1216" s="69" t="s">
        <v>27</v>
      </c>
      <c r="H1216" s="69" t="str">
        <f>IFERROR(VLOOKUP(Data!$G1216,canon!$I$2:$K$27,2,FALSE),"")</f>
        <v>ACCESSORY</v>
      </c>
      <c r="I1216" s="69" t="str">
        <f>IFERROR(VLOOKUP(Data!$G1216,canon!$I$2:$K$27,3,FALSE),"")</f>
        <v>N.APPAREL</v>
      </c>
      <c r="J1216" s="69">
        <f t="shared" si="36"/>
        <v>1</v>
      </c>
      <c r="K1216" s="69">
        <f t="shared" si="37"/>
        <v>37</v>
      </c>
      <c r="L1216" s="69">
        <f>VLOOKUP(Table_db1_backend_Daily.accdb[[#This Row],[TradingDate]],canon!B:E,4,0)</f>
        <v>30</v>
      </c>
    </row>
    <row r="1217" spans="1:12" x14ac:dyDescent="0.2">
      <c r="A1217" s="69" t="s">
        <v>41</v>
      </c>
      <c r="B1217" s="70">
        <v>42939</v>
      </c>
      <c r="C1217" s="69">
        <v>26</v>
      </c>
      <c r="D1217" s="69">
        <v>0</v>
      </c>
      <c r="E1217" s="69">
        <v>0</v>
      </c>
      <c r="F1217" s="69">
        <v>0</v>
      </c>
      <c r="G1217" s="69" t="s">
        <v>34</v>
      </c>
      <c r="H1217" s="69" t="str">
        <f>IFERROR(VLOOKUP(Data!$G1217,canon!$I$2:$K$27,2,FALSE),"")</f>
        <v>SHOES</v>
      </c>
      <c r="I1217" s="69" t="str">
        <f>IFERROR(VLOOKUP(Data!$G1217,canon!$I$2:$K$27,3,FALSE),"")</f>
        <v>N.APPAREL</v>
      </c>
      <c r="J1217" s="69">
        <f t="shared" si="36"/>
        <v>1</v>
      </c>
      <c r="K1217" s="69">
        <f t="shared" si="37"/>
        <v>37</v>
      </c>
      <c r="L1217" s="69">
        <f>VLOOKUP(Table_db1_backend_Daily.accdb[[#This Row],[TradingDate]],canon!B:E,4,0)</f>
        <v>30</v>
      </c>
    </row>
    <row r="1218" spans="1:12" x14ac:dyDescent="0.2">
      <c r="A1218" s="69" t="s">
        <v>41</v>
      </c>
      <c r="B1218" s="70">
        <v>42939</v>
      </c>
      <c r="C1218" s="69">
        <v>3</v>
      </c>
      <c r="D1218" s="69">
        <v>0</v>
      </c>
      <c r="E1218" s="69">
        <v>0</v>
      </c>
      <c r="F1218" s="69">
        <v>0</v>
      </c>
      <c r="G1218" s="69" t="s">
        <v>38</v>
      </c>
      <c r="H1218" s="69" t="str">
        <f>IFERROR(VLOOKUP(Data!$G1218,canon!$I$2:$K$27,2,FALSE),"")</f>
        <v>SHOES</v>
      </c>
      <c r="I1218" s="69" t="str">
        <f>IFERROR(VLOOKUP(Data!$G1218,canon!$I$2:$K$27,3,FALSE),"")</f>
        <v>N.APPAREL</v>
      </c>
      <c r="J1218" s="69">
        <f t="shared" ref="J1218:J1281" si="38">WEEKDAY(B1218)</f>
        <v>1</v>
      </c>
      <c r="K1218" s="69">
        <f t="shared" ref="K1218:K1281" si="39">INT(A1218)</f>
        <v>37</v>
      </c>
      <c r="L1218" s="69">
        <f>VLOOKUP(Table_db1_backend_Daily.accdb[[#This Row],[TradingDate]],canon!B:E,4,0)</f>
        <v>30</v>
      </c>
    </row>
    <row r="1219" spans="1:12" x14ac:dyDescent="0.2">
      <c r="A1219" s="69" t="s">
        <v>41</v>
      </c>
      <c r="B1219" s="70">
        <v>42939</v>
      </c>
      <c r="C1219" s="69">
        <v>599</v>
      </c>
      <c r="D1219" s="69">
        <v>3</v>
      </c>
      <c r="E1219" s="69">
        <v>45.45</v>
      </c>
      <c r="F1219" s="69">
        <v>18.380000000000003</v>
      </c>
      <c r="G1219" s="69" t="s">
        <v>35</v>
      </c>
      <c r="H1219" s="69" t="str">
        <f>IFERROR(VLOOKUP(Data!$G1219,canon!$I$2:$K$27,2,FALSE),"")</f>
        <v>DRESS</v>
      </c>
      <c r="I1219" s="69" t="str">
        <f>IFERROR(VLOOKUP(Data!$G1219,canon!$I$2:$K$27,3,FALSE),"")</f>
        <v>APPAREL</v>
      </c>
      <c r="J1219" s="69">
        <f t="shared" si="38"/>
        <v>1</v>
      </c>
      <c r="K1219" s="69">
        <f t="shared" si="39"/>
        <v>37</v>
      </c>
      <c r="L1219" s="69">
        <f>VLOOKUP(Table_db1_backend_Daily.accdb[[#This Row],[TradingDate]],canon!B:E,4,0)</f>
        <v>30</v>
      </c>
    </row>
    <row r="1220" spans="1:12" x14ac:dyDescent="0.2">
      <c r="A1220" s="69" t="s">
        <v>41</v>
      </c>
      <c r="B1220" s="70">
        <v>42939</v>
      </c>
      <c r="C1220" s="69">
        <v>39</v>
      </c>
      <c r="D1220" s="69">
        <v>0</v>
      </c>
      <c r="E1220" s="69">
        <v>0</v>
      </c>
      <c r="F1220" s="69">
        <v>0</v>
      </c>
      <c r="G1220" s="69" t="s">
        <v>10</v>
      </c>
      <c r="H1220" s="69" t="str">
        <f>IFERROR(VLOOKUP(Data!$G1220,canon!$I$2:$K$27,2,FALSE),"")</f>
        <v>ACCESSORY</v>
      </c>
      <c r="I1220" s="69" t="str">
        <f>IFERROR(VLOOKUP(Data!$G1220,canon!$I$2:$K$27,3,FALSE),"")</f>
        <v>N.APPAREL</v>
      </c>
      <c r="J1220" s="69">
        <f t="shared" si="38"/>
        <v>1</v>
      </c>
      <c r="K1220" s="69">
        <f t="shared" si="39"/>
        <v>37</v>
      </c>
      <c r="L1220" s="69">
        <f>VLOOKUP(Table_db1_backend_Daily.accdb[[#This Row],[TradingDate]],canon!B:E,4,0)</f>
        <v>30</v>
      </c>
    </row>
    <row r="1221" spans="1:12" x14ac:dyDescent="0.2">
      <c r="A1221" s="69" t="s">
        <v>41</v>
      </c>
      <c r="B1221" s="70">
        <v>42939</v>
      </c>
      <c r="C1221" s="69">
        <v>2</v>
      </c>
      <c r="D1221" s="69">
        <v>0</v>
      </c>
      <c r="E1221" s="69">
        <v>0</v>
      </c>
      <c r="F1221" s="69">
        <v>0</v>
      </c>
      <c r="G1221" s="69" t="s">
        <v>28</v>
      </c>
      <c r="H1221" s="69" t="str">
        <f>IFERROR(VLOOKUP(Data!$G1221,canon!$I$2:$K$27,2,FALSE),"")</f>
        <v>ACCESSORY</v>
      </c>
      <c r="I1221" s="69" t="str">
        <f>IFERROR(VLOOKUP(Data!$G1221,canon!$I$2:$K$27,3,FALSE),"")</f>
        <v>N.APPAREL</v>
      </c>
      <c r="J1221" s="69">
        <f t="shared" si="38"/>
        <v>1</v>
      </c>
      <c r="K1221" s="69">
        <f t="shared" si="39"/>
        <v>37</v>
      </c>
      <c r="L1221" s="69">
        <f>VLOOKUP(Table_db1_backend_Daily.accdb[[#This Row],[TradingDate]],canon!B:E,4,0)</f>
        <v>30</v>
      </c>
    </row>
    <row r="1222" spans="1:12" x14ac:dyDescent="0.2">
      <c r="A1222" s="69" t="s">
        <v>41</v>
      </c>
      <c r="B1222" s="70">
        <v>42939</v>
      </c>
      <c r="C1222" s="69">
        <v>1528</v>
      </c>
      <c r="D1222" s="69">
        <v>37</v>
      </c>
      <c r="E1222" s="69">
        <v>372.68</v>
      </c>
      <c r="F1222" s="69">
        <v>97.279999999999987</v>
      </c>
      <c r="G1222" s="69" t="s">
        <v>11</v>
      </c>
      <c r="H1222" s="69" t="str">
        <f>IFERROR(VLOOKUP(Data!$G1222,canon!$I$2:$K$27,2,FALSE),"")</f>
        <v>KNIT</v>
      </c>
      <c r="I1222" s="69" t="str">
        <f>IFERROR(VLOOKUP(Data!$G1222,canon!$I$2:$K$27,3,FALSE),"")</f>
        <v>APPAREL</v>
      </c>
      <c r="J1222" s="69">
        <f t="shared" si="38"/>
        <v>1</v>
      </c>
      <c r="K1222" s="69">
        <f t="shared" si="39"/>
        <v>37</v>
      </c>
      <c r="L1222" s="69">
        <f>VLOOKUP(Table_db1_backend_Daily.accdb[[#This Row],[TradingDate]],canon!B:E,4,0)</f>
        <v>30</v>
      </c>
    </row>
    <row r="1223" spans="1:12" x14ac:dyDescent="0.2">
      <c r="A1223" s="69" t="s">
        <v>41</v>
      </c>
      <c r="B1223" s="70">
        <v>42939</v>
      </c>
      <c r="C1223" s="69">
        <v>511</v>
      </c>
      <c r="D1223" s="69">
        <v>1</v>
      </c>
      <c r="E1223" s="69">
        <v>36.340000000000003</v>
      </c>
      <c r="F1223" s="69">
        <v>28.08</v>
      </c>
      <c r="G1223" s="69" t="s">
        <v>14</v>
      </c>
      <c r="H1223" s="69" t="str">
        <f>IFERROR(VLOOKUP(Data!$G1223,canon!$I$2:$K$27,2,FALSE),"")</f>
        <v>LEGGING</v>
      </c>
      <c r="I1223" s="69" t="str">
        <f>IFERROR(VLOOKUP(Data!$G1223,canon!$I$2:$K$27,3,FALSE),"")</f>
        <v>APPAREL</v>
      </c>
      <c r="J1223" s="69">
        <f t="shared" si="38"/>
        <v>1</v>
      </c>
      <c r="K1223" s="69">
        <f t="shared" si="39"/>
        <v>37</v>
      </c>
      <c r="L1223" s="69">
        <f>VLOOKUP(Table_db1_backend_Daily.accdb[[#This Row],[TradingDate]],canon!B:E,4,0)</f>
        <v>30</v>
      </c>
    </row>
    <row r="1224" spans="1:12" x14ac:dyDescent="0.2">
      <c r="A1224" s="69" t="s">
        <v>41</v>
      </c>
      <c r="B1224" s="70">
        <v>42939</v>
      </c>
      <c r="C1224" s="69">
        <v>-43</v>
      </c>
      <c r="D1224" s="69">
        <v>0</v>
      </c>
      <c r="E1224" s="69">
        <v>0</v>
      </c>
      <c r="F1224" s="69">
        <v>0</v>
      </c>
      <c r="G1224" s="69" t="s">
        <v>37</v>
      </c>
      <c r="H1224" s="69" t="str">
        <f>IFERROR(VLOOKUP(Data!$G1224,canon!$I$2:$K$27,2,FALSE),"")</f>
        <v>SHOES</v>
      </c>
      <c r="I1224" s="69" t="str">
        <f>IFERROR(VLOOKUP(Data!$G1224,canon!$I$2:$K$27,3,FALSE),"")</f>
        <v>N.APPAREL</v>
      </c>
      <c r="J1224" s="69">
        <f t="shared" si="38"/>
        <v>1</v>
      </c>
      <c r="K1224" s="69">
        <f t="shared" si="39"/>
        <v>37</v>
      </c>
      <c r="L1224" s="69">
        <f>VLOOKUP(Table_db1_backend_Daily.accdb[[#This Row],[TradingDate]],canon!B:E,4,0)</f>
        <v>30</v>
      </c>
    </row>
    <row r="1225" spans="1:12" x14ac:dyDescent="0.2">
      <c r="A1225" s="69" t="s">
        <v>41</v>
      </c>
      <c r="B1225" s="70">
        <v>42939</v>
      </c>
      <c r="C1225" s="69">
        <v>17</v>
      </c>
      <c r="D1225" s="69">
        <v>0</v>
      </c>
      <c r="E1225" s="69">
        <v>0</v>
      </c>
      <c r="F1225" s="69">
        <v>0</v>
      </c>
      <c r="G1225" s="69" t="s">
        <v>29</v>
      </c>
      <c r="H1225" s="69" t="str">
        <f>IFERROR(VLOOKUP(Data!$G1225,canon!$I$2:$K$27,2,FALSE),"")</f>
        <v>SHOES</v>
      </c>
      <c r="I1225" s="69" t="str">
        <f>IFERROR(VLOOKUP(Data!$G1225,canon!$I$2:$K$27,3,FALSE),"")</f>
        <v>N.APPAREL</v>
      </c>
      <c r="J1225" s="69">
        <f t="shared" si="38"/>
        <v>1</v>
      </c>
      <c r="K1225" s="69">
        <f t="shared" si="39"/>
        <v>37</v>
      </c>
      <c r="L1225" s="69">
        <f>VLOOKUP(Table_db1_backend_Daily.accdb[[#This Row],[TradingDate]],canon!B:E,4,0)</f>
        <v>30</v>
      </c>
    </row>
    <row r="1226" spans="1:12" x14ac:dyDescent="0.2">
      <c r="A1226" s="69" t="s">
        <v>41</v>
      </c>
      <c r="B1226" s="70">
        <v>42939</v>
      </c>
      <c r="C1226" s="69">
        <v>447</v>
      </c>
      <c r="D1226" s="69">
        <v>11</v>
      </c>
      <c r="E1226" s="69">
        <v>190.89000000000001</v>
      </c>
      <c r="F1226" s="69">
        <v>64.73</v>
      </c>
      <c r="G1226" s="69" t="s">
        <v>17</v>
      </c>
      <c r="H1226" s="69" t="str">
        <f>IFERROR(VLOOKUP(Data!$G1226,canon!$I$2:$K$27,2,FALSE),"")</f>
        <v>OUTER</v>
      </c>
      <c r="I1226" s="69" t="str">
        <f>IFERROR(VLOOKUP(Data!$G1226,canon!$I$2:$K$27,3,FALSE),"")</f>
        <v>APPAREL</v>
      </c>
      <c r="J1226" s="69">
        <f t="shared" si="38"/>
        <v>1</v>
      </c>
      <c r="K1226" s="69">
        <f t="shared" si="39"/>
        <v>37</v>
      </c>
      <c r="L1226" s="69">
        <f>VLOOKUP(Table_db1_backend_Daily.accdb[[#This Row],[TradingDate]],canon!B:E,4,0)</f>
        <v>30</v>
      </c>
    </row>
    <row r="1227" spans="1:12" x14ac:dyDescent="0.2">
      <c r="A1227" s="69" t="s">
        <v>41</v>
      </c>
      <c r="B1227" s="70">
        <v>42939</v>
      </c>
      <c r="C1227" s="69">
        <v>267</v>
      </c>
      <c r="D1227" s="69">
        <v>2</v>
      </c>
      <c r="E1227" s="69">
        <v>54.510000000000005</v>
      </c>
      <c r="F1227" s="69">
        <v>38.25</v>
      </c>
      <c r="G1227" s="69" t="s">
        <v>19</v>
      </c>
      <c r="H1227" s="69" t="str">
        <f>IFERROR(VLOOKUP(Data!$G1227,canon!$I$2:$K$27,2,FALSE),"")</f>
        <v>PANT</v>
      </c>
      <c r="I1227" s="69" t="str">
        <f>IFERROR(VLOOKUP(Data!$G1227,canon!$I$2:$K$27,3,FALSE),"")</f>
        <v>APPAREL</v>
      </c>
      <c r="J1227" s="69">
        <f t="shared" si="38"/>
        <v>1</v>
      </c>
      <c r="K1227" s="69">
        <f t="shared" si="39"/>
        <v>37</v>
      </c>
      <c r="L1227" s="69">
        <f>VLOOKUP(Table_db1_backend_Daily.accdb[[#This Row],[TradingDate]],canon!B:E,4,0)</f>
        <v>30</v>
      </c>
    </row>
    <row r="1228" spans="1:12" x14ac:dyDescent="0.2">
      <c r="A1228" s="69" t="s">
        <v>41</v>
      </c>
      <c r="B1228" s="70">
        <v>42939</v>
      </c>
      <c r="C1228" s="69">
        <v>33</v>
      </c>
      <c r="D1228" s="69">
        <v>0</v>
      </c>
      <c r="E1228" s="69">
        <v>0</v>
      </c>
      <c r="F1228" s="69">
        <v>0</v>
      </c>
      <c r="G1228" s="69" t="s">
        <v>21</v>
      </c>
      <c r="H1228" s="69" t="str">
        <f>IFERROR(VLOOKUP(Data!$G1228,canon!$I$2:$K$27,2,FALSE),"")</f>
        <v>ACCESSORY</v>
      </c>
      <c r="I1228" s="69" t="str">
        <f>IFERROR(VLOOKUP(Data!$G1228,canon!$I$2:$K$27,3,FALSE),"")</f>
        <v>N.APPAREL</v>
      </c>
      <c r="J1228" s="69">
        <f t="shared" si="38"/>
        <v>1</v>
      </c>
      <c r="K1228" s="69">
        <f t="shared" si="39"/>
        <v>37</v>
      </c>
      <c r="L1228" s="69">
        <f>VLOOKUP(Table_db1_backend_Daily.accdb[[#This Row],[TradingDate]],canon!B:E,4,0)</f>
        <v>30</v>
      </c>
    </row>
    <row r="1229" spans="1:12" x14ac:dyDescent="0.2">
      <c r="A1229" s="69" t="s">
        <v>41</v>
      </c>
      <c r="B1229" s="70">
        <v>42939</v>
      </c>
      <c r="C1229" s="69">
        <v>485</v>
      </c>
      <c r="D1229" s="69">
        <v>13</v>
      </c>
      <c r="E1229" s="69">
        <v>59.150000000000006</v>
      </c>
      <c r="F1229" s="69">
        <v>36.549999999999997</v>
      </c>
      <c r="G1229" s="69" t="s">
        <v>22</v>
      </c>
      <c r="H1229" s="69" t="str">
        <f>IFERROR(VLOOKUP(Data!$G1229,canon!$I$2:$K$27,2,FALSE),"")</f>
        <v>SCARF</v>
      </c>
      <c r="I1229" s="69" t="str">
        <f>IFERROR(VLOOKUP(Data!$G1229,canon!$I$2:$K$27,3,FALSE),"")</f>
        <v>N.APPAREL</v>
      </c>
      <c r="J1229" s="69">
        <f t="shared" si="38"/>
        <v>1</v>
      </c>
      <c r="K1229" s="69">
        <f t="shared" si="39"/>
        <v>37</v>
      </c>
      <c r="L1229" s="69">
        <f>VLOOKUP(Table_db1_backend_Daily.accdb[[#This Row],[TradingDate]],canon!B:E,4,0)</f>
        <v>30</v>
      </c>
    </row>
    <row r="1230" spans="1:12" x14ac:dyDescent="0.2">
      <c r="A1230" s="69" t="s">
        <v>41</v>
      </c>
      <c r="B1230" s="70">
        <v>42939</v>
      </c>
      <c r="C1230" s="69">
        <v>86</v>
      </c>
      <c r="D1230" s="69">
        <v>0</v>
      </c>
      <c r="E1230" s="69">
        <v>0</v>
      </c>
      <c r="F1230" s="69">
        <v>0</v>
      </c>
      <c r="G1230" s="69" t="s">
        <v>23</v>
      </c>
      <c r="H1230" s="69" t="str">
        <f>IFERROR(VLOOKUP(Data!$G1230,canon!$I$2:$K$27,2,FALSE),"")</f>
        <v>SH&amp;BL</v>
      </c>
      <c r="I1230" s="69" t="str">
        <f>IFERROR(VLOOKUP(Data!$G1230,canon!$I$2:$K$27,3,FALSE),"")</f>
        <v>APPAREL</v>
      </c>
      <c r="J1230" s="69">
        <f t="shared" si="38"/>
        <v>1</v>
      </c>
      <c r="K1230" s="69">
        <f t="shared" si="39"/>
        <v>37</v>
      </c>
      <c r="L1230" s="69">
        <f>VLOOKUP(Table_db1_backend_Daily.accdb[[#This Row],[TradingDate]],canon!B:E,4,0)</f>
        <v>30</v>
      </c>
    </row>
    <row r="1231" spans="1:12" x14ac:dyDescent="0.2">
      <c r="A1231" s="69" t="s">
        <v>41</v>
      </c>
      <c r="B1231" s="70">
        <v>42939</v>
      </c>
      <c r="C1231" s="69">
        <v>420</v>
      </c>
      <c r="D1231" s="69">
        <v>0</v>
      </c>
      <c r="E1231" s="69">
        <v>0</v>
      </c>
      <c r="F1231" s="69">
        <v>0</v>
      </c>
      <c r="G1231" s="69" t="s">
        <v>32</v>
      </c>
      <c r="H1231" s="69" t="str">
        <f>IFERROR(VLOOKUP(Data!$G1231,canon!$I$2:$K$27,2,FALSE),"")</f>
        <v>SKIRT</v>
      </c>
      <c r="I1231" s="69" t="str">
        <f>IFERROR(VLOOKUP(Data!$G1231,canon!$I$2:$K$27,3,FALSE),"")</f>
        <v>APPAREL</v>
      </c>
      <c r="J1231" s="69">
        <f t="shared" si="38"/>
        <v>1</v>
      </c>
      <c r="K1231" s="69">
        <f t="shared" si="39"/>
        <v>37</v>
      </c>
      <c r="L1231" s="69">
        <f>VLOOKUP(Table_db1_backend_Daily.accdb[[#This Row],[TradingDate]],canon!B:E,4,0)</f>
        <v>30</v>
      </c>
    </row>
    <row r="1232" spans="1:12" x14ac:dyDescent="0.2">
      <c r="A1232" s="69" t="s">
        <v>41</v>
      </c>
      <c r="B1232" s="70">
        <v>42939</v>
      </c>
      <c r="C1232" s="69">
        <v>1104</v>
      </c>
      <c r="D1232" s="69">
        <v>6</v>
      </c>
      <c r="E1232" s="69">
        <v>59.09</v>
      </c>
      <c r="F1232" s="69">
        <v>28.499999999999996</v>
      </c>
      <c r="G1232" s="69" t="s">
        <v>25</v>
      </c>
      <c r="H1232" s="69" t="str">
        <f>IFERROR(VLOOKUP(Data!$G1232,canon!$I$2:$K$27,2,FALSE),"")</f>
        <v>TOP</v>
      </c>
      <c r="I1232" s="69" t="str">
        <f>IFERROR(VLOOKUP(Data!$G1232,canon!$I$2:$K$27,3,FALSE),"")</f>
        <v>APPAREL</v>
      </c>
      <c r="J1232" s="69">
        <f t="shared" si="38"/>
        <v>1</v>
      </c>
      <c r="K1232" s="69">
        <f t="shared" si="39"/>
        <v>37</v>
      </c>
      <c r="L1232" s="69">
        <f>VLOOKUP(Table_db1_backend_Daily.accdb[[#This Row],[TradingDate]],canon!B:E,4,0)</f>
        <v>30</v>
      </c>
    </row>
    <row r="1233" spans="1:12" x14ac:dyDescent="0.2">
      <c r="A1233" s="69" t="s">
        <v>41</v>
      </c>
      <c r="B1233" s="70">
        <v>42940</v>
      </c>
      <c r="C1233" s="69">
        <v>4</v>
      </c>
      <c r="D1233" s="69">
        <v>0</v>
      </c>
      <c r="E1233" s="69">
        <v>0</v>
      </c>
      <c r="F1233" s="69">
        <v>0</v>
      </c>
      <c r="G1233" s="69" t="s">
        <v>27</v>
      </c>
      <c r="H1233" s="69" t="str">
        <f>IFERROR(VLOOKUP(Data!$G1233,canon!$I$2:$K$27,2,FALSE),"")</f>
        <v>ACCESSORY</v>
      </c>
      <c r="I1233" s="69" t="str">
        <f>IFERROR(VLOOKUP(Data!$G1233,canon!$I$2:$K$27,3,FALSE),"")</f>
        <v>N.APPAREL</v>
      </c>
      <c r="J1233" s="69">
        <f t="shared" si="38"/>
        <v>2</v>
      </c>
      <c r="K1233" s="69">
        <f t="shared" si="39"/>
        <v>37</v>
      </c>
      <c r="L1233" s="69">
        <f>VLOOKUP(Table_db1_backend_Daily.accdb[[#This Row],[TradingDate]],canon!B:E,4,0)</f>
        <v>30</v>
      </c>
    </row>
    <row r="1234" spans="1:12" x14ac:dyDescent="0.2">
      <c r="A1234" s="69" t="s">
        <v>41</v>
      </c>
      <c r="B1234" s="70">
        <v>42940</v>
      </c>
      <c r="C1234" s="69">
        <v>26</v>
      </c>
      <c r="D1234" s="69">
        <v>0</v>
      </c>
      <c r="E1234" s="69">
        <v>0</v>
      </c>
      <c r="F1234" s="69">
        <v>0</v>
      </c>
      <c r="G1234" s="69" t="s">
        <v>34</v>
      </c>
      <c r="H1234" s="69" t="str">
        <f>IFERROR(VLOOKUP(Data!$G1234,canon!$I$2:$K$27,2,FALSE),"")</f>
        <v>SHOES</v>
      </c>
      <c r="I1234" s="69" t="str">
        <f>IFERROR(VLOOKUP(Data!$G1234,canon!$I$2:$K$27,3,FALSE),"")</f>
        <v>N.APPAREL</v>
      </c>
      <c r="J1234" s="69">
        <f t="shared" si="38"/>
        <v>2</v>
      </c>
      <c r="K1234" s="69">
        <f t="shared" si="39"/>
        <v>37</v>
      </c>
      <c r="L1234" s="69">
        <f>VLOOKUP(Table_db1_backend_Daily.accdb[[#This Row],[TradingDate]],canon!B:E,4,0)</f>
        <v>30</v>
      </c>
    </row>
    <row r="1235" spans="1:12" x14ac:dyDescent="0.2">
      <c r="A1235" s="69" t="s">
        <v>41</v>
      </c>
      <c r="B1235" s="70">
        <v>42940</v>
      </c>
      <c r="C1235" s="69">
        <v>3</v>
      </c>
      <c r="D1235" s="69">
        <v>0</v>
      </c>
      <c r="E1235" s="69">
        <v>0</v>
      </c>
      <c r="F1235" s="69">
        <v>0</v>
      </c>
      <c r="G1235" s="69" t="s">
        <v>38</v>
      </c>
      <c r="H1235" s="69" t="str">
        <f>IFERROR(VLOOKUP(Data!$G1235,canon!$I$2:$K$27,2,FALSE),"")</f>
        <v>SHOES</v>
      </c>
      <c r="I1235" s="69" t="str">
        <f>IFERROR(VLOOKUP(Data!$G1235,canon!$I$2:$K$27,3,FALSE),"")</f>
        <v>N.APPAREL</v>
      </c>
      <c r="J1235" s="69">
        <f t="shared" si="38"/>
        <v>2</v>
      </c>
      <c r="K1235" s="69">
        <f t="shared" si="39"/>
        <v>37</v>
      </c>
      <c r="L1235" s="69">
        <f>VLOOKUP(Table_db1_backend_Daily.accdb[[#This Row],[TradingDate]],canon!B:E,4,0)</f>
        <v>30</v>
      </c>
    </row>
    <row r="1236" spans="1:12" x14ac:dyDescent="0.2">
      <c r="A1236" s="69" t="s">
        <v>41</v>
      </c>
      <c r="B1236" s="70">
        <v>42940</v>
      </c>
      <c r="C1236" s="69">
        <v>771</v>
      </c>
      <c r="D1236" s="69">
        <v>2</v>
      </c>
      <c r="E1236" s="69">
        <v>18.18</v>
      </c>
      <c r="F1236" s="69">
        <v>1.66</v>
      </c>
      <c r="G1236" s="69" t="s">
        <v>35</v>
      </c>
      <c r="H1236" s="69" t="str">
        <f>IFERROR(VLOOKUP(Data!$G1236,canon!$I$2:$K$27,2,FALSE),"")</f>
        <v>DRESS</v>
      </c>
      <c r="I1236" s="69" t="str">
        <f>IFERROR(VLOOKUP(Data!$G1236,canon!$I$2:$K$27,3,FALSE),"")</f>
        <v>APPAREL</v>
      </c>
      <c r="J1236" s="69">
        <f t="shared" si="38"/>
        <v>2</v>
      </c>
      <c r="K1236" s="69">
        <f t="shared" si="39"/>
        <v>37</v>
      </c>
      <c r="L1236" s="69">
        <f>VLOOKUP(Table_db1_backend_Daily.accdb[[#This Row],[TradingDate]],canon!B:E,4,0)</f>
        <v>30</v>
      </c>
    </row>
    <row r="1237" spans="1:12" x14ac:dyDescent="0.2">
      <c r="A1237" s="69" t="s">
        <v>41</v>
      </c>
      <c r="B1237" s="70">
        <v>42940</v>
      </c>
      <c r="C1237" s="69">
        <v>39</v>
      </c>
      <c r="D1237" s="69">
        <v>0</v>
      </c>
      <c r="E1237" s="69">
        <v>0</v>
      </c>
      <c r="F1237" s="69">
        <v>0</v>
      </c>
      <c r="G1237" s="69" t="s">
        <v>10</v>
      </c>
      <c r="H1237" s="69" t="str">
        <f>IFERROR(VLOOKUP(Data!$G1237,canon!$I$2:$K$27,2,FALSE),"")</f>
        <v>ACCESSORY</v>
      </c>
      <c r="I1237" s="69" t="str">
        <f>IFERROR(VLOOKUP(Data!$G1237,canon!$I$2:$K$27,3,FALSE),"")</f>
        <v>N.APPAREL</v>
      </c>
      <c r="J1237" s="69">
        <f t="shared" si="38"/>
        <v>2</v>
      </c>
      <c r="K1237" s="69">
        <f t="shared" si="39"/>
        <v>37</v>
      </c>
      <c r="L1237" s="69">
        <f>VLOOKUP(Table_db1_backend_Daily.accdb[[#This Row],[TradingDate]],canon!B:E,4,0)</f>
        <v>30</v>
      </c>
    </row>
    <row r="1238" spans="1:12" x14ac:dyDescent="0.2">
      <c r="A1238" s="69" t="s">
        <v>41</v>
      </c>
      <c r="B1238" s="70">
        <v>42940</v>
      </c>
      <c r="C1238" s="69">
        <v>2</v>
      </c>
      <c r="D1238" s="69">
        <v>0</v>
      </c>
      <c r="E1238" s="69">
        <v>0</v>
      </c>
      <c r="F1238" s="69">
        <v>0</v>
      </c>
      <c r="G1238" s="69" t="s">
        <v>28</v>
      </c>
      <c r="H1238" s="69" t="str">
        <f>IFERROR(VLOOKUP(Data!$G1238,canon!$I$2:$K$27,2,FALSE),"")</f>
        <v>ACCESSORY</v>
      </c>
      <c r="I1238" s="69" t="str">
        <f>IFERROR(VLOOKUP(Data!$G1238,canon!$I$2:$K$27,3,FALSE),"")</f>
        <v>N.APPAREL</v>
      </c>
      <c r="J1238" s="69">
        <f t="shared" si="38"/>
        <v>2</v>
      </c>
      <c r="K1238" s="69">
        <f t="shared" si="39"/>
        <v>37</v>
      </c>
      <c r="L1238" s="69">
        <f>VLOOKUP(Table_db1_backend_Daily.accdb[[#This Row],[TradingDate]],canon!B:E,4,0)</f>
        <v>30</v>
      </c>
    </row>
    <row r="1239" spans="1:12" x14ac:dyDescent="0.2">
      <c r="A1239" s="69" t="s">
        <v>41</v>
      </c>
      <c r="B1239" s="70">
        <v>42940</v>
      </c>
      <c r="C1239" s="69">
        <v>1559</v>
      </c>
      <c r="D1239" s="69">
        <v>25</v>
      </c>
      <c r="E1239" s="69">
        <v>249.98000000000008</v>
      </c>
      <c r="F1239" s="69">
        <v>67.22</v>
      </c>
      <c r="G1239" s="69" t="s">
        <v>11</v>
      </c>
      <c r="H1239" s="69" t="str">
        <f>IFERROR(VLOOKUP(Data!$G1239,canon!$I$2:$K$27,2,FALSE),"")</f>
        <v>KNIT</v>
      </c>
      <c r="I1239" s="69" t="str">
        <f>IFERROR(VLOOKUP(Data!$G1239,canon!$I$2:$K$27,3,FALSE),"")</f>
        <v>APPAREL</v>
      </c>
      <c r="J1239" s="69">
        <f t="shared" si="38"/>
        <v>2</v>
      </c>
      <c r="K1239" s="69">
        <f t="shared" si="39"/>
        <v>37</v>
      </c>
      <c r="L1239" s="69">
        <f>VLOOKUP(Table_db1_backend_Daily.accdb[[#This Row],[TradingDate]],canon!B:E,4,0)</f>
        <v>30</v>
      </c>
    </row>
    <row r="1240" spans="1:12" x14ac:dyDescent="0.2">
      <c r="A1240" s="69" t="s">
        <v>41</v>
      </c>
      <c r="B1240" s="70">
        <v>42940</v>
      </c>
      <c r="C1240" s="69">
        <v>531</v>
      </c>
      <c r="D1240" s="69">
        <v>4</v>
      </c>
      <c r="E1240" s="69">
        <v>72.64</v>
      </c>
      <c r="F1240" s="69">
        <v>44.480000000000004</v>
      </c>
      <c r="G1240" s="69" t="s">
        <v>14</v>
      </c>
      <c r="H1240" s="69" t="str">
        <f>IFERROR(VLOOKUP(Data!$G1240,canon!$I$2:$K$27,2,FALSE),"")</f>
        <v>LEGGING</v>
      </c>
      <c r="I1240" s="69" t="str">
        <f>IFERROR(VLOOKUP(Data!$G1240,canon!$I$2:$K$27,3,FALSE),"")</f>
        <v>APPAREL</v>
      </c>
      <c r="J1240" s="69">
        <f t="shared" si="38"/>
        <v>2</v>
      </c>
      <c r="K1240" s="69">
        <f t="shared" si="39"/>
        <v>37</v>
      </c>
      <c r="L1240" s="69">
        <f>VLOOKUP(Table_db1_backend_Daily.accdb[[#This Row],[TradingDate]],canon!B:E,4,0)</f>
        <v>30</v>
      </c>
    </row>
    <row r="1241" spans="1:12" x14ac:dyDescent="0.2">
      <c r="A1241" s="69" t="s">
        <v>41</v>
      </c>
      <c r="B1241" s="70">
        <v>42940</v>
      </c>
      <c r="C1241" s="69">
        <v>-43</v>
      </c>
      <c r="D1241" s="69">
        <v>0</v>
      </c>
      <c r="E1241" s="69">
        <v>0</v>
      </c>
      <c r="F1241" s="69">
        <v>0</v>
      </c>
      <c r="G1241" s="69" t="s">
        <v>37</v>
      </c>
      <c r="H1241" s="69" t="str">
        <f>IFERROR(VLOOKUP(Data!$G1241,canon!$I$2:$K$27,2,FALSE),"")</f>
        <v>SHOES</v>
      </c>
      <c r="I1241" s="69" t="str">
        <f>IFERROR(VLOOKUP(Data!$G1241,canon!$I$2:$K$27,3,FALSE),"")</f>
        <v>N.APPAREL</v>
      </c>
      <c r="J1241" s="69">
        <f t="shared" si="38"/>
        <v>2</v>
      </c>
      <c r="K1241" s="69">
        <f t="shared" si="39"/>
        <v>37</v>
      </c>
      <c r="L1241" s="69">
        <f>VLOOKUP(Table_db1_backend_Daily.accdb[[#This Row],[TradingDate]],canon!B:E,4,0)</f>
        <v>30</v>
      </c>
    </row>
    <row r="1242" spans="1:12" x14ac:dyDescent="0.2">
      <c r="A1242" s="69" t="s">
        <v>41</v>
      </c>
      <c r="B1242" s="70">
        <v>42940</v>
      </c>
      <c r="C1242" s="69">
        <v>17</v>
      </c>
      <c r="D1242" s="69">
        <v>0</v>
      </c>
      <c r="E1242" s="69">
        <v>0</v>
      </c>
      <c r="F1242" s="69">
        <v>0</v>
      </c>
      <c r="G1242" s="69" t="s">
        <v>29</v>
      </c>
      <c r="H1242" s="69" t="str">
        <f>IFERROR(VLOOKUP(Data!$G1242,canon!$I$2:$K$27,2,FALSE),"")</f>
        <v>SHOES</v>
      </c>
      <c r="I1242" s="69" t="str">
        <f>IFERROR(VLOOKUP(Data!$G1242,canon!$I$2:$K$27,3,FALSE),"")</f>
        <v>N.APPAREL</v>
      </c>
      <c r="J1242" s="69">
        <f t="shared" si="38"/>
        <v>2</v>
      </c>
      <c r="K1242" s="69">
        <f t="shared" si="39"/>
        <v>37</v>
      </c>
      <c r="L1242" s="69">
        <f>VLOOKUP(Table_db1_backend_Daily.accdb[[#This Row],[TradingDate]],canon!B:E,4,0)</f>
        <v>30</v>
      </c>
    </row>
    <row r="1243" spans="1:12" x14ac:dyDescent="0.2">
      <c r="A1243" s="69" t="s">
        <v>41</v>
      </c>
      <c r="B1243" s="70">
        <v>42940</v>
      </c>
      <c r="C1243" s="69">
        <v>480</v>
      </c>
      <c r="D1243" s="69">
        <v>9</v>
      </c>
      <c r="E1243" s="69">
        <v>145.44</v>
      </c>
      <c r="F1243" s="69">
        <v>65.070000000000007</v>
      </c>
      <c r="G1243" s="69" t="s">
        <v>17</v>
      </c>
      <c r="H1243" s="69" t="str">
        <f>IFERROR(VLOOKUP(Data!$G1243,canon!$I$2:$K$27,2,FALSE),"")</f>
        <v>OUTER</v>
      </c>
      <c r="I1243" s="69" t="str">
        <f>IFERROR(VLOOKUP(Data!$G1243,canon!$I$2:$K$27,3,FALSE),"")</f>
        <v>APPAREL</v>
      </c>
      <c r="J1243" s="69">
        <f t="shared" si="38"/>
        <v>2</v>
      </c>
      <c r="K1243" s="69">
        <f t="shared" si="39"/>
        <v>37</v>
      </c>
      <c r="L1243" s="69">
        <f>VLOOKUP(Table_db1_backend_Daily.accdb[[#This Row],[TradingDate]],canon!B:E,4,0)</f>
        <v>30</v>
      </c>
    </row>
    <row r="1244" spans="1:12" x14ac:dyDescent="0.2">
      <c r="A1244" s="69" t="s">
        <v>41</v>
      </c>
      <c r="B1244" s="70">
        <v>42940</v>
      </c>
      <c r="C1244" s="69">
        <v>272</v>
      </c>
      <c r="D1244" s="69">
        <v>1</v>
      </c>
      <c r="E1244" s="69">
        <v>9.09</v>
      </c>
      <c r="F1244" s="69">
        <v>1.48</v>
      </c>
      <c r="G1244" s="69" t="s">
        <v>19</v>
      </c>
      <c r="H1244" s="69" t="str">
        <f>IFERROR(VLOOKUP(Data!$G1244,canon!$I$2:$K$27,2,FALSE),"")</f>
        <v>PANT</v>
      </c>
      <c r="I1244" s="69" t="str">
        <f>IFERROR(VLOOKUP(Data!$G1244,canon!$I$2:$K$27,3,FALSE),"")</f>
        <v>APPAREL</v>
      </c>
      <c r="J1244" s="69">
        <f t="shared" si="38"/>
        <v>2</v>
      </c>
      <c r="K1244" s="69">
        <f t="shared" si="39"/>
        <v>37</v>
      </c>
      <c r="L1244" s="69">
        <f>VLOOKUP(Table_db1_backend_Daily.accdb[[#This Row],[TradingDate]],canon!B:E,4,0)</f>
        <v>30</v>
      </c>
    </row>
    <row r="1245" spans="1:12" x14ac:dyDescent="0.2">
      <c r="A1245" s="69" t="s">
        <v>41</v>
      </c>
      <c r="B1245" s="70">
        <v>42940</v>
      </c>
      <c r="C1245" s="69">
        <v>33</v>
      </c>
      <c r="D1245" s="69">
        <v>0</v>
      </c>
      <c r="E1245" s="69">
        <v>0</v>
      </c>
      <c r="F1245" s="69">
        <v>0</v>
      </c>
      <c r="G1245" s="69" t="s">
        <v>21</v>
      </c>
      <c r="H1245" s="69" t="str">
        <f>IFERROR(VLOOKUP(Data!$G1245,canon!$I$2:$K$27,2,FALSE),"")</f>
        <v>ACCESSORY</v>
      </c>
      <c r="I1245" s="69" t="str">
        <f>IFERROR(VLOOKUP(Data!$G1245,canon!$I$2:$K$27,3,FALSE),"")</f>
        <v>N.APPAREL</v>
      </c>
      <c r="J1245" s="69">
        <f t="shared" si="38"/>
        <v>2</v>
      </c>
      <c r="K1245" s="69">
        <f t="shared" si="39"/>
        <v>37</v>
      </c>
      <c r="L1245" s="69">
        <f>VLOOKUP(Table_db1_backend_Daily.accdb[[#This Row],[TradingDate]],canon!B:E,4,0)</f>
        <v>30</v>
      </c>
    </row>
    <row r="1246" spans="1:12" x14ac:dyDescent="0.2">
      <c r="A1246" s="69" t="s">
        <v>41</v>
      </c>
      <c r="B1246" s="70">
        <v>42940</v>
      </c>
      <c r="C1246" s="69">
        <v>479</v>
      </c>
      <c r="D1246" s="69">
        <v>6</v>
      </c>
      <c r="E1246" s="69">
        <v>27.3</v>
      </c>
      <c r="F1246" s="69">
        <v>17.100000000000001</v>
      </c>
      <c r="G1246" s="69" t="s">
        <v>22</v>
      </c>
      <c r="H1246" s="69" t="str">
        <f>IFERROR(VLOOKUP(Data!$G1246,canon!$I$2:$K$27,2,FALSE),"")</f>
        <v>SCARF</v>
      </c>
      <c r="I1246" s="69" t="str">
        <f>IFERROR(VLOOKUP(Data!$G1246,canon!$I$2:$K$27,3,FALSE),"")</f>
        <v>N.APPAREL</v>
      </c>
      <c r="J1246" s="69">
        <f t="shared" si="38"/>
        <v>2</v>
      </c>
      <c r="K1246" s="69">
        <f t="shared" si="39"/>
        <v>37</v>
      </c>
      <c r="L1246" s="69">
        <f>VLOOKUP(Table_db1_backend_Daily.accdb[[#This Row],[TradingDate]],canon!B:E,4,0)</f>
        <v>30</v>
      </c>
    </row>
    <row r="1247" spans="1:12" x14ac:dyDescent="0.2">
      <c r="A1247" s="69" t="s">
        <v>41</v>
      </c>
      <c r="B1247" s="70">
        <v>42940</v>
      </c>
      <c r="C1247" s="69">
        <v>107</v>
      </c>
      <c r="D1247" s="69">
        <v>3</v>
      </c>
      <c r="E1247" s="69">
        <v>13.649999999999999</v>
      </c>
      <c r="F1247" s="69">
        <v>-8.31</v>
      </c>
      <c r="G1247" s="69" t="s">
        <v>23</v>
      </c>
      <c r="H1247" s="69" t="str">
        <f>IFERROR(VLOOKUP(Data!$G1247,canon!$I$2:$K$27,2,FALSE),"")</f>
        <v>SH&amp;BL</v>
      </c>
      <c r="I1247" s="69" t="str">
        <f>IFERROR(VLOOKUP(Data!$G1247,canon!$I$2:$K$27,3,FALSE),"")</f>
        <v>APPAREL</v>
      </c>
      <c r="J1247" s="69">
        <f t="shared" si="38"/>
        <v>2</v>
      </c>
      <c r="K1247" s="69">
        <f t="shared" si="39"/>
        <v>37</v>
      </c>
      <c r="L1247" s="69">
        <f>VLOOKUP(Table_db1_backend_Daily.accdb[[#This Row],[TradingDate]],canon!B:E,4,0)</f>
        <v>30</v>
      </c>
    </row>
    <row r="1248" spans="1:12" x14ac:dyDescent="0.2">
      <c r="A1248" s="69" t="s">
        <v>41</v>
      </c>
      <c r="B1248" s="70">
        <v>42940</v>
      </c>
      <c r="C1248" s="69">
        <v>444</v>
      </c>
      <c r="D1248" s="69">
        <v>0</v>
      </c>
      <c r="E1248" s="69">
        <v>0</v>
      </c>
      <c r="F1248" s="69">
        <v>0</v>
      </c>
      <c r="G1248" s="69" t="s">
        <v>32</v>
      </c>
      <c r="H1248" s="69" t="str">
        <f>IFERROR(VLOOKUP(Data!$G1248,canon!$I$2:$K$27,2,FALSE),"")</f>
        <v>SKIRT</v>
      </c>
      <c r="I1248" s="69" t="str">
        <f>IFERROR(VLOOKUP(Data!$G1248,canon!$I$2:$K$27,3,FALSE),"")</f>
        <v>APPAREL</v>
      </c>
      <c r="J1248" s="69">
        <f t="shared" si="38"/>
        <v>2</v>
      </c>
      <c r="K1248" s="69">
        <f t="shared" si="39"/>
        <v>37</v>
      </c>
      <c r="L1248" s="69">
        <f>VLOOKUP(Table_db1_backend_Daily.accdb[[#This Row],[TradingDate]],canon!B:E,4,0)</f>
        <v>30</v>
      </c>
    </row>
    <row r="1249" spans="1:12" x14ac:dyDescent="0.2">
      <c r="A1249" s="69" t="s">
        <v>41</v>
      </c>
      <c r="B1249" s="70">
        <v>42940</v>
      </c>
      <c r="C1249" s="69">
        <v>1225</v>
      </c>
      <c r="D1249" s="69">
        <v>11</v>
      </c>
      <c r="E1249" s="69">
        <v>127.17</v>
      </c>
      <c r="F1249" s="69">
        <v>67.079999999999984</v>
      </c>
      <c r="G1249" s="69" t="s">
        <v>25</v>
      </c>
      <c r="H1249" s="69" t="str">
        <f>IFERROR(VLOOKUP(Data!$G1249,canon!$I$2:$K$27,2,FALSE),"")</f>
        <v>TOP</v>
      </c>
      <c r="I1249" s="69" t="str">
        <f>IFERROR(VLOOKUP(Data!$G1249,canon!$I$2:$K$27,3,FALSE),"")</f>
        <v>APPAREL</v>
      </c>
      <c r="J1249" s="69">
        <f t="shared" si="38"/>
        <v>2</v>
      </c>
      <c r="K1249" s="69">
        <f t="shared" si="39"/>
        <v>37</v>
      </c>
      <c r="L1249" s="69">
        <f>VLOOKUP(Table_db1_backend_Daily.accdb[[#This Row],[TradingDate]],canon!B:E,4,0)</f>
        <v>30</v>
      </c>
    </row>
    <row r="1250" spans="1:12" x14ac:dyDescent="0.2">
      <c r="A1250" s="69" t="s">
        <v>41</v>
      </c>
      <c r="B1250" s="70">
        <v>42941</v>
      </c>
      <c r="C1250" s="69">
        <v>4</v>
      </c>
      <c r="D1250" s="69">
        <v>0</v>
      </c>
      <c r="E1250" s="69">
        <v>0</v>
      </c>
      <c r="F1250" s="69">
        <v>0</v>
      </c>
      <c r="G1250" s="69" t="s">
        <v>27</v>
      </c>
      <c r="H1250" s="69" t="str">
        <f>IFERROR(VLOOKUP(Data!$G1250,canon!$I$2:$K$27,2,FALSE),"")</f>
        <v>ACCESSORY</v>
      </c>
      <c r="I1250" s="69" t="str">
        <f>IFERROR(VLOOKUP(Data!$G1250,canon!$I$2:$K$27,3,FALSE),"")</f>
        <v>N.APPAREL</v>
      </c>
      <c r="J1250" s="69">
        <f t="shared" si="38"/>
        <v>3</v>
      </c>
      <c r="K1250" s="69">
        <f t="shared" si="39"/>
        <v>37</v>
      </c>
      <c r="L1250" s="69">
        <f>VLOOKUP(Table_db1_backend_Daily.accdb[[#This Row],[TradingDate]],canon!B:E,4,0)</f>
        <v>30</v>
      </c>
    </row>
    <row r="1251" spans="1:12" x14ac:dyDescent="0.2">
      <c r="A1251" s="69" t="s">
        <v>41</v>
      </c>
      <c r="B1251" s="70">
        <v>42941</v>
      </c>
      <c r="C1251" s="69">
        <v>26</v>
      </c>
      <c r="D1251" s="69">
        <v>0</v>
      </c>
      <c r="E1251" s="69">
        <v>0</v>
      </c>
      <c r="F1251" s="69">
        <v>0</v>
      </c>
      <c r="G1251" s="69" t="s">
        <v>34</v>
      </c>
      <c r="H1251" s="69" t="str">
        <f>IFERROR(VLOOKUP(Data!$G1251,canon!$I$2:$K$27,2,FALSE),"")</f>
        <v>SHOES</v>
      </c>
      <c r="I1251" s="69" t="str">
        <f>IFERROR(VLOOKUP(Data!$G1251,canon!$I$2:$K$27,3,FALSE),"")</f>
        <v>N.APPAREL</v>
      </c>
      <c r="J1251" s="69">
        <f t="shared" si="38"/>
        <v>3</v>
      </c>
      <c r="K1251" s="69">
        <f t="shared" si="39"/>
        <v>37</v>
      </c>
      <c r="L1251" s="69">
        <f>VLOOKUP(Table_db1_backend_Daily.accdb[[#This Row],[TradingDate]],canon!B:E,4,0)</f>
        <v>30</v>
      </c>
    </row>
    <row r="1252" spans="1:12" x14ac:dyDescent="0.2">
      <c r="A1252" s="69" t="s">
        <v>41</v>
      </c>
      <c r="B1252" s="70">
        <v>42941</v>
      </c>
      <c r="C1252" s="69">
        <v>3</v>
      </c>
      <c r="D1252" s="69">
        <v>0</v>
      </c>
      <c r="E1252" s="69">
        <v>0</v>
      </c>
      <c r="F1252" s="69">
        <v>0</v>
      </c>
      <c r="G1252" s="69" t="s">
        <v>38</v>
      </c>
      <c r="H1252" s="69" t="str">
        <f>IFERROR(VLOOKUP(Data!$G1252,canon!$I$2:$K$27,2,FALSE),"")</f>
        <v>SHOES</v>
      </c>
      <c r="I1252" s="69" t="str">
        <f>IFERROR(VLOOKUP(Data!$G1252,canon!$I$2:$K$27,3,FALSE),"")</f>
        <v>N.APPAREL</v>
      </c>
      <c r="J1252" s="69">
        <f t="shared" si="38"/>
        <v>3</v>
      </c>
      <c r="K1252" s="69">
        <f t="shared" si="39"/>
        <v>37</v>
      </c>
      <c r="L1252" s="69">
        <f>VLOOKUP(Table_db1_backend_Daily.accdb[[#This Row],[TradingDate]],canon!B:E,4,0)</f>
        <v>30</v>
      </c>
    </row>
    <row r="1253" spans="1:12" x14ac:dyDescent="0.2">
      <c r="A1253" s="69" t="s">
        <v>41</v>
      </c>
      <c r="B1253" s="70">
        <v>42941</v>
      </c>
      <c r="C1253" s="69">
        <v>770</v>
      </c>
      <c r="D1253" s="69">
        <v>1</v>
      </c>
      <c r="E1253" s="69">
        <v>13.59</v>
      </c>
      <c r="F1253" s="69">
        <v>4.68</v>
      </c>
      <c r="G1253" s="69" t="s">
        <v>35</v>
      </c>
      <c r="H1253" s="69" t="str">
        <f>IFERROR(VLOOKUP(Data!$G1253,canon!$I$2:$K$27,2,FALSE),"")</f>
        <v>DRESS</v>
      </c>
      <c r="I1253" s="69" t="str">
        <f>IFERROR(VLOOKUP(Data!$G1253,canon!$I$2:$K$27,3,FALSE),"")</f>
        <v>APPAREL</v>
      </c>
      <c r="J1253" s="69">
        <f t="shared" si="38"/>
        <v>3</v>
      </c>
      <c r="K1253" s="69">
        <f t="shared" si="39"/>
        <v>37</v>
      </c>
      <c r="L1253" s="69">
        <f>VLOOKUP(Table_db1_backend_Daily.accdb[[#This Row],[TradingDate]],canon!B:E,4,0)</f>
        <v>30</v>
      </c>
    </row>
    <row r="1254" spans="1:12" x14ac:dyDescent="0.2">
      <c r="A1254" s="69" t="s">
        <v>41</v>
      </c>
      <c r="B1254" s="70">
        <v>42941</v>
      </c>
      <c r="C1254" s="69">
        <v>39</v>
      </c>
      <c r="D1254" s="69">
        <v>0</v>
      </c>
      <c r="E1254" s="69">
        <v>0</v>
      </c>
      <c r="F1254" s="69">
        <v>0</v>
      </c>
      <c r="G1254" s="69" t="s">
        <v>10</v>
      </c>
      <c r="H1254" s="69" t="str">
        <f>IFERROR(VLOOKUP(Data!$G1254,canon!$I$2:$K$27,2,FALSE),"")</f>
        <v>ACCESSORY</v>
      </c>
      <c r="I1254" s="69" t="str">
        <f>IFERROR(VLOOKUP(Data!$G1254,canon!$I$2:$K$27,3,FALSE),"")</f>
        <v>N.APPAREL</v>
      </c>
      <c r="J1254" s="69">
        <f t="shared" si="38"/>
        <v>3</v>
      </c>
      <c r="K1254" s="69">
        <f t="shared" si="39"/>
        <v>37</v>
      </c>
      <c r="L1254" s="69">
        <f>VLOOKUP(Table_db1_backend_Daily.accdb[[#This Row],[TradingDate]],canon!B:E,4,0)</f>
        <v>30</v>
      </c>
    </row>
    <row r="1255" spans="1:12" x14ac:dyDescent="0.2">
      <c r="A1255" s="69" t="s">
        <v>41</v>
      </c>
      <c r="B1255" s="70">
        <v>42941</v>
      </c>
      <c r="C1255" s="69">
        <v>2</v>
      </c>
      <c r="D1255" s="69">
        <v>0</v>
      </c>
      <c r="E1255" s="69">
        <v>0</v>
      </c>
      <c r="F1255" s="69">
        <v>0</v>
      </c>
      <c r="G1255" s="69" t="s">
        <v>28</v>
      </c>
      <c r="H1255" s="69" t="str">
        <f>IFERROR(VLOOKUP(Data!$G1255,canon!$I$2:$K$27,2,FALSE),"")</f>
        <v>ACCESSORY</v>
      </c>
      <c r="I1255" s="69" t="str">
        <f>IFERROR(VLOOKUP(Data!$G1255,canon!$I$2:$K$27,3,FALSE),"")</f>
        <v>N.APPAREL</v>
      </c>
      <c r="J1255" s="69">
        <f t="shared" si="38"/>
        <v>3</v>
      </c>
      <c r="K1255" s="69">
        <f t="shared" si="39"/>
        <v>37</v>
      </c>
      <c r="L1255" s="69">
        <f>VLOOKUP(Table_db1_backend_Daily.accdb[[#This Row],[TradingDate]],canon!B:E,4,0)</f>
        <v>30</v>
      </c>
    </row>
    <row r="1256" spans="1:12" x14ac:dyDescent="0.2">
      <c r="A1256" s="69" t="s">
        <v>41</v>
      </c>
      <c r="B1256" s="70">
        <v>42941</v>
      </c>
      <c r="C1256" s="69">
        <v>1522</v>
      </c>
      <c r="D1256" s="69">
        <v>37</v>
      </c>
      <c r="E1256" s="69">
        <v>363.53</v>
      </c>
      <c r="F1256" s="69">
        <v>109.57</v>
      </c>
      <c r="G1256" s="69" t="s">
        <v>11</v>
      </c>
      <c r="H1256" s="69" t="str">
        <f>IFERROR(VLOOKUP(Data!$G1256,canon!$I$2:$K$27,2,FALSE),"")</f>
        <v>KNIT</v>
      </c>
      <c r="I1256" s="69" t="str">
        <f>IFERROR(VLOOKUP(Data!$G1256,canon!$I$2:$K$27,3,FALSE),"")</f>
        <v>APPAREL</v>
      </c>
      <c r="J1256" s="69">
        <f t="shared" si="38"/>
        <v>3</v>
      </c>
      <c r="K1256" s="69">
        <f t="shared" si="39"/>
        <v>37</v>
      </c>
      <c r="L1256" s="69">
        <f>VLOOKUP(Table_db1_backend_Daily.accdb[[#This Row],[TradingDate]],canon!B:E,4,0)</f>
        <v>30</v>
      </c>
    </row>
    <row r="1257" spans="1:12" x14ac:dyDescent="0.2">
      <c r="A1257" s="69" t="s">
        <v>41</v>
      </c>
      <c r="B1257" s="70">
        <v>42941</v>
      </c>
      <c r="C1257" s="69">
        <v>531</v>
      </c>
      <c r="D1257" s="69">
        <v>0</v>
      </c>
      <c r="E1257" s="69">
        <v>0</v>
      </c>
      <c r="F1257" s="69">
        <v>0</v>
      </c>
      <c r="G1257" s="69" t="s">
        <v>14</v>
      </c>
      <c r="H1257" s="69" t="str">
        <f>IFERROR(VLOOKUP(Data!$G1257,canon!$I$2:$K$27,2,FALSE),"")</f>
        <v>LEGGING</v>
      </c>
      <c r="I1257" s="69" t="str">
        <f>IFERROR(VLOOKUP(Data!$G1257,canon!$I$2:$K$27,3,FALSE),"")</f>
        <v>APPAREL</v>
      </c>
      <c r="J1257" s="69">
        <f t="shared" si="38"/>
        <v>3</v>
      </c>
      <c r="K1257" s="69">
        <f t="shared" si="39"/>
        <v>37</v>
      </c>
      <c r="L1257" s="69">
        <f>VLOOKUP(Table_db1_backend_Daily.accdb[[#This Row],[TradingDate]],canon!B:E,4,0)</f>
        <v>30</v>
      </c>
    </row>
    <row r="1258" spans="1:12" x14ac:dyDescent="0.2">
      <c r="A1258" s="69" t="s">
        <v>41</v>
      </c>
      <c r="B1258" s="70">
        <v>42941</v>
      </c>
      <c r="C1258" s="69">
        <v>-43</v>
      </c>
      <c r="D1258" s="69">
        <v>0</v>
      </c>
      <c r="E1258" s="69">
        <v>0</v>
      </c>
      <c r="F1258" s="69">
        <v>0</v>
      </c>
      <c r="G1258" s="69" t="s">
        <v>37</v>
      </c>
      <c r="H1258" s="69" t="str">
        <f>IFERROR(VLOOKUP(Data!$G1258,canon!$I$2:$K$27,2,FALSE),"")</f>
        <v>SHOES</v>
      </c>
      <c r="I1258" s="69" t="str">
        <f>IFERROR(VLOOKUP(Data!$G1258,canon!$I$2:$K$27,3,FALSE),"")</f>
        <v>N.APPAREL</v>
      </c>
      <c r="J1258" s="69">
        <f t="shared" si="38"/>
        <v>3</v>
      </c>
      <c r="K1258" s="69">
        <f t="shared" si="39"/>
        <v>37</v>
      </c>
      <c r="L1258" s="69">
        <f>VLOOKUP(Table_db1_backend_Daily.accdb[[#This Row],[TradingDate]],canon!B:E,4,0)</f>
        <v>30</v>
      </c>
    </row>
    <row r="1259" spans="1:12" x14ac:dyDescent="0.2">
      <c r="A1259" s="69" t="s">
        <v>41</v>
      </c>
      <c r="B1259" s="70">
        <v>42941</v>
      </c>
      <c r="C1259" s="69">
        <v>17</v>
      </c>
      <c r="D1259" s="69">
        <v>0</v>
      </c>
      <c r="E1259" s="69">
        <v>0</v>
      </c>
      <c r="F1259" s="69">
        <v>0</v>
      </c>
      <c r="G1259" s="69" t="s">
        <v>29</v>
      </c>
      <c r="H1259" s="69" t="str">
        <f>IFERROR(VLOOKUP(Data!$G1259,canon!$I$2:$K$27,2,FALSE),"")</f>
        <v>SHOES</v>
      </c>
      <c r="I1259" s="69" t="str">
        <f>IFERROR(VLOOKUP(Data!$G1259,canon!$I$2:$K$27,3,FALSE),"")</f>
        <v>N.APPAREL</v>
      </c>
      <c r="J1259" s="69">
        <f t="shared" si="38"/>
        <v>3</v>
      </c>
      <c r="K1259" s="69">
        <f t="shared" si="39"/>
        <v>37</v>
      </c>
      <c r="L1259" s="69">
        <f>VLOOKUP(Table_db1_backend_Daily.accdb[[#This Row],[TradingDate]],canon!B:E,4,0)</f>
        <v>30</v>
      </c>
    </row>
    <row r="1260" spans="1:12" x14ac:dyDescent="0.2">
      <c r="A1260" s="69" t="s">
        <v>41</v>
      </c>
      <c r="B1260" s="70">
        <v>42941</v>
      </c>
      <c r="C1260" s="69">
        <v>483</v>
      </c>
      <c r="D1260" s="69">
        <v>9</v>
      </c>
      <c r="E1260" s="69">
        <v>109.85</v>
      </c>
      <c r="F1260" s="69">
        <v>36.280000000000008</v>
      </c>
      <c r="G1260" s="69" t="s">
        <v>17</v>
      </c>
      <c r="H1260" s="69" t="str">
        <f>IFERROR(VLOOKUP(Data!$G1260,canon!$I$2:$K$27,2,FALSE),"")</f>
        <v>OUTER</v>
      </c>
      <c r="I1260" s="69" t="str">
        <f>IFERROR(VLOOKUP(Data!$G1260,canon!$I$2:$K$27,3,FALSE),"")</f>
        <v>APPAREL</v>
      </c>
      <c r="J1260" s="69">
        <f t="shared" si="38"/>
        <v>3</v>
      </c>
      <c r="K1260" s="69">
        <f t="shared" si="39"/>
        <v>37</v>
      </c>
      <c r="L1260" s="69">
        <f>VLOOKUP(Table_db1_backend_Daily.accdb[[#This Row],[TradingDate]],canon!B:E,4,0)</f>
        <v>30</v>
      </c>
    </row>
    <row r="1261" spans="1:12" x14ac:dyDescent="0.2">
      <c r="A1261" s="69" t="s">
        <v>41</v>
      </c>
      <c r="B1261" s="70">
        <v>42941</v>
      </c>
      <c r="C1261" s="69">
        <v>272</v>
      </c>
      <c r="D1261" s="69">
        <v>0</v>
      </c>
      <c r="E1261" s="69">
        <v>0</v>
      </c>
      <c r="F1261" s="69">
        <v>0</v>
      </c>
      <c r="G1261" s="69" t="s">
        <v>19</v>
      </c>
      <c r="H1261" s="69" t="str">
        <f>IFERROR(VLOOKUP(Data!$G1261,canon!$I$2:$K$27,2,FALSE),"")</f>
        <v>PANT</v>
      </c>
      <c r="I1261" s="69" t="str">
        <f>IFERROR(VLOOKUP(Data!$G1261,canon!$I$2:$K$27,3,FALSE),"")</f>
        <v>APPAREL</v>
      </c>
      <c r="J1261" s="69">
        <f t="shared" si="38"/>
        <v>3</v>
      </c>
      <c r="K1261" s="69">
        <f t="shared" si="39"/>
        <v>37</v>
      </c>
      <c r="L1261" s="69">
        <f>VLOOKUP(Table_db1_backend_Daily.accdb[[#This Row],[TradingDate]],canon!B:E,4,0)</f>
        <v>30</v>
      </c>
    </row>
    <row r="1262" spans="1:12" x14ac:dyDescent="0.2">
      <c r="A1262" s="69" t="s">
        <v>41</v>
      </c>
      <c r="B1262" s="70">
        <v>42941</v>
      </c>
      <c r="C1262" s="69">
        <v>33</v>
      </c>
      <c r="D1262" s="69">
        <v>0</v>
      </c>
      <c r="E1262" s="69">
        <v>0</v>
      </c>
      <c r="F1262" s="69">
        <v>0</v>
      </c>
      <c r="G1262" s="69" t="s">
        <v>21</v>
      </c>
      <c r="H1262" s="69" t="str">
        <f>IFERROR(VLOOKUP(Data!$G1262,canon!$I$2:$K$27,2,FALSE),"")</f>
        <v>ACCESSORY</v>
      </c>
      <c r="I1262" s="69" t="str">
        <f>IFERROR(VLOOKUP(Data!$G1262,canon!$I$2:$K$27,3,FALSE),"")</f>
        <v>N.APPAREL</v>
      </c>
      <c r="J1262" s="69">
        <f t="shared" si="38"/>
        <v>3</v>
      </c>
      <c r="K1262" s="69">
        <f t="shared" si="39"/>
        <v>37</v>
      </c>
      <c r="L1262" s="69">
        <f>VLOOKUP(Table_db1_backend_Daily.accdb[[#This Row],[TradingDate]],canon!B:E,4,0)</f>
        <v>30</v>
      </c>
    </row>
    <row r="1263" spans="1:12" x14ac:dyDescent="0.2">
      <c r="A1263" s="69" t="s">
        <v>41</v>
      </c>
      <c r="B1263" s="70">
        <v>42941</v>
      </c>
      <c r="C1263" s="69">
        <v>465</v>
      </c>
      <c r="D1263" s="69">
        <v>14</v>
      </c>
      <c r="E1263" s="69">
        <v>66.36999999999999</v>
      </c>
      <c r="F1263" s="69">
        <v>44.970000000000006</v>
      </c>
      <c r="G1263" s="69" t="s">
        <v>22</v>
      </c>
      <c r="H1263" s="69" t="str">
        <f>IFERROR(VLOOKUP(Data!$G1263,canon!$I$2:$K$27,2,FALSE),"")</f>
        <v>SCARF</v>
      </c>
      <c r="I1263" s="69" t="str">
        <f>IFERROR(VLOOKUP(Data!$G1263,canon!$I$2:$K$27,3,FALSE),"")</f>
        <v>N.APPAREL</v>
      </c>
      <c r="J1263" s="69">
        <f t="shared" si="38"/>
        <v>3</v>
      </c>
      <c r="K1263" s="69">
        <f t="shared" si="39"/>
        <v>37</v>
      </c>
      <c r="L1263" s="69">
        <f>VLOOKUP(Table_db1_backend_Daily.accdb[[#This Row],[TradingDate]],canon!B:E,4,0)</f>
        <v>30</v>
      </c>
    </row>
    <row r="1264" spans="1:12" x14ac:dyDescent="0.2">
      <c r="A1264" s="69" t="s">
        <v>41</v>
      </c>
      <c r="B1264" s="70">
        <v>42941</v>
      </c>
      <c r="C1264" s="69">
        <v>106</v>
      </c>
      <c r="D1264" s="69">
        <v>1</v>
      </c>
      <c r="E1264" s="69">
        <v>27.23</v>
      </c>
      <c r="F1264" s="69">
        <v>18.32</v>
      </c>
      <c r="G1264" s="69" t="s">
        <v>23</v>
      </c>
      <c r="H1264" s="69" t="str">
        <f>IFERROR(VLOOKUP(Data!$G1264,canon!$I$2:$K$27,2,FALSE),"")</f>
        <v>SH&amp;BL</v>
      </c>
      <c r="I1264" s="69" t="str">
        <f>IFERROR(VLOOKUP(Data!$G1264,canon!$I$2:$K$27,3,FALSE),"")</f>
        <v>APPAREL</v>
      </c>
      <c r="J1264" s="69">
        <f t="shared" si="38"/>
        <v>3</v>
      </c>
      <c r="K1264" s="69">
        <f t="shared" si="39"/>
        <v>37</v>
      </c>
      <c r="L1264" s="69">
        <f>VLOOKUP(Table_db1_backend_Daily.accdb[[#This Row],[TradingDate]],canon!B:E,4,0)</f>
        <v>30</v>
      </c>
    </row>
    <row r="1265" spans="1:12" x14ac:dyDescent="0.2">
      <c r="A1265" s="69" t="s">
        <v>41</v>
      </c>
      <c r="B1265" s="70">
        <v>42941</v>
      </c>
      <c r="C1265" s="69">
        <v>444</v>
      </c>
      <c r="D1265" s="69">
        <v>0</v>
      </c>
      <c r="E1265" s="69">
        <v>0</v>
      </c>
      <c r="F1265" s="69">
        <v>0</v>
      </c>
      <c r="G1265" s="69" t="s">
        <v>32</v>
      </c>
      <c r="H1265" s="69" t="str">
        <f>IFERROR(VLOOKUP(Data!$G1265,canon!$I$2:$K$27,2,FALSE),"")</f>
        <v>SKIRT</v>
      </c>
      <c r="I1265" s="69" t="str">
        <f>IFERROR(VLOOKUP(Data!$G1265,canon!$I$2:$K$27,3,FALSE),"")</f>
        <v>APPAREL</v>
      </c>
      <c r="J1265" s="69">
        <f t="shared" si="38"/>
        <v>3</v>
      </c>
      <c r="K1265" s="69">
        <f t="shared" si="39"/>
        <v>37</v>
      </c>
      <c r="L1265" s="69">
        <f>VLOOKUP(Table_db1_backend_Daily.accdb[[#This Row],[TradingDate]],canon!B:E,4,0)</f>
        <v>30</v>
      </c>
    </row>
    <row r="1266" spans="1:12" x14ac:dyDescent="0.2">
      <c r="A1266" s="69" t="s">
        <v>41</v>
      </c>
      <c r="B1266" s="70">
        <v>42941</v>
      </c>
      <c r="C1266" s="69">
        <v>1210</v>
      </c>
      <c r="D1266" s="69">
        <v>15</v>
      </c>
      <c r="E1266" s="69">
        <v>81.929999999999993</v>
      </c>
      <c r="F1266" s="69">
        <v>3.1900000000000013</v>
      </c>
      <c r="G1266" s="69" t="s">
        <v>25</v>
      </c>
      <c r="H1266" s="69" t="str">
        <f>IFERROR(VLOOKUP(Data!$G1266,canon!$I$2:$K$27,2,FALSE),"")</f>
        <v>TOP</v>
      </c>
      <c r="I1266" s="69" t="str">
        <f>IFERROR(VLOOKUP(Data!$G1266,canon!$I$2:$K$27,3,FALSE),"")</f>
        <v>APPAREL</v>
      </c>
      <c r="J1266" s="69">
        <f t="shared" si="38"/>
        <v>3</v>
      </c>
      <c r="K1266" s="69">
        <f t="shared" si="39"/>
        <v>37</v>
      </c>
      <c r="L1266" s="69">
        <f>VLOOKUP(Table_db1_backend_Daily.accdb[[#This Row],[TradingDate]],canon!B:E,4,0)</f>
        <v>30</v>
      </c>
    </row>
    <row r="1267" spans="1:12" x14ac:dyDescent="0.2">
      <c r="A1267" s="69" t="s">
        <v>41</v>
      </c>
      <c r="B1267" s="70">
        <v>42942</v>
      </c>
      <c r="C1267" s="69">
        <v>4</v>
      </c>
      <c r="D1267" s="69">
        <v>0</v>
      </c>
      <c r="E1267" s="69">
        <v>0</v>
      </c>
      <c r="F1267" s="69">
        <v>0</v>
      </c>
      <c r="G1267" s="69" t="s">
        <v>27</v>
      </c>
      <c r="H1267" s="69" t="str">
        <f>IFERROR(VLOOKUP(Data!$G1267,canon!$I$2:$K$27,2,FALSE),"")</f>
        <v>ACCESSORY</v>
      </c>
      <c r="I1267" s="69" t="str">
        <f>IFERROR(VLOOKUP(Data!$G1267,canon!$I$2:$K$27,3,FALSE),"")</f>
        <v>N.APPAREL</v>
      </c>
      <c r="J1267" s="69">
        <f t="shared" si="38"/>
        <v>4</v>
      </c>
      <c r="K1267" s="69">
        <f t="shared" si="39"/>
        <v>37</v>
      </c>
      <c r="L1267" s="69">
        <f>VLOOKUP(Table_db1_backend_Daily.accdb[[#This Row],[TradingDate]],canon!B:E,4,0)</f>
        <v>30</v>
      </c>
    </row>
    <row r="1268" spans="1:12" x14ac:dyDescent="0.2">
      <c r="A1268" s="69" t="s">
        <v>41</v>
      </c>
      <c r="B1268" s="70">
        <v>42942</v>
      </c>
      <c r="C1268" s="69">
        <v>26</v>
      </c>
      <c r="D1268" s="69">
        <v>0</v>
      </c>
      <c r="E1268" s="69">
        <v>0</v>
      </c>
      <c r="F1268" s="69">
        <v>0</v>
      </c>
      <c r="G1268" s="69" t="s">
        <v>34</v>
      </c>
      <c r="H1268" s="69" t="str">
        <f>IFERROR(VLOOKUP(Data!$G1268,canon!$I$2:$K$27,2,FALSE),"")</f>
        <v>SHOES</v>
      </c>
      <c r="I1268" s="69" t="str">
        <f>IFERROR(VLOOKUP(Data!$G1268,canon!$I$2:$K$27,3,FALSE),"")</f>
        <v>N.APPAREL</v>
      </c>
      <c r="J1268" s="69">
        <f t="shared" si="38"/>
        <v>4</v>
      </c>
      <c r="K1268" s="69">
        <f t="shared" si="39"/>
        <v>37</v>
      </c>
      <c r="L1268" s="69">
        <f>VLOOKUP(Table_db1_backend_Daily.accdb[[#This Row],[TradingDate]],canon!B:E,4,0)</f>
        <v>30</v>
      </c>
    </row>
    <row r="1269" spans="1:12" x14ac:dyDescent="0.2">
      <c r="A1269" s="69" t="s">
        <v>41</v>
      </c>
      <c r="B1269" s="70">
        <v>42942</v>
      </c>
      <c r="C1269" s="69">
        <v>3</v>
      </c>
      <c r="D1269" s="69">
        <v>0</v>
      </c>
      <c r="E1269" s="69">
        <v>0</v>
      </c>
      <c r="F1269" s="69">
        <v>0</v>
      </c>
      <c r="G1269" s="69" t="s">
        <v>38</v>
      </c>
      <c r="H1269" s="69" t="str">
        <f>IFERROR(VLOOKUP(Data!$G1269,canon!$I$2:$K$27,2,FALSE),"")</f>
        <v>SHOES</v>
      </c>
      <c r="I1269" s="69" t="str">
        <f>IFERROR(VLOOKUP(Data!$G1269,canon!$I$2:$K$27,3,FALSE),"")</f>
        <v>N.APPAREL</v>
      </c>
      <c r="J1269" s="69">
        <f t="shared" si="38"/>
        <v>4</v>
      </c>
      <c r="K1269" s="69">
        <f t="shared" si="39"/>
        <v>37</v>
      </c>
      <c r="L1269" s="69">
        <f>VLOOKUP(Table_db1_backend_Daily.accdb[[#This Row],[TradingDate]],canon!B:E,4,0)</f>
        <v>30</v>
      </c>
    </row>
    <row r="1270" spans="1:12" x14ac:dyDescent="0.2">
      <c r="A1270" s="69" t="s">
        <v>41</v>
      </c>
      <c r="B1270" s="70">
        <v>42942</v>
      </c>
      <c r="C1270" s="69">
        <v>761</v>
      </c>
      <c r="D1270" s="69">
        <v>9</v>
      </c>
      <c r="E1270" s="69">
        <v>154.44999999999999</v>
      </c>
      <c r="F1270" s="69">
        <v>85.76</v>
      </c>
      <c r="G1270" s="69" t="s">
        <v>35</v>
      </c>
      <c r="H1270" s="69" t="str">
        <f>IFERROR(VLOOKUP(Data!$G1270,canon!$I$2:$K$27,2,FALSE),"")</f>
        <v>DRESS</v>
      </c>
      <c r="I1270" s="69" t="str">
        <f>IFERROR(VLOOKUP(Data!$G1270,canon!$I$2:$K$27,3,FALSE),"")</f>
        <v>APPAREL</v>
      </c>
      <c r="J1270" s="69">
        <f t="shared" si="38"/>
        <v>4</v>
      </c>
      <c r="K1270" s="69">
        <f t="shared" si="39"/>
        <v>37</v>
      </c>
      <c r="L1270" s="69">
        <f>VLOOKUP(Table_db1_backend_Daily.accdb[[#This Row],[TradingDate]],canon!B:E,4,0)</f>
        <v>30</v>
      </c>
    </row>
    <row r="1271" spans="1:12" x14ac:dyDescent="0.2">
      <c r="A1271" s="69" t="s">
        <v>41</v>
      </c>
      <c r="B1271" s="70">
        <v>42942</v>
      </c>
      <c r="C1271" s="69">
        <v>39</v>
      </c>
      <c r="D1271" s="69">
        <v>0</v>
      </c>
      <c r="E1271" s="69">
        <v>0</v>
      </c>
      <c r="F1271" s="69">
        <v>0</v>
      </c>
      <c r="G1271" s="69" t="s">
        <v>10</v>
      </c>
      <c r="H1271" s="69" t="str">
        <f>IFERROR(VLOOKUP(Data!$G1271,canon!$I$2:$K$27,2,FALSE),"")</f>
        <v>ACCESSORY</v>
      </c>
      <c r="I1271" s="69" t="str">
        <f>IFERROR(VLOOKUP(Data!$G1271,canon!$I$2:$K$27,3,FALSE),"")</f>
        <v>N.APPAREL</v>
      </c>
      <c r="J1271" s="69">
        <f t="shared" si="38"/>
        <v>4</v>
      </c>
      <c r="K1271" s="69">
        <f t="shared" si="39"/>
        <v>37</v>
      </c>
      <c r="L1271" s="69">
        <f>VLOOKUP(Table_db1_backend_Daily.accdb[[#This Row],[TradingDate]],canon!B:E,4,0)</f>
        <v>30</v>
      </c>
    </row>
    <row r="1272" spans="1:12" x14ac:dyDescent="0.2">
      <c r="A1272" s="69" t="s">
        <v>41</v>
      </c>
      <c r="B1272" s="70">
        <v>42942</v>
      </c>
      <c r="C1272" s="69">
        <v>2</v>
      </c>
      <c r="D1272" s="69">
        <v>0</v>
      </c>
      <c r="E1272" s="69">
        <v>0</v>
      </c>
      <c r="F1272" s="69">
        <v>0</v>
      </c>
      <c r="G1272" s="69" t="s">
        <v>28</v>
      </c>
      <c r="H1272" s="69" t="str">
        <f>IFERROR(VLOOKUP(Data!$G1272,canon!$I$2:$K$27,2,FALSE),"")</f>
        <v>ACCESSORY</v>
      </c>
      <c r="I1272" s="69" t="str">
        <f>IFERROR(VLOOKUP(Data!$G1272,canon!$I$2:$K$27,3,FALSE),"")</f>
        <v>N.APPAREL</v>
      </c>
      <c r="J1272" s="69">
        <f t="shared" si="38"/>
        <v>4</v>
      </c>
      <c r="K1272" s="69">
        <f t="shared" si="39"/>
        <v>37</v>
      </c>
      <c r="L1272" s="69">
        <f>VLOOKUP(Table_db1_backend_Daily.accdb[[#This Row],[TradingDate]],canon!B:E,4,0)</f>
        <v>30</v>
      </c>
    </row>
    <row r="1273" spans="1:12" x14ac:dyDescent="0.2">
      <c r="A1273" s="69" t="s">
        <v>41</v>
      </c>
      <c r="B1273" s="70">
        <v>42942</v>
      </c>
      <c r="C1273" s="69">
        <v>1488</v>
      </c>
      <c r="D1273" s="69">
        <v>34</v>
      </c>
      <c r="E1273" s="69">
        <v>390.46999999999997</v>
      </c>
      <c r="F1273" s="69">
        <v>129.59</v>
      </c>
      <c r="G1273" s="69" t="s">
        <v>11</v>
      </c>
      <c r="H1273" s="69" t="str">
        <f>IFERROR(VLOOKUP(Data!$G1273,canon!$I$2:$K$27,2,FALSE),"")</f>
        <v>KNIT</v>
      </c>
      <c r="I1273" s="69" t="str">
        <f>IFERROR(VLOOKUP(Data!$G1273,canon!$I$2:$K$27,3,FALSE),"")</f>
        <v>APPAREL</v>
      </c>
      <c r="J1273" s="69">
        <f t="shared" si="38"/>
        <v>4</v>
      </c>
      <c r="K1273" s="69">
        <f t="shared" si="39"/>
        <v>37</v>
      </c>
      <c r="L1273" s="69">
        <f>VLOOKUP(Table_db1_backend_Daily.accdb[[#This Row],[TradingDate]],canon!B:E,4,0)</f>
        <v>30</v>
      </c>
    </row>
    <row r="1274" spans="1:12" x14ac:dyDescent="0.2">
      <c r="A1274" s="69" t="s">
        <v>41</v>
      </c>
      <c r="B1274" s="70">
        <v>42942</v>
      </c>
      <c r="C1274" s="69">
        <v>527</v>
      </c>
      <c r="D1274" s="69">
        <v>4</v>
      </c>
      <c r="E1274" s="69">
        <v>54.540000000000006</v>
      </c>
      <c r="F1274" s="69">
        <v>26.279999999999998</v>
      </c>
      <c r="G1274" s="69" t="s">
        <v>14</v>
      </c>
      <c r="H1274" s="69" t="str">
        <f>IFERROR(VLOOKUP(Data!$G1274,canon!$I$2:$K$27,2,FALSE),"")</f>
        <v>LEGGING</v>
      </c>
      <c r="I1274" s="69" t="str">
        <f>IFERROR(VLOOKUP(Data!$G1274,canon!$I$2:$K$27,3,FALSE),"")</f>
        <v>APPAREL</v>
      </c>
      <c r="J1274" s="69">
        <f t="shared" si="38"/>
        <v>4</v>
      </c>
      <c r="K1274" s="69">
        <f t="shared" si="39"/>
        <v>37</v>
      </c>
      <c r="L1274" s="69">
        <f>VLOOKUP(Table_db1_backend_Daily.accdb[[#This Row],[TradingDate]],canon!B:E,4,0)</f>
        <v>30</v>
      </c>
    </row>
    <row r="1275" spans="1:12" x14ac:dyDescent="0.2">
      <c r="A1275" s="69" t="s">
        <v>41</v>
      </c>
      <c r="B1275" s="70">
        <v>42942</v>
      </c>
      <c r="C1275" s="69">
        <v>-43</v>
      </c>
      <c r="D1275" s="69">
        <v>0</v>
      </c>
      <c r="E1275" s="69">
        <v>0</v>
      </c>
      <c r="F1275" s="69">
        <v>0</v>
      </c>
      <c r="G1275" s="69" t="s">
        <v>37</v>
      </c>
      <c r="H1275" s="69" t="str">
        <f>IFERROR(VLOOKUP(Data!$G1275,canon!$I$2:$K$27,2,FALSE),"")</f>
        <v>SHOES</v>
      </c>
      <c r="I1275" s="69" t="str">
        <f>IFERROR(VLOOKUP(Data!$G1275,canon!$I$2:$K$27,3,FALSE),"")</f>
        <v>N.APPAREL</v>
      </c>
      <c r="J1275" s="69">
        <f t="shared" si="38"/>
        <v>4</v>
      </c>
      <c r="K1275" s="69">
        <f t="shared" si="39"/>
        <v>37</v>
      </c>
      <c r="L1275" s="69">
        <f>VLOOKUP(Table_db1_backend_Daily.accdb[[#This Row],[TradingDate]],canon!B:E,4,0)</f>
        <v>30</v>
      </c>
    </row>
    <row r="1276" spans="1:12" x14ac:dyDescent="0.2">
      <c r="A1276" s="69" t="s">
        <v>41</v>
      </c>
      <c r="B1276" s="70">
        <v>42942</v>
      </c>
      <c r="C1276" s="69">
        <v>17</v>
      </c>
      <c r="D1276" s="69">
        <v>0</v>
      </c>
      <c r="E1276" s="69">
        <v>0</v>
      </c>
      <c r="F1276" s="69">
        <v>0</v>
      </c>
      <c r="G1276" s="69" t="s">
        <v>29</v>
      </c>
      <c r="H1276" s="69" t="str">
        <f>IFERROR(VLOOKUP(Data!$G1276,canon!$I$2:$K$27,2,FALSE),"")</f>
        <v>SHOES</v>
      </c>
      <c r="I1276" s="69" t="str">
        <f>IFERROR(VLOOKUP(Data!$G1276,canon!$I$2:$K$27,3,FALSE),"")</f>
        <v>N.APPAREL</v>
      </c>
      <c r="J1276" s="69">
        <f t="shared" si="38"/>
        <v>4</v>
      </c>
      <c r="K1276" s="69">
        <f t="shared" si="39"/>
        <v>37</v>
      </c>
      <c r="L1276" s="69">
        <f>VLOOKUP(Table_db1_backend_Daily.accdb[[#This Row],[TradingDate]],canon!B:E,4,0)</f>
        <v>30</v>
      </c>
    </row>
    <row r="1277" spans="1:12" x14ac:dyDescent="0.2">
      <c r="A1277" s="69" t="s">
        <v>41</v>
      </c>
      <c r="B1277" s="70">
        <v>42942</v>
      </c>
      <c r="C1277" s="69">
        <v>470</v>
      </c>
      <c r="D1277" s="69">
        <v>13</v>
      </c>
      <c r="E1277" s="69">
        <v>133.34</v>
      </c>
      <c r="F1277" s="69">
        <v>36.910000000000011</v>
      </c>
      <c r="G1277" s="69" t="s">
        <v>17</v>
      </c>
      <c r="H1277" s="69" t="str">
        <f>IFERROR(VLOOKUP(Data!$G1277,canon!$I$2:$K$27,2,FALSE),"")</f>
        <v>OUTER</v>
      </c>
      <c r="I1277" s="69" t="str">
        <f>IFERROR(VLOOKUP(Data!$G1277,canon!$I$2:$K$27,3,FALSE),"")</f>
        <v>APPAREL</v>
      </c>
      <c r="J1277" s="69">
        <f t="shared" si="38"/>
        <v>4</v>
      </c>
      <c r="K1277" s="69">
        <f t="shared" si="39"/>
        <v>37</v>
      </c>
      <c r="L1277" s="69">
        <f>VLOOKUP(Table_db1_backend_Daily.accdb[[#This Row],[TradingDate]],canon!B:E,4,0)</f>
        <v>30</v>
      </c>
    </row>
    <row r="1278" spans="1:12" x14ac:dyDescent="0.2">
      <c r="A1278" s="69" t="s">
        <v>41</v>
      </c>
      <c r="B1278" s="70">
        <v>42942</v>
      </c>
      <c r="C1278" s="69">
        <v>270</v>
      </c>
      <c r="D1278" s="69">
        <v>2</v>
      </c>
      <c r="E1278" s="69">
        <v>18.18</v>
      </c>
      <c r="F1278" s="69">
        <v>7.52</v>
      </c>
      <c r="G1278" s="69" t="s">
        <v>19</v>
      </c>
      <c r="H1278" s="69" t="str">
        <f>IFERROR(VLOOKUP(Data!$G1278,canon!$I$2:$K$27,2,FALSE),"")</f>
        <v>PANT</v>
      </c>
      <c r="I1278" s="69" t="str">
        <f>IFERROR(VLOOKUP(Data!$G1278,canon!$I$2:$K$27,3,FALSE),"")</f>
        <v>APPAREL</v>
      </c>
      <c r="J1278" s="69">
        <f t="shared" si="38"/>
        <v>4</v>
      </c>
      <c r="K1278" s="69">
        <f t="shared" si="39"/>
        <v>37</v>
      </c>
      <c r="L1278" s="69">
        <f>VLOOKUP(Table_db1_backend_Daily.accdb[[#This Row],[TradingDate]],canon!B:E,4,0)</f>
        <v>30</v>
      </c>
    </row>
    <row r="1279" spans="1:12" x14ac:dyDescent="0.2">
      <c r="A1279" s="69" t="s">
        <v>41</v>
      </c>
      <c r="B1279" s="70">
        <v>42942</v>
      </c>
      <c r="C1279" s="69">
        <v>33</v>
      </c>
      <c r="D1279" s="69">
        <v>0</v>
      </c>
      <c r="E1279" s="69">
        <v>0</v>
      </c>
      <c r="F1279" s="69">
        <v>0</v>
      </c>
      <c r="G1279" s="69" t="s">
        <v>21</v>
      </c>
      <c r="H1279" s="69" t="str">
        <f>IFERROR(VLOOKUP(Data!$G1279,canon!$I$2:$K$27,2,FALSE),"")</f>
        <v>ACCESSORY</v>
      </c>
      <c r="I1279" s="69" t="str">
        <f>IFERROR(VLOOKUP(Data!$G1279,canon!$I$2:$K$27,3,FALSE),"")</f>
        <v>N.APPAREL</v>
      </c>
      <c r="J1279" s="69">
        <f t="shared" si="38"/>
        <v>4</v>
      </c>
      <c r="K1279" s="69">
        <f t="shared" si="39"/>
        <v>37</v>
      </c>
      <c r="L1279" s="69">
        <f>VLOOKUP(Table_db1_backend_Daily.accdb[[#This Row],[TradingDate]],canon!B:E,4,0)</f>
        <v>30</v>
      </c>
    </row>
    <row r="1280" spans="1:12" x14ac:dyDescent="0.2">
      <c r="A1280" s="69" t="s">
        <v>41</v>
      </c>
      <c r="B1280" s="70">
        <v>42942</v>
      </c>
      <c r="C1280" s="69">
        <v>455</v>
      </c>
      <c r="D1280" s="69">
        <v>10</v>
      </c>
      <c r="E1280" s="69">
        <v>45.5</v>
      </c>
      <c r="F1280" s="69">
        <v>29.420000000000005</v>
      </c>
      <c r="G1280" s="69" t="s">
        <v>22</v>
      </c>
      <c r="H1280" s="69" t="str">
        <f>IFERROR(VLOOKUP(Data!$G1280,canon!$I$2:$K$27,2,FALSE),"")</f>
        <v>SCARF</v>
      </c>
      <c r="I1280" s="69" t="str">
        <f>IFERROR(VLOOKUP(Data!$G1280,canon!$I$2:$K$27,3,FALSE),"")</f>
        <v>N.APPAREL</v>
      </c>
      <c r="J1280" s="69">
        <f t="shared" si="38"/>
        <v>4</v>
      </c>
      <c r="K1280" s="69">
        <f t="shared" si="39"/>
        <v>37</v>
      </c>
      <c r="L1280" s="69">
        <f>VLOOKUP(Table_db1_backend_Daily.accdb[[#This Row],[TradingDate]],canon!B:E,4,0)</f>
        <v>30</v>
      </c>
    </row>
    <row r="1281" spans="1:12" x14ac:dyDescent="0.2">
      <c r="A1281" s="69" t="s">
        <v>41</v>
      </c>
      <c r="B1281" s="70">
        <v>42942</v>
      </c>
      <c r="C1281" s="69">
        <v>104</v>
      </c>
      <c r="D1281" s="69">
        <v>2</v>
      </c>
      <c r="E1281" s="69">
        <v>31.810000000000002</v>
      </c>
      <c r="F1281" s="69">
        <v>14.420000000000002</v>
      </c>
      <c r="G1281" s="69" t="s">
        <v>23</v>
      </c>
      <c r="H1281" s="69" t="str">
        <f>IFERROR(VLOOKUP(Data!$G1281,canon!$I$2:$K$27,2,FALSE),"")</f>
        <v>SH&amp;BL</v>
      </c>
      <c r="I1281" s="69" t="str">
        <f>IFERROR(VLOOKUP(Data!$G1281,canon!$I$2:$K$27,3,FALSE),"")</f>
        <v>APPAREL</v>
      </c>
      <c r="J1281" s="69">
        <f t="shared" si="38"/>
        <v>4</v>
      </c>
      <c r="K1281" s="69">
        <f t="shared" si="39"/>
        <v>37</v>
      </c>
      <c r="L1281" s="69">
        <f>VLOOKUP(Table_db1_backend_Daily.accdb[[#This Row],[TradingDate]],canon!B:E,4,0)</f>
        <v>30</v>
      </c>
    </row>
    <row r="1282" spans="1:12" x14ac:dyDescent="0.2">
      <c r="A1282" s="69" t="s">
        <v>41</v>
      </c>
      <c r="B1282" s="70">
        <v>42942</v>
      </c>
      <c r="C1282" s="69">
        <v>444</v>
      </c>
      <c r="D1282" s="69">
        <v>0</v>
      </c>
      <c r="E1282" s="69">
        <v>0</v>
      </c>
      <c r="F1282" s="69">
        <v>0</v>
      </c>
      <c r="G1282" s="69" t="s">
        <v>32</v>
      </c>
      <c r="H1282" s="69" t="str">
        <f>IFERROR(VLOOKUP(Data!$G1282,canon!$I$2:$K$27,2,FALSE),"")</f>
        <v>SKIRT</v>
      </c>
      <c r="I1282" s="69" t="str">
        <f>IFERROR(VLOOKUP(Data!$G1282,canon!$I$2:$K$27,3,FALSE),"")</f>
        <v>APPAREL</v>
      </c>
      <c r="J1282" s="69">
        <f t="shared" ref="J1282:J1345" si="40">WEEKDAY(B1282)</f>
        <v>4</v>
      </c>
      <c r="K1282" s="69">
        <f t="shared" ref="K1282:K1345" si="41">INT(A1282)</f>
        <v>37</v>
      </c>
      <c r="L1282" s="69">
        <f>VLOOKUP(Table_db1_backend_Daily.accdb[[#This Row],[TradingDate]],canon!B:E,4,0)</f>
        <v>30</v>
      </c>
    </row>
    <row r="1283" spans="1:12" x14ac:dyDescent="0.2">
      <c r="A1283" s="69" t="s">
        <v>41</v>
      </c>
      <c r="B1283" s="70">
        <v>42942</v>
      </c>
      <c r="C1283" s="69">
        <v>1202</v>
      </c>
      <c r="D1283" s="69">
        <v>8</v>
      </c>
      <c r="E1283" s="69">
        <v>84.820000000000007</v>
      </c>
      <c r="F1283" s="69">
        <v>39.21</v>
      </c>
      <c r="G1283" s="69" t="s">
        <v>25</v>
      </c>
      <c r="H1283" s="69" t="str">
        <f>IFERROR(VLOOKUP(Data!$G1283,canon!$I$2:$K$27,2,FALSE),"")</f>
        <v>TOP</v>
      </c>
      <c r="I1283" s="69" t="str">
        <f>IFERROR(VLOOKUP(Data!$G1283,canon!$I$2:$K$27,3,FALSE),"")</f>
        <v>APPAREL</v>
      </c>
      <c r="J1283" s="69">
        <f t="shared" si="40"/>
        <v>4</v>
      </c>
      <c r="K1283" s="69">
        <f t="shared" si="41"/>
        <v>37</v>
      </c>
      <c r="L1283" s="69">
        <f>VLOOKUP(Table_db1_backend_Daily.accdb[[#This Row],[TradingDate]],canon!B:E,4,0)</f>
        <v>30</v>
      </c>
    </row>
    <row r="1284" spans="1:12" x14ac:dyDescent="0.2">
      <c r="A1284" s="69" t="s">
        <v>41</v>
      </c>
      <c r="B1284" s="70">
        <v>42943</v>
      </c>
      <c r="C1284" s="69">
        <v>4</v>
      </c>
      <c r="D1284" s="69">
        <v>0</v>
      </c>
      <c r="E1284" s="69">
        <v>0</v>
      </c>
      <c r="F1284" s="69">
        <v>0</v>
      </c>
      <c r="G1284" s="69" t="s">
        <v>27</v>
      </c>
      <c r="H1284" s="69" t="str">
        <f>IFERROR(VLOOKUP(Data!$G1284,canon!$I$2:$K$27,2,FALSE),"")</f>
        <v>ACCESSORY</v>
      </c>
      <c r="I1284" s="69" t="str">
        <f>IFERROR(VLOOKUP(Data!$G1284,canon!$I$2:$K$27,3,FALSE),"")</f>
        <v>N.APPAREL</v>
      </c>
      <c r="J1284" s="69">
        <f t="shared" si="40"/>
        <v>5</v>
      </c>
      <c r="K1284" s="69">
        <f t="shared" si="41"/>
        <v>37</v>
      </c>
      <c r="L1284" s="69">
        <f>VLOOKUP(Table_db1_backend_Daily.accdb[[#This Row],[TradingDate]],canon!B:E,4,0)</f>
        <v>30</v>
      </c>
    </row>
    <row r="1285" spans="1:12" x14ac:dyDescent="0.2">
      <c r="A1285" s="69" t="s">
        <v>41</v>
      </c>
      <c r="B1285" s="70">
        <v>42943</v>
      </c>
      <c r="C1285" s="69">
        <v>26</v>
      </c>
      <c r="D1285" s="69">
        <v>0</v>
      </c>
      <c r="E1285" s="69">
        <v>0</v>
      </c>
      <c r="F1285" s="69">
        <v>0</v>
      </c>
      <c r="G1285" s="69" t="s">
        <v>34</v>
      </c>
      <c r="H1285" s="69" t="str">
        <f>IFERROR(VLOOKUP(Data!$G1285,canon!$I$2:$K$27,2,FALSE),"")</f>
        <v>SHOES</v>
      </c>
      <c r="I1285" s="69" t="str">
        <f>IFERROR(VLOOKUP(Data!$G1285,canon!$I$2:$K$27,3,FALSE),"")</f>
        <v>N.APPAREL</v>
      </c>
      <c r="J1285" s="69">
        <f t="shared" si="40"/>
        <v>5</v>
      </c>
      <c r="K1285" s="69">
        <f t="shared" si="41"/>
        <v>37</v>
      </c>
      <c r="L1285" s="69">
        <f>VLOOKUP(Table_db1_backend_Daily.accdb[[#This Row],[TradingDate]],canon!B:E,4,0)</f>
        <v>30</v>
      </c>
    </row>
    <row r="1286" spans="1:12" x14ac:dyDescent="0.2">
      <c r="A1286" s="69" t="s">
        <v>41</v>
      </c>
      <c r="B1286" s="70">
        <v>42943</v>
      </c>
      <c r="C1286" s="69">
        <v>3</v>
      </c>
      <c r="D1286" s="69">
        <v>0</v>
      </c>
      <c r="E1286" s="69">
        <v>0</v>
      </c>
      <c r="F1286" s="69">
        <v>0</v>
      </c>
      <c r="G1286" s="69" t="s">
        <v>38</v>
      </c>
      <c r="H1286" s="69" t="str">
        <f>IFERROR(VLOOKUP(Data!$G1286,canon!$I$2:$K$27,2,FALSE),"")</f>
        <v>SHOES</v>
      </c>
      <c r="I1286" s="69" t="str">
        <f>IFERROR(VLOOKUP(Data!$G1286,canon!$I$2:$K$27,3,FALSE),"")</f>
        <v>N.APPAREL</v>
      </c>
      <c r="J1286" s="69">
        <f t="shared" si="40"/>
        <v>5</v>
      </c>
      <c r="K1286" s="69">
        <f t="shared" si="41"/>
        <v>37</v>
      </c>
      <c r="L1286" s="69">
        <f>VLOOKUP(Table_db1_backend_Daily.accdb[[#This Row],[TradingDate]],canon!B:E,4,0)</f>
        <v>30</v>
      </c>
    </row>
    <row r="1287" spans="1:12" x14ac:dyDescent="0.2">
      <c r="A1287" s="69" t="s">
        <v>41</v>
      </c>
      <c r="B1287" s="70">
        <v>42943</v>
      </c>
      <c r="C1287" s="69">
        <v>752</v>
      </c>
      <c r="D1287" s="69">
        <v>9</v>
      </c>
      <c r="E1287" s="69">
        <v>154.44000000000003</v>
      </c>
      <c r="F1287" s="69">
        <v>84.44</v>
      </c>
      <c r="G1287" s="69" t="s">
        <v>35</v>
      </c>
      <c r="H1287" s="69" t="str">
        <f>IFERROR(VLOOKUP(Data!$G1287,canon!$I$2:$K$27,2,FALSE),"")</f>
        <v>DRESS</v>
      </c>
      <c r="I1287" s="69" t="str">
        <f>IFERROR(VLOOKUP(Data!$G1287,canon!$I$2:$K$27,3,FALSE),"")</f>
        <v>APPAREL</v>
      </c>
      <c r="J1287" s="69">
        <f t="shared" si="40"/>
        <v>5</v>
      </c>
      <c r="K1287" s="69">
        <f t="shared" si="41"/>
        <v>37</v>
      </c>
      <c r="L1287" s="69">
        <f>VLOOKUP(Table_db1_backend_Daily.accdb[[#This Row],[TradingDate]],canon!B:E,4,0)</f>
        <v>30</v>
      </c>
    </row>
    <row r="1288" spans="1:12" x14ac:dyDescent="0.2">
      <c r="A1288" s="69" t="s">
        <v>41</v>
      </c>
      <c r="B1288" s="70">
        <v>42943</v>
      </c>
      <c r="C1288" s="69">
        <v>39</v>
      </c>
      <c r="D1288" s="69">
        <v>0</v>
      </c>
      <c r="E1288" s="69">
        <v>0</v>
      </c>
      <c r="F1288" s="69">
        <v>0</v>
      </c>
      <c r="G1288" s="69" t="s">
        <v>10</v>
      </c>
      <c r="H1288" s="69" t="str">
        <f>IFERROR(VLOOKUP(Data!$G1288,canon!$I$2:$K$27,2,FALSE),"")</f>
        <v>ACCESSORY</v>
      </c>
      <c r="I1288" s="69" t="str">
        <f>IFERROR(VLOOKUP(Data!$G1288,canon!$I$2:$K$27,3,FALSE),"")</f>
        <v>N.APPAREL</v>
      </c>
      <c r="J1288" s="69">
        <f t="shared" si="40"/>
        <v>5</v>
      </c>
      <c r="K1288" s="69">
        <f t="shared" si="41"/>
        <v>37</v>
      </c>
      <c r="L1288" s="69">
        <f>VLOOKUP(Table_db1_backend_Daily.accdb[[#This Row],[TradingDate]],canon!B:E,4,0)</f>
        <v>30</v>
      </c>
    </row>
    <row r="1289" spans="1:12" x14ac:dyDescent="0.2">
      <c r="A1289" s="69" t="s">
        <v>41</v>
      </c>
      <c r="B1289" s="70">
        <v>42943</v>
      </c>
      <c r="C1289" s="69">
        <v>2</v>
      </c>
      <c r="D1289" s="69">
        <v>0</v>
      </c>
      <c r="E1289" s="69">
        <v>0</v>
      </c>
      <c r="F1289" s="69">
        <v>0</v>
      </c>
      <c r="G1289" s="69" t="s">
        <v>28</v>
      </c>
      <c r="H1289" s="69" t="str">
        <f>IFERROR(VLOOKUP(Data!$G1289,canon!$I$2:$K$27,2,FALSE),"")</f>
        <v>ACCESSORY</v>
      </c>
      <c r="I1289" s="69" t="str">
        <f>IFERROR(VLOOKUP(Data!$G1289,canon!$I$2:$K$27,3,FALSE),"")</f>
        <v>N.APPAREL</v>
      </c>
      <c r="J1289" s="69">
        <f t="shared" si="40"/>
        <v>5</v>
      </c>
      <c r="K1289" s="69">
        <f t="shared" si="41"/>
        <v>37</v>
      </c>
      <c r="L1289" s="69">
        <f>VLOOKUP(Table_db1_backend_Daily.accdb[[#This Row],[TradingDate]],canon!B:E,4,0)</f>
        <v>30</v>
      </c>
    </row>
    <row r="1290" spans="1:12" x14ac:dyDescent="0.2">
      <c r="A1290" s="69" t="s">
        <v>41</v>
      </c>
      <c r="B1290" s="70">
        <v>42943</v>
      </c>
      <c r="C1290" s="69">
        <v>1360</v>
      </c>
      <c r="D1290" s="69">
        <v>128</v>
      </c>
      <c r="E1290" s="69">
        <v>1093.6299999999999</v>
      </c>
      <c r="F1290" s="69">
        <v>92.27000000000001</v>
      </c>
      <c r="G1290" s="69" t="s">
        <v>11</v>
      </c>
      <c r="H1290" s="69" t="str">
        <f>IFERROR(VLOOKUP(Data!$G1290,canon!$I$2:$K$27,2,FALSE),"")</f>
        <v>KNIT</v>
      </c>
      <c r="I1290" s="69" t="str">
        <f>IFERROR(VLOOKUP(Data!$G1290,canon!$I$2:$K$27,3,FALSE),"")</f>
        <v>APPAREL</v>
      </c>
      <c r="J1290" s="69">
        <f t="shared" si="40"/>
        <v>5</v>
      </c>
      <c r="K1290" s="69">
        <f t="shared" si="41"/>
        <v>37</v>
      </c>
      <c r="L1290" s="69">
        <f>VLOOKUP(Table_db1_backend_Daily.accdb[[#This Row],[TradingDate]],canon!B:E,4,0)</f>
        <v>30</v>
      </c>
    </row>
    <row r="1291" spans="1:12" x14ac:dyDescent="0.2">
      <c r="A1291" s="69" t="s">
        <v>41</v>
      </c>
      <c r="B1291" s="70">
        <v>42943</v>
      </c>
      <c r="C1291" s="69">
        <v>523</v>
      </c>
      <c r="D1291" s="69">
        <v>4</v>
      </c>
      <c r="E1291" s="69">
        <v>36.36</v>
      </c>
      <c r="F1291" s="69">
        <v>11.139999999999999</v>
      </c>
      <c r="G1291" s="69" t="s">
        <v>14</v>
      </c>
      <c r="H1291" s="69" t="str">
        <f>IFERROR(VLOOKUP(Data!$G1291,canon!$I$2:$K$27,2,FALSE),"")</f>
        <v>LEGGING</v>
      </c>
      <c r="I1291" s="69" t="str">
        <f>IFERROR(VLOOKUP(Data!$G1291,canon!$I$2:$K$27,3,FALSE),"")</f>
        <v>APPAREL</v>
      </c>
      <c r="J1291" s="69">
        <f t="shared" si="40"/>
        <v>5</v>
      </c>
      <c r="K1291" s="69">
        <f t="shared" si="41"/>
        <v>37</v>
      </c>
      <c r="L1291" s="69">
        <f>VLOOKUP(Table_db1_backend_Daily.accdb[[#This Row],[TradingDate]],canon!B:E,4,0)</f>
        <v>30</v>
      </c>
    </row>
    <row r="1292" spans="1:12" x14ac:dyDescent="0.2">
      <c r="A1292" s="69" t="s">
        <v>41</v>
      </c>
      <c r="B1292" s="70">
        <v>42943</v>
      </c>
      <c r="C1292" s="69">
        <v>-43</v>
      </c>
      <c r="D1292" s="69">
        <v>0</v>
      </c>
      <c r="E1292" s="69">
        <v>0</v>
      </c>
      <c r="F1292" s="69">
        <v>0</v>
      </c>
      <c r="G1292" s="69" t="s">
        <v>37</v>
      </c>
      <c r="H1292" s="69" t="str">
        <f>IFERROR(VLOOKUP(Data!$G1292,canon!$I$2:$K$27,2,FALSE),"")</f>
        <v>SHOES</v>
      </c>
      <c r="I1292" s="69" t="str">
        <f>IFERROR(VLOOKUP(Data!$G1292,canon!$I$2:$K$27,3,FALSE),"")</f>
        <v>N.APPAREL</v>
      </c>
      <c r="J1292" s="69">
        <f t="shared" si="40"/>
        <v>5</v>
      </c>
      <c r="K1292" s="69">
        <f t="shared" si="41"/>
        <v>37</v>
      </c>
      <c r="L1292" s="69">
        <f>VLOOKUP(Table_db1_backend_Daily.accdb[[#This Row],[TradingDate]],canon!B:E,4,0)</f>
        <v>30</v>
      </c>
    </row>
    <row r="1293" spans="1:12" x14ac:dyDescent="0.2">
      <c r="A1293" s="69" t="s">
        <v>41</v>
      </c>
      <c r="B1293" s="70">
        <v>42943</v>
      </c>
      <c r="C1293" s="69">
        <v>17</v>
      </c>
      <c r="D1293" s="69">
        <v>0</v>
      </c>
      <c r="E1293" s="69">
        <v>0</v>
      </c>
      <c r="F1293" s="69">
        <v>0</v>
      </c>
      <c r="G1293" s="69" t="s">
        <v>29</v>
      </c>
      <c r="H1293" s="69" t="str">
        <f>IFERROR(VLOOKUP(Data!$G1293,canon!$I$2:$K$27,2,FALSE),"")</f>
        <v>SHOES</v>
      </c>
      <c r="I1293" s="69" t="str">
        <f>IFERROR(VLOOKUP(Data!$G1293,canon!$I$2:$K$27,3,FALSE),"")</f>
        <v>N.APPAREL</v>
      </c>
      <c r="J1293" s="69">
        <f t="shared" si="40"/>
        <v>5</v>
      </c>
      <c r="K1293" s="69">
        <f t="shared" si="41"/>
        <v>37</v>
      </c>
      <c r="L1293" s="69">
        <f>VLOOKUP(Table_db1_backend_Daily.accdb[[#This Row],[TradingDate]],canon!B:E,4,0)</f>
        <v>30</v>
      </c>
    </row>
    <row r="1294" spans="1:12" x14ac:dyDescent="0.2">
      <c r="A1294" s="69" t="s">
        <v>41</v>
      </c>
      <c r="B1294" s="70">
        <v>42943</v>
      </c>
      <c r="C1294" s="69">
        <v>455</v>
      </c>
      <c r="D1294" s="69">
        <v>15</v>
      </c>
      <c r="E1294" s="69">
        <v>184.29</v>
      </c>
      <c r="F1294" s="69">
        <v>45.16</v>
      </c>
      <c r="G1294" s="69" t="s">
        <v>17</v>
      </c>
      <c r="H1294" s="69" t="str">
        <f>IFERROR(VLOOKUP(Data!$G1294,canon!$I$2:$K$27,2,FALSE),"")</f>
        <v>OUTER</v>
      </c>
      <c r="I1294" s="69" t="str">
        <f>IFERROR(VLOOKUP(Data!$G1294,canon!$I$2:$K$27,3,FALSE),"")</f>
        <v>APPAREL</v>
      </c>
      <c r="J1294" s="69">
        <f t="shared" si="40"/>
        <v>5</v>
      </c>
      <c r="K1294" s="69">
        <f t="shared" si="41"/>
        <v>37</v>
      </c>
      <c r="L1294" s="69">
        <f>VLOOKUP(Table_db1_backend_Daily.accdb[[#This Row],[TradingDate]],canon!B:E,4,0)</f>
        <v>30</v>
      </c>
    </row>
    <row r="1295" spans="1:12" x14ac:dyDescent="0.2">
      <c r="A1295" s="69" t="s">
        <v>41</v>
      </c>
      <c r="B1295" s="70">
        <v>42943</v>
      </c>
      <c r="C1295" s="69">
        <v>268</v>
      </c>
      <c r="D1295" s="69">
        <v>2</v>
      </c>
      <c r="E1295" s="69">
        <v>45.43</v>
      </c>
      <c r="F1295" s="69">
        <v>28.95</v>
      </c>
      <c r="G1295" s="69" t="s">
        <v>19</v>
      </c>
      <c r="H1295" s="69" t="str">
        <f>IFERROR(VLOOKUP(Data!$G1295,canon!$I$2:$K$27,2,FALSE),"")</f>
        <v>PANT</v>
      </c>
      <c r="I1295" s="69" t="str">
        <f>IFERROR(VLOOKUP(Data!$G1295,canon!$I$2:$K$27,3,FALSE),"")</f>
        <v>APPAREL</v>
      </c>
      <c r="J1295" s="69">
        <f t="shared" si="40"/>
        <v>5</v>
      </c>
      <c r="K1295" s="69">
        <f t="shared" si="41"/>
        <v>37</v>
      </c>
      <c r="L1295" s="69">
        <f>VLOOKUP(Table_db1_backend_Daily.accdb[[#This Row],[TradingDate]],canon!B:E,4,0)</f>
        <v>30</v>
      </c>
    </row>
    <row r="1296" spans="1:12" x14ac:dyDescent="0.2">
      <c r="A1296" s="69" t="s">
        <v>41</v>
      </c>
      <c r="B1296" s="70">
        <v>42943</v>
      </c>
      <c r="C1296" s="69">
        <v>33</v>
      </c>
      <c r="D1296" s="69">
        <v>0</v>
      </c>
      <c r="E1296" s="69">
        <v>0</v>
      </c>
      <c r="F1296" s="69">
        <v>0</v>
      </c>
      <c r="G1296" s="69" t="s">
        <v>21</v>
      </c>
      <c r="H1296" s="69" t="str">
        <f>IFERROR(VLOOKUP(Data!$G1296,canon!$I$2:$K$27,2,FALSE),"")</f>
        <v>ACCESSORY</v>
      </c>
      <c r="I1296" s="69" t="str">
        <f>IFERROR(VLOOKUP(Data!$G1296,canon!$I$2:$K$27,3,FALSE),"")</f>
        <v>N.APPAREL</v>
      </c>
      <c r="J1296" s="69">
        <f t="shared" si="40"/>
        <v>5</v>
      </c>
      <c r="K1296" s="69">
        <f t="shared" si="41"/>
        <v>37</v>
      </c>
      <c r="L1296" s="69">
        <f>VLOOKUP(Table_db1_backend_Daily.accdb[[#This Row],[TradingDate]],canon!B:E,4,0)</f>
        <v>30</v>
      </c>
    </row>
    <row r="1297" spans="1:12" x14ac:dyDescent="0.2">
      <c r="A1297" s="69" t="s">
        <v>41</v>
      </c>
      <c r="B1297" s="70">
        <v>42943</v>
      </c>
      <c r="C1297" s="69">
        <v>438</v>
      </c>
      <c r="D1297" s="69">
        <v>17</v>
      </c>
      <c r="E1297" s="69">
        <v>75.36</v>
      </c>
      <c r="F1297" s="69">
        <v>50.37</v>
      </c>
      <c r="G1297" s="69" t="s">
        <v>22</v>
      </c>
      <c r="H1297" s="69" t="str">
        <f>IFERROR(VLOOKUP(Data!$G1297,canon!$I$2:$K$27,2,FALSE),"")</f>
        <v>SCARF</v>
      </c>
      <c r="I1297" s="69" t="str">
        <f>IFERROR(VLOOKUP(Data!$G1297,canon!$I$2:$K$27,3,FALSE),"")</f>
        <v>N.APPAREL</v>
      </c>
      <c r="J1297" s="69">
        <f t="shared" si="40"/>
        <v>5</v>
      </c>
      <c r="K1297" s="69">
        <f t="shared" si="41"/>
        <v>37</v>
      </c>
      <c r="L1297" s="69">
        <f>VLOOKUP(Table_db1_backend_Daily.accdb[[#This Row],[TradingDate]],canon!B:E,4,0)</f>
        <v>30</v>
      </c>
    </row>
    <row r="1298" spans="1:12" x14ac:dyDescent="0.2">
      <c r="A1298" s="69" t="s">
        <v>41</v>
      </c>
      <c r="B1298" s="70">
        <v>42943</v>
      </c>
      <c r="C1298" s="69">
        <v>99</v>
      </c>
      <c r="D1298" s="69">
        <v>5</v>
      </c>
      <c r="E1298" s="69">
        <v>59.1</v>
      </c>
      <c r="F1298" s="69">
        <v>21.270000000000003</v>
      </c>
      <c r="G1298" s="69" t="s">
        <v>23</v>
      </c>
      <c r="H1298" s="69" t="str">
        <f>IFERROR(VLOOKUP(Data!$G1298,canon!$I$2:$K$27,2,FALSE),"")</f>
        <v>SH&amp;BL</v>
      </c>
      <c r="I1298" s="69" t="str">
        <f>IFERROR(VLOOKUP(Data!$G1298,canon!$I$2:$K$27,3,FALSE),"")</f>
        <v>APPAREL</v>
      </c>
      <c r="J1298" s="69">
        <f t="shared" si="40"/>
        <v>5</v>
      </c>
      <c r="K1298" s="69">
        <f t="shared" si="41"/>
        <v>37</v>
      </c>
      <c r="L1298" s="69">
        <f>VLOOKUP(Table_db1_backend_Daily.accdb[[#This Row],[TradingDate]],canon!B:E,4,0)</f>
        <v>30</v>
      </c>
    </row>
    <row r="1299" spans="1:12" x14ac:dyDescent="0.2">
      <c r="A1299" s="69" t="s">
        <v>41</v>
      </c>
      <c r="B1299" s="70">
        <v>42943</v>
      </c>
      <c r="C1299" s="69">
        <v>442</v>
      </c>
      <c r="D1299" s="69">
        <v>2</v>
      </c>
      <c r="E1299" s="69">
        <v>22.720000000000002</v>
      </c>
      <c r="F1299" s="69">
        <v>9.24</v>
      </c>
      <c r="G1299" s="69" t="s">
        <v>32</v>
      </c>
      <c r="H1299" s="69" t="str">
        <f>IFERROR(VLOOKUP(Data!$G1299,canon!$I$2:$K$27,2,FALSE),"")</f>
        <v>SKIRT</v>
      </c>
      <c r="I1299" s="69" t="str">
        <f>IFERROR(VLOOKUP(Data!$G1299,canon!$I$2:$K$27,3,FALSE),"")</f>
        <v>APPAREL</v>
      </c>
      <c r="J1299" s="69">
        <f t="shared" si="40"/>
        <v>5</v>
      </c>
      <c r="K1299" s="69">
        <f t="shared" si="41"/>
        <v>37</v>
      </c>
      <c r="L1299" s="69">
        <f>VLOOKUP(Table_db1_backend_Daily.accdb[[#This Row],[TradingDate]],canon!B:E,4,0)</f>
        <v>30</v>
      </c>
    </row>
    <row r="1300" spans="1:12" x14ac:dyDescent="0.2">
      <c r="A1300" s="69" t="s">
        <v>41</v>
      </c>
      <c r="B1300" s="70">
        <v>42943</v>
      </c>
      <c r="C1300" s="69">
        <v>1154</v>
      </c>
      <c r="D1300" s="69">
        <v>48</v>
      </c>
      <c r="E1300" s="69">
        <v>331.75000000000011</v>
      </c>
      <c r="F1300" s="69">
        <v>58.54999999999999</v>
      </c>
      <c r="G1300" s="69" t="s">
        <v>25</v>
      </c>
      <c r="H1300" s="69" t="str">
        <f>IFERROR(VLOOKUP(Data!$G1300,canon!$I$2:$K$27,2,FALSE),"")</f>
        <v>TOP</v>
      </c>
      <c r="I1300" s="69" t="str">
        <f>IFERROR(VLOOKUP(Data!$G1300,canon!$I$2:$K$27,3,FALSE),"")</f>
        <v>APPAREL</v>
      </c>
      <c r="J1300" s="69">
        <f t="shared" si="40"/>
        <v>5</v>
      </c>
      <c r="K1300" s="69">
        <f t="shared" si="41"/>
        <v>37</v>
      </c>
      <c r="L1300" s="69">
        <f>VLOOKUP(Table_db1_backend_Daily.accdb[[#This Row],[TradingDate]],canon!B:E,4,0)</f>
        <v>30</v>
      </c>
    </row>
    <row r="1301" spans="1:12" x14ac:dyDescent="0.2">
      <c r="A1301" s="69" t="s">
        <v>41</v>
      </c>
      <c r="B1301" s="70">
        <v>42944</v>
      </c>
      <c r="C1301" s="69">
        <v>4</v>
      </c>
      <c r="D1301" s="69">
        <v>0</v>
      </c>
      <c r="E1301" s="69">
        <v>0</v>
      </c>
      <c r="F1301" s="69">
        <v>0</v>
      </c>
      <c r="G1301" s="69" t="s">
        <v>27</v>
      </c>
      <c r="H1301" s="69" t="str">
        <f>IFERROR(VLOOKUP(Data!$G1301,canon!$I$2:$K$27,2,FALSE),"")</f>
        <v>ACCESSORY</v>
      </c>
      <c r="I1301" s="69" t="str">
        <f>IFERROR(VLOOKUP(Data!$G1301,canon!$I$2:$K$27,3,FALSE),"")</f>
        <v>N.APPAREL</v>
      </c>
      <c r="J1301" s="69">
        <f t="shared" si="40"/>
        <v>6</v>
      </c>
      <c r="K1301" s="69">
        <f t="shared" si="41"/>
        <v>37</v>
      </c>
      <c r="L1301" s="69">
        <f>VLOOKUP(Table_db1_backend_Daily.accdb[[#This Row],[TradingDate]],canon!B:E,4,0)</f>
        <v>30</v>
      </c>
    </row>
    <row r="1302" spans="1:12" x14ac:dyDescent="0.2">
      <c r="A1302" s="69" t="s">
        <v>41</v>
      </c>
      <c r="B1302" s="70">
        <v>42944</v>
      </c>
      <c r="C1302" s="69">
        <v>26</v>
      </c>
      <c r="D1302" s="69">
        <v>0</v>
      </c>
      <c r="E1302" s="69">
        <v>0</v>
      </c>
      <c r="F1302" s="69">
        <v>0</v>
      </c>
      <c r="G1302" s="69" t="s">
        <v>34</v>
      </c>
      <c r="H1302" s="69" t="str">
        <f>IFERROR(VLOOKUP(Data!$G1302,canon!$I$2:$K$27,2,FALSE),"")</f>
        <v>SHOES</v>
      </c>
      <c r="I1302" s="69" t="str">
        <f>IFERROR(VLOOKUP(Data!$G1302,canon!$I$2:$K$27,3,FALSE),"")</f>
        <v>N.APPAREL</v>
      </c>
      <c r="J1302" s="69">
        <f t="shared" si="40"/>
        <v>6</v>
      </c>
      <c r="K1302" s="69">
        <f t="shared" si="41"/>
        <v>37</v>
      </c>
      <c r="L1302" s="69">
        <f>VLOOKUP(Table_db1_backend_Daily.accdb[[#This Row],[TradingDate]],canon!B:E,4,0)</f>
        <v>30</v>
      </c>
    </row>
    <row r="1303" spans="1:12" x14ac:dyDescent="0.2">
      <c r="A1303" s="69" t="s">
        <v>41</v>
      </c>
      <c r="B1303" s="70">
        <v>42944</v>
      </c>
      <c r="C1303" s="69">
        <v>3</v>
      </c>
      <c r="D1303" s="69">
        <v>0</v>
      </c>
      <c r="E1303" s="69">
        <v>0</v>
      </c>
      <c r="F1303" s="69">
        <v>0</v>
      </c>
      <c r="G1303" s="69" t="s">
        <v>38</v>
      </c>
      <c r="H1303" s="69" t="str">
        <f>IFERROR(VLOOKUP(Data!$G1303,canon!$I$2:$K$27,2,FALSE),"")</f>
        <v>SHOES</v>
      </c>
      <c r="I1303" s="69" t="str">
        <f>IFERROR(VLOOKUP(Data!$G1303,canon!$I$2:$K$27,3,FALSE),"")</f>
        <v>N.APPAREL</v>
      </c>
      <c r="J1303" s="69">
        <f t="shared" si="40"/>
        <v>6</v>
      </c>
      <c r="K1303" s="69">
        <f t="shared" si="41"/>
        <v>37</v>
      </c>
      <c r="L1303" s="69">
        <f>VLOOKUP(Table_db1_backend_Daily.accdb[[#This Row],[TradingDate]],canon!B:E,4,0)</f>
        <v>30</v>
      </c>
    </row>
    <row r="1304" spans="1:12" x14ac:dyDescent="0.2">
      <c r="A1304" s="69" t="s">
        <v>41</v>
      </c>
      <c r="B1304" s="70">
        <v>42944</v>
      </c>
      <c r="C1304" s="69">
        <v>749</v>
      </c>
      <c r="D1304" s="69">
        <v>3</v>
      </c>
      <c r="E1304" s="69">
        <v>40.769999999999996</v>
      </c>
      <c r="F1304" s="69">
        <v>16.21</v>
      </c>
      <c r="G1304" s="69" t="s">
        <v>35</v>
      </c>
      <c r="H1304" s="69" t="str">
        <f>IFERROR(VLOOKUP(Data!$G1304,canon!$I$2:$K$27,2,FALSE),"")</f>
        <v>DRESS</v>
      </c>
      <c r="I1304" s="69" t="str">
        <f>IFERROR(VLOOKUP(Data!$G1304,canon!$I$2:$K$27,3,FALSE),"")</f>
        <v>APPAREL</v>
      </c>
      <c r="J1304" s="69">
        <f t="shared" si="40"/>
        <v>6</v>
      </c>
      <c r="K1304" s="69">
        <f t="shared" si="41"/>
        <v>37</v>
      </c>
      <c r="L1304" s="69">
        <f>VLOOKUP(Table_db1_backend_Daily.accdb[[#This Row],[TradingDate]],canon!B:E,4,0)</f>
        <v>30</v>
      </c>
    </row>
    <row r="1305" spans="1:12" x14ac:dyDescent="0.2">
      <c r="A1305" s="69" t="s">
        <v>41</v>
      </c>
      <c r="B1305" s="70">
        <v>42944</v>
      </c>
      <c r="C1305" s="69">
        <v>39</v>
      </c>
      <c r="D1305" s="69">
        <v>0</v>
      </c>
      <c r="E1305" s="69">
        <v>0</v>
      </c>
      <c r="F1305" s="69">
        <v>0</v>
      </c>
      <c r="G1305" s="69" t="s">
        <v>10</v>
      </c>
      <c r="H1305" s="69" t="str">
        <f>IFERROR(VLOOKUP(Data!$G1305,canon!$I$2:$K$27,2,FALSE),"")</f>
        <v>ACCESSORY</v>
      </c>
      <c r="I1305" s="69" t="str">
        <f>IFERROR(VLOOKUP(Data!$G1305,canon!$I$2:$K$27,3,FALSE),"")</f>
        <v>N.APPAREL</v>
      </c>
      <c r="J1305" s="69">
        <f t="shared" si="40"/>
        <v>6</v>
      </c>
      <c r="K1305" s="69">
        <f t="shared" si="41"/>
        <v>37</v>
      </c>
      <c r="L1305" s="69">
        <f>VLOOKUP(Table_db1_backend_Daily.accdb[[#This Row],[TradingDate]],canon!B:E,4,0)</f>
        <v>30</v>
      </c>
    </row>
    <row r="1306" spans="1:12" x14ac:dyDescent="0.2">
      <c r="A1306" s="69" t="s">
        <v>41</v>
      </c>
      <c r="B1306" s="70">
        <v>42944</v>
      </c>
      <c r="C1306" s="69">
        <v>2</v>
      </c>
      <c r="D1306" s="69">
        <v>0</v>
      </c>
      <c r="E1306" s="69">
        <v>0</v>
      </c>
      <c r="F1306" s="69">
        <v>0</v>
      </c>
      <c r="G1306" s="69" t="s">
        <v>28</v>
      </c>
      <c r="H1306" s="69" t="str">
        <f>IFERROR(VLOOKUP(Data!$G1306,canon!$I$2:$K$27,2,FALSE),"")</f>
        <v>ACCESSORY</v>
      </c>
      <c r="I1306" s="69" t="str">
        <f>IFERROR(VLOOKUP(Data!$G1306,canon!$I$2:$K$27,3,FALSE),"")</f>
        <v>N.APPAREL</v>
      </c>
      <c r="J1306" s="69">
        <f t="shared" si="40"/>
        <v>6</v>
      </c>
      <c r="K1306" s="69">
        <f t="shared" si="41"/>
        <v>37</v>
      </c>
      <c r="L1306" s="69">
        <f>VLOOKUP(Table_db1_backend_Daily.accdb[[#This Row],[TradingDate]],canon!B:E,4,0)</f>
        <v>30</v>
      </c>
    </row>
    <row r="1307" spans="1:12" x14ac:dyDescent="0.2">
      <c r="A1307" s="69" t="s">
        <v>41</v>
      </c>
      <c r="B1307" s="70">
        <v>42944</v>
      </c>
      <c r="C1307" s="69">
        <v>1313</v>
      </c>
      <c r="D1307" s="69">
        <v>47</v>
      </c>
      <c r="E1307" s="69">
        <v>403.6699999999999</v>
      </c>
      <c r="F1307" s="69">
        <v>39.429999999999993</v>
      </c>
      <c r="G1307" s="69" t="s">
        <v>11</v>
      </c>
      <c r="H1307" s="69" t="str">
        <f>IFERROR(VLOOKUP(Data!$G1307,canon!$I$2:$K$27,2,FALSE),"")</f>
        <v>KNIT</v>
      </c>
      <c r="I1307" s="69" t="str">
        <f>IFERROR(VLOOKUP(Data!$G1307,canon!$I$2:$K$27,3,FALSE),"")</f>
        <v>APPAREL</v>
      </c>
      <c r="J1307" s="69">
        <f t="shared" si="40"/>
        <v>6</v>
      </c>
      <c r="K1307" s="69">
        <f t="shared" si="41"/>
        <v>37</v>
      </c>
      <c r="L1307" s="69">
        <f>VLOOKUP(Table_db1_backend_Daily.accdb[[#This Row],[TradingDate]],canon!B:E,4,0)</f>
        <v>30</v>
      </c>
    </row>
    <row r="1308" spans="1:12" x14ac:dyDescent="0.2">
      <c r="A1308" s="69" t="s">
        <v>41</v>
      </c>
      <c r="B1308" s="70">
        <v>42944</v>
      </c>
      <c r="C1308" s="69">
        <v>524</v>
      </c>
      <c r="D1308" s="69">
        <v>-1</v>
      </c>
      <c r="E1308" s="69">
        <v>-9.1</v>
      </c>
      <c r="F1308" s="69">
        <v>-2.58</v>
      </c>
      <c r="G1308" s="69" t="s">
        <v>14</v>
      </c>
      <c r="H1308" s="69" t="str">
        <f>IFERROR(VLOOKUP(Data!$G1308,canon!$I$2:$K$27,2,FALSE),"")</f>
        <v>LEGGING</v>
      </c>
      <c r="I1308" s="69" t="str">
        <f>IFERROR(VLOOKUP(Data!$G1308,canon!$I$2:$K$27,3,FALSE),"")</f>
        <v>APPAREL</v>
      </c>
      <c r="J1308" s="69">
        <f t="shared" si="40"/>
        <v>6</v>
      </c>
      <c r="K1308" s="69">
        <f t="shared" si="41"/>
        <v>37</v>
      </c>
      <c r="L1308" s="69">
        <f>VLOOKUP(Table_db1_backend_Daily.accdb[[#This Row],[TradingDate]],canon!B:E,4,0)</f>
        <v>30</v>
      </c>
    </row>
    <row r="1309" spans="1:12" x14ac:dyDescent="0.2">
      <c r="A1309" s="69" t="s">
        <v>41</v>
      </c>
      <c r="B1309" s="70">
        <v>42944</v>
      </c>
      <c r="C1309" s="69">
        <v>-43</v>
      </c>
      <c r="D1309" s="69">
        <v>0</v>
      </c>
      <c r="E1309" s="69">
        <v>0</v>
      </c>
      <c r="F1309" s="69">
        <v>0</v>
      </c>
      <c r="G1309" s="69" t="s">
        <v>37</v>
      </c>
      <c r="H1309" s="69" t="str">
        <f>IFERROR(VLOOKUP(Data!$G1309,canon!$I$2:$K$27,2,FALSE),"")</f>
        <v>SHOES</v>
      </c>
      <c r="I1309" s="69" t="str">
        <f>IFERROR(VLOOKUP(Data!$G1309,canon!$I$2:$K$27,3,FALSE),"")</f>
        <v>N.APPAREL</v>
      </c>
      <c r="J1309" s="69">
        <f t="shared" si="40"/>
        <v>6</v>
      </c>
      <c r="K1309" s="69">
        <f t="shared" si="41"/>
        <v>37</v>
      </c>
      <c r="L1309" s="69">
        <f>VLOOKUP(Table_db1_backend_Daily.accdb[[#This Row],[TradingDate]],canon!B:E,4,0)</f>
        <v>30</v>
      </c>
    </row>
    <row r="1310" spans="1:12" x14ac:dyDescent="0.2">
      <c r="A1310" s="69" t="s">
        <v>41</v>
      </c>
      <c r="B1310" s="70">
        <v>42944</v>
      </c>
      <c r="C1310" s="69">
        <v>17</v>
      </c>
      <c r="D1310" s="69">
        <v>0</v>
      </c>
      <c r="E1310" s="69">
        <v>0</v>
      </c>
      <c r="F1310" s="69">
        <v>0</v>
      </c>
      <c r="G1310" s="69" t="s">
        <v>29</v>
      </c>
      <c r="H1310" s="69" t="str">
        <f>IFERROR(VLOOKUP(Data!$G1310,canon!$I$2:$K$27,2,FALSE),"")</f>
        <v>SHOES</v>
      </c>
      <c r="I1310" s="69" t="str">
        <f>IFERROR(VLOOKUP(Data!$G1310,canon!$I$2:$K$27,3,FALSE),"")</f>
        <v>N.APPAREL</v>
      </c>
      <c r="J1310" s="69">
        <f t="shared" si="40"/>
        <v>6</v>
      </c>
      <c r="K1310" s="69">
        <f t="shared" si="41"/>
        <v>37</v>
      </c>
      <c r="L1310" s="69">
        <f>VLOOKUP(Table_db1_backend_Daily.accdb[[#This Row],[TradingDate]],canon!B:E,4,0)</f>
        <v>30</v>
      </c>
    </row>
    <row r="1311" spans="1:12" x14ac:dyDescent="0.2">
      <c r="A1311" s="69" t="s">
        <v>41</v>
      </c>
      <c r="B1311" s="70">
        <v>42944</v>
      </c>
      <c r="C1311" s="69">
        <v>449</v>
      </c>
      <c r="D1311" s="69">
        <v>6</v>
      </c>
      <c r="E1311" s="69">
        <v>95.31</v>
      </c>
      <c r="F1311" s="69">
        <v>35.54</v>
      </c>
      <c r="G1311" s="69" t="s">
        <v>17</v>
      </c>
      <c r="H1311" s="69" t="str">
        <f>IFERROR(VLOOKUP(Data!$G1311,canon!$I$2:$K$27,2,FALSE),"")</f>
        <v>OUTER</v>
      </c>
      <c r="I1311" s="69" t="str">
        <f>IFERROR(VLOOKUP(Data!$G1311,canon!$I$2:$K$27,3,FALSE),"")</f>
        <v>APPAREL</v>
      </c>
      <c r="J1311" s="69">
        <f t="shared" si="40"/>
        <v>6</v>
      </c>
      <c r="K1311" s="69">
        <f t="shared" si="41"/>
        <v>37</v>
      </c>
      <c r="L1311" s="69">
        <f>VLOOKUP(Table_db1_backend_Daily.accdb[[#This Row],[TradingDate]],canon!B:E,4,0)</f>
        <v>30</v>
      </c>
    </row>
    <row r="1312" spans="1:12" x14ac:dyDescent="0.2">
      <c r="A1312" s="69" t="s">
        <v>41</v>
      </c>
      <c r="B1312" s="70">
        <v>42944</v>
      </c>
      <c r="C1312" s="69">
        <v>268</v>
      </c>
      <c r="D1312" s="69">
        <v>0</v>
      </c>
      <c r="E1312" s="69">
        <v>0</v>
      </c>
      <c r="F1312" s="69">
        <v>0</v>
      </c>
      <c r="G1312" s="69" t="s">
        <v>19</v>
      </c>
      <c r="H1312" s="69" t="str">
        <f>IFERROR(VLOOKUP(Data!$G1312,canon!$I$2:$K$27,2,FALSE),"")</f>
        <v>PANT</v>
      </c>
      <c r="I1312" s="69" t="str">
        <f>IFERROR(VLOOKUP(Data!$G1312,canon!$I$2:$K$27,3,FALSE),"")</f>
        <v>APPAREL</v>
      </c>
      <c r="J1312" s="69">
        <f t="shared" si="40"/>
        <v>6</v>
      </c>
      <c r="K1312" s="69">
        <f t="shared" si="41"/>
        <v>37</v>
      </c>
      <c r="L1312" s="69">
        <f>VLOOKUP(Table_db1_backend_Daily.accdb[[#This Row],[TradingDate]],canon!B:E,4,0)</f>
        <v>30</v>
      </c>
    </row>
    <row r="1313" spans="1:12" x14ac:dyDescent="0.2">
      <c r="A1313" s="69" t="s">
        <v>41</v>
      </c>
      <c r="B1313" s="70">
        <v>42944</v>
      </c>
      <c r="C1313" s="69">
        <v>33</v>
      </c>
      <c r="D1313" s="69">
        <v>0</v>
      </c>
      <c r="E1313" s="69">
        <v>0</v>
      </c>
      <c r="F1313" s="69">
        <v>0</v>
      </c>
      <c r="G1313" s="69" t="s">
        <v>21</v>
      </c>
      <c r="H1313" s="69" t="str">
        <f>IFERROR(VLOOKUP(Data!$G1313,canon!$I$2:$K$27,2,FALSE),"")</f>
        <v>ACCESSORY</v>
      </c>
      <c r="I1313" s="69" t="str">
        <f>IFERROR(VLOOKUP(Data!$G1313,canon!$I$2:$K$27,3,FALSE),"")</f>
        <v>N.APPAREL</v>
      </c>
      <c r="J1313" s="69">
        <f t="shared" si="40"/>
        <v>6</v>
      </c>
      <c r="K1313" s="69">
        <f t="shared" si="41"/>
        <v>37</v>
      </c>
      <c r="L1313" s="69">
        <f>VLOOKUP(Table_db1_backend_Daily.accdb[[#This Row],[TradingDate]],canon!B:E,4,0)</f>
        <v>30</v>
      </c>
    </row>
    <row r="1314" spans="1:12" x14ac:dyDescent="0.2">
      <c r="A1314" s="69" t="s">
        <v>41</v>
      </c>
      <c r="B1314" s="70">
        <v>42944</v>
      </c>
      <c r="C1314" s="69">
        <v>427</v>
      </c>
      <c r="D1314" s="69">
        <v>11</v>
      </c>
      <c r="E1314" s="69">
        <v>44.62</v>
      </c>
      <c r="F1314" s="69">
        <v>27.130000000000003</v>
      </c>
      <c r="G1314" s="69" t="s">
        <v>22</v>
      </c>
      <c r="H1314" s="69" t="str">
        <f>IFERROR(VLOOKUP(Data!$G1314,canon!$I$2:$K$27,2,FALSE),"")</f>
        <v>SCARF</v>
      </c>
      <c r="I1314" s="69" t="str">
        <f>IFERROR(VLOOKUP(Data!$G1314,canon!$I$2:$K$27,3,FALSE),"")</f>
        <v>N.APPAREL</v>
      </c>
      <c r="J1314" s="69">
        <f t="shared" si="40"/>
        <v>6</v>
      </c>
      <c r="K1314" s="69">
        <f t="shared" si="41"/>
        <v>37</v>
      </c>
      <c r="L1314" s="69">
        <f>VLOOKUP(Table_db1_backend_Daily.accdb[[#This Row],[TradingDate]],canon!B:E,4,0)</f>
        <v>30</v>
      </c>
    </row>
    <row r="1315" spans="1:12" x14ac:dyDescent="0.2">
      <c r="A1315" s="69" t="s">
        <v>41</v>
      </c>
      <c r="B1315" s="70">
        <v>42944</v>
      </c>
      <c r="C1315" s="69">
        <v>99</v>
      </c>
      <c r="D1315" s="69">
        <v>0</v>
      </c>
      <c r="E1315" s="69">
        <v>0</v>
      </c>
      <c r="F1315" s="69">
        <v>0</v>
      </c>
      <c r="G1315" s="69" t="s">
        <v>23</v>
      </c>
      <c r="H1315" s="69" t="str">
        <f>IFERROR(VLOOKUP(Data!$G1315,canon!$I$2:$K$27,2,FALSE),"")</f>
        <v>SH&amp;BL</v>
      </c>
      <c r="I1315" s="69" t="str">
        <f>IFERROR(VLOOKUP(Data!$G1315,canon!$I$2:$K$27,3,FALSE),"")</f>
        <v>APPAREL</v>
      </c>
      <c r="J1315" s="69">
        <f t="shared" si="40"/>
        <v>6</v>
      </c>
      <c r="K1315" s="69">
        <f t="shared" si="41"/>
        <v>37</v>
      </c>
      <c r="L1315" s="69">
        <f>VLOOKUP(Table_db1_backend_Daily.accdb[[#This Row],[TradingDate]],canon!B:E,4,0)</f>
        <v>30</v>
      </c>
    </row>
    <row r="1316" spans="1:12" x14ac:dyDescent="0.2">
      <c r="A1316" s="69" t="s">
        <v>41</v>
      </c>
      <c r="B1316" s="70">
        <v>42944</v>
      </c>
      <c r="C1316" s="69">
        <v>440</v>
      </c>
      <c r="D1316" s="69">
        <v>2</v>
      </c>
      <c r="E1316" s="69">
        <v>9.1</v>
      </c>
      <c r="F1316" s="69">
        <v>-2.21</v>
      </c>
      <c r="G1316" s="69" t="s">
        <v>32</v>
      </c>
      <c r="H1316" s="69" t="str">
        <f>IFERROR(VLOOKUP(Data!$G1316,canon!$I$2:$K$27,2,FALSE),"")</f>
        <v>SKIRT</v>
      </c>
      <c r="I1316" s="69" t="str">
        <f>IFERROR(VLOOKUP(Data!$G1316,canon!$I$2:$K$27,3,FALSE),"")</f>
        <v>APPAREL</v>
      </c>
      <c r="J1316" s="69">
        <f t="shared" si="40"/>
        <v>6</v>
      </c>
      <c r="K1316" s="69">
        <f t="shared" si="41"/>
        <v>37</v>
      </c>
      <c r="L1316" s="69">
        <f>VLOOKUP(Table_db1_backend_Daily.accdb[[#This Row],[TradingDate]],canon!B:E,4,0)</f>
        <v>30</v>
      </c>
    </row>
    <row r="1317" spans="1:12" x14ac:dyDescent="0.2">
      <c r="A1317" s="69" t="s">
        <v>41</v>
      </c>
      <c r="B1317" s="70">
        <v>42944</v>
      </c>
      <c r="C1317" s="69">
        <v>1138</v>
      </c>
      <c r="D1317" s="69">
        <v>16</v>
      </c>
      <c r="E1317" s="69">
        <v>133.01999999999998</v>
      </c>
      <c r="F1317" s="69">
        <v>55.35</v>
      </c>
      <c r="G1317" s="69" t="s">
        <v>25</v>
      </c>
      <c r="H1317" s="69" t="str">
        <f>IFERROR(VLOOKUP(Data!$G1317,canon!$I$2:$K$27,2,FALSE),"")</f>
        <v>TOP</v>
      </c>
      <c r="I1317" s="69" t="str">
        <f>IFERROR(VLOOKUP(Data!$G1317,canon!$I$2:$K$27,3,FALSE),"")</f>
        <v>APPAREL</v>
      </c>
      <c r="J1317" s="69">
        <f t="shared" si="40"/>
        <v>6</v>
      </c>
      <c r="K1317" s="69">
        <f t="shared" si="41"/>
        <v>37</v>
      </c>
      <c r="L1317" s="69">
        <f>VLOOKUP(Table_db1_backend_Daily.accdb[[#This Row],[TradingDate]],canon!B:E,4,0)</f>
        <v>30</v>
      </c>
    </row>
    <row r="1318" spans="1:12" x14ac:dyDescent="0.2">
      <c r="A1318" s="69" t="s">
        <v>41</v>
      </c>
      <c r="B1318" s="70">
        <v>42945</v>
      </c>
      <c r="C1318" s="69">
        <v>4</v>
      </c>
      <c r="D1318" s="69">
        <v>0</v>
      </c>
      <c r="E1318" s="69">
        <v>0</v>
      </c>
      <c r="F1318" s="69">
        <v>0</v>
      </c>
      <c r="G1318" s="69" t="s">
        <v>27</v>
      </c>
      <c r="H1318" s="69" t="str">
        <f>IFERROR(VLOOKUP(Data!$G1318,canon!$I$2:$K$27,2,FALSE),"")</f>
        <v>ACCESSORY</v>
      </c>
      <c r="I1318" s="69" t="str">
        <f>IFERROR(VLOOKUP(Data!$G1318,canon!$I$2:$K$27,3,FALSE),"")</f>
        <v>N.APPAREL</v>
      </c>
      <c r="J1318" s="69">
        <f t="shared" si="40"/>
        <v>7</v>
      </c>
      <c r="K1318" s="69">
        <f t="shared" si="41"/>
        <v>37</v>
      </c>
      <c r="L1318" s="69">
        <f>VLOOKUP(Table_db1_backend_Daily.accdb[[#This Row],[TradingDate]],canon!B:E,4,0)</f>
        <v>30</v>
      </c>
    </row>
    <row r="1319" spans="1:12" x14ac:dyDescent="0.2">
      <c r="A1319" s="69" t="s">
        <v>41</v>
      </c>
      <c r="B1319" s="70">
        <v>42945</v>
      </c>
      <c r="C1319" s="69">
        <v>26</v>
      </c>
      <c r="D1319" s="69">
        <v>0</v>
      </c>
      <c r="E1319" s="69">
        <v>0</v>
      </c>
      <c r="F1319" s="69">
        <v>0</v>
      </c>
      <c r="G1319" s="69" t="s">
        <v>34</v>
      </c>
      <c r="H1319" s="69" t="str">
        <f>IFERROR(VLOOKUP(Data!$G1319,canon!$I$2:$K$27,2,FALSE),"")</f>
        <v>SHOES</v>
      </c>
      <c r="I1319" s="69" t="str">
        <f>IFERROR(VLOOKUP(Data!$G1319,canon!$I$2:$K$27,3,FALSE),"")</f>
        <v>N.APPAREL</v>
      </c>
      <c r="J1319" s="69">
        <f t="shared" si="40"/>
        <v>7</v>
      </c>
      <c r="K1319" s="69">
        <f t="shared" si="41"/>
        <v>37</v>
      </c>
      <c r="L1319" s="69">
        <f>VLOOKUP(Table_db1_backend_Daily.accdb[[#This Row],[TradingDate]],canon!B:E,4,0)</f>
        <v>30</v>
      </c>
    </row>
    <row r="1320" spans="1:12" x14ac:dyDescent="0.2">
      <c r="A1320" s="69" t="s">
        <v>41</v>
      </c>
      <c r="B1320" s="70">
        <v>42945</v>
      </c>
      <c r="C1320" s="69">
        <v>3</v>
      </c>
      <c r="D1320" s="69">
        <v>0</v>
      </c>
      <c r="E1320" s="69">
        <v>0</v>
      </c>
      <c r="F1320" s="69">
        <v>0</v>
      </c>
      <c r="G1320" s="69" t="s">
        <v>38</v>
      </c>
      <c r="H1320" s="69" t="str">
        <f>IFERROR(VLOOKUP(Data!$G1320,canon!$I$2:$K$27,2,FALSE),"")</f>
        <v>SHOES</v>
      </c>
      <c r="I1320" s="69" t="str">
        <f>IFERROR(VLOOKUP(Data!$G1320,canon!$I$2:$K$27,3,FALSE),"")</f>
        <v>N.APPAREL</v>
      </c>
      <c r="J1320" s="69">
        <f t="shared" si="40"/>
        <v>7</v>
      </c>
      <c r="K1320" s="69">
        <f t="shared" si="41"/>
        <v>37</v>
      </c>
      <c r="L1320" s="69">
        <f>VLOOKUP(Table_db1_backend_Daily.accdb[[#This Row],[TradingDate]],canon!B:E,4,0)</f>
        <v>30</v>
      </c>
    </row>
    <row r="1321" spans="1:12" x14ac:dyDescent="0.2">
      <c r="A1321" s="69" t="s">
        <v>41</v>
      </c>
      <c r="B1321" s="70">
        <v>42945</v>
      </c>
      <c r="C1321" s="69">
        <v>740</v>
      </c>
      <c r="D1321" s="69">
        <v>9</v>
      </c>
      <c r="E1321" s="69">
        <v>122.58</v>
      </c>
      <c r="F1321" s="69">
        <v>47.150000000000006</v>
      </c>
      <c r="G1321" s="69" t="s">
        <v>35</v>
      </c>
      <c r="H1321" s="69" t="str">
        <f>IFERROR(VLOOKUP(Data!$G1321,canon!$I$2:$K$27,2,FALSE),"")</f>
        <v>DRESS</v>
      </c>
      <c r="I1321" s="69" t="str">
        <f>IFERROR(VLOOKUP(Data!$G1321,canon!$I$2:$K$27,3,FALSE),"")</f>
        <v>APPAREL</v>
      </c>
      <c r="J1321" s="69">
        <f t="shared" si="40"/>
        <v>7</v>
      </c>
      <c r="K1321" s="69">
        <f t="shared" si="41"/>
        <v>37</v>
      </c>
      <c r="L1321" s="69">
        <f>VLOOKUP(Table_db1_backend_Daily.accdb[[#This Row],[TradingDate]],canon!B:E,4,0)</f>
        <v>30</v>
      </c>
    </row>
    <row r="1322" spans="1:12" x14ac:dyDescent="0.2">
      <c r="A1322" s="69" t="s">
        <v>41</v>
      </c>
      <c r="B1322" s="70">
        <v>42945</v>
      </c>
      <c r="C1322" s="69">
        <v>39</v>
      </c>
      <c r="D1322" s="69">
        <v>0</v>
      </c>
      <c r="E1322" s="69">
        <v>0</v>
      </c>
      <c r="F1322" s="69">
        <v>0</v>
      </c>
      <c r="G1322" s="69" t="s">
        <v>10</v>
      </c>
      <c r="H1322" s="69" t="str">
        <f>IFERROR(VLOOKUP(Data!$G1322,canon!$I$2:$K$27,2,FALSE),"")</f>
        <v>ACCESSORY</v>
      </c>
      <c r="I1322" s="69" t="str">
        <f>IFERROR(VLOOKUP(Data!$G1322,canon!$I$2:$K$27,3,FALSE),"")</f>
        <v>N.APPAREL</v>
      </c>
      <c r="J1322" s="69">
        <f t="shared" si="40"/>
        <v>7</v>
      </c>
      <c r="K1322" s="69">
        <f t="shared" si="41"/>
        <v>37</v>
      </c>
      <c r="L1322" s="69">
        <f>VLOOKUP(Table_db1_backend_Daily.accdb[[#This Row],[TradingDate]],canon!B:E,4,0)</f>
        <v>30</v>
      </c>
    </row>
    <row r="1323" spans="1:12" x14ac:dyDescent="0.2">
      <c r="A1323" s="69" t="s">
        <v>41</v>
      </c>
      <c r="B1323" s="70">
        <v>42945</v>
      </c>
      <c r="C1323" s="69">
        <v>2</v>
      </c>
      <c r="D1323" s="69">
        <v>0</v>
      </c>
      <c r="E1323" s="69">
        <v>0</v>
      </c>
      <c r="F1323" s="69">
        <v>0</v>
      </c>
      <c r="G1323" s="69" t="s">
        <v>28</v>
      </c>
      <c r="H1323" s="69" t="str">
        <f>IFERROR(VLOOKUP(Data!$G1323,canon!$I$2:$K$27,2,FALSE),"")</f>
        <v>ACCESSORY</v>
      </c>
      <c r="I1323" s="69" t="str">
        <f>IFERROR(VLOOKUP(Data!$G1323,canon!$I$2:$K$27,3,FALSE),"")</f>
        <v>N.APPAREL</v>
      </c>
      <c r="J1323" s="69">
        <f t="shared" si="40"/>
        <v>7</v>
      </c>
      <c r="K1323" s="69">
        <f t="shared" si="41"/>
        <v>37</v>
      </c>
      <c r="L1323" s="69">
        <f>VLOOKUP(Table_db1_backend_Daily.accdb[[#This Row],[TradingDate]],canon!B:E,4,0)</f>
        <v>30</v>
      </c>
    </row>
    <row r="1324" spans="1:12" x14ac:dyDescent="0.2">
      <c r="A1324" s="69" t="s">
        <v>41</v>
      </c>
      <c r="B1324" s="70">
        <v>42945</v>
      </c>
      <c r="C1324" s="69">
        <v>1232</v>
      </c>
      <c r="D1324" s="69">
        <v>81</v>
      </c>
      <c r="E1324" s="69">
        <v>590.57999999999993</v>
      </c>
      <c r="F1324" s="69">
        <v>-15.679999999999993</v>
      </c>
      <c r="G1324" s="69" t="s">
        <v>11</v>
      </c>
      <c r="H1324" s="69" t="str">
        <f>IFERROR(VLOOKUP(Data!$G1324,canon!$I$2:$K$27,2,FALSE),"")</f>
        <v>KNIT</v>
      </c>
      <c r="I1324" s="69" t="str">
        <f>IFERROR(VLOOKUP(Data!$G1324,canon!$I$2:$K$27,3,FALSE),"")</f>
        <v>APPAREL</v>
      </c>
      <c r="J1324" s="69">
        <f t="shared" si="40"/>
        <v>7</v>
      </c>
      <c r="K1324" s="69">
        <f t="shared" si="41"/>
        <v>37</v>
      </c>
      <c r="L1324" s="69">
        <f>VLOOKUP(Table_db1_backend_Daily.accdb[[#This Row],[TradingDate]],canon!B:E,4,0)</f>
        <v>30</v>
      </c>
    </row>
    <row r="1325" spans="1:12" x14ac:dyDescent="0.2">
      <c r="A1325" s="69" t="s">
        <v>41</v>
      </c>
      <c r="B1325" s="70">
        <v>42945</v>
      </c>
      <c r="C1325" s="69">
        <v>522</v>
      </c>
      <c r="D1325" s="69">
        <v>2</v>
      </c>
      <c r="E1325" s="69">
        <v>18.18</v>
      </c>
      <c r="F1325" s="69">
        <v>7.09</v>
      </c>
      <c r="G1325" s="69" t="s">
        <v>14</v>
      </c>
      <c r="H1325" s="69" t="str">
        <f>IFERROR(VLOOKUP(Data!$G1325,canon!$I$2:$K$27,2,FALSE),"")</f>
        <v>LEGGING</v>
      </c>
      <c r="I1325" s="69" t="str">
        <f>IFERROR(VLOOKUP(Data!$G1325,canon!$I$2:$K$27,3,FALSE),"")</f>
        <v>APPAREL</v>
      </c>
      <c r="J1325" s="69">
        <f t="shared" si="40"/>
        <v>7</v>
      </c>
      <c r="K1325" s="69">
        <f t="shared" si="41"/>
        <v>37</v>
      </c>
      <c r="L1325" s="69">
        <f>VLOOKUP(Table_db1_backend_Daily.accdb[[#This Row],[TradingDate]],canon!B:E,4,0)</f>
        <v>30</v>
      </c>
    </row>
    <row r="1326" spans="1:12" x14ac:dyDescent="0.2">
      <c r="A1326" s="69" t="s">
        <v>41</v>
      </c>
      <c r="B1326" s="70">
        <v>42945</v>
      </c>
      <c r="C1326" s="69">
        <v>-43</v>
      </c>
      <c r="D1326" s="69">
        <v>0</v>
      </c>
      <c r="E1326" s="69">
        <v>0</v>
      </c>
      <c r="F1326" s="69">
        <v>0</v>
      </c>
      <c r="G1326" s="69" t="s">
        <v>37</v>
      </c>
      <c r="H1326" s="69" t="str">
        <f>IFERROR(VLOOKUP(Data!$G1326,canon!$I$2:$K$27,2,FALSE),"")</f>
        <v>SHOES</v>
      </c>
      <c r="I1326" s="69" t="str">
        <f>IFERROR(VLOOKUP(Data!$G1326,canon!$I$2:$K$27,3,FALSE),"")</f>
        <v>N.APPAREL</v>
      </c>
      <c r="J1326" s="69">
        <f t="shared" si="40"/>
        <v>7</v>
      </c>
      <c r="K1326" s="69">
        <f t="shared" si="41"/>
        <v>37</v>
      </c>
      <c r="L1326" s="69">
        <f>VLOOKUP(Table_db1_backend_Daily.accdb[[#This Row],[TradingDate]],canon!B:E,4,0)</f>
        <v>30</v>
      </c>
    </row>
    <row r="1327" spans="1:12" x14ac:dyDescent="0.2">
      <c r="A1327" s="69" t="s">
        <v>41</v>
      </c>
      <c r="B1327" s="70">
        <v>42945</v>
      </c>
      <c r="C1327" s="69">
        <v>17</v>
      </c>
      <c r="D1327" s="69">
        <v>0</v>
      </c>
      <c r="E1327" s="69">
        <v>0</v>
      </c>
      <c r="F1327" s="69">
        <v>0</v>
      </c>
      <c r="G1327" s="69" t="s">
        <v>29</v>
      </c>
      <c r="H1327" s="69" t="str">
        <f>IFERROR(VLOOKUP(Data!$G1327,canon!$I$2:$K$27,2,FALSE),"")</f>
        <v>SHOES</v>
      </c>
      <c r="I1327" s="69" t="str">
        <f>IFERROR(VLOOKUP(Data!$G1327,canon!$I$2:$K$27,3,FALSE),"")</f>
        <v>N.APPAREL</v>
      </c>
      <c r="J1327" s="69">
        <f t="shared" si="40"/>
        <v>7</v>
      </c>
      <c r="K1327" s="69">
        <f t="shared" si="41"/>
        <v>37</v>
      </c>
      <c r="L1327" s="69">
        <f>VLOOKUP(Table_db1_backend_Daily.accdb[[#This Row],[TradingDate]],canon!B:E,4,0)</f>
        <v>30</v>
      </c>
    </row>
    <row r="1328" spans="1:12" x14ac:dyDescent="0.2">
      <c r="A1328" s="69" t="s">
        <v>41</v>
      </c>
      <c r="B1328" s="70">
        <v>42945</v>
      </c>
      <c r="C1328" s="69">
        <v>429</v>
      </c>
      <c r="D1328" s="69">
        <v>20</v>
      </c>
      <c r="E1328" s="69">
        <v>249.82000000000002</v>
      </c>
      <c r="F1328" s="69">
        <v>81.8</v>
      </c>
      <c r="G1328" s="69" t="s">
        <v>17</v>
      </c>
      <c r="H1328" s="69" t="str">
        <f>IFERROR(VLOOKUP(Data!$G1328,canon!$I$2:$K$27,2,FALSE),"")</f>
        <v>OUTER</v>
      </c>
      <c r="I1328" s="69" t="str">
        <f>IFERROR(VLOOKUP(Data!$G1328,canon!$I$2:$K$27,3,FALSE),"")</f>
        <v>APPAREL</v>
      </c>
      <c r="J1328" s="69">
        <f t="shared" si="40"/>
        <v>7</v>
      </c>
      <c r="K1328" s="69">
        <f t="shared" si="41"/>
        <v>37</v>
      </c>
      <c r="L1328" s="69">
        <f>VLOOKUP(Table_db1_backend_Daily.accdb[[#This Row],[TradingDate]],canon!B:E,4,0)</f>
        <v>30</v>
      </c>
    </row>
    <row r="1329" spans="1:12" x14ac:dyDescent="0.2">
      <c r="A1329" s="69" t="s">
        <v>41</v>
      </c>
      <c r="B1329" s="70">
        <v>42945</v>
      </c>
      <c r="C1329" s="69">
        <v>262</v>
      </c>
      <c r="D1329" s="69">
        <v>6</v>
      </c>
      <c r="E1329" s="69">
        <v>90.89</v>
      </c>
      <c r="F1329" s="69">
        <v>50.86</v>
      </c>
      <c r="G1329" s="69" t="s">
        <v>19</v>
      </c>
      <c r="H1329" s="69" t="str">
        <f>IFERROR(VLOOKUP(Data!$G1329,canon!$I$2:$K$27,2,FALSE),"")</f>
        <v>PANT</v>
      </c>
      <c r="I1329" s="69" t="str">
        <f>IFERROR(VLOOKUP(Data!$G1329,canon!$I$2:$K$27,3,FALSE),"")</f>
        <v>APPAREL</v>
      </c>
      <c r="J1329" s="69">
        <f t="shared" si="40"/>
        <v>7</v>
      </c>
      <c r="K1329" s="69">
        <f t="shared" si="41"/>
        <v>37</v>
      </c>
      <c r="L1329" s="69">
        <f>VLOOKUP(Table_db1_backend_Daily.accdb[[#This Row],[TradingDate]],canon!B:E,4,0)</f>
        <v>30</v>
      </c>
    </row>
    <row r="1330" spans="1:12" x14ac:dyDescent="0.2">
      <c r="A1330" s="69" t="s">
        <v>41</v>
      </c>
      <c r="B1330" s="70">
        <v>42945</v>
      </c>
      <c r="C1330" s="69">
        <v>33</v>
      </c>
      <c r="D1330" s="69">
        <v>0</v>
      </c>
      <c r="E1330" s="69">
        <v>0</v>
      </c>
      <c r="F1330" s="69">
        <v>0</v>
      </c>
      <c r="G1330" s="69" t="s">
        <v>21</v>
      </c>
      <c r="H1330" s="69" t="str">
        <f>IFERROR(VLOOKUP(Data!$G1330,canon!$I$2:$K$27,2,FALSE),"")</f>
        <v>ACCESSORY</v>
      </c>
      <c r="I1330" s="69" t="str">
        <f>IFERROR(VLOOKUP(Data!$G1330,canon!$I$2:$K$27,3,FALSE),"")</f>
        <v>N.APPAREL</v>
      </c>
      <c r="J1330" s="69">
        <f t="shared" si="40"/>
        <v>7</v>
      </c>
      <c r="K1330" s="69">
        <f t="shared" si="41"/>
        <v>37</v>
      </c>
      <c r="L1330" s="69">
        <f>VLOOKUP(Table_db1_backend_Daily.accdb[[#This Row],[TradingDate]],canon!B:E,4,0)</f>
        <v>30</v>
      </c>
    </row>
    <row r="1331" spans="1:12" x14ac:dyDescent="0.2">
      <c r="A1331" s="69" t="s">
        <v>41</v>
      </c>
      <c r="B1331" s="70">
        <v>42945</v>
      </c>
      <c r="C1331" s="69">
        <v>414</v>
      </c>
      <c r="D1331" s="69">
        <v>13</v>
      </c>
      <c r="E1331" s="69">
        <v>59.129999999999995</v>
      </c>
      <c r="F1331" s="69">
        <v>39.79</v>
      </c>
      <c r="G1331" s="69" t="s">
        <v>22</v>
      </c>
      <c r="H1331" s="69" t="str">
        <f>IFERROR(VLOOKUP(Data!$G1331,canon!$I$2:$K$27,2,FALSE),"")</f>
        <v>SCARF</v>
      </c>
      <c r="I1331" s="69" t="str">
        <f>IFERROR(VLOOKUP(Data!$G1331,canon!$I$2:$K$27,3,FALSE),"")</f>
        <v>N.APPAREL</v>
      </c>
      <c r="J1331" s="69">
        <f t="shared" si="40"/>
        <v>7</v>
      </c>
      <c r="K1331" s="69">
        <f t="shared" si="41"/>
        <v>37</v>
      </c>
      <c r="L1331" s="69">
        <f>VLOOKUP(Table_db1_backend_Daily.accdb[[#This Row],[TradingDate]],canon!B:E,4,0)</f>
        <v>30</v>
      </c>
    </row>
    <row r="1332" spans="1:12" x14ac:dyDescent="0.2">
      <c r="A1332" s="69" t="s">
        <v>41</v>
      </c>
      <c r="B1332" s="70">
        <v>42945</v>
      </c>
      <c r="C1332" s="69">
        <v>97</v>
      </c>
      <c r="D1332" s="69">
        <v>2</v>
      </c>
      <c r="E1332" s="69">
        <v>22.73</v>
      </c>
      <c r="F1332" s="69">
        <v>7.51</v>
      </c>
      <c r="G1332" s="69" t="s">
        <v>23</v>
      </c>
      <c r="H1332" s="69" t="str">
        <f>IFERROR(VLOOKUP(Data!$G1332,canon!$I$2:$K$27,2,FALSE),"")</f>
        <v>SH&amp;BL</v>
      </c>
      <c r="I1332" s="69" t="str">
        <f>IFERROR(VLOOKUP(Data!$G1332,canon!$I$2:$K$27,3,FALSE),"")</f>
        <v>APPAREL</v>
      </c>
      <c r="J1332" s="69">
        <f t="shared" si="40"/>
        <v>7</v>
      </c>
      <c r="K1332" s="69">
        <f t="shared" si="41"/>
        <v>37</v>
      </c>
      <c r="L1332" s="69">
        <f>VLOOKUP(Table_db1_backend_Daily.accdb[[#This Row],[TradingDate]],canon!B:E,4,0)</f>
        <v>30</v>
      </c>
    </row>
    <row r="1333" spans="1:12" x14ac:dyDescent="0.2">
      <c r="A1333" s="69" t="s">
        <v>41</v>
      </c>
      <c r="B1333" s="70">
        <v>42945</v>
      </c>
      <c r="C1333" s="69">
        <v>437</v>
      </c>
      <c r="D1333" s="69">
        <v>3</v>
      </c>
      <c r="E1333" s="69">
        <v>13.649999999999999</v>
      </c>
      <c r="F1333" s="69">
        <v>-5.4899999999999993</v>
      </c>
      <c r="G1333" s="69" t="s">
        <v>32</v>
      </c>
      <c r="H1333" s="69" t="str">
        <f>IFERROR(VLOOKUP(Data!$G1333,canon!$I$2:$K$27,2,FALSE),"")</f>
        <v>SKIRT</v>
      </c>
      <c r="I1333" s="69" t="str">
        <f>IFERROR(VLOOKUP(Data!$G1333,canon!$I$2:$K$27,3,FALSE),"")</f>
        <v>APPAREL</v>
      </c>
      <c r="J1333" s="69">
        <f t="shared" si="40"/>
        <v>7</v>
      </c>
      <c r="K1333" s="69">
        <f t="shared" si="41"/>
        <v>37</v>
      </c>
      <c r="L1333" s="69">
        <f>VLOOKUP(Table_db1_backend_Daily.accdb[[#This Row],[TradingDate]],canon!B:E,4,0)</f>
        <v>30</v>
      </c>
    </row>
    <row r="1334" spans="1:12" x14ac:dyDescent="0.2">
      <c r="A1334" s="69" t="s">
        <v>41</v>
      </c>
      <c r="B1334" s="70">
        <v>42945</v>
      </c>
      <c r="C1334" s="69">
        <v>1116</v>
      </c>
      <c r="D1334" s="69">
        <v>22</v>
      </c>
      <c r="E1334" s="69">
        <v>195.23999999999998</v>
      </c>
      <c r="F1334" s="69">
        <v>83.339999999999989</v>
      </c>
      <c r="G1334" s="69" t="s">
        <v>25</v>
      </c>
      <c r="H1334" s="69" t="str">
        <f>IFERROR(VLOOKUP(Data!$G1334,canon!$I$2:$K$27,2,FALSE),"")</f>
        <v>TOP</v>
      </c>
      <c r="I1334" s="69" t="str">
        <f>IFERROR(VLOOKUP(Data!$G1334,canon!$I$2:$K$27,3,FALSE),"")</f>
        <v>APPAREL</v>
      </c>
      <c r="J1334" s="69">
        <f t="shared" si="40"/>
        <v>7</v>
      </c>
      <c r="K1334" s="69">
        <f t="shared" si="41"/>
        <v>37</v>
      </c>
      <c r="L1334" s="69">
        <f>VLOOKUP(Table_db1_backend_Daily.accdb[[#This Row],[TradingDate]],canon!B:E,4,0)</f>
        <v>30</v>
      </c>
    </row>
    <row r="1335" spans="1:12" x14ac:dyDescent="0.2">
      <c r="A1335" s="69" t="s">
        <v>41</v>
      </c>
      <c r="B1335" s="70">
        <v>42946</v>
      </c>
      <c r="C1335" s="69">
        <v>4</v>
      </c>
      <c r="D1335" s="69">
        <v>0</v>
      </c>
      <c r="E1335" s="69">
        <v>0</v>
      </c>
      <c r="F1335" s="69">
        <v>0</v>
      </c>
      <c r="G1335" s="69" t="s">
        <v>27</v>
      </c>
      <c r="H1335" s="69" t="str">
        <f>IFERROR(VLOOKUP(Data!$G1335,canon!$I$2:$K$27,2,FALSE),"")</f>
        <v>ACCESSORY</v>
      </c>
      <c r="I1335" s="69" t="str">
        <f>IFERROR(VLOOKUP(Data!$G1335,canon!$I$2:$K$27,3,FALSE),"")</f>
        <v>N.APPAREL</v>
      </c>
      <c r="J1335" s="69">
        <f t="shared" si="40"/>
        <v>1</v>
      </c>
      <c r="K1335" s="69">
        <f t="shared" si="41"/>
        <v>37</v>
      </c>
      <c r="L1335" s="69">
        <f>VLOOKUP(Table_db1_backend_Daily.accdb[[#This Row],[TradingDate]],canon!B:E,4,0)</f>
        <v>31</v>
      </c>
    </row>
    <row r="1336" spans="1:12" x14ac:dyDescent="0.2">
      <c r="A1336" s="69" t="s">
        <v>41</v>
      </c>
      <c r="B1336" s="70">
        <v>42946</v>
      </c>
      <c r="C1336" s="69">
        <v>26</v>
      </c>
      <c r="D1336" s="69">
        <v>0</v>
      </c>
      <c r="E1336" s="69">
        <v>0</v>
      </c>
      <c r="F1336" s="69">
        <v>0</v>
      </c>
      <c r="G1336" s="69" t="s">
        <v>34</v>
      </c>
      <c r="H1336" s="69" t="str">
        <f>IFERROR(VLOOKUP(Data!$G1336,canon!$I$2:$K$27,2,FALSE),"")</f>
        <v>SHOES</v>
      </c>
      <c r="I1336" s="69" t="str">
        <f>IFERROR(VLOOKUP(Data!$G1336,canon!$I$2:$K$27,3,FALSE),"")</f>
        <v>N.APPAREL</v>
      </c>
      <c r="J1336" s="69">
        <f t="shared" si="40"/>
        <v>1</v>
      </c>
      <c r="K1336" s="69">
        <f t="shared" si="41"/>
        <v>37</v>
      </c>
      <c r="L1336" s="69">
        <f>VLOOKUP(Table_db1_backend_Daily.accdb[[#This Row],[TradingDate]],canon!B:E,4,0)</f>
        <v>31</v>
      </c>
    </row>
    <row r="1337" spans="1:12" x14ac:dyDescent="0.2">
      <c r="A1337" s="69" t="s">
        <v>41</v>
      </c>
      <c r="B1337" s="70">
        <v>42946</v>
      </c>
      <c r="C1337" s="69">
        <v>3</v>
      </c>
      <c r="D1337" s="69">
        <v>0</v>
      </c>
      <c r="E1337" s="69">
        <v>0</v>
      </c>
      <c r="F1337" s="69">
        <v>0</v>
      </c>
      <c r="G1337" s="69" t="s">
        <v>38</v>
      </c>
      <c r="H1337" s="69" t="str">
        <f>IFERROR(VLOOKUP(Data!$G1337,canon!$I$2:$K$27,2,FALSE),"")</f>
        <v>SHOES</v>
      </c>
      <c r="I1337" s="69" t="str">
        <f>IFERROR(VLOOKUP(Data!$G1337,canon!$I$2:$K$27,3,FALSE),"")</f>
        <v>N.APPAREL</v>
      </c>
      <c r="J1337" s="69">
        <f t="shared" si="40"/>
        <v>1</v>
      </c>
      <c r="K1337" s="69">
        <f t="shared" si="41"/>
        <v>37</v>
      </c>
      <c r="L1337" s="69">
        <f>VLOOKUP(Table_db1_backend_Daily.accdb[[#This Row],[TradingDate]],canon!B:E,4,0)</f>
        <v>31</v>
      </c>
    </row>
    <row r="1338" spans="1:12" x14ac:dyDescent="0.2">
      <c r="A1338" s="69" t="s">
        <v>41</v>
      </c>
      <c r="B1338" s="70">
        <v>42946</v>
      </c>
      <c r="C1338" s="69">
        <v>734</v>
      </c>
      <c r="D1338" s="69">
        <v>6</v>
      </c>
      <c r="E1338" s="69">
        <v>86.220000000000013</v>
      </c>
      <c r="F1338" s="69">
        <v>37.96</v>
      </c>
      <c r="G1338" s="69" t="s">
        <v>35</v>
      </c>
      <c r="H1338" s="69" t="str">
        <f>IFERROR(VLOOKUP(Data!$G1338,canon!$I$2:$K$27,2,FALSE),"")</f>
        <v>DRESS</v>
      </c>
      <c r="I1338" s="69" t="str">
        <f>IFERROR(VLOOKUP(Data!$G1338,canon!$I$2:$K$27,3,FALSE),"")</f>
        <v>APPAREL</v>
      </c>
      <c r="J1338" s="69">
        <f t="shared" si="40"/>
        <v>1</v>
      </c>
      <c r="K1338" s="69">
        <f t="shared" si="41"/>
        <v>37</v>
      </c>
      <c r="L1338" s="69">
        <f>VLOOKUP(Table_db1_backend_Daily.accdb[[#This Row],[TradingDate]],canon!B:E,4,0)</f>
        <v>31</v>
      </c>
    </row>
    <row r="1339" spans="1:12" x14ac:dyDescent="0.2">
      <c r="A1339" s="69" t="s">
        <v>41</v>
      </c>
      <c r="B1339" s="70">
        <v>42946</v>
      </c>
      <c r="C1339" s="69">
        <v>39</v>
      </c>
      <c r="D1339" s="69">
        <v>0</v>
      </c>
      <c r="E1339" s="69">
        <v>0</v>
      </c>
      <c r="F1339" s="69">
        <v>0</v>
      </c>
      <c r="G1339" s="69" t="s">
        <v>10</v>
      </c>
      <c r="H1339" s="69" t="str">
        <f>IFERROR(VLOOKUP(Data!$G1339,canon!$I$2:$K$27,2,FALSE),"")</f>
        <v>ACCESSORY</v>
      </c>
      <c r="I1339" s="69" t="str">
        <f>IFERROR(VLOOKUP(Data!$G1339,canon!$I$2:$K$27,3,FALSE),"")</f>
        <v>N.APPAREL</v>
      </c>
      <c r="J1339" s="69">
        <f t="shared" si="40"/>
        <v>1</v>
      </c>
      <c r="K1339" s="69">
        <f t="shared" si="41"/>
        <v>37</v>
      </c>
      <c r="L1339" s="69">
        <f>VLOOKUP(Table_db1_backend_Daily.accdb[[#This Row],[TradingDate]],canon!B:E,4,0)</f>
        <v>31</v>
      </c>
    </row>
    <row r="1340" spans="1:12" x14ac:dyDescent="0.2">
      <c r="A1340" s="69" t="s">
        <v>41</v>
      </c>
      <c r="B1340" s="70">
        <v>42946</v>
      </c>
      <c r="C1340" s="69">
        <v>2</v>
      </c>
      <c r="D1340" s="69">
        <v>0</v>
      </c>
      <c r="E1340" s="69">
        <v>0</v>
      </c>
      <c r="F1340" s="69">
        <v>0</v>
      </c>
      <c r="G1340" s="69" t="s">
        <v>28</v>
      </c>
      <c r="H1340" s="69" t="str">
        <f>IFERROR(VLOOKUP(Data!$G1340,canon!$I$2:$K$27,2,FALSE),"")</f>
        <v>ACCESSORY</v>
      </c>
      <c r="I1340" s="69" t="str">
        <f>IFERROR(VLOOKUP(Data!$G1340,canon!$I$2:$K$27,3,FALSE),"")</f>
        <v>N.APPAREL</v>
      </c>
      <c r="J1340" s="69">
        <f t="shared" si="40"/>
        <v>1</v>
      </c>
      <c r="K1340" s="69">
        <f t="shared" si="41"/>
        <v>37</v>
      </c>
      <c r="L1340" s="69">
        <f>VLOOKUP(Table_db1_backend_Daily.accdb[[#This Row],[TradingDate]],canon!B:E,4,0)</f>
        <v>31</v>
      </c>
    </row>
    <row r="1341" spans="1:12" x14ac:dyDescent="0.2">
      <c r="A1341" s="69" t="s">
        <v>41</v>
      </c>
      <c r="B1341" s="70">
        <v>42946</v>
      </c>
      <c r="C1341" s="69">
        <v>1181</v>
      </c>
      <c r="D1341" s="69">
        <v>51</v>
      </c>
      <c r="E1341" s="69">
        <v>408.94999999999987</v>
      </c>
      <c r="F1341" s="69">
        <v>33.24</v>
      </c>
      <c r="G1341" s="69" t="s">
        <v>11</v>
      </c>
      <c r="H1341" s="69" t="str">
        <f>IFERROR(VLOOKUP(Data!$G1341,canon!$I$2:$K$27,2,FALSE),"")</f>
        <v>KNIT</v>
      </c>
      <c r="I1341" s="69" t="str">
        <f>IFERROR(VLOOKUP(Data!$G1341,canon!$I$2:$K$27,3,FALSE),"")</f>
        <v>APPAREL</v>
      </c>
      <c r="J1341" s="69">
        <f t="shared" si="40"/>
        <v>1</v>
      </c>
      <c r="K1341" s="69">
        <f t="shared" si="41"/>
        <v>37</v>
      </c>
      <c r="L1341" s="69">
        <f>VLOOKUP(Table_db1_backend_Daily.accdb[[#This Row],[TradingDate]],canon!B:E,4,0)</f>
        <v>31</v>
      </c>
    </row>
    <row r="1342" spans="1:12" x14ac:dyDescent="0.2">
      <c r="A1342" s="69" t="s">
        <v>41</v>
      </c>
      <c r="B1342" s="70">
        <v>42946</v>
      </c>
      <c r="C1342" s="69">
        <v>515</v>
      </c>
      <c r="D1342" s="69">
        <v>7</v>
      </c>
      <c r="E1342" s="69">
        <v>63.63000000000001</v>
      </c>
      <c r="F1342" s="69">
        <v>29.619999999999997</v>
      </c>
      <c r="G1342" s="69" t="s">
        <v>14</v>
      </c>
      <c r="H1342" s="69" t="str">
        <f>IFERROR(VLOOKUP(Data!$G1342,canon!$I$2:$K$27,2,FALSE),"")</f>
        <v>LEGGING</v>
      </c>
      <c r="I1342" s="69" t="str">
        <f>IFERROR(VLOOKUP(Data!$G1342,canon!$I$2:$K$27,3,FALSE),"")</f>
        <v>APPAREL</v>
      </c>
      <c r="J1342" s="69">
        <f t="shared" si="40"/>
        <v>1</v>
      </c>
      <c r="K1342" s="69">
        <f t="shared" si="41"/>
        <v>37</v>
      </c>
      <c r="L1342" s="69">
        <f>VLOOKUP(Table_db1_backend_Daily.accdb[[#This Row],[TradingDate]],canon!B:E,4,0)</f>
        <v>31</v>
      </c>
    </row>
    <row r="1343" spans="1:12" x14ac:dyDescent="0.2">
      <c r="A1343" s="69" t="s">
        <v>41</v>
      </c>
      <c r="B1343" s="70">
        <v>42946</v>
      </c>
      <c r="C1343" s="69">
        <v>-43</v>
      </c>
      <c r="D1343" s="69">
        <v>0</v>
      </c>
      <c r="E1343" s="69">
        <v>0</v>
      </c>
      <c r="F1343" s="69">
        <v>0</v>
      </c>
      <c r="G1343" s="69" t="s">
        <v>37</v>
      </c>
      <c r="H1343" s="69" t="str">
        <f>IFERROR(VLOOKUP(Data!$G1343,canon!$I$2:$K$27,2,FALSE),"")</f>
        <v>SHOES</v>
      </c>
      <c r="I1343" s="69" t="str">
        <f>IFERROR(VLOOKUP(Data!$G1343,canon!$I$2:$K$27,3,FALSE),"")</f>
        <v>N.APPAREL</v>
      </c>
      <c r="J1343" s="69">
        <f t="shared" si="40"/>
        <v>1</v>
      </c>
      <c r="K1343" s="69">
        <f t="shared" si="41"/>
        <v>37</v>
      </c>
      <c r="L1343" s="69">
        <f>VLOOKUP(Table_db1_backend_Daily.accdb[[#This Row],[TradingDate]],canon!B:E,4,0)</f>
        <v>31</v>
      </c>
    </row>
    <row r="1344" spans="1:12" x14ac:dyDescent="0.2">
      <c r="A1344" s="69" t="s">
        <v>41</v>
      </c>
      <c r="B1344" s="70">
        <v>42946</v>
      </c>
      <c r="C1344" s="69">
        <v>17</v>
      </c>
      <c r="D1344" s="69">
        <v>0</v>
      </c>
      <c r="E1344" s="69">
        <v>0</v>
      </c>
      <c r="F1344" s="69">
        <v>0</v>
      </c>
      <c r="G1344" s="69" t="s">
        <v>29</v>
      </c>
      <c r="H1344" s="69" t="str">
        <f>IFERROR(VLOOKUP(Data!$G1344,canon!$I$2:$K$27,2,FALSE),"")</f>
        <v>SHOES</v>
      </c>
      <c r="I1344" s="69" t="str">
        <f>IFERROR(VLOOKUP(Data!$G1344,canon!$I$2:$K$27,3,FALSE),"")</f>
        <v>N.APPAREL</v>
      </c>
      <c r="J1344" s="69">
        <f t="shared" si="40"/>
        <v>1</v>
      </c>
      <c r="K1344" s="69">
        <f t="shared" si="41"/>
        <v>37</v>
      </c>
      <c r="L1344" s="69">
        <f>VLOOKUP(Table_db1_backend_Daily.accdb[[#This Row],[TradingDate]],canon!B:E,4,0)</f>
        <v>31</v>
      </c>
    </row>
    <row r="1345" spans="1:12" x14ac:dyDescent="0.2">
      <c r="A1345" s="69" t="s">
        <v>41</v>
      </c>
      <c r="B1345" s="70">
        <v>42946</v>
      </c>
      <c r="C1345" s="69">
        <v>422</v>
      </c>
      <c r="D1345" s="69">
        <v>7</v>
      </c>
      <c r="E1345" s="69">
        <v>113.58000000000001</v>
      </c>
      <c r="F1345" s="69">
        <v>55.069999999999993</v>
      </c>
      <c r="G1345" s="69" t="s">
        <v>17</v>
      </c>
      <c r="H1345" s="69" t="str">
        <f>IFERROR(VLOOKUP(Data!$G1345,canon!$I$2:$K$27,2,FALSE),"")</f>
        <v>OUTER</v>
      </c>
      <c r="I1345" s="69" t="str">
        <f>IFERROR(VLOOKUP(Data!$G1345,canon!$I$2:$K$27,3,FALSE),"")</f>
        <v>APPAREL</v>
      </c>
      <c r="J1345" s="69">
        <f t="shared" si="40"/>
        <v>1</v>
      </c>
      <c r="K1345" s="69">
        <f t="shared" si="41"/>
        <v>37</v>
      </c>
      <c r="L1345" s="69">
        <f>VLOOKUP(Table_db1_backend_Daily.accdb[[#This Row],[TradingDate]],canon!B:E,4,0)</f>
        <v>31</v>
      </c>
    </row>
    <row r="1346" spans="1:12" x14ac:dyDescent="0.2">
      <c r="A1346" s="69" t="s">
        <v>41</v>
      </c>
      <c r="B1346" s="70">
        <v>42946</v>
      </c>
      <c r="C1346" s="69">
        <v>259</v>
      </c>
      <c r="D1346" s="69">
        <v>3</v>
      </c>
      <c r="E1346" s="69">
        <v>36.33</v>
      </c>
      <c r="F1346" s="69">
        <v>18.29</v>
      </c>
      <c r="G1346" s="69" t="s">
        <v>19</v>
      </c>
      <c r="H1346" s="69" t="str">
        <f>IFERROR(VLOOKUP(Data!$G1346,canon!$I$2:$K$27,2,FALSE),"")</f>
        <v>PANT</v>
      </c>
      <c r="I1346" s="69" t="str">
        <f>IFERROR(VLOOKUP(Data!$G1346,canon!$I$2:$K$27,3,FALSE),"")</f>
        <v>APPAREL</v>
      </c>
      <c r="J1346" s="69">
        <f t="shared" ref="J1346:J1409" si="42">WEEKDAY(B1346)</f>
        <v>1</v>
      </c>
      <c r="K1346" s="69">
        <f t="shared" ref="K1346:K1409" si="43">INT(A1346)</f>
        <v>37</v>
      </c>
      <c r="L1346" s="69">
        <f>VLOOKUP(Table_db1_backend_Daily.accdb[[#This Row],[TradingDate]],canon!B:E,4,0)</f>
        <v>31</v>
      </c>
    </row>
    <row r="1347" spans="1:12" x14ac:dyDescent="0.2">
      <c r="A1347" s="69" t="s">
        <v>41</v>
      </c>
      <c r="B1347" s="70">
        <v>42946</v>
      </c>
      <c r="C1347" s="69">
        <v>33</v>
      </c>
      <c r="D1347" s="69">
        <v>0</v>
      </c>
      <c r="E1347" s="69">
        <v>0</v>
      </c>
      <c r="F1347" s="69">
        <v>0</v>
      </c>
      <c r="G1347" s="69" t="s">
        <v>21</v>
      </c>
      <c r="H1347" s="69" t="str">
        <f>IFERROR(VLOOKUP(Data!$G1347,canon!$I$2:$K$27,2,FALSE),"")</f>
        <v>ACCESSORY</v>
      </c>
      <c r="I1347" s="69" t="str">
        <f>IFERROR(VLOOKUP(Data!$G1347,canon!$I$2:$K$27,3,FALSE),"")</f>
        <v>N.APPAREL</v>
      </c>
      <c r="J1347" s="69">
        <f t="shared" si="42"/>
        <v>1</v>
      </c>
      <c r="K1347" s="69">
        <f t="shared" si="43"/>
        <v>37</v>
      </c>
      <c r="L1347" s="69">
        <f>VLOOKUP(Table_db1_backend_Daily.accdb[[#This Row],[TradingDate]],canon!B:E,4,0)</f>
        <v>31</v>
      </c>
    </row>
    <row r="1348" spans="1:12" x14ac:dyDescent="0.2">
      <c r="A1348" s="69" t="s">
        <v>41</v>
      </c>
      <c r="B1348" s="70">
        <v>42946</v>
      </c>
      <c r="C1348" s="69">
        <v>410</v>
      </c>
      <c r="D1348" s="69">
        <v>4</v>
      </c>
      <c r="E1348" s="69">
        <v>18.2</v>
      </c>
      <c r="F1348" s="69">
        <v>11.68</v>
      </c>
      <c r="G1348" s="69" t="s">
        <v>22</v>
      </c>
      <c r="H1348" s="69" t="str">
        <f>IFERROR(VLOOKUP(Data!$G1348,canon!$I$2:$K$27,2,FALSE),"")</f>
        <v>SCARF</v>
      </c>
      <c r="I1348" s="69" t="str">
        <f>IFERROR(VLOOKUP(Data!$G1348,canon!$I$2:$K$27,3,FALSE),"")</f>
        <v>N.APPAREL</v>
      </c>
      <c r="J1348" s="69">
        <f t="shared" si="42"/>
        <v>1</v>
      </c>
      <c r="K1348" s="69">
        <f t="shared" si="43"/>
        <v>37</v>
      </c>
      <c r="L1348" s="69">
        <f>VLOOKUP(Table_db1_backend_Daily.accdb[[#This Row],[TradingDate]],canon!B:E,4,0)</f>
        <v>31</v>
      </c>
    </row>
    <row r="1349" spans="1:12" x14ac:dyDescent="0.2">
      <c r="A1349" s="69" t="s">
        <v>41</v>
      </c>
      <c r="B1349" s="70">
        <v>42946</v>
      </c>
      <c r="C1349" s="69">
        <v>96</v>
      </c>
      <c r="D1349" s="69">
        <v>1</v>
      </c>
      <c r="E1349" s="69">
        <v>4.55</v>
      </c>
      <c r="F1349" s="69">
        <v>-3.93</v>
      </c>
      <c r="G1349" s="69" t="s">
        <v>23</v>
      </c>
      <c r="H1349" s="69" t="str">
        <f>IFERROR(VLOOKUP(Data!$G1349,canon!$I$2:$K$27,2,FALSE),"")</f>
        <v>SH&amp;BL</v>
      </c>
      <c r="I1349" s="69" t="str">
        <f>IFERROR(VLOOKUP(Data!$G1349,canon!$I$2:$K$27,3,FALSE),"")</f>
        <v>APPAREL</v>
      </c>
      <c r="J1349" s="69">
        <f t="shared" si="42"/>
        <v>1</v>
      </c>
      <c r="K1349" s="69">
        <f t="shared" si="43"/>
        <v>37</v>
      </c>
      <c r="L1349" s="69">
        <f>VLOOKUP(Table_db1_backend_Daily.accdb[[#This Row],[TradingDate]],canon!B:E,4,0)</f>
        <v>31</v>
      </c>
    </row>
    <row r="1350" spans="1:12" x14ac:dyDescent="0.2">
      <c r="A1350" s="69" t="s">
        <v>41</v>
      </c>
      <c r="B1350" s="70">
        <v>42946</v>
      </c>
      <c r="C1350" s="69">
        <v>437</v>
      </c>
      <c r="D1350" s="69">
        <v>0</v>
      </c>
      <c r="E1350" s="69">
        <v>0</v>
      </c>
      <c r="F1350" s="69">
        <v>0</v>
      </c>
      <c r="G1350" s="69" t="s">
        <v>32</v>
      </c>
      <c r="H1350" s="69" t="str">
        <f>IFERROR(VLOOKUP(Data!$G1350,canon!$I$2:$K$27,2,FALSE),"")</f>
        <v>SKIRT</v>
      </c>
      <c r="I1350" s="69" t="str">
        <f>IFERROR(VLOOKUP(Data!$G1350,canon!$I$2:$K$27,3,FALSE),"")</f>
        <v>APPAREL</v>
      </c>
      <c r="J1350" s="69">
        <f t="shared" si="42"/>
        <v>1</v>
      </c>
      <c r="K1350" s="69">
        <f t="shared" si="43"/>
        <v>37</v>
      </c>
      <c r="L1350" s="69">
        <f>VLOOKUP(Table_db1_backend_Daily.accdb[[#This Row],[TradingDate]],canon!B:E,4,0)</f>
        <v>31</v>
      </c>
    </row>
    <row r="1351" spans="1:12" x14ac:dyDescent="0.2">
      <c r="A1351" s="69" t="s">
        <v>41</v>
      </c>
      <c r="B1351" s="70">
        <v>42946</v>
      </c>
      <c r="C1351" s="69">
        <v>1106</v>
      </c>
      <c r="D1351" s="69">
        <v>10</v>
      </c>
      <c r="E1351" s="69">
        <v>59.109999999999985</v>
      </c>
      <c r="F1351" s="69">
        <v>13.740000000000002</v>
      </c>
      <c r="G1351" s="69" t="s">
        <v>25</v>
      </c>
      <c r="H1351" s="69" t="str">
        <f>IFERROR(VLOOKUP(Data!$G1351,canon!$I$2:$K$27,2,FALSE),"")</f>
        <v>TOP</v>
      </c>
      <c r="I1351" s="69" t="str">
        <f>IFERROR(VLOOKUP(Data!$G1351,canon!$I$2:$K$27,3,FALSE),"")</f>
        <v>APPAREL</v>
      </c>
      <c r="J1351" s="69">
        <f t="shared" si="42"/>
        <v>1</v>
      </c>
      <c r="K1351" s="69">
        <f t="shared" si="43"/>
        <v>37</v>
      </c>
      <c r="L1351" s="69">
        <f>VLOOKUP(Table_db1_backend_Daily.accdb[[#This Row],[TradingDate]],canon!B:E,4,0)</f>
        <v>31</v>
      </c>
    </row>
    <row r="1352" spans="1:12" x14ac:dyDescent="0.2">
      <c r="A1352" s="69" t="s">
        <v>41</v>
      </c>
      <c r="B1352" s="70">
        <v>42947</v>
      </c>
      <c r="C1352" s="69">
        <v>4</v>
      </c>
      <c r="D1352" s="69">
        <v>0</v>
      </c>
      <c r="E1352" s="69">
        <v>0</v>
      </c>
      <c r="F1352" s="69">
        <v>0</v>
      </c>
      <c r="G1352" s="69" t="s">
        <v>27</v>
      </c>
      <c r="H1352" s="69" t="str">
        <f>IFERROR(VLOOKUP(Data!$G1352,canon!$I$2:$K$27,2,FALSE),"")</f>
        <v>ACCESSORY</v>
      </c>
      <c r="I1352" s="69" t="str">
        <f>IFERROR(VLOOKUP(Data!$G1352,canon!$I$2:$K$27,3,FALSE),"")</f>
        <v>N.APPAREL</v>
      </c>
      <c r="J1352" s="69">
        <f t="shared" si="42"/>
        <v>2</v>
      </c>
      <c r="K1352" s="69">
        <f t="shared" si="43"/>
        <v>37</v>
      </c>
      <c r="L1352" s="69">
        <f>VLOOKUP(Table_db1_backend_Daily.accdb[[#This Row],[TradingDate]],canon!B:E,4,0)</f>
        <v>31</v>
      </c>
    </row>
    <row r="1353" spans="1:12" x14ac:dyDescent="0.2">
      <c r="A1353" s="69" t="s">
        <v>41</v>
      </c>
      <c r="B1353" s="70">
        <v>42947</v>
      </c>
      <c r="C1353" s="69">
        <v>26</v>
      </c>
      <c r="D1353" s="69">
        <v>0</v>
      </c>
      <c r="E1353" s="69">
        <v>0</v>
      </c>
      <c r="F1353" s="69">
        <v>0</v>
      </c>
      <c r="G1353" s="69" t="s">
        <v>34</v>
      </c>
      <c r="H1353" s="69" t="str">
        <f>IFERROR(VLOOKUP(Data!$G1353,canon!$I$2:$K$27,2,FALSE),"")</f>
        <v>SHOES</v>
      </c>
      <c r="I1353" s="69" t="str">
        <f>IFERROR(VLOOKUP(Data!$G1353,canon!$I$2:$K$27,3,FALSE),"")</f>
        <v>N.APPAREL</v>
      </c>
      <c r="J1353" s="69">
        <f t="shared" si="42"/>
        <v>2</v>
      </c>
      <c r="K1353" s="69">
        <f t="shared" si="43"/>
        <v>37</v>
      </c>
      <c r="L1353" s="69">
        <f>VLOOKUP(Table_db1_backend_Daily.accdb[[#This Row],[TradingDate]],canon!B:E,4,0)</f>
        <v>31</v>
      </c>
    </row>
    <row r="1354" spans="1:12" x14ac:dyDescent="0.2">
      <c r="A1354" s="69" t="s">
        <v>41</v>
      </c>
      <c r="B1354" s="70">
        <v>42947</v>
      </c>
      <c r="C1354" s="69">
        <v>3</v>
      </c>
      <c r="D1354" s="69">
        <v>0</v>
      </c>
      <c r="E1354" s="69">
        <v>0</v>
      </c>
      <c r="F1354" s="69">
        <v>0</v>
      </c>
      <c r="G1354" s="69" t="s">
        <v>38</v>
      </c>
      <c r="H1354" s="69" t="str">
        <f>IFERROR(VLOOKUP(Data!$G1354,canon!$I$2:$K$27,2,FALSE),"")</f>
        <v>SHOES</v>
      </c>
      <c r="I1354" s="69" t="str">
        <f>IFERROR(VLOOKUP(Data!$G1354,canon!$I$2:$K$27,3,FALSE),"")</f>
        <v>N.APPAREL</v>
      </c>
      <c r="J1354" s="69">
        <f t="shared" si="42"/>
        <v>2</v>
      </c>
      <c r="K1354" s="69">
        <f t="shared" si="43"/>
        <v>37</v>
      </c>
      <c r="L1354" s="69">
        <f>VLOOKUP(Table_db1_backend_Daily.accdb[[#This Row],[TradingDate]],canon!B:E,4,0)</f>
        <v>31</v>
      </c>
    </row>
    <row r="1355" spans="1:12" x14ac:dyDescent="0.2">
      <c r="A1355" s="69" t="s">
        <v>41</v>
      </c>
      <c r="B1355" s="70">
        <v>42947</v>
      </c>
      <c r="C1355" s="69">
        <v>753</v>
      </c>
      <c r="D1355" s="69">
        <v>5</v>
      </c>
      <c r="E1355" s="69">
        <v>68.13</v>
      </c>
      <c r="F1355" s="69">
        <v>29.43</v>
      </c>
      <c r="G1355" s="69" t="s">
        <v>35</v>
      </c>
      <c r="H1355" s="69" t="str">
        <f>IFERROR(VLOOKUP(Data!$G1355,canon!$I$2:$K$27,2,FALSE),"")</f>
        <v>DRESS</v>
      </c>
      <c r="I1355" s="69" t="str">
        <f>IFERROR(VLOOKUP(Data!$G1355,canon!$I$2:$K$27,3,FALSE),"")</f>
        <v>APPAREL</v>
      </c>
      <c r="J1355" s="69">
        <f t="shared" si="42"/>
        <v>2</v>
      </c>
      <c r="K1355" s="69">
        <f t="shared" si="43"/>
        <v>37</v>
      </c>
      <c r="L1355" s="69">
        <f>VLOOKUP(Table_db1_backend_Daily.accdb[[#This Row],[TradingDate]],canon!B:E,4,0)</f>
        <v>31</v>
      </c>
    </row>
    <row r="1356" spans="1:12" x14ac:dyDescent="0.2">
      <c r="A1356" s="69" t="s">
        <v>41</v>
      </c>
      <c r="B1356" s="70">
        <v>42947</v>
      </c>
      <c r="C1356" s="69">
        <v>39</v>
      </c>
      <c r="D1356" s="69">
        <v>0</v>
      </c>
      <c r="E1356" s="69">
        <v>0</v>
      </c>
      <c r="F1356" s="69">
        <v>0</v>
      </c>
      <c r="G1356" s="69" t="s">
        <v>10</v>
      </c>
      <c r="H1356" s="69" t="str">
        <f>IFERROR(VLOOKUP(Data!$G1356,canon!$I$2:$K$27,2,FALSE),"")</f>
        <v>ACCESSORY</v>
      </c>
      <c r="I1356" s="69" t="str">
        <f>IFERROR(VLOOKUP(Data!$G1356,canon!$I$2:$K$27,3,FALSE),"")</f>
        <v>N.APPAREL</v>
      </c>
      <c r="J1356" s="69">
        <f t="shared" si="42"/>
        <v>2</v>
      </c>
      <c r="K1356" s="69">
        <f t="shared" si="43"/>
        <v>37</v>
      </c>
      <c r="L1356" s="69">
        <f>VLOOKUP(Table_db1_backend_Daily.accdb[[#This Row],[TradingDate]],canon!B:E,4,0)</f>
        <v>31</v>
      </c>
    </row>
    <row r="1357" spans="1:12" x14ac:dyDescent="0.2">
      <c r="A1357" s="69" t="s">
        <v>41</v>
      </c>
      <c r="B1357" s="70">
        <v>42947</v>
      </c>
      <c r="C1357" s="69">
        <v>2</v>
      </c>
      <c r="D1357" s="69">
        <v>0</v>
      </c>
      <c r="E1357" s="69">
        <v>0</v>
      </c>
      <c r="F1357" s="69">
        <v>0</v>
      </c>
      <c r="G1357" s="69" t="s">
        <v>28</v>
      </c>
      <c r="H1357" s="69" t="str">
        <f>IFERROR(VLOOKUP(Data!$G1357,canon!$I$2:$K$27,2,FALSE),"")</f>
        <v>ACCESSORY</v>
      </c>
      <c r="I1357" s="69" t="str">
        <f>IFERROR(VLOOKUP(Data!$G1357,canon!$I$2:$K$27,3,FALSE),"")</f>
        <v>N.APPAREL</v>
      </c>
      <c r="J1357" s="69">
        <f t="shared" si="42"/>
        <v>2</v>
      </c>
      <c r="K1357" s="69">
        <f t="shared" si="43"/>
        <v>37</v>
      </c>
      <c r="L1357" s="69">
        <f>VLOOKUP(Table_db1_backend_Daily.accdb[[#This Row],[TradingDate]],canon!B:E,4,0)</f>
        <v>31</v>
      </c>
    </row>
    <row r="1358" spans="1:12" x14ac:dyDescent="0.2">
      <c r="A1358" s="69" t="s">
        <v>41</v>
      </c>
      <c r="B1358" s="70">
        <v>42947</v>
      </c>
      <c r="C1358" s="69">
        <v>1215</v>
      </c>
      <c r="D1358" s="69">
        <v>26</v>
      </c>
      <c r="E1358" s="69">
        <v>213.47000000000003</v>
      </c>
      <c r="F1358" s="69">
        <v>16.970000000000002</v>
      </c>
      <c r="G1358" s="69" t="s">
        <v>11</v>
      </c>
      <c r="H1358" s="69" t="str">
        <f>IFERROR(VLOOKUP(Data!$G1358,canon!$I$2:$K$27,2,FALSE),"")</f>
        <v>KNIT</v>
      </c>
      <c r="I1358" s="69" t="str">
        <f>IFERROR(VLOOKUP(Data!$G1358,canon!$I$2:$K$27,3,FALSE),"")</f>
        <v>APPAREL</v>
      </c>
      <c r="J1358" s="69">
        <f t="shared" si="42"/>
        <v>2</v>
      </c>
      <c r="K1358" s="69">
        <f t="shared" si="43"/>
        <v>37</v>
      </c>
      <c r="L1358" s="69">
        <f>VLOOKUP(Table_db1_backend_Daily.accdb[[#This Row],[TradingDate]],canon!B:E,4,0)</f>
        <v>31</v>
      </c>
    </row>
    <row r="1359" spans="1:12" x14ac:dyDescent="0.2">
      <c r="A1359" s="69" t="s">
        <v>41</v>
      </c>
      <c r="B1359" s="70">
        <v>42947</v>
      </c>
      <c r="C1359" s="69">
        <v>523</v>
      </c>
      <c r="D1359" s="69">
        <v>4</v>
      </c>
      <c r="E1359" s="69">
        <v>36.35</v>
      </c>
      <c r="F1359" s="69">
        <v>16.36</v>
      </c>
      <c r="G1359" s="69" t="s">
        <v>14</v>
      </c>
      <c r="H1359" s="69" t="str">
        <f>IFERROR(VLOOKUP(Data!$G1359,canon!$I$2:$K$27,2,FALSE),"")</f>
        <v>LEGGING</v>
      </c>
      <c r="I1359" s="69" t="str">
        <f>IFERROR(VLOOKUP(Data!$G1359,canon!$I$2:$K$27,3,FALSE),"")</f>
        <v>APPAREL</v>
      </c>
      <c r="J1359" s="69">
        <f t="shared" si="42"/>
        <v>2</v>
      </c>
      <c r="K1359" s="69">
        <f t="shared" si="43"/>
        <v>37</v>
      </c>
      <c r="L1359" s="69">
        <f>VLOOKUP(Table_db1_backend_Daily.accdb[[#This Row],[TradingDate]],canon!B:E,4,0)</f>
        <v>31</v>
      </c>
    </row>
    <row r="1360" spans="1:12" x14ac:dyDescent="0.2">
      <c r="A1360" s="69" t="s">
        <v>41</v>
      </c>
      <c r="B1360" s="70">
        <v>42947</v>
      </c>
      <c r="C1360" s="69">
        <v>-43</v>
      </c>
      <c r="D1360" s="69">
        <v>0</v>
      </c>
      <c r="E1360" s="69">
        <v>0</v>
      </c>
      <c r="F1360" s="69">
        <v>0</v>
      </c>
      <c r="G1360" s="69" t="s">
        <v>37</v>
      </c>
      <c r="H1360" s="69" t="str">
        <f>IFERROR(VLOOKUP(Data!$G1360,canon!$I$2:$K$27,2,FALSE),"")</f>
        <v>SHOES</v>
      </c>
      <c r="I1360" s="69" t="str">
        <f>IFERROR(VLOOKUP(Data!$G1360,canon!$I$2:$K$27,3,FALSE),"")</f>
        <v>N.APPAREL</v>
      </c>
      <c r="J1360" s="69">
        <f t="shared" si="42"/>
        <v>2</v>
      </c>
      <c r="K1360" s="69">
        <f t="shared" si="43"/>
        <v>37</v>
      </c>
      <c r="L1360" s="69">
        <f>VLOOKUP(Table_db1_backend_Daily.accdb[[#This Row],[TradingDate]],canon!B:E,4,0)</f>
        <v>31</v>
      </c>
    </row>
    <row r="1361" spans="1:12" x14ac:dyDescent="0.2">
      <c r="A1361" s="69" t="s">
        <v>41</v>
      </c>
      <c r="B1361" s="70">
        <v>42947</v>
      </c>
      <c r="C1361" s="69">
        <v>17</v>
      </c>
      <c r="D1361" s="69">
        <v>0</v>
      </c>
      <c r="E1361" s="69">
        <v>0</v>
      </c>
      <c r="F1361" s="69">
        <v>0</v>
      </c>
      <c r="G1361" s="69" t="s">
        <v>29</v>
      </c>
      <c r="H1361" s="69" t="str">
        <f>IFERROR(VLOOKUP(Data!$G1361,canon!$I$2:$K$27,2,FALSE),"")</f>
        <v>SHOES</v>
      </c>
      <c r="I1361" s="69" t="str">
        <f>IFERROR(VLOOKUP(Data!$G1361,canon!$I$2:$K$27,3,FALSE),"")</f>
        <v>N.APPAREL</v>
      </c>
      <c r="J1361" s="69">
        <f t="shared" si="42"/>
        <v>2</v>
      </c>
      <c r="K1361" s="69">
        <f t="shared" si="43"/>
        <v>37</v>
      </c>
      <c r="L1361" s="69">
        <f>VLOOKUP(Table_db1_backend_Daily.accdb[[#This Row],[TradingDate]],canon!B:E,4,0)</f>
        <v>31</v>
      </c>
    </row>
    <row r="1362" spans="1:12" x14ac:dyDescent="0.2">
      <c r="A1362" s="69" t="s">
        <v>41</v>
      </c>
      <c r="B1362" s="70">
        <v>42947</v>
      </c>
      <c r="C1362" s="69">
        <v>412</v>
      </c>
      <c r="D1362" s="69">
        <v>10</v>
      </c>
      <c r="E1362" s="69">
        <v>149.96</v>
      </c>
      <c r="F1362" s="69">
        <v>73.320000000000007</v>
      </c>
      <c r="G1362" s="69" t="s">
        <v>17</v>
      </c>
      <c r="H1362" s="69" t="str">
        <f>IFERROR(VLOOKUP(Data!$G1362,canon!$I$2:$K$27,2,FALSE),"")</f>
        <v>OUTER</v>
      </c>
      <c r="I1362" s="69" t="str">
        <f>IFERROR(VLOOKUP(Data!$G1362,canon!$I$2:$K$27,3,FALSE),"")</f>
        <v>APPAREL</v>
      </c>
      <c r="J1362" s="69">
        <f t="shared" si="42"/>
        <v>2</v>
      </c>
      <c r="K1362" s="69">
        <f t="shared" si="43"/>
        <v>37</v>
      </c>
      <c r="L1362" s="69">
        <f>VLOOKUP(Table_db1_backend_Daily.accdb[[#This Row],[TradingDate]],canon!B:E,4,0)</f>
        <v>31</v>
      </c>
    </row>
    <row r="1363" spans="1:12" x14ac:dyDescent="0.2">
      <c r="A1363" s="69" t="s">
        <v>41</v>
      </c>
      <c r="B1363" s="70">
        <v>42947</v>
      </c>
      <c r="C1363" s="69">
        <v>259</v>
      </c>
      <c r="D1363" s="69">
        <v>0</v>
      </c>
      <c r="E1363" s="69">
        <v>0</v>
      </c>
      <c r="F1363" s="69">
        <v>0</v>
      </c>
      <c r="G1363" s="69" t="s">
        <v>19</v>
      </c>
      <c r="H1363" s="69" t="str">
        <f>IFERROR(VLOOKUP(Data!$G1363,canon!$I$2:$K$27,2,FALSE),"")</f>
        <v>PANT</v>
      </c>
      <c r="I1363" s="69" t="str">
        <f>IFERROR(VLOOKUP(Data!$G1363,canon!$I$2:$K$27,3,FALSE),"")</f>
        <v>APPAREL</v>
      </c>
      <c r="J1363" s="69">
        <f t="shared" si="42"/>
        <v>2</v>
      </c>
      <c r="K1363" s="69">
        <f t="shared" si="43"/>
        <v>37</v>
      </c>
      <c r="L1363" s="69">
        <f>VLOOKUP(Table_db1_backend_Daily.accdb[[#This Row],[TradingDate]],canon!B:E,4,0)</f>
        <v>31</v>
      </c>
    </row>
    <row r="1364" spans="1:12" x14ac:dyDescent="0.2">
      <c r="A1364" s="69" t="s">
        <v>41</v>
      </c>
      <c r="B1364" s="70">
        <v>42947</v>
      </c>
      <c r="C1364" s="69">
        <v>33</v>
      </c>
      <c r="D1364" s="69">
        <v>0</v>
      </c>
      <c r="E1364" s="69">
        <v>0</v>
      </c>
      <c r="F1364" s="69">
        <v>0</v>
      </c>
      <c r="G1364" s="69" t="s">
        <v>21</v>
      </c>
      <c r="H1364" s="69" t="str">
        <f>IFERROR(VLOOKUP(Data!$G1364,canon!$I$2:$K$27,2,FALSE),"")</f>
        <v>ACCESSORY</v>
      </c>
      <c r="I1364" s="69" t="str">
        <f>IFERROR(VLOOKUP(Data!$G1364,canon!$I$2:$K$27,3,FALSE),"")</f>
        <v>N.APPAREL</v>
      </c>
      <c r="J1364" s="69">
        <f t="shared" si="42"/>
        <v>2</v>
      </c>
      <c r="K1364" s="69">
        <f t="shared" si="43"/>
        <v>37</v>
      </c>
      <c r="L1364" s="69">
        <f>VLOOKUP(Table_db1_backend_Daily.accdb[[#This Row],[TradingDate]],canon!B:E,4,0)</f>
        <v>31</v>
      </c>
    </row>
    <row r="1365" spans="1:12" x14ac:dyDescent="0.2">
      <c r="A1365" s="69" t="s">
        <v>41</v>
      </c>
      <c r="B1365" s="70">
        <v>42947</v>
      </c>
      <c r="C1365" s="69">
        <v>409</v>
      </c>
      <c r="D1365" s="69">
        <v>1</v>
      </c>
      <c r="E1365" s="69">
        <v>4.55</v>
      </c>
      <c r="F1365" s="69">
        <v>3.25</v>
      </c>
      <c r="G1365" s="69" t="s">
        <v>22</v>
      </c>
      <c r="H1365" s="69" t="str">
        <f>IFERROR(VLOOKUP(Data!$G1365,canon!$I$2:$K$27,2,FALSE),"")</f>
        <v>SCARF</v>
      </c>
      <c r="I1365" s="69" t="str">
        <f>IFERROR(VLOOKUP(Data!$G1365,canon!$I$2:$K$27,3,FALSE),"")</f>
        <v>N.APPAREL</v>
      </c>
      <c r="J1365" s="69">
        <f t="shared" si="42"/>
        <v>2</v>
      </c>
      <c r="K1365" s="69">
        <f t="shared" si="43"/>
        <v>37</v>
      </c>
      <c r="L1365" s="69">
        <f>VLOOKUP(Table_db1_backend_Daily.accdb[[#This Row],[TradingDate]],canon!B:E,4,0)</f>
        <v>31</v>
      </c>
    </row>
    <row r="1366" spans="1:12" x14ac:dyDescent="0.2">
      <c r="A1366" s="69" t="s">
        <v>41</v>
      </c>
      <c r="B1366" s="70">
        <v>42947</v>
      </c>
      <c r="C1366" s="69">
        <v>202</v>
      </c>
      <c r="D1366" s="69">
        <v>2</v>
      </c>
      <c r="E1366" s="69">
        <v>22.73</v>
      </c>
      <c r="F1366" s="69">
        <v>8.16</v>
      </c>
      <c r="G1366" s="69" t="s">
        <v>23</v>
      </c>
      <c r="H1366" s="69" t="str">
        <f>IFERROR(VLOOKUP(Data!$G1366,canon!$I$2:$K$27,2,FALSE),"")</f>
        <v>SH&amp;BL</v>
      </c>
      <c r="I1366" s="69" t="str">
        <f>IFERROR(VLOOKUP(Data!$G1366,canon!$I$2:$K$27,3,FALSE),"")</f>
        <v>APPAREL</v>
      </c>
      <c r="J1366" s="69">
        <f t="shared" si="42"/>
        <v>2</v>
      </c>
      <c r="K1366" s="69">
        <f t="shared" si="43"/>
        <v>37</v>
      </c>
      <c r="L1366" s="69">
        <f>VLOOKUP(Table_db1_backend_Daily.accdb[[#This Row],[TradingDate]],canon!B:E,4,0)</f>
        <v>31</v>
      </c>
    </row>
    <row r="1367" spans="1:12" x14ac:dyDescent="0.2">
      <c r="A1367" s="69" t="s">
        <v>41</v>
      </c>
      <c r="B1367" s="70">
        <v>42947</v>
      </c>
      <c r="C1367" s="69">
        <v>460</v>
      </c>
      <c r="D1367" s="69">
        <v>1</v>
      </c>
      <c r="E1367" s="69">
        <v>18.18</v>
      </c>
      <c r="F1367" s="69">
        <v>13.51</v>
      </c>
      <c r="G1367" s="69" t="s">
        <v>32</v>
      </c>
      <c r="H1367" s="69" t="str">
        <f>IFERROR(VLOOKUP(Data!$G1367,canon!$I$2:$K$27,2,FALSE),"")</f>
        <v>SKIRT</v>
      </c>
      <c r="I1367" s="69" t="str">
        <f>IFERROR(VLOOKUP(Data!$G1367,canon!$I$2:$K$27,3,FALSE),"")</f>
        <v>APPAREL</v>
      </c>
      <c r="J1367" s="69">
        <f t="shared" si="42"/>
        <v>2</v>
      </c>
      <c r="K1367" s="69">
        <f t="shared" si="43"/>
        <v>37</v>
      </c>
      <c r="L1367" s="69">
        <f>VLOOKUP(Table_db1_backend_Daily.accdb[[#This Row],[TradingDate]],canon!B:E,4,0)</f>
        <v>31</v>
      </c>
    </row>
    <row r="1368" spans="1:12" x14ac:dyDescent="0.2">
      <c r="A1368" s="69" t="s">
        <v>41</v>
      </c>
      <c r="B1368" s="70">
        <v>42947</v>
      </c>
      <c r="C1368" s="69">
        <v>1351</v>
      </c>
      <c r="D1368" s="69">
        <v>7</v>
      </c>
      <c r="E1368" s="69">
        <v>59.1</v>
      </c>
      <c r="F1368" s="69">
        <v>11.5</v>
      </c>
      <c r="G1368" s="69" t="s">
        <v>25</v>
      </c>
      <c r="H1368" s="69" t="str">
        <f>IFERROR(VLOOKUP(Data!$G1368,canon!$I$2:$K$27,2,FALSE),"")</f>
        <v>TOP</v>
      </c>
      <c r="I1368" s="69" t="str">
        <f>IFERROR(VLOOKUP(Data!$G1368,canon!$I$2:$K$27,3,FALSE),"")</f>
        <v>APPAREL</v>
      </c>
      <c r="J1368" s="69">
        <f t="shared" si="42"/>
        <v>2</v>
      </c>
      <c r="K1368" s="69">
        <f t="shared" si="43"/>
        <v>37</v>
      </c>
      <c r="L1368" s="69">
        <f>VLOOKUP(Table_db1_backend_Daily.accdb[[#This Row],[TradingDate]],canon!B:E,4,0)</f>
        <v>31</v>
      </c>
    </row>
    <row r="1369" spans="1:12" x14ac:dyDescent="0.2">
      <c r="A1369" s="69" t="s">
        <v>41</v>
      </c>
      <c r="B1369" s="70">
        <v>42948</v>
      </c>
      <c r="C1369" s="69">
        <v>4</v>
      </c>
      <c r="D1369" s="69">
        <v>0</v>
      </c>
      <c r="E1369" s="69">
        <v>0</v>
      </c>
      <c r="F1369" s="69">
        <v>0</v>
      </c>
      <c r="G1369" s="69" t="s">
        <v>27</v>
      </c>
      <c r="H1369" s="69" t="str">
        <f>IFERROR(VLOOKUP(Data!$G1369,canon!$I$2:$K$27,2,FALSE),"")</f>
        <v>ACCESSORY</v>
      </c>
      <c r="I1369" s="69" t="str">
        <f>IFERROR(VLOOKUP(Data!$G1369,canon!$I$2:$K$27,3,FALSE),"")</f>
        <v>N.APPAREL</v>
      </c>
      <c r="J1369" s="69">
        <f t="shared" si="42"/>
        <v>3</v>
      </c>
      <c r="K1369" s="69">
        <f t="shared" si="43"/>
        <v>37</v>
      </c>
      <c r="L1369" s="69">
        <f>VLOOKUP(Table_db1_backend_Daily.accdb[[#This Row],[TradingDate]],canon!B:E,4,0)</f>
        <v>31</v>
      </c>
    </row>
    <row r="1370" spans="1:12" x14ac:dyDescent="0.2">
      <c r="A1370" s="69" t="s">
        <v>41</v>
      </c>
      <c r="B1370" s="70">
        <v>42948</v>
      </c>
      <c r="C1370" s="69">
        <v>26</v>
      </c>
      <c r="D1370" s="69">
        <v>0</v>
      </c>
      <c r="E1370" s="69">
        <v>0</v>
      </c>
      <c r="F1370" s="69">
        <v>0</v>
      </c>
      <c r="G1370" s="69" t="s">
        <v>34</v>
      </c>
      <c r="H1370" s="69" t="str">
        <f>IFERROR(VLOOKUP(Data!$G1370,canon!$I$2:$K$27,2,FALSE),"")</f>
        <v>SHOES</v>
      </c>
      <c r="I1370" s="69" t="str">
        <f>IFERROR(VLOOKUP(Data!$G1370,canon!$I$2:$K$27,3,FALSE),"")</f>
        <v>N.APPAREL</v>
      </c>
      <c r="J1370" s="69">
        <f t="shared" si="42"/>
        <v>3</v>
      </c>
      <c r="K1370" s="69">
        <f t="shared" si="43"/>
        <v>37</v>
      </c>
      <c r="L1370" s="69">
        <f>VLOOKUP(Table_db1_backend_Daily.accdb[[#This Row],[TradingDate]],canon!B:E,4,0)</f>
        <v>31</v>
      </c>
    </row>
    <row r="1371" spans="1:12" x14ac:dyDescent="0.2">
      <c r="A1371" s="69" t="s">
        <v>41</v>
      </c>
      <c r="B1371" s="70">
        <v>42948</v>
      </c>
      <c r="C1371" s="69">
        <v>3</v>
      </c>
      <c r="D1371" s="69">
        <v>0</v>
      </c>
      <c r="E1371" s="69">
        <v>0</v>
      </c>
      <c r="F1371" s="69">
        <v>0</v>
      </c>
      <c r="G1371" s="69" t="s">
        <v>38</v>
      </c>
      <c r="H1371" s="69" t="str">
        <f>IFERROR(VLOOKUP(Data!$G1371,canon!$I$2:$K$27,2,FALSE),"")</f>
        <v>SHOES</v>
      </c>
      <c r="I1371" s="69" t="str">
        <f>IFERROR(VLOOKUP(Data!$G1371,canon!$I$2:$K$27,3,FALSE),"")</f>
        <v>N.APPAREL</v>
      </c>
      <c r="J1371" s="69">
        <f t="shared" si="42"/>
        <v>3</v>
      </c>
      <c r="K1371" s="69">
        <f t="shared" si="43"/>
        <v>37</v>
      </c>
      <c r="L1371" s="69">
        <f>VLOOKUP(Table_db1_backend_Daily.accdb[[#This Row],[TradingDate]],canon!B:E,4,0)</f>
        <v>31</v>
      </c>
    </row>
    <row r="1372" spans="1:12" x14ac:dyDescent="0.2">
      <c r="A1372" s="69" t="s">
        <v>41</v>
      </c>
      <c r="B1372" s="70">
        <v>42948</v>
      </c>
      <c r="C1372" s="69">
        <v>753</v>
      </c>
      <c r="D1372" s="69">
        <v>6</v>
      </c>
      <c r="E1372" s="69">
        <v>99.859999999999985</v>
      </c>
      <c r="F1372" s="69">
        <v>54.65</v>
      </c>
      <c r="G1372" s="69" t="s">
        <v>35</v>
      </c>
      <c r="H1372" s="69" t="str">
        <f>IFERROR(VLOOKUP(Data!$G1372,canon!$I$2:$K$27,2,FALSE),"")</f>
        <v>DRESS</v>
      </c>
      <c r="I1372" s="69" t="str">
        <f>IFERROR(VLOOKUP(Data!$G1372,canon!$I$2:$K$27,3,FALSE),"")</f>
        <v>APPAREL</v>
      </c>
      <c r="J1372" s="69">
        <f t="shared" si="42"/>
        <v>3</v>
      </c>
      <c r="K1372" s="69">
        <f t="shared" si="43"/>
        <v>37</v>
      </c>
      <c r="L1372" s="69">
        <f>VLOOKUP(Table_db1_backend_Daily.accdb[[#This Row],[TradingDate]],canon!B:E,4,0)</f>
        <v>31</v>
      </c>
    </row>
    <row r="1373" spans="1:12" x14ac:dyDescent="0.2">
      <c r="A1373" s="69" t="s">
        <v>41</v>
      </c>
      <c r="B1373" s="70">
        <v>42948</v>
      </c>
      <c r="C1373" s="69">
        <v>39</v>
      </c>
      <c r="D1373" s="69">
        <v>0</v>
      </c>
      <c r="E1373" s="69">
        <v>0</v>
      </c>
      <c r="F1373" s="69">
        <v>0</v>
      </c>
      <c r="G1373" s="69" t="s">
        <v>10</v>
      </c>
      <c r="H1373" s="69" t="str">
        <f>IFERROR(VLOOKUP(Data!$G1373,canon!$I$2:$K$27,2,FALSE),"")</f>
        <v>ACCESSORY</v>
      </c>
      <c r="I1373" s="69" t="str">
        <f>IFERROR(VLOOKUP(Data!$G1373,canon!$I$2:$K$27,3,FALSE),"")</f>
        <v>N.APPAREL</v>
      </c>
      <c r="J1373" s="69">
        <f t="shared" si="42"/>
        <v>3</v>
      </c>
      <c r="K1373" s="69">
        <f t="shared" si="43"/>
        <v>37</v>
      </c>
      <c r="L1373" s="69">
        <f>VLOOKUP(Table_db1_backend_Daily.accdb[[#This Row],[TradingDate]],canon!B:E,4,0)</f>
        <v>31</v>
      </c>
    </row>
    <row r="1374" spans="1:12" x14ac:dyDescent="0.2">
      <c r="A1374" s="69" t="s">
        <v>41</v>
      </c>
      <c r="B1374" s="70">
        <v>42948</v>
      </c>
      <c r="C1374" s="69">
        <v>2</v>
      </c>
      <c r="D1374" s="69">
        <v>0</v>
      </c>
      <c r="E1374" s="69">
        <v>0</v>
      </c>
      <c r="F1374" s="69">
        <v>0</v>
      </c>
      <c r="G1374" s="69" t="s">
        <v>28</v>
      </c>
      <c r="H1374" s="69" t="str">
        <f>IFERROR(VLOOKUP(Data!$G1374,canon!$I$2:$K$27,2,FALSE),"")</f>
        <v>ACCESSORY</v>
      </c>
      <c r="I1374" s="69" t="str">
        <f>IFERROR(VLOOKUP(Data!$G1374,canon!$I$2:$K$27,3,FALSE),"")</f>
        <v>N.APPAREL</v>
      </c>
      <c r="J1374" s="69">
        <f t="shared" si="42"/>
        <v>3</v>
      </c>
      <c r="K1374" s="69">
        <f t="shared" si="43"/>
        <v>37</v>
      </c>
      <c r="L1374" s="69">
        <f>VLOOKUP(Table_db1_backend_Daily.accdb[[#This Row],[TradingDate]],canon!B:E,4,0)</f>
        <v>31</v>
      </c>
    </row>
    <row r="1375" spans="1:12" x14ac:dyDescent="0.2">
      <c r="A1375" s="69" t="s">
        <v>41</v>
      </c>
      <c r="B1375" s="70">
        <v>42948</v>
      </c>
      <c r="C1375" s="69">
        <v>1222</v>
      </c>
      <c r="D1375" s="69">
        <v>25</v>
      </c>
      <c r="E1375" s="69">
        <v>193.01000000000005</v>
      </c>
      <c r="F1375" s="69">
        <v>7.6400000000000006</v>
      </c>
      <c r="G1375" s="69" t="s">
        <v>11</v>
      </c>
      <c r="H1375" s="69" t="str">
        <f>IFERROR(VLOOKUP(Data!$G1375,canon!$I$2:$K$27,2,FALSE),"")</f>
        <v>KNIT</v>
      </c>
      <c r="I1375" s="69" t="str">
        <f>IFERROR(VLOOKUP(Data!$G1375,canon!$I$2:$K$27,3,FALSE),"")</f>
        <v>APPAREL</v>
      </c>
      <c r="J1375" s="69">
        <f t="shared" si="42"/>
        <v>3</v>
      </c>
      <c r="K1375" s="69">
        <f t="shared" si="43"/>
        <v>37</v>
      </c>
      <c r="L1375" s="69">
        <f>VLOOKUP(Table_db1_backend_Daily.accdb[[#This Row],[TradingDate]],canon!B:E,4,0)</f>
        <v>31</v>
      </c>
    </row>
    <row r="1376" spans="1:12" x14ac:dyDescent="0.2">
      <c r="A1376" s="69" t="s">
        <v>41</v>
      </c>
      <c r="B1376" s="70">
        <v>42948</v>
      </c>
      <c r="C1376" s="69">
        <v>521</v>
      </c>
      <c r="D1376" s="69">
        <v>2</v>
      </c>
      <c r="E1376" s="69">
        <v>18.16</v>
      </c>
      <c r="F1376" s="69">
        <v>2.73</v>
      </c>
      <c r="G1376" s="69" t="s">
        <v>14</v>
      </c>
      <c r="H1376" s="69" t="str">
        <f>IFERROR(VLOOKUP(Data!$G1376,canon!$I$2:$K$27,2,FALSE),"")</f>
        <v>LEGGING</v>
      </c>
      <c r="I1376" s="69" t="str">
        <f>IFERROR(VLOOKUP(Data!$G1376,canon!$I$2:$K$27,3,FALSE),"")</f>
        <v>APPAREL</v>
      </c>
      <c r="J1376" s="69">
        <f t="shared" si="42"/>
        <v>3</v>
      </c>
      <c r="K1376" s="69">
        <f t="shared" si="43"/>
        <v>37</v>
      </c>
      <c r="L1376" s="69">
        <f>VLOOKUP(Table_db1_backend_Daily.accdb[[#This Row],[TradingDate]],canon!B:E,4,0)</f>
        <v>31</v>
      </c>
    </row>
    <row r="1377" spans="1:12" x14ac:dyDescent="0.2">
      <c r="A1377" s="69" t="s">
        <v>41</v>
      </c>
      <c r="B1377" s="70">
        <v>42948</v>
      </c>
      <c r="C1377" s="69">
        <v>-43</v>
      </c>
      <c r="D1377" s="69">
        <v>0</v>
      </c>
      <c r="E1377" s="69">
        <v>0</v>
      </c>
      <c r="F1377" s="69">
        <v>0</v>
      </c>
      <c r="G1377" s="69" t="s">
        <v>37</v>
      </c>
      <c r="H1377" s="69" t="str">
        <f>IFERROR(VLOOKUP(Data!$G1377,canon!$I$2:$K$27,2,FALSE),"")</f>
        <v>SHOES</v>
      </c>
      <c r="I1377" s="69" t="str">
        <f>IFERROR(VLOOKUP(Data!$G1377,canon!$I$2:$K$27,3,FALSE),"")</f>
        <v>N.APPAREL</v>
      </c>
      <c r="J1377" s="69">
        <f t="shared" si="42"/>
        <v>3</v>
      </c>
      <c r="K1377" s="69">
        <f t="shared" si="43"/>
        <v>37</v>
      </c>
      <c r="L1377" s="69">
        <f>VLOOKUP(Table_db1_backend_Daily.accdb[[#This Row],[TradingDate]],canon!B:E,4,0)</f>
        <v>31</v>
      </c>
    </row>
    <row r="1378" spans="1:12" x14ac:dyDescent="0.2">
      <c r="A1378" s="69" t="s">
        <v>41</v>
      </c>
      <c r="B1378" s="70">
        <v>42948</v>
      </c>
      <c r="C1378" s="69">
        <v>17</v>
      </c>
      <c r="D1378" s="69">
        <v>0</v>
      </c>
      <c r="E1378" s="69">
        <v>0</v>
      </c>
      <c r="F1378" s="69">
        <v>0</v>
      </c>
      <c r="G1378" s="69" t="s">
        <v>29</v>
      </c>
      <c r="H1378" s="69" t="str">
        <f>IFERROR(VLOOKUP(Data!$G1378,canon!$I$2:$K$27,2,FALSE),"")</f>
        <v>SHOES</v>
      </c>
      <c r="I1378" s="69" t="str">
        <f>IFERROR(VLOOKUP(Data!$G1378,canon!$I$2:$K$27,3,FALSE),"")</f>
        <v>N.APPAREL</v>
      </c>
      <c r="J1378" s="69">
        <f t="shared" si="42"/>
        <v>3</v>
      </c>
      <c r="K1378" s="69">
        <f t="shared" si="43"/>
        <v>37</v>
      </c>
      <c r="L1378" s="69">
        <f>VLOOKUP(Table_db1_backend_Daily.accdb[[#This Row],[TradingDate]],canon!B:E,4,0)</f>
        <v>31</v>
      </c>
    </row>
    <row r="1379" spans="1:12" x14ac:dyDescent="0.2">
      <c r="A1379" s="69" t="s">
        <v>41</v>
      </c>
      <c r="B1379" s="70">
        <v>42948</v>
      </c>
      <c r="C1379" s="69">
        <v>421</v>
      </c>
      <c r="D1379" s="69">
        <v>3</v>
      </c>
      <c r="E1379" s="69">
        <v>27.270000000000003</v>
      </c>
      <c r="F1379" s="69">
        <v>7.71</v>
      </c>
      <c r="G1379" s="69" t="s">
        <v>17</v>
      </c>
      <c r="H1379" s="69" t="str">
        <f>IFERROR(VLOOKUP(Data!$G1379,canon!$I$2:$K$27,2,FALSE),"")</f>
        <v>OUTER</v>
      </c>
      <c r="I1379" s="69" t="str">
        <f>IFERROR(VLOOKUP(Data!$G1379,canon!$I$2:$K$27,3,FALSE),"")</f>
        <v>APPAREL</v>
      </c>
      <c r="J1379" s="69">
        <f t="shared" si="42"/>
        <v>3</v>
      </c>
      <c r="K1379" s="69">
        <f t="shared" si="43"/>
        <v>37</v>
      </c>
      <c r="L1379" s="69">
        <f>VLOOKUP(Table_db1_backend_Daily.accdb[[#This Row],[TradingDate]],canon!B:E,4,0)</f>
        <v>31</v>
      </c>
    </row>
    <row r="1380" spans="1:12" x14ac:dyDescent="0.2">
      <c r="A1380" s="69" t="s">
        <v>41</v>
      </c>
      <c r="B1380" s="70">
        <v>42948</v>
      </c>
      <c r="C1380" s="69">
        <v>265</v>
      </c>
      <c r="D1380" s="69">
        <v>0</v>
      </c>
      <c r="E1380" s="69">
        <v>0</v>
      </c>
      <c r="F1380" s="69">
        <v>0</v>
      </c>
      <c r="G1380" s="69" t="s">
        <v>19</v>
      </c>
      <c r="H1380" s="69" t="str">
        <f>IFERROR(VLOOKUP(Data!$G1380,canon!$I$2:$K$27,2,FALSE),"")</f>
        <v>PANT</v>
      </c>
      <c r="I1380" s="69" t="str">
        <f>IFERROR(VLOOKUP(Data!$G1380,canon!$I$2:$K$27,3,FALSE),"")</f>
        <v>APPAREL</v>
      </c>
      <c r="J1380" s="69">
        <f t="shared" si="42"/>
        <v>3</v>
      </c>
      <c r="K1380" s="69">
        <f t="shared" si="43"/>
        <v>37</v>
      </c>
      <c r="L1380" s="69">
        <f>VLOOKUP(Table_db1_backend_Daily.accdb[[#This Row],[TradingDate]],canon!B:E,4,0)</f>
        <v>31</v>
      </c>
    </row>
    <row r="1381" spans="1:12" x14ac:dyDescent="0.2">
      <c r="A1381" s="69" t="s">
        <v>41</v>
      </c>
      <c r="B1381" s="70">
        <v>42948</v>
      </c>
      <c r="C1381" s="69">
        <v>33</v>
      </c>
      <c r="D1381" s="69">
        <v>0</v>
      </c>
      <c r="E1381" s="69">
        <v>0</v>
      </c>
      <c r="F1381" s="69">
        <v>0</v>
      </c>
      <c r="G1381" s="69" t="s">
        <v>21</v>
      </c>
      <c r="H1381" s="69" t="str">
        <f>IFERROR(VLOOKUP(Data!$G1381,canon!$I$2:$K$27,2,FALSE),"")</f>
        <v>ACCESSORY</v>
      </c>
      <c r="I1381" s="69" t="str">
        <f>IFERROR(VLOOKUP(Data!$G1381,canon!$I$2:$K$27,3,FALSE),"")</f>
        <v>N.APPAREL</v>
      </c>
      <c r="J1381" s="69">
        <f t="shared" si="42"/>
        <v>3</v>
      </c>
      <c r="K1381" s="69">
        <f t="shared" si="43"/>
        <v>37</v>
      </c>
      <c r="L1381" s="69">
        <f>VLOOKUP(Table_db1_backend_Daily.accdb[[#This Row],[TradingDate]],canon!B:E,4,0)</f>
        <v>31</v>
      </c>
    </row>
    <row r="1382" spans="1:12" x14ac:dyDescent="0.2">
      <c r="A1382" s="69" t="s">
        <v>41</v>
      </c>
      <c r="B1382" s="70">
        <v>42948</v>
      </c>
      <c r="C1382" s="69">
        <v>682</v>
      </c>
      <c r="D1382" s="69">
        <v>7</v>
      </c>
      <c r="E1382" s="69">
        <v>31.880000000000003</v>
      </c>
      <c r="F1382" s="69">
        <v>20.249999999999996</v>
      </c>
      <c r="G1382" s="69" t="s">
        <v>22</v>
      </c>
      <c r="H1382" s="69" t="str">
        <f>IFERROR(VLOOKUP(Data!$G1382,canon!$I$2:$K$27,2,FALSE),"")</f>
        <v>SCARF</v>
      </c>
      <c r="I1382" s="69" t="str">
        <f>IFERROR(VLOOKUP(Data!$G1382,canon!$I$2:$K$27,3,FALSE),"")</f>
        <v>N.APPAREL</v>
      </c>
      <c r="J1382" s="69">
        <f t="shared" si="42"/>
        <v>3</v>
      </c>
      <c r="K1382" s="69">
        <f t="shared" si="43"/>
        <v>37</v>
      </c>
      <c r="L1382" s="69">
        <f>VLOOKUP(Table_db1_backend_Daily.accdb[[#This Row],[TradingDate]],canon!B:E,4,0)</f>
        <v>31</v>
      </c>
    </row>
    <row r="1383" spans="1:12" x14ac:dyDescent="0.2">
      <c r="A1383" s="69" t="s">
        <v>41</v>
      </c>
      <c r="B1383" s="70">
        <v>42948</v>
      </c>
      <c r="C1383" s="69">
        <v>199</v>
      </c>
      <c r="D1383" s="69">
        <v>3</v>
      </c>
      <c r="E1383" s="69">
        <v>31.73</v>
      </c>
      <c r="F1383" s="69">
        <v>8.4700000000000006</v>
      </c>
      <c r="G1383" s="69" t="s">
        <v>23</v>
      </c>
      <c r="H1383" s="69" t="str">
        <f>IFERROR(VLOOKUP(Data!$G1383,canon!$I$2:$K$27,2,FALSE),"")</f>
        <v>SH&amp;BL</v>
      </c>
      <c r="I1383" s="69" t="str">
        <f>IFERROR(VLOOKUP(Data!$G1383,canon!$I$2:$K$27,3,FALSE),"")</f>
        <v>APPAREL</v>
      </c>
      <c r="J1383" s="69">
        <f t="shared" si="42"/>
        <v>3</v>
      </c>
      <c r="K1383" s="69">
        <f t="shared" si="43"/>
        <v>37</v>
      </c>
      <c r="L1383" s="69">
        <f>VLOOKUP(Table_db1_backend_Daily.accdb[[#This Row],[TradingDate]],canon!B:E,4,0)</f>
        <v>31</v>
      </c>
    </row>
    <row r="1384" spans="1:12" x14ac:dyDescent="0.2">
      <c r="A1384" s="69" t="s">
        <v>41</v>
      </c>
      <c r="B1384" s="70">
        <v>42948</v>
      </c>
      <c r="C1384" s="69">
        <v>465</v>
      </c>
      <c r="D1384" s="69">
        <v>1</v>
      </c>
      <c r="E1384" s="69">
        <v>9.1</v>
      </c>
      <c r="F1384" s="69">
        <v>5.62</v>
      </c>
      <c r="G1384" s="69" t="s">
        <v>32</v>
      </c>
      <c r="H1384" s="69" t="str">
        <f>IFERROR(VLOOKUP(Data!$G1384,canon!$I$2:$K$27,2,FALSE),"")</f>
        <v>SKIRT</v>
      </c>
      <c r="I1384" s="69" t="str">
        <f>IFERROR(VLOOKUP(Data!$G1384,canon!$I$2:$K$27,3,FALSE),"")</f>
        <v>APPAREL</v>
      </c>
      <c r="J1384" s="69">
        <f t="shared" si="42"/>
        <v>3</v>
      </c>
      <c r="K1384" s="69">
        <f t="shared" si="43"/>
        <v>37</v>
      </c>
      <c r="L1384" s="69">
        <f>VLOOKUP(Table_db1_backend_Daily.accdb[[#This Row],[TradingDate]],canon!B:E,4,0)</f>
        <v>31</v>
      </c>
    </row>
    <row r="1385" spans="1:12" x14ac:dyDescent="0.2">
      <c r="A1385" s="69" t="s">
        <v>41</v>
      </c>
      <c r="B1385" s="70">
        <v>42948</v>
      </c>
      <c r="C1385" s="69">
        <v>1344</v>
      </c>
      <c r="D1385" s="69">
        <v>31</v>
      </c>
      <c r="E1385" s="69">
        <v>188.65000000000003</v>
      </c>
      <c r="F1385" s="69">
        <v>18.779999999999994</v>
      </c>
      <c r="G1385" s="69" t="s">
        <v>25</v>
      </c>
      <c r="H1385" s="69" t="str">
        <f>IFERROR(VLOOKUP(Data!$G1385,canon!$I$2:$K$27,2,FALSE),"")</f>
        <v>TOP</v>
      </c>
      <c r="I1385" s="69" t="str">
        <f>IFERROR(VLOOKUP(Data!$G1385,canon!$I$2:$K$27,3,FALSE),"")</f>
        <v>APPAREL</v>
      </c>
      <c r="J1385" s="69">
        <f t="shared" si="42"/>
        <v>3</v>
      </c>
      <c r="K1385" s="69">
        <f t="shared" si="43"/>
        <v>37</v>
      </c>
      <c r="L1385" s="69">
        <f>VLOOKUP(Table_db1_backend_Daily.accdb[[#This Row],[TradingDate]],canon!B:E,4,0)</f>
        <v>31</v>
      </c>
    </row>
    <row r="1386" spans="1:12" x14ac:dyDescent="0.2">
      <c r="A1386" s="69" t="s">
        <v>41</v>
      </c>
      <c r="B1386" s="70">
        <v>42949</v>
      </c>
      <c r="C1386" s="69">
        <v>4</v>
      </c>
      <c r="D1386" s="69">
        <v>0</v>
      </c>
      <c r="E1386" s="69">
        <v>0</v>
      </c>
      <c r="F1386" s="69">
        <v>0</v>
      </c>
      <c r="G1386" s="69" t="s">
        <v>27</v>
      </c>
      <c r="H1386" s="69" t="str">
        <f>IFERROR(VLOOKUP(Data!$G1386,canon!$I$2:$K$27,2,FALSE),"")</f>
        <v>ACCESSORY</v>
      </c>
      <c r="I1386" s="69" t="str">
        <f>IFERROR(VLOOKUP(Data!$G1386,canon!$I$2:$K$27,3,FALSE),"")</f>
        <v>N.APPAREL</v>
      </c>
      <c r="J1386" s="69">
        <f t="shared" si="42"/>
        <v>4</v>
      </c>
      <c r="K1386" s="69">
        <f t="shared" si="43"/>
        <v>37</v>
      </c>
      <c r="L1386" s="69">
        <f>VLOOKUP(Table_db1_backend_Daily.accdb[[#This Row],[TradingDate]],canon!B:E,4,0)</f>
        <v>31</v>
      </c>
    </row>
    <row r="1387" spans="1:12" x14ac:dyDescent="0.2">
      <c r="A1387" s="69" t="s">
        <v>41</v>
      </c>
      <c r="B1387" s="70">
        <v>42949</v>
      </c>
      <c r="C1387" s="69">
        <v>13</v>
      </c>
      <c r="D1387" s="69">
        <v>0</v>
      </c>
      <c r="E1387" s="69">
        <v>0</v>
      </c>
      <c r="F1387" s="69">
        <v>0</v>
      </c>
      <c r="G1387" s="69" t="s">
        <v>34</v>
      </c>
      <c r="H1387" s="69" t="str">
        <f>IFERROR(VLOOKUP(Data!$G1387,canon!$I$2:$K$27,2,FALSE),"")</f>
        <v>SHOES</v>
      </c>
      <c r="I1387" s="69" t="str">
        <f>IFERROR(VLOOKUP(Data!$G1387,canon!$I$2:$K$27,3,FALSE),"")</f>
        <v>N.APPAREL</v>
      </c>
      <c r="J1387" s="69">
        <f t="shared" si="42"/>
        <v>4</v>
      </c>
      <c r="K1387" s="69">
        <f t="shared" si="43"/>
        <v>37</v>
      </c>
      <c r="L1387" s="69">
        <f>VLOOKUP(Table_db1_backend_Daily.accdb[[#This Row],[TradingDate]],canon!B:E,4,0)</f>
        <v>31</v>
      </c>
    </row>
    <row r="1388" spans="1:12" x14ac:dyDescent="0.2">
      <c r="A1388" s="69" t="s">
        <v>41</v>
      </c>
      <c r="B1388" s="70">
        <v>42949</v>
      </c>
      <c r="C1388" s="69">
        <v>688</v>
      </c>
      <c r="D1388" s="69">
        <v>7</v>
      </c>
      <c r="E1388" s="69">
        <v>75.100000000000009</v>
      </c>
      <c r="F1388" s="69">
        <v>19.87</v>
      </c>
      <c r="G1388" s="69" t="s">
        <v>35</v>
      </c>
      <c r="H1388" s="69" t="str">
        <f>IFERROR(VLOOKUP(Data!$G1388,canon!$I$2:$K$27,2,FALSE),"")</f>
        <v>DRESS</v>
      </c>
      <c r="I1388" s="69" t="str">
        <f>IFERROR(VLOOKUP(Data!$G1388,canon!$I$2:$K$27,3,FALSE),"")</f>
        <v>APPAREL</v>
      </c>
      <c r="J1388" s="69">
        <f t="shared" si="42"/>
        <v>4</v>
      </c>
      <c r="K1388" s="69">
        <f t="shared" si="43"/>
        <v>37</v>
      </c>
      <c r="L1388" s="69">
        <f>VLOOKUP(Table_db1_backend_Daily.accdb[[#This Row],[TradingDate]],canon!B:E,4,0)</f>
        <v>31</v>
      </c>
    </row>
    <row r="1389" spans="1:12" x14ac:dyDescent="0.2">
      <c r="A1389" s="69" t="s">
        <v>41</v>
      </c>
      <c r="B1389" s="70">
        <v>42949</v>
      </c>
      <c r="C1389" s="69">
        <v>37</v>
      </c>
      <c r="D1389" s="69">
        <v>0</v>
      </c>
      <c r="E1389" s="69">
        <v>0</v>
      </c>
      <c r="F1389" s="69">
        <v>0</v>
      </c>
      <c r="G1389" s="69" t="s">
        <v>10</v>
      </c>
      <c r="H1389" s="69" t="str">
        <f>IFERROR(VLOOKUP(Data!$G1389,canon!$I$2:$K$27,2,FALSE),"")</f>
        <v>ACCESSORY</v>
      </c>
      <c r="I1389" s="69" t="str">
        <f>IFERROR(VLOOKUP(Data!$G1389,canon!$I$2:$K$27,3,FALSE),"")</f>
        <v>N.APPAREL</v>
      </c>
      <c r="J1389" s="69">
        <f t="shared" si="42"/>
        <v>4</v>
      </c>
      <c r="K1389" s="69">
        <f t="shared" si="43"/>
        <v>37</v>
      </c>
      <c r="L1389" s="69">
        <f>VLOOKUP(Table_db1_backend_Daily.accdb[[#This Row],[TradingDate]],canon!B:E,4,0)</f>
        <v>31</v>
      </c>
    </row>
    <row r="1390" spans="1:12" x14ac:dyDescent="0.2">
      <c r="A1390" s="69" t="s">
        <v>41</v>
      </c>
      <c r="B1390" s="70">
        <v>42949</v>
      </c>
      <c r="C1390" s="69">
        <v>3</v>
      </c>
      <c r="D1390" s="69">
        <v>0</v>
      </c>
      <c r="E1390" s="69">
        <v>0</v>
      </c>
      <c r="F1390" s="69">
        <v>0</v>
      </c>
      <c r="G1390" s="69" t="s">
        <v>28</v>
      </c>
      <c r="H1390" s="69" t="str">
        <f>IFERROR(VLOOKUP(Data!$G1390,canon!$I$2:$K$27,2,FALSE),"")</f>
        <v>ACCESSORY</v>
      </c>
      <c r="I1390" s="69" t="str">
        <f>IFERROR(VLOOKUP(Data!$G1390,canon!$I$2:$K$27,3,FALSE),"")</f>
        <v>N.APPAREL</v>
      </c>
      <c r="J1390" s="69">
        <f t="shared" si="42"/>
        <v>4</v>
      </c>
      <c r="K1390" s="69">
        <f t="shared" si="43"/>
        <v>37</v>
      </c>
      <c r="L1390" s="69">
        <f>VLOOKUP(Table_db1_backend_Daily.accdb[[#This Row],[TradingDate]],canon!B:E,4,0)</f>
        <v>31</v>
      </c>
    </row>
    <row r="1391" spans="1:12" x14ac:dyDescent="0.2">
      <c r="A1391" s="69" t="s">
        <v>41</v>
      </c>
      <c r="B1391" s="70">
        <v>42949</v>
      </c>
      <c r="C1391" s="69">
        <v>1154</v>
      </c>
      <c r="D1391" s="69">
        <v>65</v>
      </c>
      <c r="E1391" s="69">
        <v>529.77</v>
      </c>
      <c r="F1391" s="69">
        <v>33.07</v>
      </c>
      <c r="G1391" s="69" t="s">
        <v>11</v>
      </c>
      <c r="H1391" s="69" t="str">
        <f>IFERROR(VLOOKUP(Data!$G1391,canon!$I$2:$K$27,2,FALSE),"")</f>
        <v>KNIT</v>
      </c>
      <c r="I1391" s="69" t="str">
        <f>IFERROR(VLOOKUP(Data!$G1391,canon!$I$2:$K$27,3,FALSE),"")</f>
        <v>APPAREL</v>
      </c>
      <c r="J1391" s="69">
        <f t="shared" si="42"/>
        <v>4</v>
      </c>
      <c r="K1391" s="69">
        <f t="shared" si="43"/>
        <v>37</v>
      </c>
      <c r="L1391" s="69">
        <f>VLOOKUP(Table_db1_backend_Daily.accdb[[#This Row],[TradingDate]],canon!B:E,4,0)</f>
        <v>31</v>
      </c>
    </row>
    <row r="1392" spans="1:12" x14ac:dyDescent="0.2">
      <c r="A1392" s="69" t="s">
        <v>41</v>
      </c>
      <c r="B1392" s="70">
        <v>42949</v>
      </c>
      <c r="C1392" s="69">
        <v>490</v>
      </c>
      <c r="D1392" s="69">
        <v>11</v>
      </c>
      <c r="E1392" s="69">
        <v>97.53</v>
      </c>
      <c r="F1392" s="69">
        <v>22.439999999999998</v>
      </c>
      <c r="G1392" s="69" t="s">
        <v>14</v>
      </c>
      <c r="H1392" s="69" t="str">
        <f>IFERROR(VLOOKUP(Data!$G1392,canon!$I$2:$K$27,2,FALSE),"")</f>
        <v>LEGGING</v>
      </c>
      <c r="I1392" s="69" t="str">
        <f>IFERROR(VLOOKUP(Data!$G1392,canon!$I$2:$K$27,3,FALSE),"")</f>
        <v>APPAREL</v>
      </c>
      <c r="J1392" s="69">
        <f t="shared" si="42"/>
        <v>4</v>
      </c>
      <c r="K1392" s="69">
        <f t="shared" si="43"/>
        <v>37</v>
      </c>
      <c r="L1392" s="69">
        <f>VLOOKUP(Table_db1_backend_Daily.accdb[[#This Row],[TradingDate]],canon!B:E,4,0)</f>
        <v>31</v>
      </c>
    </row>
    <row r="1393" spans="1:12" x14ac:dyDescent="0.2">
      <c r="A1393" s="69" t="s">
        <v>41</v>
      </c>
      <c r="B1393" s="70">
        <v>42949</v>
      </c>
      <c r="C1393" s="69">
        <v>-66</v>
      </c>
      <c r="D1393" s="69">
        <v>0</v>
      </c>
      <c r="E1393" s="69">
        <v>0</v>
      </c>
      <c r="F1393" s="69">
        <v>0</v>
      </c>
      <c r="G1393" s="69" t="s">
        <v>37</v>
      </c>
      <c r="H1393" s="69" t="str">
        <f>IFERROR(VLOOKUP(Data!$G1393,canon!$I$2:$K$27,2,FALSE),"")</f>
        <v>SHOES</v>
      </c>
      <c r="I1393" s="69" t="str">
        <f>IFERROR(VLOOKUP(Data!$G1393,canon!$I$2:$K$27,3,FALSE),"")</f>
        <v>N.APPAREL</v>
      </c>
      <c r="J1393" s="69">
        <f t="shared" si="42"/>
        <v>4</v>
      </c>
      <c r="K1393" s="69">
        <f t="shared" si="43"/>
        <v>37</v>
      </c>
      <c r="L1393" s="69">
        <f>VLOOKUP(Table_db1_backend_Daily.accdb[[#This Row],[TradingDate]],canon!B:E,4,0)</f>
        <v>31</v>
      </c>
    </row>
    <row r="1394" spans="1:12" x14ac:dyDescent="0.2">
      <c r="A1394" s="69" t="s">
        <v>41</v>
      </c>
      <c r="B1394" s="70">
        <v>42949</v>
      </c>
      <c r="C1394" s="69">
        <v>8</v>
      </c>
      <c r="D1394" s="69">
        <v>0</v>
      </c>
      <c r="E1394" s="69">
        <v>0</v>
      </c>
      <c r="F1394" s="69">
        <v>0</v>
      </c>
      <c r="G1394" s="69" t="s">
        <v>29</v>
      </c>
      <c r="H1394" s="69" t="str">
        <f>IFERROR(VLOOKUP(Data!$G1394,canon!$I$2:$K$27,2,FALSE),"")</f>
        <v>SHOES</v>
      </c>
      <c r="I1394" s="69" t="str">
        <f>IFERROR(VLOOKUP(Data!$G1394,canon!$I$2:$K$27,3,FALSE),"")</f>
        <v>N.APPAREL</v>
      </c>
      <c r="J1394" s="69">
        <f t="shared" si="42"/>
        <v>4</v>
      </c>
      <c r="K1394" s="69">
        <f t="shared" si="43"/>
        <v>37</v>
      </c>
      <c r="L1394" s="69">
        <f>VLOOKUP(Table_db1_backend_Daily.accdb[[#This Row],[TradingDate]],canon!B:E,4,0)</f>
        <v>31</v>
      </c>
    </row>
    <row r="1395" spans="1:12" x14ac:dyDescent="0.2">
      <c r="A1395" s="69" t="s">
        <v>41</v>
      </c>
      <c r="B1395" s="70">
        <v>42949</v>
      </c>
      <c r="C1395" s="69">
        <v>379</v>
      </c>
      <c r="D1395" s="69">
        <v>14</v>
      </c>
      <c r="E1395" s="69">
        <v>233.21</v>
      </c>
      <c r="F1395" s="69">
        <v>101.73</v>
      </c>
      <c r="G1395" s="69" t="s">
        <v>17</v>
      </c>
      <c r="H1395" s="69" t="str">
        <f>IFERROR(VLOOKUP(Data!$G1395,canon!$I$2:$K$27,2,FALSE),"")</f>
        <v>OUTER</v>
      </c>
      <c r="I1395" s="69" t="str">
        <f>IFERROR(VLOOKUP(Data!$G1395,canon!$I$2:$K$27,3,FALSE),"")</f>
        <v>APPAREL</v>
      </c>
      <c r="J1395" s="69">
        <f t="shared" si="42"/>
        <v>4</v>
      </c>
      <c r="K1395" s="69">
        <f t="shared" si="43"/>
        <v>37</v>
      </c>
      <c r="L1395" s="69">
        <f>VLOOKUP(Table_db1_backend_Daily.accdb[[#This Row],[TradingDate]],canon!B:E,4,0)</f>
        <v>31</v>
      </c>
    </row>
    <row r="1396" spans="1:12" x14ac:dyDescent="0.2">
      <c r="A1396" s="69" t="s">
        <v>41</v>
      </c>
      <c r="B1396" s="70">
        <v>42949</v>
      </c>
      <c r="C1396" s="69">
        <v>205</v>
      </c>
      <c r="D1396" s="69">
        <v>6</v>
      </c>
      <c r="E1396" s="69">
        <v>63.599999999999994</v>
      </c>
      <c r="F1396" s="69">
        <v>27.719999999999995</v>
      </c>
      <c r="G1396" s="69" t="s">
        <v>19</v>
      </c>
      <c r="H1396" s="69" t="str">
        <f>IFERROR(VLOOKUP(Data!$G1396,canon!$I$2:$K$27,2,FALSE),"")</f>
        <v>PANT</v>
      </c>
      <c r="I1396" s="69" t="str">
        <f>IFERROR(VLOOKUP(Data!$G1396,canon!$I$2:$K$27,3,FALSE),"")</f>
        <v>APPAREL</v>
      </c>
      <c r="J1396" s="69">
        <f t="shared" si="42"/>
        <v>4</v>
      </c>
      <c r="K1396" s="69">
        <f t="shared" si="43"/>
        <v>37</v>
      </c>
      <c r="L1396" s="69">
        <f>VLOOKUP(Table_db1_backend_Daily.accdb[[#This Row],[TradingDate]],canon!B:E,4,0)</f>
        <v>31</v>
      </c>
    </row>
    <row r="1397" spans="1:12" x14ac:dyDescent="0.2">
      <c r="A1397" s="69" t="s">
        <v>41</v>
      </c>
      <c r="B1397" s="70">
        <v>42949</v>
      </c>
      <c r="C1397" s="69">
        <v>24</v>
      </c>
      <c r="D1397" s="69">
        <v>0</v>
      </c>
      <c r="E1397" s="69">
        <v>0</v>
      </c>
      <c r="F1397" s="69">
        <v>0</v>
      </c>
      <c r="G1397" s="69" t="s">
        <v>21</v>
      </c>
      <c r="H1397" s="69" t="str">
        <f>IFERROR(VLOOKUP(Data!$G1397,canon!$I$2:$K$27,2,FALSE),"")</f>
        <v>ACCESSORY</v>
      </c>
      <c r="I1397" s="69" t="str">
        <f>IFERROR(VLOOKUP(Data!$G1397,canon!$I$2:$K$27,3,FALSE),"")</f>
        <v>N.APPAREL</v>
      </c>
      <c r="J1397" s="69">
        <f t="shared" si="42"/>
        <v>4</v>
      </c>
      <c r="K1397" s="69">
        <f t="shared" si="43"/>
        <v>37</v>
      </c>
      <c r="L1397" s="69">
        <f>VLOOKUP(Table_db1_backend_Daily.accdb[[#This Row],[TradingDate]],canon!B:E,4,0)</f>
        <v>31</v>
      </c>
    </row>
    <row r="1398" spans="1:12" x14ac:dyDescent="0.2">
      <c r="A1398" s="69" t="s">
        <v>41</v>
      </c>
      <c r="B1398" s="70">
        <v>42949</v>
      </c>
      <c r="C1398" s="69">
        <v>614</v>
      </c>
      <c r="D1398" s="69">
        <v>14</v>
      </c>
      <c r="E1398" s="69">
        <v>63.669999999999987</v>
      </c>
      <c r="F1398" s="69">
        <v>41.84</v>
      </c>
      <c r="G1398" s="69" t="s">
        <v>22</v>
      </c>
      <c r="H1398" s="69" t="str">
        <f>IFERROR(VLOOKUP(Data!$G1398,canon!$I$2:$K$27,2,FALSE),"")</f>
        <v>SCARF</v>
      </c>
      <c r="I1398" s="69" t="str">
        <f>IFERROR(VLOOKUP(Data!$G1398,canon!$I$2:$K$27,3,FALSE),"")</f>
        <v>N.APPAREL</v>
      </c>
      <c r="J1398" s="69">
        <f t="shared" si="42"/>
        <v>4</v>
      </c>
      <c r="K1398" s="69">
        <f t="shared" si="43"/>
        <v>37</v>
      </c>
      <c r="L1398" s="69">
        <f>VLOOKUP(Table_db1_backend_Daily.accdb[[#This Row],[TradingDate]],canon!B:E,4,0)</f>
        <v>31</v>
      </c>
    </row>
    <row r="1399" spans="1:12" x14ac:dyDescent="0.2">
      <c r="A1399" s="69" t="s">
        <v>41</v>
      </c>
      <c r="B1399" s="70">
        <v>42949</v>
      </c>
      <c r="C1399" s="69">
        <v>187</v>
      </c>
      <c r="D1399" s="69">
        <v>5</v>
      </c>
      <c r="E1399" s="69">
        <v>54.45</v>
      </c>
      <c r="F1399" s="69">
        <v>12.7</v>
      </c>
      <c r="G1399" s="69" t="s">
        <v>23</v>
      </c>
      <c r="H1399" s="69" t="str">
        <f>IFERROR(VLOOKUP(Data!$G1399,canon!$I$2:$K$27,2,FALSE),"")</f>
        <v>SH&amp;BL</v>
      </c>
      <c r="I1399" s="69" t="str">
        <f>IFERROR(VLOOKUP(Data!$G1399,canon!$I$2:$K$27,3,FALSE),"")</f>
        <v>APPAREL</v>
      </c>
      <c r="J1399" s="69">
        <f t="shared" si="42"/>
        <v>4</v>
      </c>
      <c r="K1399" s="69">
        <f t="shared" si="43"/>
        <v>37</v>
      </c>
      <c r="L1399" s="69">
        <f>VLOOKUP(Table_db1_backend_Daily.accdb[[#This Row],[TradingDate]],canon!B:E,4,0)</f>
        <v>31</v>
      </c>
    </row>
    <row r="1400" spans="1:12" x14ac:dyDescent="0.2">
      <c r="A1400" s="69" t="s">
        <v>41</v>
      </c>
      <c r="B1400" s="70">
        <v>42949</v>
      </c>
      <c r="C1400" s="69">
        <v>448</v>
      </c>
      <c r="D1400" s="69">
        <v>1</v>
      </c>
      <c r="E1400" s="69">
        <v>4.55</v>
      </c>
      <c r="F1400" s="69">
        <v>-3.28</v>
      </c>
      <c r="G1400" s="69" t="s">
        <v>32</v>
      </c>
      <c r="H1400" s="69" t="str">
        <f>IFERROR(VLOOKUP(Data!$G1400,canon!$I$2:$K$27,2,FALSE),"")</f>
        <v>SKIRT</v>
      </c>
      <c r="I1400" s="69" t="str">
        <f>IFERROR(VLOOKUP(Data!$G1400,canon!$I$2:$K$27,3,FALSE),"")</f>
        <v>APPAREL</v>
      </c>
      <c r="J1400" s="69">
        <f t="shared" si="42"/>
        <v>4</v>
      </c>
      <c r="K1400" s="69">
        <f t="shared" si="43"/>
        <v>37</v>
      </c>
      <c r="L1400" s="69">
        <f>VLOOKUP(Table_db1_backend_Daily.accdb[[#This Row],[TradingDate]],canon!B:E,4,0)</f>
        <v>31</v>
      </c>
    </row>
    <row r="1401" spans="1:12" x14ac:dyDescent="0.2">
      <c r="A1401" s="69" t="s">
        <v>41</v>
      </c>
      <c r="B1401" s="70">
        <v>42949</v>
      </c>
      <c r="C1401" s="69">
        <v>1196</v>
      </c>
      <c r="D1401" s="69">
        <v>53</v>
      </c>
      <c r="E1401" s="69">
        <v>399.57000000000005</v>
      </c>
      <c r="F1401" s="69">
        <v>114.7</v>
      </c>
      <c r="G1401" s="69" t="s">
        <v>25</v>
      </c>
      <c r="H1401" s="69" t="str">
        <f>IFERROR(VLOOKUP(Data!$G1401,canon!$I$2:$K$27,2,FALSE),"")</f>
        <v>TOP</v>
      </c>
      <c r="I1401" s="69" t="str">
        <f>IFERROR(VLOOKUP(Data!$G1401,canon!$I$2:$K$27,3,FALSE),"")</f>
        <v>APPAREL</v>
      </c>
      <c r="J1401" s="69">
        <f t="shared" si="42"/>
        <v>4</v>
      </c>
      <c r="K1401" s="69">
        <f t="shared" si="43"/>
        <v>37</v>
      </c>
      <c r="L1401" s="69">
        <f>VLOOKUP(Table_db1_backend_Daily.accdb[[#This Row],[TradingDate]],canon!B:E,4,0)</f>
        <v>31</v>
      </c>
    </row>
    <row r="1402" spans="1:12" x14ac:dyDescent="0.2">
      <c r="A1402" s="69" t="s">
        <v>41</v>
      </c>
      <c r="B1402" s="70">
        <v>42950</v>
      </c>
      <c r="C1402" s="69">
        <v>4</v>
      </c>
      <c r="D1402" s="69">
        <v>0</v>
      </c>
      <c r="E1402" s="69">
        <v>0</v>
      </c>
      <c r="F1402" s="69">
        <v>0</v>
      </c>
      <c r="G1402" s="69" t="s">
        <v>27</v>
      </c>
      <c r="H1402" s="69" t="str">
        <f>IFERROR(VLOOKUP(Data!$G1402,canon!$I$2:$K$27,2,FALSE),"")</f>
        <v>ACCESSORY</v>
      </c>
      <c r="I1402" s="69" t="str">
        <f>IFERROR(VLOOKUP(Data!$G1402,canon!$I$2:$K$27,3,FALSE),"")</f>
        <v>N.APPAREL</v>
      </c>
      <c r="J1402" s="69">
        <f t="shared" si="42"/>
        <v>5</v>
      </c>
      <c r="K1402" s="69">
        <f t="shared" si="43"/>
        <v>37</v>
      </c>
      <c r="L1402" s="69">
        <f>VLOOKUP(Table_db1_backend_Daily.accdb[[#This Row],[TradingDate]],canon!B:E,4,0)</f>
        <v>31</v>
      </c>
    </row>
    <row r="1403" spans="1:12" x14ac:dyDescent="0.2">
      <c r="A1403" s="69" t="s">
        <v>41</v>
      </c>
      <c r="B1403" s="70">
        <v>42950</v>
      </c>
      <c r="C1403" s="69">
        <v>26</v>
      </c>
      <c r="D1403" s="69">
        <v>0</v>
      </c>
      <c r="E1403" s="69">
        <v>0</v>
      </c>
      <c r="F1403" s="69">
        <v>0</v>
      </c>
      <c r="G1403" s="69" t="s">
        <v>34</v>
      </c>
      <c r="H1403" s="69" t="str">
        <f>IFERROR(VLOOKUP(Data!$G1403,canon!$I$2:$K$27,2,FALSE),"")</f>
        <v>SHOES</v>
      </c>
      <c r="I1403" s="69" t="str">
        <f>IFERROR(VLOOKUP(Data!$G1403,canon!$I$2:$K$27,3,FALSE),"")</f>
        <v>N.APPAREL</v>
      </c>
      <c r="J1403" s="69">
        <f t="shared" si="42"/>
        <v>5</v>
      </c>
      <c r="K1403" s="69">
        <f t="shared" si="43"/>
        <v>37</v>
      </c>
      <c r="L1403" s="69">
        <f>VLOOKUP(Table_db1_backend_Daily.accdb[[#This Row],[TradingDate]],canon!B:E,4,0)</f>
        <v>31</v>
      </c>
    </row>
    <row r="1404" spans="1:12" x14ac:dyDescent="0.2">
      <c r="A1404" s="69" t="s">
        <v>41</v>
      </c>
      <c r="B1404" s="70">
        <v>42950</v>
      </c>
      <c r="C1404" s="69">
        <v>3</v>
      </c>
      <c r="D1404" s="69">
        <v>0</v>
      </c>
      <c r="E1404" s="69">
        <v>0</v>
      </c>
      <c r="F1404" s="69">
        <v>0</v>
      </c>
      <c r="G1404" s="69" t="s">
        <v>38</v>
      </c>
      <c r="H1404" s="69" t="str">
        <f>IFERROR(VLOOKUP(Data!$G1404,canon!$I$2:$K$27,2,FALSE),"")</f>
        <v>SHOES</v>
      </c>
      <c r="I1404" s="69" t="str">
        <f>IFERROR(VLOOKUP(Data!$G1404,canon!$I$2:$K$27,3,FALSE),"")</f>
        <v>N.APPAREL</v>
      </c>
      <c r="J1404" s="69">
        <f t="shared" si="42"/>
        <v>5</v>
      </c>
      <c r="K1404" s="69">
        <f t="shared" si="43"/>
        <v>37</v>
      </c>
      <c r="L1404" s="69">
        <f>VLOOKUP(Table_db1_backend_Daily.accdb[[#This Row],[TradingDate]],canon!B:E,4,0)</f>
        <v>31</v>
      </c>
    </row>
    <row r="1405" spans="1:12" x14ac:dyDescent="0.2">
      <c r="A1405" s="69" t="s">
        <v>41</v>
      </c>
      <c r="B1405" s="70">
        <v>42950</v>
      </c>
      <c r="C1405" s="69">
        <v>740</v>
      </c>
      <c r="D1405" s="69">
        <v>6</v>
      </c>
      <c r="E1405" s="69">
        <v>86.18</v>
      </c>
      <c r="F1405" s="69">
        <v>36.82</v>
      </c>
      <c r="G1405" s="69" t="s">
        <v>35</v>
      </c>
      <c r="H1405" s="69" t="str">
        <f>IFERROR(VLOOKUP(Data!$G1405,canon!$I$2:$K$27,2,FALSE),"")</f>
        <v>DRESS</v>
      </c>
      <c r="I1405" s="69" t="str">
        <f>IFERROR(VLOOKUP(Data!$G1405,canon!$I$2:$K$27,3,FALSE),"")</f>
        <v>APPAREL</v>
      </c>
      <c r="J1405" s="69">
        <f t="shared" si="42"/>
        <v>5</v>
      </c>
      <c r="K1405" s="69">
        <f t="shared" si="43"/>
        <v>37</v>
      </c>
      <c r="L1405" s="69">
        <f>VLOOKUP(Table_db1_backend_Daily.accdb[[#This Row],[TradingDate]],canon!B:E,4,0)</f>
        <v>31</v>
      </c>
    </row>
    <row r="1406" spans="1:12" x14ac:dyDescent="0.2">
      <c r="A1406" s="69" t="s">
        <v>41</v>
      </c>
      <c r="B1406" s="70">
        <v>42950</v>
      </c>
      <c r="C1406" s="69">
        <v>39</v>
      </c>
      <c r="D1406" s="69">
        <v>0</v>
      </c>
      <c r="E1406" s="69">
        <v>0</v>
      </c>
      <c r="F1406" s="69">
        <v>0</v>
      </c>
      <c r="G1406" s="69" t="s">
        <v>10</v>
      </c>
      <c r="H1406" s="69" t="str">
        <f>IFERROR(VLOOKUP(Data!$G1406,canon!$I$2:$K$27,2,FALSE),"")</f>
        <v>ACCESSORY</v>
      </c>
      <c r="I1406" s="69" t="str">
        <f>IFERROR(VLOOKUP(Data!$G1406,canon!$I$2:$K$27,3,FALSE),"")</f>
        <v>N.APPAREL</v>
      </c>
      <c r="J1406" s="69">
        <f t="shared" si="42"/>
        <v>5</v>
      </c>
      <c r="K1406" s="69">
        <f t="shared" si="43"/>
        <v>37</v>
      </c>
      <c r="L1406" s="69">
        <f>VLOOKUP(Table_db1_backend_Daily.accdb[[#This Row],[TradingDate]],canon!B:E,4,0)</f>
        <v>31</v>
      </c>
    </row>
    <row r="1407" spans="1:12" x14ac:dyDescent="0.2">
      <c r="A1407" s="69" t="s">
        <v>41</v>
      </c>
      <c r="B1407" s="70">
        <v>42950</v>
      </c>
      <c r="C1407" s="69">
        <v>2</v>
      </c>
      <c r="D1407" s="69">
        <v>0</v>
      </c>
      <c r="E1407" s="69">
        <v>0</v>
      </c>
      <c r="F1407" s="69">
        <v>0</v>
      </c>
      <c r="G1407" s="69" t="s">
        <v>28</v>
      </c>
      <c r="H1407" s="69" t="str">
        <f>IFERROR(VLOOKUP(Data!$G1407,canon!$I$2:$K$27,2,FALSE),"")</f>
        <v>ACCESSORY</v>
      </c>
      <c r="I1407" s="69" t="str">
        <f>IFERROR(VLOOKUP(Data!$G1407,canon!$I$2:$K$27,3,FALSE),"")</f>
        <v>N.APPAREL</v>
      </c>
      <c r="J1407" s="69">
        <f t="shared" si="42"/>
        <v>5</v>
      </c>
      <c r="K1407" s="69">
        <f t="shared" si="43"/>
        <v>37</v>
      </c>
      <c r="L1407" s="69">
        <f>VLOOKUP(Table_db1_backend_Daily.accdb[[#This Row],[TradingDate]],canon!B:E,4,0)</f>
        <v>31</v>
      </c>
    </row>
    <row r="1408" spans="1:12" x14ac:dyDescent="0.2">
      <c r="A1408" s="69" t="s">
        <v>41</v>
      </c>
      <c r="B1408" s="70">
        <v>42950</v>
      </c>
      <c r="C1408" s="69">
        <v>1087</v>
      </c>
      <c r="D1408" s="69">
        <v>70</v>
      </c>
      <c r="E1408" s="69">
        <v>624.16</v>
      </c>
      <c r="F1408" s="69">
        <v>44.659999999999989</v>
      </c>
      <c r="G1408" s="69" t="s">
        <v>11</v>
      </c>
      <c r="H1408" s="69" t="str">
        <f>IFERROR(VLOOKUP(Data!$G1408,canon!$I$2:$K$27,2,FALSE),"")</f>
        <v>KNIT</v>
      </c>
      <c r="I1408" s="69" t="str">
        <f>IFERROR(VLOOKUP(Data!$G1408,canon!$I$2:$K$27,3,FALSE),"")</f>
        <v>APPAREL</v>
      </c>
      <c r="J1408" s="69">
        <f t="shared" si="42"/>
        <v>5</v>
      </c>
      <c r="K1408" s="69">
        <f t="shared" si="43"/>
        <v>37</v>
      </c>
      <c r="L1408" s="69">
        <f>VLOOKUP(Table_db1_backend_Daily.accdb[[#This Row],[TradingDate]],canon!B:E,4,0)</f>
        <v>31</v>
      </c>
    </row>
    <row r="1409" spans="1:12" x14ac:dyDescent="0.2">
      <c r="A1409" s="69" t="s">
        <v>41</v>
      </c>
      <c r="B1409" s="70">
        <v>42950</v>
      </c>
      <c r="C1409" s="69">
        <v>502</v>
      </c>
      <c r="D1409" s="69">
        <v>8</v>
      </c>
      <c r="E1409" s="69">
        <v>66.349999999999994</v>
      </c>
      <c r="F1409" s="69">
        <v>12.57</v>
      </c>
      <c r="G1409" s="69" t="s">
        <v>14</v>
      </c>
      <c r="H1409" s="69" t="str">
        <f>IFERROR(VLOOKUP(Data!$G1409,canon!$I$2:$K$27,2,FALSE),"")</f>
        <v>LEGGING</v>
      </c>
      <c r="I1409" s="69" t="str">
        <f>IFERROR(VLOOKUP(Data!$G1409,canon!$I$2:$K$27,3,FALSE),"")</f>
        <v>APPAREL</v>
      </c>
      <c r="J1409" s="69">
        <f t="shared" si="42"/>
        <v>5</v>
      </c>
      <c r="K1409" s="69">
        <f t="shared" si="43"/>
        <v>37</v>
      </c>
      <c r="L1409" s="69">
        <f>VLOOKUP(Table_db1_backend_Daily.accdb[[#This Row],[TradingDate]],canon!B:E,4,0)</f>
        <v>31</v>
      </c>
    </row>
    <row r="1410" spans="1:12" x14ac:dyDescent="0.2">
      <c r="A1410" s="69" t="s">
        <v>41</v>
      </c>
      <c r="B1410" s="70">
        <v>42950</v>
      </c>
      <c r="C1410" s="69">
        <v>-43</v>
      </c>
      <c r="D1410" s="69">
        <v>0</v>
      </c>
      <c r="E1410" s="69">
        <v>0</v>
      </c>
      <c r="F1410" s="69">
        <v>0</v>
      </c>
      <c r="G1410" s="69" t="s">
        <v>37</v>
      </c>
      <c r="H1410" s="69" t="str">
        <f>IFERROR(VLOOKUP(Data!$G1410,canon!$I$2:$K$27,2,FALSE),"")</f>
        <v>SHOES</v>
      </c>
      <c r="I1410" s="69" t="str">
        <f>IFERROR(VLOOKUP(Data!$G1410,canon!$I$2:$K$27,3,FALSE),"")</f>
        <v>N.APPAREL</v>
      </c>
      <c r="J1410" s="69">
        <f t="shared" ref="J1410:J1473" si="44">WEEKDAY(B1410)</f>
        <v>5</v>
      </c>
      <c r="K1410" s="69">
        <f t="shared" ref="K1410:K1473" si="45">INT(A1410)</f>
        <v>37</v>
      </c>
      <c r="L1410" s="69">
        <f>VLOOKUP(Table_db1_backend_Daily.accdb[[#This Row],[TradingDate]],canon!B:E,4,0)</f>
        <v>31</v>
      </c>
    </row>
    <row r="1411" spans="1:12" x14ac:dyDescent="0.2">
      <c r="A1411" s="69" t="s">
        <v>41</v>
      </c>
      <c r="B1411" s="70">
        <v>42950</v>
      </c>
      <c r="C1411" s="69">
        <v>17</v>
      </c>
      <c r="D1411" s="69">
        <v>0</v>
      </c>
      <c r="E1411" s="69">
        <v>0</v>
      </c>
      <c r="F1411" s="69">
        <v>0</v>
      </c>
      <c r="G1411" s="69" t="s">
        <v>29</v>
      </c>
      <c r="H1411" s="69" t="str">
        <f>IFERROR(VLOOKUP(Data!$G1411,canon!$I$2:$K$27,2,FALSE),"")</f>
        <v>SHOES</v>
      </c>
      <c r="I1411" s="69" t="str">
        <f>IFERROR(VLOOKUP(Data!$G1411,canon!$I$2:$K$27,3,FALSE),"")</f>
        <v>N.APPAREL</v>
      </c>
      <c r="J1411" s="69">
        <f t="shared" si="44"/>
        <v>5</v>
      </c>
      <c r="K1411" s="69">
        <f t="shared" si="45"/>
        <v>37</v>
      </c>
      <c r="L1411" s="69">
        <f>VLOOKUP(Table_db1_backend_Daily.accdb[[#This Row],[TradingDate]],canon!B:E,4,0)</f>
        <v>31</v>
      </c>
    </row>
    <row r="1412" spans="1:12" x14ac:dyDescent="0.2">
      <c r="A1412" s="69" t="s">
        <v>41</v>
      </c>
      <c r="B1412" s="70">
        <v>42950</v>
      </c>
      <c r="C1412" s="69">
        <v>399</v>
      </c>
      <c r="D1412" s="69">
        <v>8</v>
      </c>
      <c r="E1412" s="69">
        <v>104.5</v>
      </c>
      <c r="F1412" s="69">
        <v>29.739999999999995</v>
      </c>
      <c r="G1412" s="69" t="s">
        <v>17</v>
      </c>
      <c r="H1412" s="69" t="str">
        <f>IFERROR(VLOOKUP(Data!$G1412,canon!$I$2:$K$27,2,FALSE),"")</f>
        <v>OUTER</v>
      </c>
      <c r="I1412" s="69" t="str">
        <f>IFERROR(VLOOKUP(Data!$G1412,canon!$I$2:$K$27,3,FALSE),"")</f>
        <v>APPAREL</v>
      </c>
      <c r="J1412" s="69">
        <f t="shared" si="44"/>
        <v>5</v>
      </c>
      <c r="K1412" s="69">
        <f t="shared" si="45"/>
        <v>37</v>
      </c>
      <c r="L1412" s="69">
        <f>VLOOKUP(Table_db1_backend_Daily.accdb[[#This Row],[TradingDate]],canon!B:E,4,0)</f>
        <v>31</v>
      </c>
    </row>
    <row r="1413" spans="1:12" x14ac:dyDescent="0.2">
      <c r="A1413" s="69" t="s">
        <v>41</v>
      </c>
      <c r="B1413" s="70">
        <v>42950</v>
      </c>
      <c r="C1413" s="69">
        <v>249</v>
      </c>
      <c r="D1413" s="69">
        <v>10</v>
      </c>
      <c r="E1413" s="69">
        <v>81.759999999999991</v>
      </c>
      <c r="F1413" s="69">
        <v>19.77</v>
      </c>
      <c r="G1413" s="69" t="s">
        <v>19</v>
      </c>
      <c r="H1413" s="69" t="str">
        <f>IFERROR(VLOOKUP(Data!$G1413,canon!$I$2:$K$27,2,FALSE),"")</f>
        <v>PANT</v>
      </c>
      <c r="I1413" s="69" t="str">
        <f>IFERROR(VLOOKUP(Data!$G1413,canon!$I$2:$K$27,3,FALSE),"")</f>
        <v>APPAREL</v>
      </c>
      <c r="J1413" s="69">
        <f t="shared" si="44"/>
        <v>5</v>
      </c>
      <c r="K1413" s="69">
        <f t="shared" si="45"/>
        <v>37</v>
      </c>
      <c r="L1413" s="69">
        <f>VLOOKUP(Table_db1_backend_Daily.accdb[[#This Row],[TradingDate]],canon!B:E,4,0)</f>
        <v>31</v>
      </c>
    </row>
    <row r="1414" spans="1:12" x14ac:dyDescent="0.2">
      <c r="A1414" s="69" t="s">
        <v>41</v>
      </c>
      <c r="B1414" s="70">
        <v>42950</v>
      </c>
      <c r="C1414" s="69">
        <v>33</v>
      </c>
      <c r="D1414" s="69">
        <v>0</v>
      </c>
      <c r="E1414" s="69">
        <v>0</v>
      </c>
      <c r="F1414" s="69">
        <v>0</v>
      </c>
      <c r="G1414" s="69" t="s">
        <v>21</v>
      </c>
      <c r="H1414" s="69" t="str">
        <f>IFERROR(VLOOKUP(Data!$G1414,canon!$I$2:$K$27,2,FALSE),"")</f>
        <v>ACCESSORY</v>
      </c>
      <c r="I1414" s="69" t="str">
        <f>IFERROR(VLOOKUP(Data!$G1414,canon!$I$2:$K$27,3,FALSE),"")</f>
        <v>N.APPAREL</v>
      </c>
      <c r="J1414" s="69">
        <f t="shared" si="44"/>
        <v>5</v>
      </c>
      <c r="K1414" s="69">
        <f t="shared" si="45"/>
        <v>37</v>
      </c>
      <c r="L1414" s="69">
        <f>VLOOKUP(Table_db1_backend_Daily.accdb[[#This Row],[TradingDate]],canon!B:E,4,0)</f>
        <v>31</v>
      </c>
    </row>
    <row r="1415" spans="1:12" x14ac:dyDescent="0.2">
      <c r="A1415" s="69" t="s">
        <v>41</v>
      </c>
      <c r="B1415" s="70">
        <v>42950</v>
      </c>
      <c r="C1415" s="69">
        <v>962</v>
      </c>
      <c r="D1415" s="69">
        <v>11</v>
      </c>
      <c r="E1415" s="69">
        <v>50.04</v>
      </c>
      <c r="F1415" s="69">
        <v>35.480000000000004</v>
      </c>
      <c r="G1415" s="69" t="s">
        <v>22</v>
      </c>
      <c r="H1415" s="69" t="str">
        <f>IFERROR(VLOOKUP(Data!$G1415,canon!$I$2:$K$27,2,FALSE),"")</f>
        <v>SCARF</v>
      </c>
      <c r="I1415" s="69" t="str">
        <f>IFERROR(VLOOKUP(Data!$G1415,canon!$I$2:$K$27,3,FALSE),"")</f>
        <v>N.APPAREL</v>
      </c>
      <c r="J1415" s="69">
        <f t="shared" si="44"/>
        <v>5</v>
      </c>
      <c r="K1415" s="69">
        <f t="shared" si="45"/>
        <v>37</v>
      </c>
      <c r="L1415" s="69">
        <f>VLOOKUP(Table_db1_backend_Daily.accdb[[#This Row],[TradingDate]],canon!B:E,4,0)</f>
        <v>31</v>
      </c>
    </row>
    <row r="1416" spans="1:12" x14ac:dyDescent="0.2">
      <c r="A1416" s="69" t="s">
        <v>41</v>
      </c>
      <c r="B1416" s="70">
        <v>42950</v>
      </c>
      <c r="C1416" s="69">
        <v>191</v>
      </c>
      <c r="D1416" s="69">
        <v>3</v>
      </c>
      <c r="E1416" s="69">
        <v>31.77</v>
      </c>
      <c r="F1416" s="69">
        <v>7.42</v>
      </c>
      <c r="G1416" s="69" t="s">
        <v>23</v>
      </c>
      <c r="H1416" s="69" t="str">
        <f>IFERROR(VLOOKUP(Data!$G1416,canon!$I$2:$K$27,2,FALSE),"")</f>
        <v>SH&amp;BL</v>
      </c>
      <c r="I1416" s="69" t="str">
        <f>IFERROR(VLOOKUP(Data!$G1416,canon!$I$2:$K$27,3,FALSE),"")</f>
        <v>APPAREL</v>
      </c>
      <c r="J1416" s="69">
        <f t="shared" si="44"/>
        <v>5</v>
      </c>
      <c r="K1416" s="69">
        <f t="shared" si="45"/>
        <v>37</v>
      </c>
      <c r="L1416" s="69">
        <f>VLOOKUP(Table_db1_backend_Daily.accdb[[#This Row],[TradingDate]],canon!B:E,4,0)</f>
        <v>31</v>
      </c>
    </row>
    <row r="1417" spans="1:12" x14ac:dyDescent="0.2">
      <c r="A1417" s="69" t="s">
        <v>41</v>
      </c>
      <c r="B1417" s="70">
        <v>42950</v>
      </c>
      <c r="C1417" s="69">
        <v>462</v>
      </c>
      <c r="D1417" s="69">
        <v>2</v>
      </c>
      <c r="E1417" s="69">
        <v>22.69</v>
      </c>
      <c r="F1417" s="69">
        <v>10.290000000000001</v>
      </c>
      <c r="G1417" s="69" t="s">
        <v>32</v>
      </c>
      <c r="H1417" s="69" t="str">
        <f>IFERROR(VLOOKUP(Data!$G1417,canon!$I$2:$K$27,2,FALSE),"")</f>
        <v>SKIRT</v>
      </c>
      <c r="I1417" s="69" t="str">
        <f>IFERROR(VLOOKUP(Data!$G1417,canon!$I$2:$K$27,3,FALSE),"")</f>
        <v>APPAREL</v>
      </c>
      <c r="J1417" s="69">
        <f t="shared" si="44"/>
        <v>5</v>
      </c>
      <c r="K1417" s="69">
        <f t="shared" si="45"/>
        <v>37</v>
      </c>
      <c r="L1417" s="69">
        <f>VLOOKUP(Table_db1_backend_Daily.accdb[[#This Row],[TradingDate]],canon!B:E,4,0)</f>
        <v>31</v>
      </c>
    </row>
    <row r="1418" spans="1:12" x14ac:dyDescent="0.2">
      <c r="A1418" s="69" t="s">
        <v>41</v>
      </c>
      <c r="B1418" s="70">
        <v>42950</v>
      </c>
      <c r="C1418" s="69">
        <v>1266</v>
      </c>
      <c r="D1418" s="69">
        <v>25</v>
      </c>
      <c r="E1418" s="69">
        <v>213.38</v>
      </c>
      <c r="F1418" s="69">
        <v>65.97</v>
      </c>
      <c r="G1418" s="69" t="s">
        <v>25</v>
      </c>
      <c r="H1418" s="69" t="str">
        <f>IFERROR(VLOOKUP(Data!$G1418,canon!$I$2:$K$27,2,FALSE),"")</f>
        <v>TOP</v>
      </c>
      <c r="I1418" s="69" t="str">
        <f>IFERROR(VLOOKUP(Data!$G1418,canon!$I$2:$K$27,3,FALSE),"")</f>
        <v>APPAREL</v>
      </c>
      <c r="J1418" s="69">
        <f t="shared" si="44"/>
        <v>5</v>
      </c>
      <c r="K1418" s="69">
        <f t="shared" si="45"/>
        <v>37</v>
      </c>
      <c r="L1418" s="69">
        <f>VLOOKUP(Table_db1_backend_Daily.accdb[[#This Row],[TradingDate]],canon!B:E,4,0)</f>
        <v>31</v>
      </c>
    </row>
    <row r="1419" spans="1:12" x14ac:dyDescent="0.2">
      <c r="A1419" s="69" t="s">
        <v>41</v>
      </c>
      <c r="B1419" s="70">
        <v>42951</v>
      </c>
      <c r="C1419" s="69">
        <v>4</v>
      </c>
      <c r="D1419" s="69">
        <v>0</v>
      </c>
      <c r="E1419" s="69">
        <v>0</v>
      </c>
      <c r="F1419" s="69">
        <v>0</v>
      </c>
      <c r="G1419" s="69" t="s">
        <v>27</v>
      </c>
      <c r="H1419" s="69" t="str">
        <f>IFERROR(VLOOKUP(Data!$G1419,canon!$I$2:$K$27,2,FALSE),"")</f>
        <v>ACCESSORY</v>
      </c>
      <c r="I1419" s="69" t="str">
        <f>IFERROR(VLOOKUP(Data!$G1419,canon!$I$2:$K$27,3,FALSE),"")</f>
        <v>N.APPAREL</v>
      </c>
      <c r="J1419" s="69">
        <f t="shared" si="44"/>
        <v>6</v>
      </c>
      <c r="K1419" s="69">
        <f t="shared" si="45"/>
        <v>37</v>
      </c>
      <c r="L1419" s="69">
        <f>VLOOKUP(Table_db1_backend_Daily.accdb[[#This Row],[TradingDate]],canon!B:E,4,0)</f>
        <v>31</v>
      </c>
    </row>
    <row r="1420" spans="1:12" x14ac:dyDescent="0.2">
      <c r="A1420" s="69" t="s">
        <v>41</v>
      </c>
      <c r="B1420" s="70">
        <v>42951</v>
      </c>
      <c r="C1420" s="69">
        <v>26</v>
      </c>
      <c r="D1420" s="69">
        <v>0</v>
      </c>
      <c r="E1420" s="69">
        <v>0</v>
      </c>
      <c r="F1420" s="69">
        <v>0</v>
      </c>
      <c r="G1420" s="69" t="s">
        <v>34</v>
      </c>
      <c r="H1420" s="69" t="str">
        <f>IFERROR(VLOOKUP(Data!$G1420,canon!$I$2:$K$27,2,FALSE),"")</f>
        <v>SHOES</v>
      </c>
      <c r="I1420" s="69" t="str">
        <f>IFERROR(VLOOKUP(Data!$G1420,canon!$I$2:$K$27,3,FALSE),"")</f>
        <v>N.APPAREL</v>
      </c>
      <c r="J1420" s="69">
        <f t="shared" si="44"/>
        <v>6</v>
      </c>
      <c r="K1420" s="69">
        <f t="shared" si="45"/>
        <v>37</v>
      </c>
      <c r="L1420" s="69">
        <f>VLOOKUP(Table_db1_backend_Daily.accdb[[#This Row],[TradingDate]],canon!B:E,4,0)</f>
        <v>31</v>
      </c>
    </row>
    <row r="1421" spans="1:12" x14ac:dyDescent="0.2">
      <c r="A1421" s="69" t="s">
        <v>41</v>
      </c>
      <c r="B1421" s="70">
        <v>42951</v>
      </c>
      <c r="C1421" s="69">
        <v>3</v>
      </c>
      <c r="D1421" s="69">
        <v>0</v>
      </c>
      <c r="E1421" s="69">
        <v>0</v>
      </c>
      <c r="F1421" s="69">
        <v>0</v>
      </c>
      <c r="G1421" s="69" t="s">
        <v>38</v>
      </c>
      <c r="H1421" s="69" t="str">
        <f>IFERROR(VLOOKUP(Data!$G1421,canon!$I$2:$K$27,2,FALSE),"")</f>
        <v>SHOES</v>
      </c>
      <c r="I1421" s="69" t="str">
        <f>IFERROR(VLOOKUP(Data!$G1421,canon!$I$2:$K$27,3,FALSE),"")</f>
        <v>N.APPAREL</v>
      </c>
      <c r="J1421" s="69">
        <f t="shared" si="44"/>
        <v>6</v>
      </c>
      <c r="K1421" s="69">
        <f t="shared" si="45"/>
        <v>37</v>
      </c>
      <c r="L1421" s="69">
        <f>VLOOKUP(Table_db1_backend_Daily.accdb[[#This Row],[TradingDate]],canon!B:E,4,0)</f>
        <v>31</v>
      </c>
    </row>
    <row r="1422" spans="1:12" x14ac:dyDescent="0.2">
      <c r="A1422" s="69" t="s">
        <v>41</v>
      </c>
      <c r="B1422" s="70">
        <v>42951</v>
      </c>
      <c r="C1422" s="69">
        <v>731</v>
      </c>
      <c r="D1422" s="69">
        <v>9</v>
      </c>
      <c r="E1422" s="69">
        <v>77.239999999999995</v>
      </c>
      <c r="F1422" s="69">
        <v>-1.160000000000001</v>
      </c>
      <c r="G1422" s="69" t="s">
        <v>35</v>
      </c>
      <c r="H1422" s="69" t="str">
        <f>IFERROR(VLOOKUP(Data!$G1422,canon!$I$2:$K$27,2,FALSE),"")</f>
        <v>DRESS</v>
      </c>
      <c r="I1422" s="69" t="str">
        <f>IFERROR(VLOOKUP(Data!$G1422,canon!$I$2:$K$27,3,FALSE),"")</f>
        <v>APPAREL</v>
      </c>
      <c r="J1422" s="69">
        <f t="shared" si="44"/>
        <v>6</v>
      </c>
      <c r="K1422" s="69">
        <f t="shared" si="45"/>
        <v>37</v>
      </c>
      <c r="L1422" s="69">
        <f>VLOOKUP(Table_db1_backend_Daily.accdb[[#This Row],[TradingDate]],canon!B:E,4,0)</f>
        <v>31</v>
      </c>
    </row>
    <row r="1423" spans="1:12" x14ac:dyDescent="0.2">
      <c r="A1423" s="69" t="s">
        <v>41</v>
      </c>
      <c r="B1423" s="70">
        <v>42951</v>
      </c>
      <c r="C1423" s="69">
        <v>39</v>
      </c>
      <c r="D1423" s="69">
        <v>0</v>
      </c>
      <c r="E1423" s="69">
        <v>0</v>
      </c>
      <c r="F1423" s="69">
        <v>0</v>
      </c>
      <c r="G1423" s="69" t="s">
        <v>10</v>
      </c>
      <c r="H1423" s="69" t="str">
        <f>IFERROR(VLOOKUP(Data!$G1423,canon!$I$2:$K$27,2,FALSE),"")</f>
        <v>ACCESSORY</v>
      </c>
      <c r="I1423" s="69" t="str">
        <f>IFERROR(VLOOKUP(Data!$G1423,canon!$I$2:$K$27,3,FALSE),"")</f>
        <v>N.APPAREL</v>
      </c>
      <c r="J1423" s="69">
        <f t="shared" si="44"/>
        <v>6</v>
      </c>
      <c r="K1423" s="69">
        <f t="shared" si="45"/>
        <v>37</v>
      </c>
      <c r="L1423" s="69">
        <f>VLOOKUP(Table_db1_backend_Daily.accdb[[#This Row],[TradingDate]],canon!B:E,4,0)</f>
        <v>31</v>
      </c>
    </row>
    <row r="1424" spans="1:12" x14ac:dyDescent="0.2">
      <c r="A1424" s="69" t="s">
        <v>41</v>
      </c>
      <c r="B1424" s="70">
        <v>42951</v>
      </c>
      <c r="C1424" s="69">
        <v>2</v>
      </c>
      <c r="D1424" s="69">
        <v>0</v>
      </c>
      <c r="E1424" s="69">
        <v>0</v>
      </c>
      <c r="F1424" s="69">
        <v>0</v>
      </c>
      <c r="G1424" s="69" t="s">
        <v>28</v>
      </c>
      <c r="H1424" s="69" t="str">
        <f>IFERROR(VLOOKUP(Data!$G1424,canon!$I$2:$K$27,2,FALSE),"")</f>
        <v>ACCESSORY</v>
      </c>
      <c r="I1424" s="69" t="str">
        <f>IFERROR(VLOOKUP(Data!$G1424,canon!$I$2:$K$27,3,FALSE),"")</f>
        <v>N.APPAREL</v>
      </c>
      <c r="J1424" s="69">
        <f t="shared" si="44"/>
        <v>6</v>
      </c>
      <c r="K1424" s="69">
        <f t="shared" si="45"/>
        <v>37</v>
      </c>
      <c r="L1424" s="69">
        <f>VLOOKUP(Table_db1_backend_Daily.accdb[[#This Row],[TradingDate]],canon!B:E,4,0)</f>
        <v>31</v>
      </c>
    </row>
    <row r="1425" spans="1:12" x14ac:dyDescent="0.2">
      <c r="A1425" s="69" t="s">
        <v>41</v>
      </c>
      <c r="B1425" s="70">
        <v>42951</v>
      </c>
      <c r="C1425" s="69">
        <v>993</v>
      </c>
      <c r="D1425" s="69">
        <v>94</v>
      </c>
      <c r="E1425" s="69">
        <v>789.83999999999992</v>
      </c>
      <c r="F1425" s="69">
        <v>30.280000000000008</v>
      </c>
      <c r="G1425" s="69" t="s">
        <v>11</v>
      </c>
      <c r="H1425" s="69" t="str">
        <f>IFERROR(VLOOKUP(Data!$G1425,canon!$I$2:$K$27,2,FALSE),"")</f>
        <v>KNIT</v>
      </c>
      <c r="I1425" s="69" t="str">
        <f>IFERROR(VLOOKUP(Data!$G1425,canon!$I$2:$K$27,3,FALSE),"")</f>
        <v>APPAREL</v>
      </c>
      <c r="J1425" s="69">
        <f t="shared" si="44"/>
        <v>6</v>
      </c>
      <c r="K1425" s="69">
        <f t="shared" si="45"/>
        <v>37</v>
      </c>
      <c r="L1425" s="69">
        <f>VLOOKUP(Table_db1_backend_Daily.accdb[[#This Row],[TradingDate]],canon!B:E,4,0)</f>
        <v>31</v>
      </c>
    </row>
    <row r="1426" spans="1:12" x14ac:dyDescent="0.2">
      <c r="A1426" s="69" t="s">
        <v>41</v>
      </c>
      <c r="B1426" s="70">
        <v>42951</v>
      </c>
      <c r="C1426" s="69">
        <v>493</v>
      </c>
      <c r="D1426" s="69">
        <v>9</v>
      </c>
      <c r="E1426" s="69">
        <v>74.260000000000005</v>
      </c>
      <c r="F1426" s="69">
        <v>15.909999999999998</v>
      </c>
      <c r="G1426" s="69" t="s">
        <v>14</v>
      </c>
      <c r="H1426" s="69" t="str">
        <f>IFERROR(VLOOKUP(Data!$G1426,canon!$I$2:$K$27,2,FALSE),"")</f>
        <v>LEGGING</v>
      </c>
      <c r="I1426" s="69" t="str">
        <f>IFERROR(VLOOKUP(Data!$G1426,canon!$I$2:$K$27,3,FALSE),"")</f>
        <v>APPAREL</v>
      </c>
      <c r="J1426" s="69">
        <f t="shared" si="44"/>
        <v>6</v>
      </c>
      <c r="K1426" s="69">
        <f t="shared" si="45"/>
        <v>37</v>
      </c>
      <c r="L1426" s="69">
        <f>VLOOKUP(Table_db1_backend_Daily.accdb[[#This Row],[TradingDate]],canon!B:E,4,0)</f>
        <v>31</v>
      </c>
    </row>
    <row r="1427" spans="1:12" x14ac:dyDescent="0.2">
      <c r="A1427" s="69" t="s">
        <v>41</v>
      </c>
      <c r="B1427" s="70">
        <v>42951</v>
      </c>
      <c r="C1427" s="69">
        <v>-43</v>
      </c>
      <c r="D1427" s="69">
        <v>0</v>
      </c>
      <c r="E1427" s="69">
        <v>0</v>
      </c>
      <c r="F1427" s="69">
        <v>0</v>
      </c>
      <c r="G1427" s="69" t="s">
        <v>37</v>
      </c>
      <c r="H1427" s="69" t="str">
        <f>IFERROR(VLOOKUP(Data!$G1427,canon!$I$2:$K$27,2,FALSE),"")</f>
        <v>SHOES</v>
      </c>
      <c r="I1427" s="69" t="str">
        <f>IFERROR(VLOOKUP(Data!$G1427,canon!$I$2:$K$27,3,FALSE),"")</f>
        <v>N.APPAREL</v>
      </c>
      <c r="J1427" s="69">
        <f t="shared" si="44"/>
        <v>6</v>
      </c>
      <c r="K1427" s="69">
        <f t="shared" si="45"/>
        <v>37</v>
      </c>
      <c r="L1427" s="69">
        <f>VLOOKUP(Table_db1_backend_Daily.accdb[[#This Row],[TradingDate]],canon!B:E,4,0)</f>
        <v>31</v>
      </c>
    </row>
    <row r="1428" spans="1:12" x14ac:dyDescent="0.2">
      <c r="A1428" s="69" t="s">
        <v>41</v>
      </c>
      <c r="B1428" s="70">
        <v>42951</v>
      </c>
      <c r="C1428" s="69">
        <v>17</v>
      </c>
      <c r="D1428" s="69">
        <v>0</v>
      </c>
      <c r="E1428" s="69">
        <v>0</v>
      </c>
      <c r="F1428" s="69">
        <v>0</v>
      </c>
      <c r="G1428" s="69" t="s">
        <v>29</v>
      </c>
      <c r="H1428" s="69" t="str">
        <f>IFERROR(VLOOKUP(Data!$G1428,canon!$I$2:$K$27,2,FALSE),"")</f>
        <v>SHOES</v>
      </c>
      <c r="I1428" s="69" t="str">
        <f>IFERROR(VLOOKUP(Data!$G1428,canon!$I$2:$K$27,3,FALSE),"")</f>
        <v>N.APPAREL</v>
      </c>
      <c r="J1428" s="69">
        <f t="shared" si="44"/>
        <v>6</v>
      </c>
      <c r="K1428" s="69">
        <f t="shared" si="45"/>
        <v>37</v>
      </c>
      <c r="L1428" s="69">
        <f>VLOOKUP(Table_db1_backend_Daily.accdb[[#This Row],[TradingDate]],canon!B:E,4,0)</f>
        <v>31</v>
      </c>
    </row>
    <row r="1429" spans="1:12" x14ac:dyDescent="0.2">
      <c r="A1429" s="69" t="s">
        <v>41</v>
      </c>
      <c r="B1429" s="70">
        <v>42951</v>
      </c>
      <c r="C1429" s="69">
        <v>364</v>
      </c>
      <c r="D1429" s="69">
        <v>35</v>
      </c>
      <c r="E1429" s="69">
        <v>412.06</v>
      </c>
      <c r="F1429" s="69">
        <v>21.270000000000007</v>
      </c>
      <c r="G1429" s="69" t="s">
        <v>17</v>
      </c>
      <c r="H1429" s="69" t="str">
        <f>IFERROR(VLOOKUP(Data!$G1429,canon!$I$2:$K$27,2,FALSE),"")</f>
        <v>OUTER</v>
      </c>
      <c r="I1429" s="69" t="str">
        <f>IFERROR(VLOOKUP(Data!$G1429,canon!$I$2:$K$27,3,FALSE),"")</f>
        <v>APPAREL</v>
      </c>
      <c r="J1429" s="69">
        <f t="shared" si="44"/>
        <v>6</v>
      </c>
      <c r="K1429" s="69">
        <f t="shared" si="45"/>
        <v>37</v>
      </c>
      <c r="L1429" s="69">
        <f>VLOOKUP(Table_db1_backend_Daily.accdb[[#This Row],[TradingDate]],canon!B:E,4,0)</f>
        <v>31</v>
      </c>
    </row>
    <row r="1430" spans="1:12" x14ac:dyDescent="0.2">
      <c r="A1430" s="69" t="s">
        <v>41</v>
      </c>
      <c r="B1430" s="70">
        <v>42951</v>
      </c>
      <c r="C1430" s="69">
        <v>245</v>
      </c>
      <c r="D1430" s="69">
        <v>4</v>
      </c>
      <c r="E1430" s="69">
        <v>36.369999999999997</v>
      </c>
      <c r="F1430" s="69">
        <v>10.49</v>
      </c>
      <c r="G1430" s="69" t="s">
        <v>19</v>
      </c>
      <c r="H1430" s="69" t="str">
        <f>IFERROR(VLOOKUP(Data!$G1430,canon!$I$2:$K$27,2,FALSE),"")</f>
        <v>PANT</v>
      </c>
      <c r="I1430" s="69" t="str">
        <f>IFERROR(VLOOKUP(Data!$G1430,canon!$I$2:$K$27,3,FALSE),"")</f>
        <v>APPAREL</v>
      </c>
      <c r="J1430" s="69">
        <f t="shared" si="44"/>
        <v>6</v>
      </c>
      <c r="K1430" s="69">
        <f t="shared" si="45"/>
        <v>37</v>
      </c>
      <c r="L1430" s="69">
        <f>VLOOKUP(Table_db1_backend_Daily.accdb[[#This Row],[TradingDate]],canon!B:E,4,0)</f>
        <v>31</v>
      </c>
    </row>
    <row r="1431" spans="1:12" x14ac:dyDescent="0.2">
      <c r="A1431" s="69" t="s">
        <v>41</v>
      </c>
      <c r="B1431" s="70">
        <v>42951</v>
      </c>
      <c r="C1431" s="69">
        <v>33</v>
      </c>
      <c r="D1431" s="69">
        <v>0</v>
      </c>
      <c r="E1431" s="69">
        <v>0</v>
      </c>
      <c r="F1431" s="69">
        <v>0</v>
      </c>
      <c r="G1431" s="69" t="s">
        <v>21</v>
      </c>
      <c r="H1431" s="69" t="str">
        <f>IFERROR(VLOOKUP(Data!$G1431,canon!$I$2:$K$27,2,FALSE),"")</f>
        <v>ACCESSORY</v>
      </c>
      <c r="I1431" s="69" t="str">
        <f>IFERROR(VLOOKUP(Data!$G1431,canon!$I$2:$K$27,3,FALSE),"")</f>
        <v>N.APPAREL</v>
      </c>
      <c r="J1431" s="69">
        <f t="shared" si="44"/>
        <v>6</v>
      </c>
      <c r="K1431" s="69">
        <f t="shared" si="45"/>
        <v>37</v>
      </c>
      <c r="L1431" s="69">
        <f>VLOOKUP(Table_db1_backend_Daily.accdb[[#This Row],[TradingDate]],canon!B:E,4,0)</f>
        <v>31</v>
      </c>
    </row>
    <row r="1432" spans="1:12" x14ac:dyDescent="0.2">
      <c r="A1432" s="69" t="s">
        <v>41</v>
      </c>
      <c r="B1432" s="70">
        <v>42951</v>
      </c>
      <c r="C1432" s="69">
        <v>944</v>
      </c>
      <c r="D1432" s="69">
        <v>18</v>
      </c>
      <c r="E1432" s="69">
        <v>78.059999999999988</v>
      </c>
      <c r="F1432" s="69">
        <v>53.080000000000005</v>
      </c>
      <c r="G1432" s="69" t="s">
        <v>22</v>
      </c>
      <c r="H1432" s="69" t="str">
        <f>IFERROR(VLOOKUP(Data!$G1432,canon!$I$2:$K$27,2,FALSE),"")</f>
        <v>SCARF</v>
      </c>
      <c r="I1432" s="69" t="str">
        <f>IFERROR(VLOOKUP(Data!$G1432,canon!$I$2:$K$27,3,FALSE),"")</f>
        <v>N.APPAREL</v>
      </c>
      <c r="J1432" s="69">
        <f t="shared" si="44"/>
        <v>6</v>
      </c>
      <c r="K1432" s="69">
        <f t="shared" si="45"/>
        <v>37</v>
      </c>
      <c r="L1432" s="69">
        <f>VLOOKUP(Table_db1_backend_Daily.accdb[[#This Row],[TradingDate]],canon!B:E,4,0)</f>
        <v>31</v>
      </c>
    </row>
    <row r="1433" spans="1:12" x14ac:dyDescent="0.2">
      <c r="A1433" s="69" t="s">
        <v>41</v>
      </c>
      <c r="B1433" s="70">
        <v>42951</v>
      </c>
      <c r="C1433" s="69">
        <v>183</v>
      </c>
      <c r="D1433" s="69">
        <v>8</v>
      </c>
      <c r="E1433" s="69">
        <v>56.08</v>
      </c>
      <c r="F1433" s="69">
        <v>-9.14</v>
      </c>
      <c r="G1433" s="69" t="s">
        <v>23</v>
      </c>
      <c r="H1433" s="69" t="str">
        <f>IFERROR(VLOOKUP(Data!$G1433,canon!$I$2:$K$27,2,FALSE),"")</f>
        <v>SH&amp;BL</v>
      </c>
      <c r="I1433" s="69" t="str">
        <f>IFERROR(VLOOKUP(Data!$G1433,canon!$I$2:$K$27,3,FALSE),"")</f>
        <v>APPAREL</v>
      </c>
      <c r="J1433" s="69">
        <f t="shared" si="44"/>
        <v>6</v>
      </c>
      <c r="K1433" s="69">
        <f t="shared" si="45"/>
        <v>37</v>
      </c>
      <c r="L1433" s="69">
        <f>VLOOKUP(Table_db1_backend_Daily.accdb[[#This Row],[TradingDate]],canon!B:E,4,0)</f>
        <v>31</v>
      </c>
    </row>
    <row r="1434" spans="1:12" x14ac:dyDescent="0.2">
      <c r="A1434" s="69" t="s">
        <v>41</v>
      </c>
      <c r="B1434" s="70">
        <v>42951</v>
      </c>
      <c r="C1434" s="69">
        <v>450</v>
      </c>
      <c r="D1434" s="69">
        <v>12</v>
      </c>
      <c r="E1434" s="69">
        <v>83.64</v>
      </c>
      <c r="F1434" s="69">
        <v>-5.9699999999999989</v>
      </c>
      <c r="G1434" s="69" t="s">
        <v>32</v>
      </c>
      <c r="H1434" s="69" t="str">
        <f>IFERROR(VLOOKUP(Data!$G1434,canon!$I$2:$K$27,2,FALSE),"")</f>
        <v>SKIRT</v>
      </c>
      <c r="I1434" s="69" t="str">
        <f>IFERROR(VLOOKUP(Data!$G1434,canon!$I$2:$K$27,3,FALSE),"")</f>
        <v>APPAREL</v>
      </c>
      <c r="J1434" s="69">
        <f t="shared" si="44"/>
        <v>6</v>
      </c>
      <c r="K1434" s="69">
        <f t="shared" si="45"/>
        <v>37</v>
      </c>
      <c r="L1434" s="69">
        <f>VLOOKUP(Table_db1_backend_Daily.accdb[[#This Row],[TradingDate]],canon!B:E,4,0)</f>
        <v>31</v>
      </c>
    </row>
    <row r="1435" spans="1:12" x14ac:dyDescent="0.2">
      <c r="A1435" s="69" t="s">
        <v>41</v>
      </c>
      <c r="B1435" s="70">
        <v>42951</v>
      </c>
      <c r="C1435" s="69">
        <v>1220</v>
      </c>
      <c r="D1435" s="69">
        <v>46</v>
      </c>
      <c r="E1435" s="69">
        <v>324.06</v>
      </c>
      <c r="F1435" s="69">
        <v>43.47</v>
      </c>
      <c r="G1435" s="69" t="s">
        <v>25</v>
      </c>
      <c r="H1435" s="69" t="str">
        <f>IFERROR(VLOOKUP(Data!$G1435,canon!$I$2:$K$27,2,FALSE),"")</f>
        <v>TOP</v>
      </c>
      <c r="I1435" s="69" t="str">
        <f>IFERROR(VLOOKUP(Data!$G1435,canon!$I$2:$K$27,3,FALSE),"")</f>
        <v>APPAREL</v>
      </c>
      <c r="J1435" s="69">
        <f t="shared" si="44"/>
        <v>6</v>
      </c>
      <c r="K1435" s="69">
        <f t="shared" si="45"/>
        <v>37</v>
      </c>
      <c r="L1435" s="69">
        <f>VLOOKUP(Table_db1_backend_Daily.accdb[[#This Row],[TradingDate]],canon!B:E,4,0)</f>
        <v>31</v>
      </c>
    </row>
    <row r="1436" spans="1:12" x14ac:dyDescent="0.2">
      <c r="A1436" s="69" t="s">
        <v>41</v>
      </c>
      <c r="B1436" s="70">
        <v>42952</v>
      </c>
      <c r="C1436" s="69">
        <v>4</v>
      </c>
      <c r="D1436" s="69">
        <v>0</v>
      </c>
      <c r="E1436" s="69">
        <v>0</v>
      </c>
      <c r="F1436" s="69">
        <v>0</v>
      </c>
      <c r="G1436" s="69" t="s">
        <v>27</v>
      </c>
      <c r="H1436" s="69" t="str">
        <f>IFERROR(VLOOKUP(Data!$G1436,canon!$I$2:$K$27,2,FALSE),"")</f>
        <v>ACCESSORY</v>
      </c>
      <c r="I1436" s="69" t="str">
        <f>IFERROR(VLOOKUP(Data!$G1436,canon!$I$2:$K$27,3,FALSE),"")</f>
        <v>N.APPAREL</v>
      </c>
      <c r="J1436" s="69">
        <f t="shared" si="44"/>
        <v>7</v>
      </c>
      <c r="K1436" s="69">
        <f t="shared" si="45"/>
        <v>37</v>
      </c>
      <c r="L1436" s="69">
        <f>VLOOKUP(Table_db1_backend_Daily.accdb[[#This Row],[TradingDate]],canon!B:E,4,0)</f>
        <v>31</v>
      </c>
    </row>
    <row r="1437" spans="1:12" x14ac:dyDescent="0.2">
      <c r="A1437" s="69" t="s">
        <v>41</v>
      </c>
      <c r="B1437" s="70">
        <v>42952</v>
      </c>
      <c r="C1437" s="69">
        <v>26</v>
      </c>
      <c r="D1437" s="69">
        <v>0</v>
      </c>
      <c r="E1437" s="69">
        <v>0</v>
      </c>
      <c r="F1437" s="69">
        <v>0</v>
      </c>
      <c r="G1437" s="69" t="s">
        <v>34</v>
      </c>
      <c r="H1437" s="69" t="str">
        <f>IFERROR(VLOOKUP(Data!$G1437,canon!$I$2:$K$27,2,FALSE),"")</f>
        <v>SHOES</v>
      </c>
      <c r="I1437" s="69" t="str">
        <f>IFERROR(VLOOKUP(Data!$G1437,canon!$I$2:$K$27,3,FALSE),"")</f>
        <v>N.APPAREL</v>
      </c>
      <c r="J1437" s="69">
        <f t="shared" si="44"/>
        <v>7</v>
      </c>
      <c r="K1437" s="69">
        <f t="shared" si="45"/>
        <v>37</v>
      </c>
      <c r="L1437" s="69">
        <f>VLOOKUP(Table_db1_backend_Daily.accdb[[#This Row],[TradingDate]],canon!B:E,4,0)</f>
        <v>31</v>
      </c>
    </row>
    <row r="1438" spans="1:12" x14ac:dyDescent="0.2">
      <c r="A1438" s="69" t="s">
        <v>41</v>
      </c>
      <c r="B1438" s="70">
        <v>42952</v>
      </c>
      <c r="C1438" s="69">
        <v>3</v>
      </c>
      <c r="D1438" s="69">
        <v>0</v>
      </c>
      <c r="E1438" s="69">
        <v>0</v>
      </c>
      <c r="F1438" s="69">
        <v>0</v>
      </c>
      <c r="G1438" s="69" t="s">
        <v>38</v>
      </c>
      <c r="H1438" s="69" t="str">
        <f>IFERROR(VLOOKUP(Data!$G1438,canon!$I$2:$K$27,2,FALSE),"")</f>
        <v>SHOES</v>
      </c>
      <c r="I1438" s="69" t="str">
        <f>IFERROR(VLOOKUP(Data!$G1438,canon!$I$2:$K$27,3,FALSE),"")</f>
        <v>N.APPAREL</v>
      </c>
      <c r="J1438" s="69">
        <f t="shared" si="44"/>
        <v>7</v>
      </c>
      <c r="K1438" s="69">
        <f t="shared" si="45"/>
        <v>37</v>
      </c>
      <c r="L1438" s="69">
        <f>VLOOKUP(Table_db1_backend_Daily.accdb[[#This Row],[TradingDate]],canon!B:E,4,0)</f>
        <v>31</v>
      </c>
    </row>
    <row r="1439" spans="1:12" x14ac:dyDescent="0.2">
      <c r="A1439" s="69" t="s">
        <v>41</v>
      </c>
      <c r="B1439" s="70">
        <v>42952</v>
      </c>
      <c r="C1439" s="69">
        <v>716</v>
      </c>
      <c r="D1439" s="69">
        <v>15</v>
      </c>
      <c r="E1439" s="69">
        <v>140.89000000000001</v>
      </c>
      <c r="F1439" s="69">
        <v>23.050000000000004</v>
      </c>
      <c r="G1439" s="69" t="s">
        <v>35</v>
      </c>
      <c r="H1439" s="69" t="str">
        <f>IFERROR(VLOOKUP(Data!$G1439,canon!$I$2:$K$27,2,FALSE),"")</f>
        <v>DRESS</v>
      </c>
      <c r="I1439" s="69" t="str">
        <f>IFERROR(VLOOKUP(Data!$G1439,canon!$I$2:$K$27,3,FALSE),"")</f>
        <v>APPAREL</v>
      </c>
      <c r="J1439" s="69">
        <f t="shared" si="44"/>
        <v>7</v>
      </c>
      <c r="K1439" s="69">
        <f t="shared" si="45"/>
        <v>37</v>
      </c>
      <c r="L1439" s="69">
        <f>VLOOKUP(Table_db1_backend_Daily.accdb[[#This Row],[TradingDate]],canon!B:E,4,0)</f>
        <v>31</v>
      </c>
    </row>
    <row r="1440" spans="1:12" x14ac:dyDescent="0.2">
      <c r="A1440" s="69" t="s">
        <v>41</v>
      </c>
      <c r="B1440" s="70">
        <v>42952</v>
      </c>
      <c r="C1440" s="69">
        <v>39</v>
      </c>
      <c r="D1440" s="69">
        <v>0</v>
      </c>
      <c r="E1440" s="69">
        <v>0</v>
      </c>
      <c r="F1440" s="69">
        <v>0</v>
      </c>
      <c r="G1440" s="69" t="s">
        <v>10</v>
      </c>
      <c r="H1440" s="69" t="str">
        <f>IFERROR(VLOOKUP(Data!$G1440,canon!$I$2:$K$27,2,FALSE),"")</f>
        <v>ACCESSORY</v>
      </c>
      <c r="I1440" s="69" t="str">
        <f>IFERROR(VLOOKUP(Data!$G1440,canon!$I$2:$K$27,3,FALSE),"")</f>
        <v>N.APPAREL</v>
      </c>
      <c r="J1440" s="69">
        <f t="shared" si="44"/>
        <v>7</v>
      </c>
      <c r="K1440" s="69">
        <f t="shared" si="45"/>
        <v>37</v>
      </c>
      <c r="L1440" s="69">
        <f>VLOOKUP(Table_db1_backend_Daily.accdb[[#This Row],[TradingDate]],canon!B:E,4,0)</f>
        <v>31</v>
      </c>
    </row>
    <row r="1441" spans="1:12" x14ac:dyDescent="0.2">
      <c r="A1441" s="69" t="s">
        <v>41</v>
      </c>
      <c r="B1441" s="70">
        <v>42952</v>
      </c>
      <c r="C1441" s="69">
        <v>2</v>
      </c>
      <c r="D1441" s="69">
        <v>0</v>
      </c>
      <c r="E1441" s="69">
        <v>0</v>
      </c>
      <c r="F1441" s="69">
        <v>0</v>
      </c>
      <c r="G1441" s="69" t="s">
        <v>28</v>
      </c>
      <c r="H1441" s="69" t="str">
        <f>IFERROR(VLOOKUP(Data!$G1441,canon!$I$2:$K$27,2,FALSE),"")</f>
        <v>ACCESSORY</v>
      </c>
      <c r="I1441" s="69" t="str">
        <f>IFERROR(VLOOKUP(Data!$G1441,canon!$I$2:$K$27,3,FALSE),"")</f>
        <v>N.APPAREL</v>
      </c>
      <c r="J1441" s="69">
        <f t="shared" si="44"/>
        <v>7</v>
      </c>
      <c r="K1441" s="69">
        <f t="shared" si="45"/>
        <v>37</v>
      </c>
      <c r="L1441" s="69">
        <f>VLOOKUP(Table_db1_backend_Daily.accdb[[#This Row],[TradingDate]],canon!B:E,4,0)</f>
        <v>31</v>
      </c>
    </row>
    <row r="1442" spans="1:12" x14ac:dyDescent="0.2">
      <c r="A1442" s="69" t="s">
        <v>41</v>
      </c>
      <c r="B1442" s="70">
        <v>42952</v>
      </c>
      <c r="C1442" s="69">
        <v>918</v>
      </c>
      <c r="D1442" s="69">
        <v>75</v>
      </c>
      <c r="E1442" s="69">
        <v>645.33000000000004</v>
      </c>
      <c r="F1442" s="69">
        <v>28.13999999999999</v>
      </c>
      <c r="G1442" s="69" t="s">
        <v>11</v>
      </c>
      <c r="H1442" s="69" t="str">
        <f>IFERROR(VLOOKUP(Data!$G1442,canon!$I$2:$K$27,2,FALSE),"")</f>
        <v>KNIT</v>
      </c>
      <c r="I1442" s="69" t="str">
        <f>IFERROR(VLOOKUP(Data!$G1442,canon!$I$2:$K$27,3,FALSE),"")</f>
        <v>APPAREL</v>
      </c>
      <c r="J1442" s="69">
        <f t="shared" si="44"/>
        <v>7</v>
      </c>
      <c r="K1442" s="69">
        <f t="shared" si="45"/>
        <v>37</v>
      </c>
      <c r="L1442" s="69">
        <f>VLOOKUP(Table_db1_backend_Daily.accdb[[#This Row],[TradingDate]],canon!B:E,4,0)</f>
        <v>31</v>
      </c>
    </row>
    <row r="1443" spans="1:12" x14ac:dyDescent="0.2">
      <c r="A1443" s="69" t="s">
        <v>41</v>
      </c>
      <c r="B1443" s="70">
        <v>42952</v>
      </c>
      <c r="C1443" s="69">
        <v>477</v>
      </c>
      <c r="D1443" s="69">
        <v>16</v>
      </c>
      <c r="E1443" s="69">
        <v>81.84</v>
      </c>
      <c r="F1443" s="69">
        <v>-29.879999999999995</v>
      </c>
      <c r="G1443" s="69" t="s">
        <v>14</v>
      </c>
      <c r="H1443" s="69" t="str">
        <f>IFERROR(VLOOKUP(Data!$G1443,canon!$I$2:$K$27,2,FALSE),"")</f>
        <v>LEGGING</v>
      </c>
      <c r="I1443" s="69" t="str">
        <f>IFERROR(VLOOKUP(Data!$G1443,canon!$I$2:$K$27,3,FALSE),"")</f>
        <v>APPAREL</v>
      </c>
      <c r="J1443" s="69">
        <f t="shared" si="44"/>
        <v>7</v>
      </c>
      <c r="K1443" s="69">
        <f t="shared" si="45"/>
        <v>37</v>
      </c>
      <c r="L1443" s="69">
        <f>VLOOKUP(Table_db1_backend_Daily.accdb[[#This Row],[TradingDate]],canon!B:E,4,0)</f>
        <v>31</v>
      </c>
    </row>
    <row r="1444" spans="1:12" x14ac:dyDescent="0.2">
      <c r="A1444" s="69" t="s">
        <v>41</v>
      </c>
      <c r="B1444" s="70">
        <v>42952</v>
      </c>
      <c r="C1444" s="69">
        <v>-43</v>
      </c>
      <c r="D1444" s="69">
        <v>0</v>
      </c>
      <c r="E1444" s="69">
        <v>0</v>
      </c>
      <c r="F1444" s="69">
        <v>0</v>
      </c>
      <c r="G1444" s="69" t="s">
        <v>37</v>
      </c>
      <c r="H1444" s="69" t="str">
        <f>IFERROR(VLOOKUP(Data!$G1444,canon!$I$2:$K$27,2,FALSE),"")</f>
        <v>SHOES</v>
      </c>
      <c r="I1444" s="69" t="str">
        <f>IFERROR(VLOOKUP(Data!$G1444,canon!$I$2:$K$27,3,FALSE),"")</f>
        <v>N.APPAREL</v>
      </c>
      <c r="J1444" s="69">
        <f t="shared" si="44"/>
        <v>7</v>
      </c>
      <c r="K1444" s="69">
        <f t="shared" si="45"/>
        <v>37</v>
      </c>
      <c r="L1444" s="69">
        <f>VLOOKUP(Table_db1_backend_Daily.accdb[[#This Row],[TradingDate]],canon!B:E,4,0)</f>
        <v>31</v>
      </c>
    </row>
    <row r="1445" spans="1:12" x14ac:dyDescent="0.2">
      <c r="A1445" s="69" t="s">
        <v>41</v>
      </c>
      <c r="B1445" s="70">
        <v>42952</v>
      </c>
      <c r="C1445" s="69">
        <v>17</v>
      </c>
      <c r="D1445" s="69">
        <v>0</v>
      </c>
      <c r="E1445" s="69">
        <v>0</v>
      </c>
      <c r="F1445" s="69">
        <v>0</v>
      </c>
      <c r="G1445" s="69" t="s">
        <v>29</v>
      </c>
      <c r="H1445" s="69" t="str">
        <f>IFERROR(VLOOKUP(Data!$G1445,canon!$I$2:$K$27,2,FALSE),"")</f>
        <v>SHOES</v>
      </c>
      <c r="I1445" s="69" t="str">
        <f>IFERROR(VLOOKUP(Data!$G1445,canon!$I$2:$K$27,3,FALSE),"")</f>
        <v>N.APPAREL</v>
      </c>
      <c r="J1445" s="69">
        <f t="shared" si="44"/>
        <v>7</v>
      </c>
      <c r="K1445" s="69">
        <f t="shared" si="45"/>
        <v>37</v>
      </c>
      <c r="L1445" s="69">
        <f>VLOOKUP(Table_db1_backend_Daily.accdb[[#This Row],[TradingDate]],canon!B:E,4,0)</f>
        <v>31</v>
      </c>
    </row>
    <row r="1446" spans="1:12" x14ac:dyDescent="0.2">
      <c r="A1446" s="69" t="s">
        <v>41</v>
      </c>
      <c r="B1446" s="70">
        <v>42952</v>
      </c>
      <c r="C1446" s="69">
        <v>333</v>
      </c>
      <c r="D1446" s="69">
        <v>31</v>
      </c>
      <c r="E1446" s="69">
        <v>363.43</v>
      </c>
      <c r="F1446" s="69">
        <v>42.089999999999989</v>
      </c>
      <c r="G1446" s="69" t="s">
        <v>17</v>
      </c>
      <c r="H1446" s="69" t="str">
        <f>IFERROR(VLOOKUP(Data!$G1446,canon!$I$2:$K$27,2,FALSE),"")</f>
        <v>OUTER</v>
      </c>
      <c r="I1446" s="69" t="str">
        <f>IFERROR(VLOOKUP(Data!$G1446,canon!$I$2:$K$27,3,FALSE),"")</f>
        <v>APPAREL</v>
      </c>
      <c r="J1446" s="69">
        <f t="shared" si="44"/>
        <v>7</v>
      </c>
      <c r="K1446" s="69">
        <f t="shared" si="45"/>
        <v>37</v>
      </c>
      <c r="L1446" s="69">
        <f>VLOOKUP(Table_db1_backend_Daily.accdb[[#This Row],[TradingDate]],canon!B:E,4,0)</f>
        <v>31</v>
      </c>
    </row>
    <row r="1447" spans="1:12" x14ac:dyDescent="0.2">
      <c r="A1447" s="69" t="s">
        <v>41</v>
      </c>
      <c r="B1447" s="70">
        <v>42952</v>
      </c>
      <c r="C1447" s="69">
        <v>234</v>
      </c>
      <c r="D1447" s="69">
        <v>11</v>
      </c>
      <c r="E1447" s="69">
        <v>118.13999999999999</v>
      </c>
      <c r="F1447" s="69">
        <v>46.05</v>
      </c>
      <c r="G1447" s="69" t="s">
        <v>19</v>
      </c>
      <c r="H1447" s="69" t="str">
        <f>IFERROR(VLOOKUP(Data!$G1447,canon!$I$2:$K$27,2,FALSE),"")</f>
        <v>PANT</v>
      </c>
      <c r="I1447" s="69" t="str">
        <f>IFERROR(VLOOKUP(Data!$G1447,canon!$I$2:$K$27,3,FALSE),"")</f>
        <v>APPAREL</v>
      </c>
      <c r="J1447" s="69">
        <f t="shared" si="44"/>
        <v>7</v>
      </c>
      <c r="K1447" s="69">
        <f t="shared" si="45"/>
        <v>37</v>
      </c>
      <c r="L1447" s="69">
        <f>VLOOKUP(Table_db1_backend_Daily.accdb[[#This Row],[TradingDate]],canon!B:E,4,0)</f>
        <v>31</v>
      </c>
    </row>
    <row r="1448" spans="1:12" x14ac:dyDescent="0.2">
      <c r="A1448" s="69" t="s">
        <v>41</v>
      </c>
      <c r="B1448" s="70">
        <v>42952</v>
      </c>
      <c r="C1448" s="69">
        <v>33</v>
      </c>
      <c r="D1448" s="69">
        <v>0</v>
      </c>
      <c r="E1448" s="69">
        <v>0</v>
      </c>
      <c r="F1448" s="69">
        <v>0</v>
      </c>
      <c r="G1448" s="69" t="s">
        <v>21</v>
      </c>
      <c r="H1448" s="69" t="str">
        <f>IFERROR(VLOOKUP(Data!$G1448,canon!$I$2:$K$27,2,FALSE),"")</f>
        <v>ACCESSORY</v>
      </c>
      <c r="I1448" s="69" t="str">
        <f>IFERROR(VLOOKUP(Data!$G1448,canon!$I$2:$K$27,3,FALSE),"")</f>
        <v>N.APPAREL</v>
      </c>
      <c r="J1448" s="69">
        <f t="shared" si="44"/>
        <v>7</v>
      </c>
      <c r="K1448" s="69">
        <f t="shared" si="45"/>
        <v>37</v>
      </c>
      <c r="L1448" s="69">
        <f>VLOOKUP(Table_db1_backend_Daily.accdb[[#This Row],[TradingDate]],canon!B:E,4,0)</f>
        <v>31</v>
      </c>
    </row>
    <row r="1449" spans="1:12" x14ac:dyDescent="0.2">
      <c r="A1449" s="69" t="s">
        <v>41</v>
      </c>
      <c r="B1449" s="70">
        <v>42952</v>
      </c>
      <c r="C1449" s="69">
        <v>929</v>
      </c>
      <c r="D1449" s="69">
        <v>15</v>
      </c>
      <c r="E1449" s="69">
        <v>68.22999999999999</v>
      </c>
      <c r="F1449" s="69">
        <v>43.79</v>
      </c>
      <c r="G1449" s="69" t="s">
        <v>22</v>
      </c>
      <c r="H1449" s="69" t="str">
        <f>IFERROR(VLOOKUP(Data!$G1449,canon!$I$2:$K$27,2,FALSE),"")</f>
        <v>SCARF</v>
      </c>
      <c r="I1449" s="69" t="str">
        <f>IFERROR(VLOOKUP(Data!$G1449,canon!$I$2:$K$27,3,FALSE),"")</f>
        <v>N.APPAREL</v>
      </c>
      <c r="J1449" s="69">
        <f t="shared" si="44"/>
        <v>7</v>
      </c>
      <c r="K1449" s="69">
        <f t="shared" si="45"/>
        <v>37</v>
      </c>
      <c r="L1449" s="69">
        <f>VLOOKUP(Table_db1_backend_Daily.accdb[[#This Row],[TradingDate]],canon!B:E,4,0)</f>
        <v>31</v>
      </c>
    </row>
    <row r="1450" spans="1:12" x14ac:dyDescent="0.2">
      <c r="A1450" s="69" t="s">
        <v>41</v>
      </c>
      <c r="B1450" s="70">
        <v>42952</v>
      </c>
      <c r="C1450" s="69">
        <v>169</v>
      </c>
      <c r="D1450" s="69">
        <v>14</v>
      </c>
      <c r="E1450" s="69">
        <v>163.52000000000001</v>
      </c>
      <c r="F1450" s="69">
        <v>51.75</v>
      </c>
      <c r="G1450" s="69" t="s">
        <v>23</v>
      </c>
      <c r="H1450" s="69" t="str">
        <f>IFERROR(VLOOKUP(Data!$G1450,canon!$I$2:$K$27,2,FALSE),"")</f>
        <v>SH&amp;BL</v>
      </c>
      <c r="I1450" s="69" t="str">
        <f>IFERROR(VLOOKUP(Data!$G1450,canon!$I$2:$K$27,3,FALSE),"")</f>
        <v>APPAREL</v>
      </c>
      <c r="J1450" s="69">
        <f t="shared" si="44"/>
        <v>7</v>
      </c>
      <c r="K1450" s="69">
        <f t="shared" si="45"/>
        <v>37</v>
      </c>
      <c r="L1450" s="69">
        <f>VLOOKUP(Table_db1_backend_Daily.accdb[[#This Row],[TradingDate]],canon!B:E,4,0)</f>
        <v>31</v>
      </c>
    </row>
    <row r="1451" spans="1:12" x14ac:dyDescent="0.2">
      <c r="A1451" s="69" t="s">
        <v>41</v>
      </c>
      <c r="B1451" s="70">
        <v>42952</v>
      </c>
      <c r="C1451" s="69">
        <v>446</v>
      </c>
      <c r="D1451" s="69">
        <v>4</v>
      </c>
      <c r="E1451" s="69">
        <v>31.810000000000002</v>
      </c>
      <c r="F1451" s="69">
        <v>4.3000000000000007</v>
      </c>
      <c r="G1451" s="69" t="s">
        <v>32</v>
      </c>
      <c r="H1451" s="69" t="str">
        <f>IFERROR(VLOOKUP(Data!$G1451,canon!$I$2:$K$27,2,FALSE),"")</f>
        <v>SKIRT</v>
      </c>
      <c r="I1451" s="69" t="str">
        <f>IFERROR(VLOOKUP(Data!$G1451,canon!$I$2:$K$27,3,FALSE),"")</f>
        <v>APPAREL</v>
      </c>
      <c r="J1451" s="69">
        <f t="shared" si="44"/>
        <v>7</v>
      </c>
      <c r="K1451" s="69">
        <f t="shared" si="45"/>
        <v>37</v>
      </c>
      <c r="L1451" s="69">
        <f>VLOOKUP(Table_db1_backend_Daily.accdb[[#This Row],[TradingDate]],canon!B:E,4,0)</f>
        <v>31</v>
      </c>
    </row>
    <row r="1452" spans="1:12" x14ac:dyDescent="0.2">
      <c r="A1452" s="69" t="s">
        <v>41</v>
      </c>
      <c r="B1452" s="70">
        <v>42952</v>
      </c>
      <c r="C1452" s="69">
        <v>1201</v>
      </c>
      <c r="D1452" s="69">
        <v>19</v>
      </c>
      <c r="E1452" s="69">
        <v>163.54000000000005</v>
      </c>
      <c r="F1452" s="69">
        <v>54.74</v>
      </c>
      <c r="G1452" s="69" t="s">
        <v>25</v>
      </c>
      <c r="H1452" s="69" t="str">
        <f>IFERROR(VLOOKUP(Data!$G1452,canon!$I$2:$K$27,2,FALSE),"")</f>
        <v>TOP</v>
      </c>
      <c r="I1452" s="69" t="str">
        <f>IFERROR(VLOOKUP(Data!$G1452,canon!$I$2:$K$27,3,FALSE),"")</f>
        <v>APPAREL</v>
      </c>
      <c r="J1452" s="69">
        <f t="shared" si="44"/>
        <v>7</v>
      </c>
      <c r="K1452" s="69">
        <f t="shared" si="45"/>
        <v>37</v>
      </c>
      <c r="L1452" s="69">
        <f>VLOOKUP(Table_db1_backend_Daily.accdb[[#This Row],[TradingDate]],canon!B:E,4,0)</f>
        <v>31</v>
      </c>
    </row>
    <row r="1453" spans="1:12" x14ac:dyDescent="0.2">
      <c r="A1453" s="69" t="s">
        <v>42</v>
      </c>
      <c r="B1453" s="70">
        <v>42925</v>
      </c>
      <c r="C1453" s="69">
        <v>-2</v>
      </c>
      <c r="D1453" s="69">
        <v>0</v>
      </c>
      <c r="E1453" s="69">
        <v>0</v>
      </c>
      <c r="F1453" s="69">
        <v>0</v>
      </c>
      <c r="G1453" s="69" t="s">
        <v>34</v>
      </c>
      <c r="H1453" s="69" t="str">
        <f>IFERROR(VLOOKUP(Data!$G1453,canon!$I$2:$K$27,2,FALSE),"")</f>
        <v>SHOES</v>
      </c>
      <c r="I1453" s="69" t="str">
        <f>IFERROR(VLOOKUP(Data!$G1453,canon!$I$2:$K$27,3,FALSE),"")</f>
        <v>N.APPAREL</v>
      </c>
      <c r="J1453" s="69">
        <f t="shared" si="44"/>
        <v>1</v>
      </c>
      <c r="K1453" s="69">
        <f t="shared" si="45"/>
        <v>41</v>
      </c>
      <c r="L1453" s="69">
        <f>VLOOKUP(Table_db1_backend_Daily.accdb[[#This Row],[TradingDate]],canon!B:E,4,0)</f>
        <v>28</v>
      </c>
    </row>
    <row r="1454" spans="1:12" x14ac:dyDescent="0.2">
      <c r="A1454" s="69" t="s">
        <v>42</v>
      </c>
      <c r="B1454" s="70">
        <v>42925</v>
      </c>
      <c r="C1454" s="69">
        <v>607</v>
      </c>
      <c r="D1454" s="69">
        <v>2</v>
      </c>
      <c r="E1454" s="69">
        <v>52.26</v>
      </c>
      <c r="F1454" s="69">
        <v>35.090000000000003</v>
      </c>
      <c r="G1454" s="69" t="s">
        <v>35</v>
      </c>
      <c r="H1454" s="69" t="str">
        <f>IFERROR(VLOOKUP(Data!$G1454,canon!$I$2:$K$27,2,FALSE),"")</f>
        <v>DRESS</v>
      </c>
      <c r="I1454" s="69" t="str">
        <f>IFERROR(VLOOKUP(Data!$G1454,canon!$I$2:$K$27,3,FALSE),"")</f>
        <v>APPAREL</v>
      </c>
      <c r="J1454" s="69">
        <f t="shared" si="44"/>
        <v>1</v>
      </c>
      <c r="K1454" s="69">
        <f t="shared" si="45"/>
        <v>41</v>
      </c>
      <c r="L1454" s="69">
        <f>VLOOKUP(Table_db1_backend_Daily.accdb[[#This Row],[TradingDate]],canon!B:E,4,0)</f>
        <v>28</v>
      </c>
    </row>
    <row r="1455" spans="1:12" x14ac:dyDescent="0.2">
      <c r="A1455" s="69" t="s">
        <v>42</v>
      </c>
      <c r="B1455" s="70">
        <v>42925</v>
      </c>
      <c r="C1455" s="69">
        <v>-107</v>
      </c>
      <c r="D1455" s="69">
        <v>0</v>
      </c>
      <c r="E1455" s="69">
        <v>0</v>
      </c>
      <c r="F1455" s="69">
        <v>0</v>
      </c>
      <c r="G1455" s="69" t="s">
        <v>10</v>
      </c>
      <c r="H1455" s="69" t="str">
        <f>IFERROR(VLOOKUP(Data!$G1455,canon!$I$2:$K$27,2,FALSE),"")</f>
        <v>ACCESSORY</v>
      </c>
      <c r="I1455" s="69" t="str">
        <f>IFERROR(VLOOKUP(Data!$G1455,canon!$I$2:$K$27,3,FALSE),"")</f>
        <v>N.APPAREL</v>
      </c>
      <c r="J1455" s="69">
        <f t="shared" si="44"/>
        <v>1</v>
      </c>
      <c r="K1455" s="69">
        <f t="shared" si="45"/>
        <v>41</v>
      </c>
      <c r="L1455" s="69">
        <f>VLOOKUP(Table_db1_backend_Daily.accdb[[#This Row],[TradingDate]],canon!B:E,4,0)</f>
        <v>28</v>
      </c>
    </row>
    <row r="1456" spans="1:12" x14ac:dyDescent="0.2">
      <c r="A1456" s="69" t="s">
        <v>42</v>
      </c>
      <c r="B1456" s="70">
        <v>42925</v>
      </c>
      <c r="C1456" s="69">
        <v>1256</v>
      </c>
      <c r="D1456" s="69">
        <v>23</v>
      </c>
      <c r="E1456" s="69">
        <v>292.88000000000005</v>
      </c>
      <c r="F1456" s="69">
        <v>117.23</v>
      </c>
      <c r="G1456" s="69" t="s">
        <v>11</v>
      </c>
      <c r="H1456" s="69" t="str">
        <f>IFERROR(VLOOKUP(Data!$G1456,canon!$I$2:$K$27,2,FALSE),"")</f>
        <v>KNIT</v>
      </c>
      <c r="I1456" s="69" t="str">
        <f>IFERROR(VLOOKUP(Data!$G1456,canon!$I$2:$K$27,3,FALSE),"")</f>
        <v>APPAREL</v>
      </c>
      <c r="J1456" s="69">
        <f t="shared" si="44"/>
        <v>1</v>
      </c>
      <c r="K1456" s="69">
        <f t="shared" si="45"/>
        <v>41</v>
      </c>
      <c r="L1456" s="69">
        <f>VLOOKUP(Table_db1_backend_Daily.accdb[[#This Row],[TradingDate]],canon!B:E,4,0)</f>
        <v>28</v>
      </c>
    </row>
    <row r="1457" spans="1:12" x14ac:dyDescent="0.2">
      <c r="A1457" s="69" t="s">
        <v>42</v>
      </c>
      <c r="B1457" s="70">
        <v>42925</v>
      </c>
      <c r="C1457" s="69">
        <v>394</v>
      </c>
      <c r="D1457" s="69">
        <v>3</v>
      </c>
      <c r="E1457" s="69">
        <v>40.89</v>
      </c>
      <c r="F1457" s="69">
        <v>21</v>
      </c>
      <c r="G1457" s="69" t="s">
        <v>14</v>
      </c>
      <c r="H1457" s="69" t="str">
        <f>IFERROR(VLOOKUP(Data!$G1457,canon!$I$2:$K$27,2,FALSE),"")</f>
        <v>LEGGING</v>
      </c>
      <c r="I1457" s="69" t="str">
        <f>IFERROR(VLOOKUP(Data!$G1457,canon!$I$2:$K$27,3,FALSE),"")</f>
        <v>APPAREL</v>
      </c>
      <c r="J1457" s="69">
        <f t="shared" si="44"/>
        <v>1</v>
      </c>
      <c r="K1457" s="69">
        <f t="shared" si="45"/>
        <v>41</v>
      </c>
      <c r="L1457" s="69">
        <f>VLOOKUP(Table_db1_backend_Daily.accdb[[#This Row],[TradingDate]],canon!B:E,4,0)</f>
        <v>28</v>
      </c>
    </row>
    <row r="1458" spans="1:12" x14ac:dyDescent="0.2">
      <c r="A1458" s="69" t="s">
        <v>42</v>
      </c>
      <c r="B1458" s="70">
        <v>42925</v>
      </c>
      <c r="C1458" s="69">
        <v>-91</v>
      </c>
      <c r="D1458" s="69">
        <v>0</v>
      </c>
      <c r="E1458" s="69">
        <v>0</v>
      </c>
      <c r="F1458" s="69">
        <v>0</v>
      </c>
      <c r="G1458" s="69" t="s">
        <v>37</v>
      </c>
      <c r="H1458" s="69" t="str">
        <f>IFERROR(VLOOKUP(Data!$G1458,canon!$I$2:$K$27,2,FALSE),"")</f>
        <v>SHOES</v>
      </c>
      <c r="I1458" s="69" t="str">
        <f>IFERROR(VLOOKUP(Data!$G1458,canon!$I$2:$K$27,3,FALSE),"")</f>
        <v>N.APPAREL</v>
      </c>
      <c r="J1458" s="69">
        <f t="shared" si="44"/>
        <v>1</v>
      </c>
      <c r="K1458" s="69">
        <f t="shared" si="45"/>
        <v>41</v>
      </c>
      <c r="L1458" s="69">
        <f>VLOOKUP(Table_db1_backend_Daily.accdb[[#This Row],[TradingDate]],canon!B:E,4,0)</f>
        <v>28</v>
      </c>
    </row>
    <row r="1459" spans="1:12" x14ac:dyDescent="0.2">
      <c r="A1459" s="69" t="s">
        <v>42</v>
      </c>
      <c r="B1459" s="70">
        <v>42925</v>
      </c>
      <c r="C1459" s="69">
        <v>-3</v>
      </c>
      <c r="D1459" s="69">
        <v>0</v>
      </c>
      <c r="E1459" s="69">
        <v>0</v>
      </c>
      <c r="F1459" s="69">
        <v>0</v>
      </c>
      <c r="G1459" s="69" t="s">
        <v>29</v>
      </c>
      <c r="H1459" s="69" t="str">
        <f>IFERROR(VLOOKUP(Data!$G1459,canon!$I$2:$K$27,2,FALSE),"")</f>
        <v>SHOES</v>
      </c>
      <c r="I1459" s="69" t="str">
        <f>IFERROR(VLOOKUP(Data!$G1459,canon!$I$2:$K$27,3,FALSE),"")</f>
        <v>N.APPAREL</v>
      </c>
      <c r="J1459" s="69">
        <f t="shared" si="44"/>
        <v>1</v>
      </c>
      <c r="K1459" s="69">
        <f t="shared" si="45"/>
        <v>41</v>
      </c>
      <c r="L1459" s="69">
        <f>VLOOKUP(Table_db1_backend_Daily.accdb[[#This Row],[TradingDate]],canon!B:E,4,0)</f>
        <v>28</v>
      </c>
    </row>
    <row r="1460" spans="1:12" x14ac:dyDescent="0.2">
      <c r="A1460" s="69" t="s">
        <v>42</v>
      </c>
      <c r="B1460" s="70">
        <v>42925</v>
      </c>
      <c r="C1460" s="69">
        <v>490</v>
      </c>
      <c r="D1460" s="69">
        <v>5</v>
      </c>
      <c r="E1460" s="69">
        <v>31.790000000000003</v>
      </c>
      <c r="F1460" s="69">
        <v>-7.3699999999999992</v>
      </c>
      <c r="G1460" s="69" t="s">
        <v>17</v>
      </c>
      <c r="H1460" s="69" t="str">
        <f>IFERROR(VLOOKUP(Data!$G1460,canon!$I$2:$K$27,2,FALSE),"")</f>
        <v>OUTER</v>
      </c>
      <c r="I1460" s="69" t="str">
        <f>IFERROR(VLOOKUP(Data!$G1460,canon!$I$2:$K$27,3,FALSE),"")</f>
        <v>APPAREL</v>
      </c>
      <c r="J1460" s="69">
        <f t="shared" si="44"/>
        <v>1</v>
      </c>
      <c r="K1460" s="69">
        <f t="shared" si="45"/>
        <v>41</v>
      </c>
      <c r="L1460" s="69">
        <f>VLOOKUP(Table_db1_backend_Daily.accdb[[#This Row],[TradingDate]],canon!B:E,4,0)</f>
        <v>28</v>
      </c>
    </row>
    <row r="1461" spans="1:12" x14ac:dyDescent="0.2">
      <c r="A1461" s="69" t="s">
        <v>42</v>
      </c>
      <c r="B1461" s="70">
        <v>42925</v>
      </c>
      <c r="C1461" s="69">
        <v>406</v>
      </c>
      <c r="D1461" s="69">
        <v>0</v>
      </c>
      <c r="E1461" s="69">
        <v>0</v>
      </c>
      <c r="F1461" s="69">
        <v>0</v>
      </c>
      <c r="G1461" s="69" t="s">
        <v>19</v>
      </c>
      <c r="H1461" s="69" t="str">
        <f>IFERROR(VLOOKUP(Data!$G1461,canon!$I$2:$K$27,2,FALSE),"")</f>
        <v>PANT</v>
      </c>
      <c r="I1461" s="69" t="str">
        <f>IFERROR(VLOOKUP(Data!$G1461,canon!$I$2:$K$27,3,FALSE),"")</f>
        <v>APPAREL</v>
      </c>
      <c r="J1461" s="69">
        <f t="shared" si="44"/>
        <v>1</v>
      </c>
      <c r="K1461" s="69">
        <f t="shared" si="45"/>
        <v>41</v>
      </c>
      <c r="L1461" s="69">
        <f>VLOOKUP(Table_db1_backend_Daily.accdb[[#This Row],[TradingDate]],canon!B:E,4,0)</f>
        <v>28</v>
      </c>
    </row>
    <row r="1462" spans="1:12" x14ac:dyDescent="0.2">
      <c r="A1462" s="69" t="s">
        <v>42</v>
      </c>
      <c r="B1462" s="70">
        <v>42925</v>
      </c>
      <c r="C1462" s="69">
        <v>0</v>
      </c>
      <c r="D1462" s="69">
        <v>0</v>
      </c>
      <c r="E1462" s="69">
        <v>0</v>
      </c>
      <c r="F1462" s="69">
        <v>0</v>
      </c>
      <c r="G1462" s="69" t="s">
        <v>21</v>
      </c>
      <c r="H1462" s="69" t="str">
        <f>IFERROR(VLOOKUP(Data!$G1462,canon!$I$2:$K$27,2,FALSE),"")</f>
        <v>ACCESSORY</v>
      </c>
      <c r="I1462" s="69" t="str">
        <f>IFERROR(VLOOKUP(Data!$G1462,canon!$I$2:$K$27,3,FALSE),"")</f>
        <v>N.APPAREL</v>
      </c>
      <c r="J1462" s="69">
        <f t="shared" si="44"/>
        <v>1</v>
      </c>
      <c r="K1462" s="69">
        <f t="shared" si="45"/>
        <v>41</v>
      </c>
      <c r="L1462" s="69">
        <f>VLOOKUP(Table_db1_backend_Daily.accdb[[#This Row],[TradingDate]],canon!B:E,4,0)</f>
        <v>28</v>
      </c>
    </row>
    <row r="1463" spans="1:12" x14ac:dyDescent="0.2">
      <c r="A1463" s="69" t="s">
        <v>42</v>
      </c>
      <c r="B1463" s="70">
        <v>42925</v>
      </c>
      <c r="C1463" s="69">
        <v>32</v>
      </c>
      <c r="D1463" s="69">
        <v>8</v>
      </c>
      <c r="E1463" s="69">
        <v>49.779999999999987</v>
      </c>
      <c r="F1463" s="69">
        <v>33.239999999999995</v>
      </c>
      <c r="G1463" s="69" t="s">
        <v>22</v>
      </c>
      <c r="H1463" s="69" t="str">
        <f>IFERROR(VLOOKUP(Data!$G1463,canon!$I$2:$K$27,2,FALSE),"")</f>
        <v>SCARF</v>
      </c>
      <c r="I1463" s="69" t="str">
        <f>IFERROR(VLOOKUP(Data!$G1463,canon!$I$2:$K$27,3,FALSE),"")</f>
        <v>N.APPAREL</v>
      </c>
      <c r="J1463" s="69">
        <f t="shared" si="44"/>
        <v>1</v>
      </c>
      <c r="K1463" s="69">
        <f t="shared" si="45"/>
        <v>41</v>
      </c>
      <c r="L1463" s="69">
        <f>VLOOKUP(Table_db1_backend_Daily.accdb[[#This Row],[TradingDate]],canon!B:E,4,0)</f>
        <v>28</v>
      </c>
    </row>
    <row r="1464" spans="1:12" x14ac:dyDescent="0.2">
      <c r="A1464" s="69" t="s">
        <v>42</v>
      </c>
      <c r="B1464" s="70">
        <v>42925</v>
      </c>
      <c r="C1464" s="69">
        <v>147</v>
      </c>
      <c r="D1464" s="69">
        <v>1</v>
      </c>
      <c r="E1464" s="69">
        <v>27.25</v>
      </c>
      <c r="F1464" s="69">
        <v>18.34</v>
      </c>
      <c r="G1464" s="69" t="s">
        <v>23</v>
      </c>
      <c r="H1464" s="69" t="str">
        <f>IFERROR(VLOOKUP(Data!$G1464,canon!$I$2:$K$27,2,FALSE),"")</f>
        <v>SH&amp;BL</v>
      </c>
      <c r="I1464" s="69" t="str">
        <f>IFERROR(VLOOKUP(Data!$G1464,canon!$I$2:$K$27,3,FALSE),"")</f>
        <v>APPAREL</v>
      </c>
      <c r="J1464" s="69">
        <f t="shared" si="44"/>
        <v>1</v>
      </c>
      <c r="K1464" s="69">
        <f t="shared" si="45"/>
        <v>41</v>
      </c>
      <c r="L1464" s="69">
        <f>VLOOKUP(Table_db1_backend_Daily.accdb[[#This Row],[TradingDate]],canon!B:E,4,0)</f>
        <v>28</v>
      </c>
    </row>
    <row r="1465" spans="1:12" x14ac:dyDescent="0.2">
      <c r="A1465" s="69" t="s">
        <v>42</v>
      </c>
      <c r="B1465" s="70">
        <v>42925</v>
      </c>
      <c r="C1465" s="69">
        <v>288</v>
      </c>
      <c r="D1465" s="69">
        <v>1</v>
      </c>
      <c r="E1465" s="69">
        <v>9.09</v>
      </c>
      <c r="F1465" s="69">
        <v>1.26</v>
      </c>
      <c r="G1465" s="69" t="s">
        <v>32</v>
      </c>
      <c r="H1465" s="69" t="str">
        <f>IFERROR(VLOOKUP(Data!$G1465,canon!$I$2:$K$27,2,FALSE),"")</f>
        <v>SKIRT</v>
      </c>
      <c r="I1465" s="69" t="str">
        <f>IFERROR(VLOOKUP(Data!$G1465,canon!$I$2:$K$27,3,FALSE),"")</f>
        <v>APPAREL</v>
      </c>
      <c r="J1465" s="69">
        <f t="shared" si="44"/>
        <v>1</v>
      </c>
      <c r="K1465" s="69">
        <f t="shared" si="45"/>
        <v>41</v>
      </c>
      <c r="L1465" s="69">
        <f>VLOOKUP(Table_db1_backend_Daily.accdb[[#This Row],[TradingDate]],canon!B:E,4,0)</f>
        <v>28</v>
      </c>
    </row>
    <row r="1466" spans="1:12" x14ac:dyDescent="0.2">
      <c r="A1466" s="69" t="s">
        <v>42</v>
      </c>
      <c r="B1466" s="70">
        <v>42925</v>
      </c>
      <c r="C1466" s="69">
        <v>1273</v>
      </c>
      <c r="D1466" s="69">
        <v>28</v>
      </c>
      <c r="E1466" s="69">
        <v>140.94</v>
      </c>
      <c r="F1466" s="69">
        <v>2.0500000000000016</v>
      </c>
      <c r="G1466" s="69" t="s">
        <v>25</v>
      </c>
      <c r="H1466" s="69" t="str">
        <f>IFERROR(VLOOKUP(Data!$G1466,canon!$I$2:$K$27,2,FALSE),"")</f>
        <v>TOP</v>
      </c>
      <c r="I1466" s="69" t="str">
        <f>IFERROR(VLOOKUP(Data!$G1466,canon!$I$2:$K$27,3,FALSE),"")</f>
        <v>APPAREL</v>
      </c>
      <c r="J1466" s="69">
        <f t="shared" si="44"/>
        <v>1</v>
      </c>
      <c r="K1466" s="69">
        <f t="shared" si="45"/>
        <v>41</v>
      </c>
      <c r="L1466" s="69">
        <f>VLOOKUP(Table_db1_backend_Daily.accdb[[#This Row],[TradingDate]],canon!B:E,4,0)</f>
        <v>28</v>
      </c>
    </row>
    <row r="1467" spans="1:12" x14ac:dyDescent="0.2">
      <c r="A1467" s="69" t="s">
        <v>42</v>
      </c>
      <c r="B1467" s="70">
        <v>42926</v>
      </c>
      <c r="C1467" s="69">
        <v>-2</v>
      </c>
      <c r="D1467" s="69">
        <v>0</v>
      </c>
      <c r="E1467" s="69">
        <v>0</v>
      </c>
      <c r="F1467" s="69">
        <v>0</v>
      </c>
      <c r="G1467" s="69" t="s">
        <v>34</v>
      </c>
      <c r="H1467" s="69" t="str">
        <f>IFERROR(VLOOKUP(Data!$G1467,canon!$I$2:$K$27,2,FALSE),"")</f>
        <v>SHOES</v>
      </c>
      <c r="I1467" s="69" t="str">
        <f>IFERROR(VLOOKUP(Data!$G1467,canon!$I$2:$K$27,3,FALSE),"")</f>
        <v>N.APPAREL</v>
      </c>
      <c r="J1467" s="69">
        <f t="shared" si="44"/>
        <v>2</v>
      </c>
      <c r="K1467" s="69">
        <f t="shared" si="45"/>
        <v>41</v>
      </c>
      <c r="L1467" s="69">
        <f>VLOOKUP(Table_db1_backend_Daily.accdb[[#This Row],[TradingDate]],canon!B:E,4,0)</f>
        <v>28</v>
      </c>
    </row>
    <row r="1468" spans="1:12" x14ac:dyDescent="0.2">
      <c r="A1468" s="69" t="s">
        <v>42</v>
      </c>
      <c r="B1468" s="70">
        <v>42926</v>
      </c>
      <c r="C1468" s="69">
        <v>607</v>
      </c>
      <c r="D1468" s="69">
        <v>0</v>
      </c>
      <c r="E1468" s="69">
        <v>0</v>
      </c>
      <c r="F1468" s="69">
        <v>0</v>
      </c>
      <c r="G1468" s="69" t="s">
        <v>35</v>
      </c>
      <c r="H1468" s="69" t="str">
        <f>IFERROR(VLOOKUP(Data!$G1468,canon!$I$2:$K$27,2,FALSE),"")</f>
        <v>DRESS</v>
      </c>
      <c r="I1468" s="69" t="str">
        <f>IFERROR(VLOOKUP(Data!$G1468,canon!$I$2:$K$27,3,FALSE),"")</f>
        <v>APPAREL</v>
      </c>
      <c r="J1468" s="69">
        <f t="shared" si="44"/>
        <v>2</v>
      </c>
      <c r="K1468" s="69">
        <f t="shared" si="45"/>
        <v>41</v>
      </c>
      <c r="L1468" s="69">
        <f>VLOOKUP(Table_db1_backend_Daily.accdb[[#This Row],[TradingDate]],canon!B:E,4,0)</f>
        <v>28</v>
      </c>
    </row>
    <row r="1469" spans="1:12" x14ac:dyDescent="0.2">
      <c r="A1469" s="69" t="s">
        <v>42</v>
      </c>
      <c r="B1469" s="70">
        <v>42926</v>
      </c>
      <c r="C1469" s="69">
        <v>-107</v>
      </c>
      <c r="D1469" s="69">
        <v>0</v>
      </c>
      <c r="E1469" s="69">
        <v>0</v>
      </c>
      <c r="F1469" s="69">
        <v>0</v>
      </c>
      <c r="G1469" s="69" t="s">
        <v>10</v>
      </c>
      <c r="H1469" s="69" t="str">
        <f>IFERROR(VLOOKUP(Data!$G1469,canon!$I$2:$K$27,2,FALSE),"")</f>
        <v>ACCESSORY</v>
      </c>
      <c r="I1469" s="69" t="str">
        <f>IFERROR(VLOOKUP(Data!$G1469,canon!$I$2:$K$27,3,FALSE),"")</f>
        <v>N.APPAREL</v>
      </c>
      <c r="J1469" s="69">
        <f t="shared" si="44"/>
        <v>2</v>
      </c>
      <c r="K1469" s="69">
        <f t="shared" si="45"/>
        <v>41</v>
      </c>
      <c r="L1469" s="69">
        <f>VLOOKUP(Table_db1_backend_Daily.accdb[[#This Row],[TradingDate]],canon!B:E,4,0)</f>
        <v>28</v>
      </c>
    </row>
    <row r="1470" spans="1:12" x14ac:dyDescent="0.2">
      <c r="A1470" s="69" t="s">
        <v>42</v>
      </c>
      <c r="B1470" s="70">
        <v>42926</v>
      </c>
      <c r="C1470" s="69">
        <v>1424</v>
      </c>
      <c r="D1470" s="69">
        <v>24</v>
      </c>
      <c r="E1470" s="69">
        <v>286.09000000000009</v>
      </c>
      <c r="F1470" s="69">
        <v>101.77</v>
      </c>
      <c r="G1470" s="69" t="s">
        <v>11</v>
      </c>
      <c r="H1470" s="69" t="str">
        <f>IFERROR(VLOOKUP(Data!$G1470,canon!$I$2:$K$27,2,FALSE),"")</f>
        <v>KNIT</v>
      </c>
      <c r="I1470" s="69" t="str">
        <f>IFERROR(VLOOKUP(Data!$G1470,canon!$I$2:$K$27,3,FALSE),"")</f>
        <v>APPAREL</v>
      </c>
      <c r="J1470" s="69">
        <f t="shared" si="44"/>
        <v>2</v>
      </c>
      <c r="K1470" s="69">
        <f t="shared" si="45"/>
        <v>41</v>
      </c>
      <c r="L1470" s="69">
        <f>VLOOKUP(Table_db1_backend_Daily.accdb[[#This Row],[TradingDate]],canon!B:E,4,0)</f>
        <v>28</v>
      </c>
    </row>
    <row r="1471" spans="1:12" x14ac:dyDescent="0.2">
      <c r="A1471" s="69" t="s">
        <v>42</v>
      </c>
      <c r="B1471" s="70">
        <v>42926</v>
      </c>
      <c r="C1471" s="69">
        <v>394</v>
      </c>
      <c r="D1471" s="69">
        <v>0</v>
      </c>
      <c r="E1471" s="69">
        <v>0</v>
      </c>
      <c r="F1471" s="69">
        <v>0</v>
      </c>
      <c r="G1471" s="69" t="s">
        <v>14</v>
      </c>
      <c r="H1471" s="69" t="str">
        <f>IFERROR(VLOOKUP(Data!$G1471,canon!$I$2:$K$27,2,FALSE),"")</f>
        <v>LEGGING</v>
      </c>
      <c r="I1471" s="69" t="str">
        <f>IFERROR(VLOOKUP(Data!$G1471,canon!$I$2:$K$27,3,FALSE),"")</f>
        <v>APPAREL</v>
      </c>
      <c r="J1471" s="69">
        <f t="shared" si="44"/>
        <v>2</v>
      </c>
      <c r="K1471" s="69">
        <f t="shared" si="45"/>
        <v>41</v>
      </c>
      <c r="L1471" s="69">
        <f>VLOOKUP(Table_db1_backend_Daily.accdb[[#This Row],[TradingDate]],canon!B:E,4,0)</f>
        <v>28</v>
      </c>
    </row>
    <row r="1472" spans="1:12" x14ac:dyDescent="0.2">
      <c r="A1472" s="69" t="s">
        <v>42</v>
      </c>
      <c r="B1472" s="70">
        <v>42926</v>
      </c>
      <c r="C1472" s="69">
        <v>-91</v>
      </c>
      <c r="D1472" s="69">
        <v>0</v>
      </c>
      <c r="E1472" s="69">
        <v>0</v>
      </c>
      <c r="F1472" s="69">
        <v>0</v>
      </c>
      <c r="G1472" s="69" t="s">
        <v>37</v>
      </c>
      <c r="H1472" s="69" t="str">
        <f>IFERROR(VLOOKUP(Data!$G1472,canon!$I$2:$K$27,2,FALSE),"")</f>
        <v>SHOES</v>
      </c>
      <c r="I1472" s="69" t="str">
        <f>IFERROR(VLOOKUP(Data!$G1472,canon!$I$2:$K$27,3,FALSE),"")</f>
        <v>N.APPAREL</v>
      </c>
      <c r="J1472" s="69">
        <f t="shared" si="44"/>
        <v>2</v>
      </c>
      <c r="K1472" s="69">
        <f t="shared" si="45"/>
        <v>41</v>
      </c>
      <c r="L1472" s="69">
        <f>VLOOKUP(Table_db1_backend_Daily.accdb[[#This Row],[TradingDate]],canon!B:E,4,0)</f>
        <v>28</v>
      </c>
    </row>
    <row r="1473" spans="1:12" x14ac:dyDescent="0.2">
      <c r="A1473" s="69" t="s">
        <v>42</v>
      </c>
      <c r="B1473" s="70">
        <v>42926</v>
      </c>
      <c r="C1473" s="69">
        <v>-3</v>
      </c>
      <c r="D1473" s="69">
        <v>0</v>
      </c>
      <c r="E1473" s="69">
        <v>0</v>
      </c>
      <c r="F1473" s="69">
        <v>0</v>
      </c>
      <c r="G1473" s="69" t="s">
        <v>29</v>
      </c>
      <c r="H1473" s="69" t="str">
        <f>IFERROR(VLOOKUP(Data!$G1473,canon!$I$2:$K$27,2,FALSE),"")</f>
        <v>SHOES</v>
      </c>
      <c r="I1473" s="69" t="str">
        <f>IFERROR(VLOOKUP(Data!$G1473,canon!$I$2:$K$27,3,FALSE),"")</f>
        <v>N.APPAREL</v>
      </c>
      <c r="J1473" s="69">
        <f t="shared" si="44"/>
        <v>2</v>
      </c>
      <c r="K1473" s="69">
        <f t="shared" si="45"/>
        <v>41</v>
      </c>
      <c r="L1473" s="69">
        <f>VLOOKUP(Table_db1_backend_Daily.accdb[[#This Row],[TradingDate]],canon!B:E,4,0)</f>
        <v>28</v>
      </c>
    </row>
    <row r="1474" spans="1:12" x14ac:dyDescent="0.2">
      <c r="A1474" s="69" t="s">
        <v>42</v>
      </c>
      <c r="B1474" s="70">
        <v>42926</v>
      </c>
      <c r="C1474" s="69">
        <v>490</v>
      </c>
      <c r="D1474" s="69">
        <v>0</v>
      </c>
      <c r="E1474" s="69">
        <v>0</v>
      </c>
      <c r="F1474" s="69">
        <v>0</v>
      </c>
      <c r="G1474" s="69" t="s">
        <v>17</v>
      </c>
      <c r="H1474" s="69" t="str">
        <f>IFERROR(VLOOKUP(Data!$G1474,canon!$I$2:$K$27,2,FALSE),"")</f>
        <v>OUTER</v>
      </c>
      <c r="I1474" s="69" t="str">
        <f>IFERROR(VLOOKUP(Data!$G1474,canon!$I$2:$K$27,3,FALSE),"")</f>
        <v>APPAREL</v>
      </c>
      <c r="J1474" s="69">
        <f t="shared" ref="J1474:J1537" si="46">WEEKDAY(B1474)</f>
        <v>2</v>
      </c>
      <c r="K1474" s="69">
        <f t="shared" ref="K1474:K1537" si="47">INT(A1474)</f>
        <v>41</v>
      </c>
      <c r="L1474" s="69">
        <f>VLOOKUP(Table_db1_backend_Daily.accdb[[#This Row],[TradingDate]],canon!B:E,4,0)</f>
        <v>28</v>
      </c>
    </row>
    <row r="1475" spans="1:12" x14ac:dyDescent="0.2">
      <c r="A1475" s="69" t="s">
        <v>42</v>
      </c>
      <c r="B1475" s="70">
        <v>42926</v>
      </c>
      <c r="C1475" s="69">
        <v>405</v>
      </c>
      <c r="D1475" s="69">
        <v>1</v>
      </c>
      <c r="E1475" s="69">
        <v>21.78</v>
      </c>
      <c r="F1475" s="69">
        <v>13.08</v>
      </c>
      <c r="G1475" s="69" t="s">
        <v>19</v>
      </c>
      <c r="H1475" s="69" t="str">
        <f>IFERROR(VLOOKUP(Data!$G1475,canon!$I$2:$K$27,2,FALSE),"")</f>
        <v>PANT</v>
      </c>
      <c r="I1475" s="69" t="str">
        <f>IFERROR(VLOOKUP(Data!$G1475,canon!$I$2:$K$27,3,FALSE),"")</f>
        <v>APPAREL</v>
      </c>
      <c r="J1475" s="69">
        <f t="shared" si="46"/>
        <v>2</v>
      </c>
      <c r="K1475" s="69">
        <f t="shared" si="47"/>
        <v>41</v>
      </c>
      <c r="L1475" s="69">
        <f>VLOOKUP(Table_db1_backend_Daily.accdb[[#This Row],[TradingDate]],canon!B:E,4,0)</f>
        <v>28</v>
      </c>
    </row>
    <row r="1476" spans="1:12" x14ac:dyDescent="0.2">
      <c r="A1476" s="69" t="s">
        <v>42</v>
      </c>
      <c r="B1476" s="70">
        <v>42926</v>
      </c>
      <c r="C1476" s="69">
        <v>0</v>
      </c>
      <c r="D1476" s="69">
        <v>0</v>
      </c>
      <c r="E1476" s="69">
        <v>0</v>
      </c>
      <c r="F1476" s="69">
        <v>0</v>
      </c>
      <c r="G1476" s="69" t="s">
        <v>21</v>
      </c>
      <c r="H1476" s="69" t="str">
        <f>IFERROR(VLOOKUP(Data!$G1476,canon!$I$2:$K$27,2,FALSE),"")</f>
        <v>ACCESSORY</v>
      </c>
      <c r="I1476" s="69" t="str">
        <f>IFERROR(VLOOKUP(Data!$G1476,canon!$I$2:$K$27,3,FALSE),"")</f>
        <v>N.APPAREL</v>
      </c>
      <c r="J1476" s="69">
        <f t="shared" si="46"/>
        <v>2</v>
      </c>
      <c r="K1476" s="69">
        <f t="shared" si="47"/>
        <v>41</v>
      </c>
      <c r="L1476" s="69">
        <f>VLOOKUP(Table_db1_backend_Daily.accdb[[#This Row],[TradingDate]],canon!B:E,4,0)</f>
        <v>28</v>
      </c>
    </row>
    <row r="1477" spans="1:12" x14ac:dyDescent="0.2">
      <c r="A1477" s="69" t="s">
        <v>42</v>
      </c>
      <c r="B1477" s="70">
        <v>42926</v>
      </c>
      <c r="C1477" s="69">
        <v>29</v>
      </c>
      <c r="D1477" s="69">
        <v>3</v>
      </c>
      <c r="E1477" s="69">
        <v>19.010000000000002</v>
      </c>
      <c r="F1477" s="69">
        <v>12.5</v>
      </c>
      <c r="G1477" s="69" t="s">
        <v>22</v>
      </c>
      <c r="H1477" s="69" t="str">
        <f>IFERROR(VLOOKUP(Data!$G1477,canon!$I$2:$K$27,2,FALSE),"")</f>
        <v>SCARF</v>
      </c>
      <c r="I1477" s="69" t="str">
        <f>IFERROR(VLOOKUP(Data!$G1477,canon!$I$2:$K$27,3,FALSE),"")</f>
        <v>N.APPAREL</v>
      </c>
      <c r="J1477" s="69">
        <f t="shared" si="46"/>
        <v>2</v>
      </c>
      <c r="K1477" s="69">
        <f t="shared" si="47"/>
        <v>41</v>
      </c>
      <c r="L1477" s="69">
        <f>VLOOKUP(Table_db1_backend_Daily.accdb[[#This Row],[TradingDate]],canon!B:E,4,0)</f>
        <v>28</v>
      </c>
    </row>
    <row r="1478" spans="1:12" x14ac:dyDescent="0.2">
      <c r="A1478" s="69" t="s">
        <v>42</v>
      </c>
      <c r="B1478" s="70">
        <v>42926</v>
      </c>
      <c r="C1478" s="69">
        <v>145</v>
      </c>
      <c r="D1478" s="69">
        <v>2</v>
      </c>
      <c r="E1478" s="69">
        <v>30.89</v>
      </c>
      <c r="F1478" s="69">
        <v>15.24</v>
      </c>
      <c r="G1478" s="69" t="s">
        <v>23</v>
      </c>
      <c r="H1478" s="69" t="str">
        <f>IFERROR(VLOOKUP(Data!$G1478,canon!$I$2:$K$27,2,FALSE),"")</f>
        <v>SH&amp;BL</v>
      </c>
      <c r="I1478" s="69" t="str">
        <f>IFERROR(VLOOKUP(Data!$G1478,canon!$I$2:$K$27,3,FALSE),"")</f>
        <v>APPAREL</v>
      </c>
      <c r="J1478" s="69">
        <f t="shared" si="46"/>
        <v>2</v>
      </c>
      <c r="K1478" s="69">
        <f t="shared" si="47"/>
        <v>41</v>
      </c>
      <c r="L1478" s="69">
        <f>VLOOKUP(Table_db1_backend_Daily.accdb[[#This Row],[TradingDate]],canon!B:E,4,0)</f>
        <v>28</v>
      </c>
    </row>
    <row r="1479" spans="1:12" x14ac:dyDescent="0.2">
      <c r="A1479" s="69" t="s">
        <v>42</v>
      </c>
      <c r="B1479" s="70">
        <v>42926</v>
      </c>
      <c r="C1479" s="69">
        <v>288</v>
      </c>
      <c r="D1479" s="69">
        <v>0</v>
      </c>
      <c r="E1479" s="69">
        <v>0</v>
      </c>
      <c r="F1479" s="69">
        <v>0</v>
      </c>
      <c r="G1479" s="69" t="s">
        <v>32</v>
      </c>
      <c r="H1479" s="69" t="str">
        <f>IFERROR(VLOOKUP(Data!$G1479,canon!$I$2:$K$27,2,FALSE),"")</f>
        <v>SKIRT</v>
      </c>
      <c r="I1479" s="69" t="str">
        <f>IFERROR(VLOOKUP(Data!$G1479,canon!$I$2:$K$27,3,FALSE),"")</f>
        <v>APPAREL</v>
      </c>
      <c r="J1479" s="69">
        <f t="shared" si="46"/>
        <v>2</v>
      </c>
      <c r="K1479" s="69">
        <f t="shared" si="47"/>
        <v>41</v>
      </c>
      <c r="L1479" s="69">
        <f>VLOOKUP(Table_db1_backend_Daily.accdb[[#This Row],[TradingDate]],canon!B:E,4,0)</f>
        <v>28</v>
      </c>
    </row>
    <row r="1480" spans="1:12" x14ac:dyDescent="0.2">
      <c r="A1480" s="69" t="s">
        <v>42</v>
      </c>
      <c r="B1480" s="70">
        <v>42926</v>
      </c>
      <c r="C1480" s="69">
        <v>1242</v>
      </c>
      <c r="D1480" s="69">
        <v>31</v>
      </c>
      <c r="E1480" s="69">
        <v>144.6</v>
      </c>
      <c r="F1480" s="69">
        <v>2.9500000000000006</v>
      </c>
      <c r="G1480" s="69" t="s">
        <v>25</v>
      </c>
      <c r="H1480" s="69" t="str">
        <f>IFERROR(VLOOKUP(Data!$G1480,canon!$I$2:$K$27,2,FALSE),"")</f>
        <v>TOP</v>
      </c>
      <c r="I1480" s="69" t="str">
        <f>IFERROR(VLOOKUP(Data!$G1480,canon!$I$2:$K$27,3,FALSE),"")</f>
        <v>APPAREL</v>
      </c>
      <c r="J1480" s="69">
        <f t="shared" si="46"/>
        <v>2</v>
      </c>
      <c r="K1480" s="69">
        <f t="shared" si="47"/>
        <v>41</v>
      </c>
      <c r="L1480" s="69">
        <f>VLOOKUP(Table_db1_backend_Daily.accdb[[#This Row],[TradingDate]],canon!B:E,4,0)</f>
        <v>28</v>
      </c>
    </row>
    <row r="1481" spans="1:12" x14ac:dyDescent="0.2">
      <c r="A1481" s="69" t="s">
        <v>42</v>
      </c>
      <c r="B1481" s="70">
        <v>42927</v>
      </c>
      <c r="C1481" s="69">
        <v>-2</v>
      </c>
      <c r="D1481" s="69">
        <v>0</v>
      </c>
      <c r="E1481" s="69">
        <v>0</v>
      </c>
      <c r="F1481" s="69">
        <v>0</v>
      </c>
      <c r="G1481" s="69" t="s">
        <v>34</v>
      </c>
      <c r="H1481" s="69" t="str">
        <f>IFERROR(VLOOKUP(Data!$G1481,canon!$I$2:$K$27,2,FALSE),"")</f>
        <v>SHOES</v>
      </c>
      <c r="I1481" s="69" t="str">
        <f>IFERROR(VLOOKUP(Data!$G1481,canon!$I$2:$K$27,3,FALSE),"")</f>
        <v>N.APPAREL</v>
      </c>
      <c r="J1481" s="69">
        <f t="shared" si="46"/>
        <v>3</v>
      </c>
      <c r="K1481" s="69">
        <f t="shared" si="47"/>
        <v>41</v>
      </c>
      <c r="L1481" s="69">
        <f>VLOOKUP(Table_db1_backend_Daily.accdb[[#This Row],[TradingDate]],canon!B:E,4,0)</f>
        <v>28</v>
      </c>
    </row>
    <row r="1482" spans="1:12" x14ac:dyDescent="0.2">
      <c r="A1482" s="69" t="s">
        <v>42</v>
      </c>
      <c r="B1482" s="70">
        <v>42927</v>
      </c>
      <c r="C1482" s="69">
        <v>605</v>
      </c>
      <c r="D1482" s="69">
        <v>2</v>
      </c>
      <c r="E1482" s="69">
        <v>18.18</v>
      </c>
      <c r="F1482" s="69">
        <v>0.14000000000000001</v>
      </c>
      <c r="G1482" s="69" t="s">
        <v>35</v>
      </c>
      <c r="H1482" s="69" t="str">
        <f>IFERROR(VLOOKUP(Data!$G1482,canon!$I$2:$K$27,2,FALSE),"")</f>
        <v>DRESS</v>
      </c>
      <c r="I1482" s="69" t="str">
        <f>IFERROR(VLOOKUP(Data!$G1482,canon!$I$2:$K$27,3,FALSE),"")</f>
        <v>APPAREL</v>
      </c>
      <c r="J1482" s="69">
        <f t="shared" si="46"/>
        <v>3</v>
      </c>
      <c r="K1482" s="69">
        <f t="shared" si="47"/>
        <v>41</v>
      </c>
      <c r="L1482" s="69">
        <f>VLOOKUP(Table_db1_backend_Daily.accdb[[#This Row],[TradingDate]],canon!B:E,4,0)</f>
        <v>28</v>
      </c>
    </row>
    <row r="1483" spans="1:12" x14ac:dyDescent="0.2">
      <c r="A1483" s="69" t="s">
        <v>42</v>
      </c>
      <c r="B1483" s="70">
        <v>42927</v>
      </c>
      <c r="C1483" s="69">
        <v>-107</v>
      </c>
      <c r="D1483" s="69">
        <v>0</v>
      </c>
      <c r="E1483" s="69">
        <v>0</v>
      </c>
      <c r="F1483" s="69">
        <v>0</v>
      </c>
      <c r="G1483" s="69" t="s">
        <v>10</v>
      </c>
      <c r="H1483" s="69" t="str">
        <f>IFERROR(VLOOKUP(Data!$G1483,canon!$I$2:$K$27,2,FALSE),"")</f>
        <v>ACCESSORY</v>
      </c>
      <c r="I1483" s="69" t="str">
        <f>IFERROR(VLOOKUP(Data!$G1483,canon!$I$2:$K$27,3,FALSE),"")</f>
        <v>N.APPAREL</v>
      </c>
      <c r="J1483" s="69">
        <f t="shared" si="46"/>
        <v>3</v>
      </c>
      <c r="K1483" s="69">
        <f t="shared" si="47"/>
        <v>41</v>
      </c>
      <c r="L1483" s="69">
        <f>VLOOKUP(Table_db1_backend_Daily.accdb[[#This Row],[TradingDate]],canon!B:E,4,0)</f>
        <v>28</v>
      </c>
    </row>
    <row r="1484" spans="1:12" x14ac:dyDescent="0.2">
      <c r="A1484" s="69" t="s">
        <v>42</v>
      </c>
      <c r="B1484" s="70">
        <v>42927</v>
      </c>
      <c r="C1484" s="69">
        <v>1546</v>
      </c>
      <c r="D1484" s="69">
        <v>36</v>
      </c>
      <c r="E1484" s="69">
        <v>345.41999999999996</v>
      </c>
      <c r="F1484" s="69">
        <v>55.859999999999992</v>
      </c>
      <c r="G1484" s="69" t="s">
        <v>11</v>
      </c>
      <c r="H1484" s="69" t="str">
        <f>IFERROR(VLOOKUP(Data!$G1484,canon!$I$2:$K$27,2,FALSE),"")</f>
        <v>KNIT</v>
      </c>
      <c r="I1484" s="69" t="str">
        <f>IFERROR(VLOOKUP(Data!$G1484,canon!$I$2:$K$27,3,FALSE),"")</f>
        <v>APPAREL</v>
      </c>
      <c r="J1484" s="69">
        <f t="shared" si="46"/>
        <v>3</v>
      </c>
      <c r="K1484" s="69">
        <f t="shared" si="47"/>
        <v>41</v>
      </c>
      <c r="L1484" s="69">
        <f>VLOOKUP(Table_db1_backend_Daily.accdb[[#This Row],[TradingDate]],canon!B:E,4,0)</f>
        <v>28</v>
      </c>
    </row>
    <row r="1485" spans="1:12" x14ac:dyDescent="0.2">
      <c r="A1485" s="69" t="s">
        <v>42</v>
      </c>
      <c r="B1485" s="70">
        <v>42927</v>
      </c>
      <c r="C1485" s="69">
        <v>439</v>
      </c>
      <c r="D1485" s="69">
        <v>3</v>
      </c>
      <c r="E1485" s="69">
        <v>45.46</v>
      </c>
      <c r="F1485" s="69">
        <v>24.490000000000002</v>
      </c>
      <c r="G1485" s="69" t="s">
        <v>14</v>
      </c>
      <c r="H1485" s="69" t="str">
        <f>IFERROR(VLOOKUP(Data!$G1485,canon!$I$2:$K$27,2,FALSE),"")</f>
        <v>LEGGING</v>
      </c>
      <c r="I1485" s="69" t="str">
        <f>IFERROR(VLOOKUP(Data!$G1485,canon!$I$2:$K$27,3,FALSE),"")</f>
        <v>APPAREL</v>
      </c>
      <c r="J1485" s="69">
        <f t="shared" si="46"/>
        <v>3</v>
      </c>
      <c r="K1485" s="69">
        <f t="shared" si="47"/>
        <v>41</v>
      </c>
      <c r="L1485" s="69">
        <f>VLOOKUP(Table_db1_backend_Daily.accdb[[#This Row],[TradingDate]],canon!B:E,4,0)</f>
        <v>28</v>
      </c>
    </row>
    <row r="1486" spans="1:12" x14ac:dyDescent="0.2">
      <c r="A1486" s="69" t="s">
        <v>42</v>
      </c>
      <c r="B1486" s="70">
        <v>42927</v>
      </c>
      <c r="C1486" s="69">
        <v>-91</v>
      </c>
      <c r="D1486" s="69">
        <v>0</v>
      </c>
      <c r="E1486" s="69">
        <v>0</v>
      </c>
      <c r="F1486" s="69">
        <v>0</v>
      </c>
      <c r="G1486" s="69" t="s">
        <v>37</v>
      </c>
      <c r="H1486" s="69" t="str">
        <f>IFERROR(VLOOKUP(Data!$G1486,canon!$I$2:$K$27,2,FALSE),"")</f>
        <v>SHOES</v>
      </c>
      <c r="I1486" s="69" t="str">
        <f>IFERROR(VLOOKUP(Data!$G1486,canon!$I$2:$K$27,3,FALSE),"")</f>
        <v>N.APPAREL</v>
      </c>
      <c r="J1486" s="69">
        <f t="shared" si="46"/>
        <v>3</v>
      </c>
      <c r="K1486" s="69">
        <f t="shared" si="47"/>
        <v>41</v>
      </c>
      <c r="L1486" s="69">
        <f>VLOOKUP(Table_db1_backend_Daily.accdb[[#This Row],[TradingDate]],canon!B:E,4,0)</f>
        <v>28</v>
      </c>
    </row>
    <row r="1487" spans="1:12" x14ac:dyDescent="0.2">
      <c r="A1487" s="69" t="s">
        <v>42</v>
      </c>
      <c r="B1487" s="70">
        <v>42927</v>
      </c>
      <c r="C1487" s="69">
        <v>-3</v>
      </c>
      <c r="D1487" s="69">
        <v>0</v>
      </c>
      <c r="E1487" s="69">
        <v>0</v>
      </c>
      <c r="F1487" s="69">
        <v>0</v>
      </c>
      <c r="G1487" s="69" t="s">
        <v>29</v>
      </c>
      <c r="H1487" s="69" t="str">
        <f>IFERROR(VLOOKUP(Data!$G1487,canon!$I$2:$K$27,2,FALSE),"")</f>
        <v>SHOES</v>
      </c>
      <c r="I1487" s="69" t="str">
        <f>IFERROR(VLOOKUP(Data!$G1487,canon!$I$2:$K$27,3,FALSE),"")</f>
        <v>N.APPAREL</v>
      </c>
      <c r="J1487" s="69">
        <f t="shared" si="46"/>
        <v>3</v>
      </c>
      <c r="K1487" s="69">
        <f t="shared" si="47"/>
        <v>41</v>
      </c>
      <c r="L1487" s="69">
        <f>VLOOKUP(Table_db1_backend_Daily.accdb[[#This Row],[TradingDate]],canon!B:E,4,0)</f>
        <v>28</v>
      </c>
    </row>
    <row r="1488" spans="1:12" x14ac:dyDescent="0.2">
      <c r="A1488" s="69" t="s">
        <v>42</v>
      </c>
      <c r="B1488" s="70">
        <v>42927</v>
      </c>
      <c r="C1488" s="69">
        <v>532</v>
      </c>
      <c r="D1488" s="69">
        <v>6</v>
      </c>
      <c r="E1488" s="69">
        <v>99.850000000000009</v>
      </c>
      <c r="F1488" s="69">
        <v>45.129999999999995</v>
      </c>
      <c r="G1488" s="69" t="s">
        <v>17</v>
      </c>
      <c r="H1488" s="69" t="str">
        <f>IFERROR(VLOOKUP(Data!$G1488,canon!$I$2:$K$27,2,FALSE),"")</f>
        <v>OUTER</v>
      </c>
      <c r="I1488" s="69" t="str">
        <f>IFERROR(VLOOKUP(Data!$G1488,canon!$I$2:$K$27,3,FALSE),"")</f>
        <v>APPAREL</v>
      </c>
      <c r="J1488" s="69">
        <f t="shared" si="46"/>
        <v>3</v>
      </c>
      <c r="K1488" s="69">
        <f t="shared" si="47"/>
        <v>41</v>
      </c>
      <c r="L1488" s="69">
        <f>VLOOKUP(Table_db1_backend_Daily.accdb[[#This Row],[TradingDate]],canon!B:E,4,0)</f>
        <v>28</v>
      </c>
    </row>
    <row r="1489" spans="1:12" x14ac:dyDescent="0.2">
      <c r="A1489" s="69" t="s">
        <v>42</v>
      </c>
      <c r="B1489" s="70">
        <v>42927</v>
      </c>
      <c r="C1489" s="69">
        <v>404</v>
      </c>
      <c r="D1489" s="69">
        <v>1</v>
      </c>
      <c r="E1489" s="69">
        <v>9.08</v>
      </c>
      <c r="F1489" s="69">
        <v>2.78</v>
      </c>
      <c r="G1489" s="69" t="s">
        <v>19</v>
      </c>
      <c r="H1489" s="69" t="str">
        <f>IFERROR(VLOOKUP(Data!$G1489,canon!$I$2:$K$27,2,FALSE),"")</f>
        <v>PANT</v>
      </c>
      <c r="I1489" s="69" t="str">
        <f>IFERROR(VLOOKUP(Data!$G1489,canon!$I$2:$K$27,3,FALSE),"")</f>
        <v>APPAREL</v>
      </c>
      <c r="J1489" s="69">
        <f t="shared" si="46"/>
        <v>3</v>
      </c>
      <c r="K1489" s="69">
        <f t="shared" si="47"/>
        <v>41</v>
      </c>
      <c r="L1489" s="69">
        <f>VLOOKUP(Table_db1_backend_Daily.accdb[[#This Row],[TradingDate]],canon!B:E,4,0)</f>
        <v>28</v>
      </c>
    </row>
    <row r="1490" spans="1:12" x14ac:dyDescent="0.2">
      <c r="A1490" s="69" t="s">
        <v>42</v>
      </c>
      <c r="B1490" s="70">
        <v>42927</v>
      </c>
      <c r="C1490" s="69">
        <v>0</v>
      </c>
      <c r="D1490" s="69">
        <v>0</v>
      </c>
      <c r="E1490" s="69">
        <v>0</v>
      </c>
      <c r="F1490" s="69">
        <v>0</v>
      </c>
      <c r="G1490" s="69" t="s">
        <v>21</v>
      </c>
      <c r="H1490" s="69" t="str">
        <f>IFERROR(VLOOKUP(Data!$G1490,canon!$I$2:$K$27,2,FALSE),"")</f>
        <v>ACCESSORY</v>
      </c>
      <c r="I1490" s="69" t="str">
        <f>IFERROR(VLOOKUP(Data!$G1490,canon!$I$2:$K$27,3,FALSE),"")</f>
        <v>N.APPAREL</v>
      </c>
      <c r="J1490" s="69">
        <f t="shared" si="46"/>
        <v>3</v>
      </c>
      <c r="K1490" s="69">
        <f t="shared" si="47"/>
        <v>41</v>
      </c>
      <c r="L1490" s="69">
        <f>VLOOKUP(Table_db1_backend_Daily.accdb[[#This Row],[TradingDate]],canon!B:E,4,0)</f>
        <v>28</v>
      </c>
    </row>
    <row r="1491" spans="1:12" x14ac:dyDescent="0.2">
      <c r="A1491" s="69" t="s">
        <v>42</v>
      </c>
      <c r="B1491" s="70">
        <v>42927</v>
      </c>
      <c r="C1491" s="69">
        <v>21</v>
      </c>
      <c r="D1491" s="69">
        <v>8</v>
      </c>
      <c r="E1491" s="69">
        <v>39.069999999999993</v>
      </c>
      <c r="F1491" s="69">
        <v>25.05</v>
      </c>
      <c r="G1491" s="69" t="s">
        <v>22</v>
      </c>
      <c r="H1491" s="69" t="str">
        <f>IFERROR(VLOOKUP(Data!$G1491,canon!$I$2:$K$27,2,FALSE),"")</f>
        <v>SCARF</v>
      </c>
      <c r="I1491" s="69" t="str">
        <f>IFERROR(VLOOKUP(Data!$G1491,canon!$I$2:$K$27,3,FALSE),"")</f>
        <v>N.APPAREL</v>
      </c>
      <c r="J1491" s="69">
        <f t="shared" si="46"/>
        <v>3</v>
      </c>
      <c r="K1491" s="69">
        <f t="shared" si="47"/>
        <v>41</v>
      </c>
      <c r="L1491" s="69">
        <f>VLOOKUP(Table_db1_backend_Daily.accdb[[#This Row],[TradingDate]],canon!B:E,4,0)</f>
        <v>28</v>
      </c>
    </row>
    <row r="1492" spans="1:12" x14ac:dyDescent="0.2">
      <c r="A1492" s="69" t="s">
        <v>42</v>
      </c>
      <c r="B1492" s="70">
        <v>42927</v>
      </c>
      <c r="C1492" s="69">
        <v>144</v>
      </c>
      <c r="D1492" s="69">
        <v>1</v>
      </c>
      <c r="E1492" s="69">
        <v>27.27</v>
      </c>
      <c r="F1492" s="69">
        <v>18.36</v>
      </c>
      <c r="G1492" s="69" t="s">
        <v>23</v>
      </c>
      <c r="H1492" s="69" t="str">
        <f>IFERROR(VLOOKUP(Data!$G1492,canon!$I$2:$K$27,2,FALSE),"")</f>
        <v>SH&amp;BL</v>
      </c>
      <c r="I1492" s="69" t="str">
        <f>IFERROR(VLOOKUP(Data!$G1492,canon!$I$2:$K$27,3,FALSE),"")</f>
        <v>APPAREL</v>
      </c>
      <c r="J1492" s="69">
        <f t="shared" si="46"/>
        <v>3</v>
      </c>
      <c r="K1492" s="69">
        <f t="shared" si="47"/>
        <v>41</v>
      </c>
      <c r="L1492" s="69">
        <f>VLOOKUP(Table_db1_backend_Daily.accdb[[#This Row],[TradingDate]],canon!B:E,4,0)</f>
        <v>28</v>
      </c>
    </row>
    <row r="1493" spans="1:12" x14ac:dyDescent="0.2">
      <c r="A1493" s="69" t="s">
        <v>42</v>
      </c>
      <c r="B1493" s="70">
        <v>42927</v>
      </c>
      <c r="C1493" s="69">
        <v>287</v>
      </c>
      <c r="D1493" s="69">
        <v>1</v>
      </c>
      <c r="E1493" s="69">
        <v>13.59</v>
      </c>
      <c r="F1493" s="69">
        <v>8.59</v>
      </c>
      <c r="G1493" s="69" t="s">
        <v>32</v>
      </c>
      <c r="H1493" s="69" t="str">
        <f>IFERROR(VLOOKUP(Data!$G1493,canon!$I$2:$K$27,2,FALSE),"")</f>
        <v>SKIRT</v>
      </c>
      <c r="I1493" s="69" t="str">
        <f>IFERROR(VLOOKUP(Data!$G1493,canon!$I$2:$K$27,3,FALSE),"")</f>
        <v>APPAREL</v>
      </c>
      <c r="J1493" s="69">
        <f t="shared" si="46"/>
        <v>3</v>
      </c>
      <c r="K1493" s="69">
        <f t="shared" si="47"/>
        <v>41</v>
      </c>
      <c r="L1493" s="69">
        <f>VLOOKUP(Table_db1_backend_Daily.accdb[[#This Row],[TradingDate]],canon!B:E,4,0)</f>
        <v>28</v>
      </c>
    </row>
    <row r="1494" spans="1:12" x14ac:dyDescent="0.2">
      <c r="A1494" s="69" t="s">
        <v>42</v>
      </c>
      <c r="B1494" s="70">
        <v>42927</v>
      </c>
      <c r="C1494" s="69">
        <v>1228</v>
      </c>
      <c r="D1494" s="69">
        <v>38</v>
      </c>
      <c r="E1494" s="69">
        <v>209.11</v>
      </c>
      <c r="F1494" s="69">
        <v>27.610000000000003</v>
      </c>
      <c r="G1494" s="69" t="s">
        <v>25</v>
      </c>
      <c r="H1494" s="69" t="str">
        <f>IFERROR(VLOOKUP(Data!$G1494,canon!$I$2:$K$27,2,FALSE),"")</f>
        <v>TOP</v>
      </c>
      <c r="I1494" s="69" t="str">
        <f>IFERROR(VLOOKUP(Data!$G1494,canon!$I$2:$K$27,3,FALSE),"")</f>
        <v>APPAREL</v>
      </c>
      <c r="J1494" s="69">
        <f t="shared" si="46"/>
        <v>3</v>
      </c>
      <c r="K1494" s="69">
        <f t="shared" si="47"/>
        <v>41</v>
      </c>
      <c r="L1494" s="69">
        <f>VLOOKUP(Table_db1_backend_Daily.accdb[[#This Row],[TradingDate]],canon!B:E,4,0)</f>
        <v>28</v>
      </c>
    </row>
    <row r="1495" spans="1:12" x14ac:dyDescent="0.2">
      <c r="A1495" s="69" t="s">
        <v>42</v>
      </c>
      <c r="B1495" s="70">
        <v>42928</v>
      </c>
      <c r="C1495" s="69">
        <v>-2</v>
      </c>
      <c r="D1495" s="69">
        <v>0</v>
      </c>
      <c r="E1495" s="69">
        <v>0</v>
      </c>
      <c r="F1495" s="69">
        <v>0</v>
      </c>
      <c r="G1495" s="69" t="s">
        <v>34</v>
      </c>
      <c r="H1495" s="69" t="str">
        <f>IFERROR(VLOOKUP(Data!$G1495,canon!$I$2:$K$27,2,FALSE),"")</f>
        <v>SHOES</v>
      </c>
      <c r="I1495" s="69" t="str">
        <f>IFERROR(VLOOKUP(Data!$G1495,canon!$I$2:$K$27,3,FALSE),"")</f>
        <v>N.APPAREL</v>
      </c>
      <c r="J1495" s="69">
        <f t="shared" si="46"/>
        <v>4</v>
      </c>
      <c r="K1495" s="69">
        <f t="shared" si="47"/>
        <v>41</v>
      </c>
      <c r="L1495" s="69">
        <f>VLOOKUP(Table_db1_backend_Daily.accdb[[#This Row],[TradingDate]],canon!B:E,4,0)</f>
        <v>28</v>
      </c>
    </row>
    <row r="1496" spans="1:12" x14ac:dyDescent="0.2">
      <c r="A1496" s="69" t="s">
        <v>42</v>
      </c>
      <c r="B1496" s="70">
        <v>42928</v>
      </c>
      <c r="C1496" s="69">
        <v>597</v>
      </c>
      <c r="D1496" s="69">
        <v>8</v>
      </c>
      <c r="E1496" s="69">
        <v>72.72</v>
      </c>
      <c r="F1496" s="69">
        <v>6.64</v>
      </c>
      <c r="G1496" s="69" t="s">
        <v>35</v>
      </c>
      <c r="H1496" s="69" t="str">
        <f>IFERROR(VLOOKUP(Data!$G1496,canon!$I$2:$K$27,2,FALSE),"")</f>
        <v>DRESS</v>
      </c>
      <c r="I1496" s="69" t="str">
        <f>IFERROR(VLOOKUP(Data!$G1496,canon!$I$2:$K$27,3,FALSE),"")</f>
        <v>APPAREL</v>
      </c>
      <c r="J1496" s="69">
        <f t="shared" si="46"/>
        <v>4</v>
      </c>
      <c r="K1496" s="69">
        <f t="shared" si="47"/>
        <v>41</v>
      </c>
      <c r="L1496" s="69">
        <f>VLOOKUP(Table_db1_backend_Daily.accdb[[#This Row],[TradingDate]],canon!B:E,4,0)</f>
        <v>28</v>
      </c>
    </row>
    <row r="1497" spans="1:12" x14ac:dyDescent="0.2">
      <c r="A1497" s="69" t="s">
        <v>42</v>
      </c>
      <c r="B1497" s="70">
        <v>42928</v>
      </c>
      <c r="C1497" s="69">
        <v>-107</v>
      </c>
      <c r="D1497" s="69">
        <v>0</v>
      </c>
      <c r="E1497" s="69">
        <v>0</v>
      </c>
      <c r="F1497" s="69">
        <v>0</v>
      </c>
      <c r="G1497" s="69" t="s">
        <v>10</v>
      </c>
      <c r="H1497" s="69" t="str">
        <f>IFERROR(VLOOKUP(Data!$G1497,canon!$I$2:$K$27,2,FALSE),"")</f>
        <v>ACCESSORY</v>
      </c>
      <c r="I1497" s="69" t="str">
        <f>IFERROR(VLOOKUP(Data!$G1497,canon!$I$2:$K$27,3,FALSE),"")</f>
        <v>N.APPAREL</v>
      </c>
      <c r="J1497" s="69">
        <f t="shared" si="46"/>
        <v>4</v>
      </c>
      <c r="K1497" s="69">
        <f t="shared" si="47"/>
        <v>41</v>
      </c>
      <c r="L1497" s="69">
        <f>VLOOKUP(Table_db1_backend_Daily.accdb[[#This Row],[TradingDate]],canon!B:E,4,0)</f>
        <v>28</v>
      </c>
    </row>
    <row r="1498" spans="1:12" x14ac:dyDescent="0.2">
      <c r="A1498" s="69" t="s">
        <v>42</v>
      </c>
      <c r="B1498" s="70">
        <v>42928</v>
      </c>
      <c r="C1498" s="69">
        <v>1483</v>
      </c>
      <c r="D1498" s="69">
        <v>63</v>
      </c>
      <c r="E1498" s="69">
        <v>685.90999999999963</v>
      </c>
      <c r="F1498" s="69">
        <v>191.36000000000004</v>
      </c>
      <c r="G1498" s="69" t="s">
        <v>11</v>
      </c>
      <c r="H1498" s="69" t="str">
        <f>IFERROR(VLOOKUP(Data!$G1498,canon!$I$2:$K$27,2,FALSE),"")</f>
        <v>KNIT</v>
      </c>
      <c r="I1498" s="69" t="str">
        <f>IFERROR(VLOOKUP(Data!$G1498,canon!$I$2:$K$27,3,FALSE),"")</f>
        <v>APPAREL</v>
      </c>
      <c r="J1498" s="69">
        <f t="shared" si="46"/>
        <v>4</v>
      </c>
      <c r="K1498" s="69">
        <f t="shared" si="47"/>
        <v>41</v>
      </c>
      <c r="L1498" s="69">
        <f>VLOOKUP(Table_db1_backend_Daily.accdb[[#This Row],[TradingDate]],canon!B:E,4,0)</f>
        <v>28</v>
      </c>
    </row>
    <row r="1499" spans="1:12" x14ac:dyDescent="0.2">
      <c r="A1499" s="69" t="s">
        <v>42</v>
      </c>
      <c r="B1499" s="70">
        <v>42928</v>
      </c>
      <c r="C1499" s="69">
        <v>437</v>
      </c>
      <c r="D1499" s="69">
        <v>2</v>
      </c>
      <c r="E1499" s="69">
        <v>36.340000000000003</v>
      </c>
      <c r="F1499" s="69">
        <v>21.13</v>
      </c>
      <c r="G1499" s="69" t="s">
        <v>14</v>
      </c>
      <c r="H1499" s="69" t="str">
        <f>IFERROR(VLOOKUP(Data!$G1499,canon!$I$2:$K$27,2,FALSE),"")</f>
        <v>LEGGING</v>
      </c>
      <c r="I1499" s="69" t="str">
        <f>IFERROR(VLOOKUP(Data!$G1499,canon!$I$2:$K$27,3,FALSE),"")</f>
        <v>APPAREL</v>
      </c>
      <c r="J1499" s="69">
        <f t="shared" si="46"/>
        <v>4</v>
      </c>
      <c r="K1499" s="69">
        <f t="shared" si="47"/>
        <v>41</v>
      </c>
      <c r="L1499" s="69">
        <f>VLOOKUP(Table_db1_backend_Daily.accdb[[#This Row],[TradingDate]],canon!B:E,4,0)</f>
        <v>28</v>
      </c>
    </row>
    <row r="1500" spans="1:12" x14ac:dyDescent="0.2">
      <c r="A1500" s="69" t="s">
        <v>42</v>
      </c>
      <c r="B1500" s="70">
        <v>42928</v>
      </c>
      <c r="C1500" s="69">
        <v>-91</v>
      </c>
      <c r="D1500" s="69">
        <v>0</v>
      </c>
      <c r="E1500" s="69">
        <v>0</v>
      </c>
      <c r="F1500" s="69">
        <v>0</v>
      </c>
      <c r="G1500" s="69" t="s">
        <v>37</v>
      </c>
      <c r="H1500" s="69" t="str">
        <f>IFERROR(VLOOKUP(Data!$G1500,canon!$I$2:$K$27,2,FALSE),"")</f>
        <v>SHOES</v>
      </c>
      <c r="I1500" s="69" t="str">
        <f>IFERROR(VLOOKUP(Data!$G1500,canon!$I$2:$K$27,3,FALSE),"")</f>
        <v>N.APPAREL</v>
      </c>
      <c r="J1500" s="69">
        <f t="shared" si="46"/>
        <v>4</v>
      </c>
      <c r="K1500" s="69">
        <f t="shared" si="47"/>
        <v>41</v>
      </c>
      <c r="L1500" s="69">
        <f>VLOOKUP(Table_db1_backend_Daily.accdb[[#This Row],[TradingDate]],canon!B:E,4,0)</f>
        <v>28</v>
      </c>
    </row>
    <row r="1501" spans="1:12" x14ac:dyDescent="0.2">
      <c r="A1501" s="69" t="s">
        <v>42</v>
      </c>
      <c r="B1501" s="70">
        <v>42928</v>
      </c>
      <c r="C1501" s="69">
        <v>-3</v>
      </c>
      <c r="D1501" s="69">
        <v>0</v>
      </c>
      <c r="E1501" s="69">
        <v>0</v>
      </c>
      <c r="F1501" s="69">
        <v>0</v>
      </c>
      <c r="G1501" s="69" t="s">
        <v>29</v>
      </c>
      <c r="H1501" s="69" t="str">
        <f>IFERROR(VLOOKUP(Data!$G1501,canon!$I$2:$K$27,2,FALSE),"")</f>
        <v>SHOES</v>
      </c>
      <c r="I1501" s="69" t="str">
        <f>IFERROR(VLOOKUP(Data!$G1501,canon!$I$2:$K$27,3,FALSE),"")</f>
        <v>N.APPAREL</v>
      </c>
      <c r="J1501" s="69">
        <f t="shared" si="46"/>
        <v>4</v>
      </c>
      <c r="K1501" s="69">
        <f t="shared" si="47"/>
        <v>41</v>
      </c>
      <c r="L1501" s="69">
        <f>VLOOKUP(Table_db1_backend_Daily.accdb[[#This Row],[TradingDate]],canon!B:E,4,0)</f>
        <v>28</v>
      </c>
    </row>
    <row r="1502" spans="1:12" x14ac:dyDescent="0.2">
      <c r="A1502" s="69" t="s">
        <v>42</v>
      </c>
      <c r="B1502" s="70">
        <v>42928</v>
      </c>
      <c r="C1502" s="69">
        <v>523</v>
      </c>
      <c r="D1502" s="69">
        <v>9</v>
      </c>
      <c r="E1502" s="69">
        <v>158.91000000000003</v>
      </c>
      <c r="F1502" s="69">
        <v>69.72</v>
      </c>
      <c r="G1502" s="69" t="s">
        <v>17</v>
      </c>
      <c r="H1502" s="69" t="str">
        <f>IFERROR(VLOOKUP(Data!$G1502,canon!$I$2:$K$27,2,FALSE),"")</f>
        <v>OUTER</v>
      </c>
      <c r="I1502" s="69" t="str">
        <f>IFERROR(VLOOKUP(Data!$G1502,canon!$I$2:$K$27,3,FALSE),"")</f>
        <v>APPAREL</v>
      </c>
      <c r="J1502" s="69">
        <f t="shared" si="46"/>
        <v>4</v>
      </c>
      <c r="K1502" s="69">
        <f t="shared" si="47"/>
        <v>41</v>
      </c>
      <c r="L1502" s="69">
        <f>VLOOKUP(Table_db1_backend_Daily.accdb[[#This Row],[TradingDate]],canon!B:E,4,0)</f>
        <v>28</v>
      </c>
    </row>
    <row r="1503" spans="1:12" x14ac:dyDescent="0.2">
      <c r="A1503" s="69" t="s">
        <v>42</v>
      </c>
      <c r="B1503" s="70">
        <v>42928</v>
      </c>
      <c r="C1503" s="69">
        <v>402</v>
      </c>
      <c r="D1503" s="69">
        <v>2</v>
      </c>
      <c r="E1503" s="69">
        <v>36.340000000000003</v>
      </c>
      <c r="F1503" s="69">
        <v>20.63</v>
      </c>
      <c r="G1503" s="69" t="s">
        <v>19</v>
      </c>
      <c r="H1503" s="69" t="str">
        <f>IFERROR(VLOOKUP(Data!$G1503,canon!$I$2:$K$27,2,FALSE),"")</f>
        <v>PANT</v>
      </c>
      <c r="I1503" s="69" t="str">
        <f>IFERROR(VLOOKUP(Data!$G1503,canon!$I$2:$K$27,3,FALSE),"")</f>
        <v>APPAREL</v>
      </c>
      <c r="J1503" s="69">
        <f t="shared" si="46"/>
        <v>4</v>
      </c>
      <c r="K1503" s="69">
        <f t="shared" si="47"/>
        <v>41</v>
      </c>
      <c r="L1503" s="69">
        <f>VLOOKUP(Table_db1_backend_Daily.accdb[[#This Row],[TradingDate]],canon!B:E,4,0)</f>
        <v>28</v>
      </c>
    </row>
    <row r="1504" spans="1:12" x14ac:dyDescent="0.2">
      <c r="A1504" s="69" t="s">
        <v>42</v>
      </c>
      <c r="B1504" s="70">
        <v>42928</v>
      </c>
      <c r="C1504" s="69">
        <v>0</v>
      </c>
      <c r="D1504" s="69">
        <v>0</v>
      </c>
      <c r="E1504" s="69">
        <v>0</v>
      </c>
      <c r="F1504" s="69">
        <v>0</v>
      </c>
      <c r="G1504" s="69" t="s">
        <v>21</v>
      </c>
      <c r="H1504" s="69" t="str">
        <f>IFERROR(VLOOKUP(Data!$G1504,canon!$I$2:$K$27,2,FALSE),"")</f>
        <v>ACCESSORY</v>
      </c>
      <c r="I1504" s="69" t="str">
        <f>IFERROR(VLOOKUP(Data!$G1504,canon!$I$2:$K$27,3,FALSE),"")</f>
        <v>N.APPAREL</v>
      </c>
      <c r="J1504" s="69">
        <f t="shared" si="46"/>
        <v>4</v>
      </c>
      <c r="K1504" s="69">
        <f t="shared" si="47"/>
        <v>41</v>
      </c>
      <c r="L1504" s="69">
        <f>VLOOKUP(Table_db1_backend_Daily.accdb[[#This Row],[TradingDate]],canon!B:E,4,0)</f>
        <v>28</v>
      </c>
    </row>
    <row r="1505" spans="1:12" x14ac:dyDescent="0.2">
      <c r="A1505" s="69" t="s">
        <v>42</v>
      </c>
      <c r="B1505" s="70">
        <v>42928</v>
      </c>
      <c r="C1505" s="69">
        <v>0</v>
      </c>
      <c r="D1505" s="69">
        <v>21</v>
      </c>
      <c r="E1505" s="69">
        <v>98.19</v>
      </c>
      <c r="F1505" s="69">
        <v>63.969999999999992</v>
      </c>
      <c r="G1505" s="69" t="s">
        <v>22</v>
      </c>
      <c r="H1505" s="69" t="str">
        <f>IFERROR(VLOOKUP(Data!$G1505,canon!$I$2:$K$27,2,FALSE),"")</f>
        <v>SCARF</v>
      </c>
      <c r="I1505" s="69" t="str">
        <f>IFERROR(VLOOKUP(Data!$G1505,canon!$I$2:$K$27,3,FALSE),"")</f>
        <v>N.APPAREL</v>
      </c>
      <c r="J1505" s="69">
        <f t="shared" si="46"/>
        <v>4</v>
      </c>
      <c r="K1505" s="69">
        <f t="shared" si="47"/>
        <v>41</v>
      </c>
      <c r="L1505" s="69">
        <f>VLOOKUP(Table_db1_backend_Daily.accdb[[#This Row],[TradingDate]],canon!B:E,4,0)</f>
        <v>28</v>
      </c>
    </row>
    <row r="1506" spans="1:12" x14ac:dyDescent="0.2">
      <c r="A1506" s="69" t="s">
        <v>42</v>
      </c>
      <c r="B1506" s="70">
        <v>42928</v>
      </c>
      <c r="C1506" s="69">
        <v>144</v>
      </c>
      <c r="D1506" s="69">
        <v>0</v>
      </c>
      <c r="E1506" s="69">
        <v>0</v>
      </c>
      <c r="F1506" s="69">
        <v>0</v>
      </c>
      <c r="G1506" s="69" t="s">
        <v>23</v>
      </c>
      <c r="H1506" s="69" t="str">
        <f>IFERROR(VLOOKUP(Data!$G1506,canon!$I$2:$K$27,2,FALSE),"")</f>
        <v>SH&amp;BL</v>
      </c>
      <c r="I1506" s="69" t="str">
        <f>IFERROR(VLOOKUP(Data!$G1506,canon!$I$2:$K$27,3,FALSE),"")</f>
        <v>APPAREL</v>
      </c>
      <c r="J1506" s="69">
        <f t="shared" si="46"/>
        <v>4</v>
      </c>
      <c r="K1506" s="69">
        <f t="shared" si="47"/>
        <v>41</v>
      </c>
      <c r="L1506" s="69">
        <f>VLOOKUP(Table_db1_backend_Daily.accdb[[#This Row],[TradingDate]],canon!B:E,4,0)</f>
        <v>28</v>
      </c>
    </row>
    <row r="1507" spans="1:12" x14ac:dyDescent="0.2">
      <c r="A1507" s="69" t="s">
        <v>42</v>
      </c>
      <c r="B1507" s="70">
        <v>42928</v>
      </c>
      <c r="C1507" s="69">
        <v>284</v>
      </c>
      <c r="D1507" s="69">
        <v>3</v>
      </c>
      <c r="E1507" s="69">
        <v>36.269999999999996</v>
      </c>
      <c r="F1507" s="69">
        <v>21.27</v>
      </c>
      <c r="G1507" s="69" t="s">
        <v>32</v>
      </c>
      <c r="H1507" s="69" t="str">
        <f>IFERROR(VLOOKUP(Data!$G1507,canon!$I$2:$K$27,2,FALSE),"")</f>
        <v>SKIRT</v>
      </c>
      <c r="I1507" s="69" t="str">
        <f>IFERROR(VLOOKUP(Data!$G1507,canon!$I$2:$K$27,3,FALSE),"")</f>
        <v>APPAREL</v>
      </c>
      <c r="J1507" s="69">
        <f t="shared" si="46"/>
        <v>4</v>
      </c>
      <c r="K1507" s="69">
        <f t="shared" si="47"/>
        <v>41</v>
      </c>
      <c r="L1507" s="69">
        <f>VLOOKUP(Table_db1_backend_Daily.accdb[[#This Row],[TradingDate]],canon!B:E,4,0)</f>
        <v>28</v>
      </c>
    </row>
    <row r="1508" spans="1:12" x14ac:dyDescent="0.2">
      <c r="A1508" s="69" t="s">
        <v>42</v>
      </c>
      <c r="B1508" s="70">
        <v>42928</v>
      </c>
      <c r="C1508" s="69">
        <v>1195</v>
      </c>
      <c r="D1508" s="69">
        <v>31</v>
      </c>
      <c r="E1508" s="69">
        <v>245.35000000000005</v>
      </c>
      <c r="F1508" s="69">
        <v>99.910000000000011</v>
      </c>
      <c r="G1508" s="69" t="s">
        <v>25</v>
      </c>
      <c r="H1508" s="69" t="str">
        <f>IFERROR(VLOOKUP(Data!$G1508,canon!$I$2:$K$27,2,FALSE),"")</f>
        <v>TOP</v>
      </c>
      <c r="I1508" s="69" t="str">
        <f>IFERROR(VLOOKUP(Data!$G1508,canon!$I$2:$K$27,3,FALSE),"")</f>
        <v>APPAREL</v>
      </c>
      <c r="J1508" s="69">
        <f t="shared" si="46"/>
        <v>4</v>
      </c>
      <c r="K1508" s="69">
        <f t="shared" si="47"/>
        <v>41</v>
      </c>
      <c r="L1508" s="69">
        <f>VLOOKUP(Table_db1_backend_Daily.accdb[[#This Row],[TradingDate]],canon!B:E,4,0)</f>
        <v>28</v>
      </c>
    </row>
    <row r="1509" spans="1:12" x14ac:dyDescent="0.2">
      <c r="A1509" s="69" t="s">
        <v>42</v>
      </c>
      <c r="B1509" s="70">
        <v>42929</v>
      </c>
      <c r="C1509" s="69">
        <v>-2</v>
      </c>
      <c r="D1509" s="69">
        <v>0</v>
      </c>
      <c r="E1509" s="69">
        <v>0</v>
      </c>
      <c r="F1509" s="69">
        <v>0</v>
      </c>
      <c r="G1509" s="69" t="s">
        <v>34</v>
      </c>
      <c r="H1509" s="69" t="str">
        <f>IFERROR(VLOOKUP(Data!$G1509,canon!$I$2:$K$27,2,FALSE),"")</f>
        <v>SHOES</v>
      </c>
      <c r="I1509" s="69" t="str">
        <f>IFERROR(VLOOKUP(Data!$G1509,canon!$I$2:$K$27,3,FALSE),"")</f>
        <v>N.APPAREL</v>
      </c>
      <c r="J1509" s="69">
        <f t="shared" si="46"/>
        <v>5</v>
      </c>
      <c r="K1509" s="69">
        <f t="shared" si="47"/>
        <v>41</v>
      </c>
      <c r="L1509" s="69">
        <f>VLOOKUP(Table_db1_backend_Daily.accdb[[#This Row],[TradingDate]],canon!B:E,4,0)</f>
        <v>28</v>
      </c>
    </row>
    <row r="1510" spans="1:12" x14ac:dyDescent="0.2">
      <c r="A1510" s="69" t="s">
        <v>42</v>
      </c>
      <c r="B1510" s="70">
        <v>42929</v>
      </c>
      <c r="C1510" s="69">
        <v>593</v>
      </c>
      <c r="D1510" s="69">
        <v>4</v>
      </c>
      <c r="E1510" s="69">
        <v>68.16</v>
      </c>
      <c r="F1510" s="69">
        <v>36.86</v>
      </c>
      <c r="G1510" s="69" t="s">
        <v>35</v>
      </c>
      <c r="H1510" s="69" t="str">
        <f>IFERROR(VLOOKUP(Data!$G1510,canon!$I$2:$K$27,2,FALSE),"")</f>
        <v>DRESS</v>
      </c>
      <c r="I1510" s="69" t="str">
        <f>IFERROR(VLOOKUP(Data!$G1510,canon!$I$2:$K$27,3,FALSE),"")</f>
        <v>APPAREL</v>
      </c>
      <c r="J1510" s="69">
        <f t="shared" si="46"/>
        <v>5</v>
      </c>
      <c r="K1510" s="69">
        <f t="shared" si="47"/>
        <v>41</v>
      </c>
      <c r="L1510" s="69">
        <f>VLOOKUP(Table_db1_backend_Daily.accdb[[#This Row],[TradingDate]],canon!B:E,4,0)</f>
        <v>28</v>
      </c>
    </row>
    <row r="1511" spans="1:12" x14ac:dyDescent="0.2">
      <c r="A1511" s="69" t="s">
        <v>42</v>
      </c>
      <c r="B1511" s="70">
        <v>42929</v>
      </c>
      <c r="C1511" s="69">
        <v>-107</v>
      </c>
      <c r="D1511" s="69">
        <v>0</v>
      </c>
      <c r="E1511" s="69">
        <v>0</v>
      </c>
      <c r="F1511" s="69">
        <v>0</v>
      </c>
      <c r="G1511" s="69" t="s">
        <v>10</v>
      </c>
      <c r="H1511" s="69" t="str">
        <f>IFERROR(VLOOKUP(Data!$G1511,canon!$I$2:$K$27,2,FALSE),"")</f>
        <v>ACCESSORY</v>
      </c>
      <c r="I1511" s="69" t="str">
        <f>IFERROR(VLOOKUP(Data!$G1511,canon!$I$2:$K$27,3,FALSE),"")</f>
        <v>N.APPAREL</v>
      </c>
      <c r="J1511" s="69">
        <f t="shared" si="46"/>
        <v>5</v>
      </c>
      <c r="K1511" s="69">
        <f t="shared" si="47"/>
        <v>41</v>
      </c>
      <c r="L1511" s="69">
        <f>VLOOKUP(Table_db1_backend_Daily.accdb[[#This Row],[TradingDate]],canon!B:E,4,0)</f>
        <v>28</v>
      </c>
    </row>
    <row r="1512" spans="1:12" x14ac:dyDescent="0.2">
      <c r="A1512" s="69" t="s">
        <v>42</v>
      </c>
      <c r="B1512" s="70">
        <v>42929</v>
      </c>
      <c r="C1512" s="69">
        <v>1405</v>
      </c>
      <c r="D1512" s="69">
        <v>78</v>
      </c>
      <c r="E1512" s="69">
        <v>749.70999999999992</v>
      </c>
      <c r="F1512" s="69">
        <v>177.51000000000005</v>
      </c>
      <c r="G1512" s="69" t="s">
        <v>11</v>
      </c>
      <c r="H1512" s="69" t="str">
        <f>IFERROR(VLOOKUP(Data!$G1512,canon!$I$2:$K$27,2,FALSE),"")</f>
        <v>KNIT</v>
      </c>
      <c r="I1512" s="69" t="str">
        <f>IFERROR(VLOOKUP(Data!$G1512,canon!$I$2:$K$27,3,FALSE),"")</f>
        <v>APPAREL</v>
      </c>
      <c r="J1512" s="69">
        <f t="shared" si="46"/>
        <v>5</v>
      </c>
      <c r="K1512" s="69">
        <f t="shared" si="47"/>
        <v>41</v>
      </c>
      <c r="L1512" s="69">
        <f>VLOOKUP(Table_db1_backend_Daily.accdb[[#This Row],[TradingDate]],canon!B:E,4,0)</f>
        <v>28</v>
      </c>
    </row>
    <row r="1513" spans="1:12" x14ac:dyDescent="0.2">
      <c r="A1513" s="69" t="s">
        <v>42</v>
      </c>
      <c r="B1513" s="70">
        <v>42929</v>
      </c>
      <c r="C1513" s="69">
        <v>437</v>
      </c>
      <c r="D1513" s="69">
        <v>0</v>
      </c>
      <c r="E1513" s="69">
        <v>-9.1</v>
      </c>
      <c r="F1513" s="69">
        <v>-9.6499999999999986</v>
      </c>
      <c r="G1513" s="69" t="s">
        <v>14</v>
      </c>
      <c r="H1513" s="69" t="str">
        <f>IFERROR(VLOOKUP(Data!$G1513,canon!$I$2:$K$27,2,FALSE),"")</f>
        <v>LEGGING</v>
      </c>
      <c r="I1513" s="69" t="str">
        <f>IFERROR(VLOOKUP(Data!$G1513,canon!$I$2:$K$27,3,FALSE),"")</f>
        <v>APPAREL</v>
      </c>
      <c r="J1513" s="69">
        <f t="shared" si="46"/>
        <v>5</v>
      </c>
      <c r="K1513" s="69">
        <f t="shared" si="47"/>
        <v>41</v>
      </c>
      <c r="L1513" s="69">
        <f>VLOOKUP(Table_db1_backend_Daily.accdb[[#This Row],[TradingDate]],canon!B:E,4,0)</f>
        <v>28</v>
      </c>
    </row>
    <row r="1514" spans="1:12" x14ac:dyDescent="0.2">
      <c r="A1514" s="69" t="s">
        <v>42</v>
      </c>
      <c r="B1514" s="70">
        <v>42929</v>
      </c>
      <c r="C1514" s="69">
        <v>-91</v>
      </c>
      <c r="D1514" s="69">
        <v>0</v>
      </c>
      <c r="E1514" s="69">
        <v>0</v>
      </c>
      <c r="F1514" s="69">
        <v>0</v>
      </c>
      <c r="G1514" s="69" t="s">
        <v>37</v>
      </c>
      <c r="H1514" s="69" t="str">
        <f>IFERROR(VLOOKUP(Data!$G1514,canon!$I$2:$K$27,2,FALSE),"")</f>
        <v>SHOES</v>
      </c>
      <c r="I1514" s="69" t="str">
        <f>IFERROR(VLOOKUP(Data!$G1514,canon!$I$2:$K$27,3,FALSE),"")</f>
        <v>N.APPAREL</v>
      </c>
      <c r="J1514" s="69">
        <f t="shared" si="46"/>
        <v>5</v>
      </c>
      <c r="K1514" s="69">
        <f t="shared" si="47"/>
        <v>41</v>
      </c>
      <c r="L1514" s="69">
        <f>VLOOKUP(Table_db1_backend_Daily.accdb[[#This Row],[TradingDate]],canon!B:E,4,0)</f>
        <v>28</v>
      </c>
    </row>
    <row r="1515" spans="1:12" x14ac:dyDescent="0.2">
      <c r="A1515" s="69" t="s">
        <v>42</v>
      </c>
      <c r="B1515" s="70">
        <v>42929</v>
      </c>
      <c r="C1515" s="69">
        <v>-3</v>
      </c>
      <c r="D1515" s="69">
        <v>0</v>
      </c>
      <c r="E1515" s="69">
        <v>0</v>
      </c>
      <c r="F1515" s="69">
        <v>0</v>
      </c>
      <c r="G1515" s="69" t="s">
        <v>29</v>
      </c>
      <c r="H1515" s="69" t="str">
        <f>IFERROR(VLOOKUP(Data!$G1515,canon!$I$2:$K$27,2,FALSE),"")</f>
        <v>SHOES</v>
      </c>
      <c r="I1515" s="69" t="str">
        <f>IFERROR(VLOOKUP(Data!$G1515,canon!$I$2:$K$27,3,FALSE),"")</f>
        <v>N.APPAREL</v>
      </c>
      <c r="J1515" s="69">
        <f t="shared" si="46"/>
        <v>5</v>
      </c>
      <c r="K1515" s="69">
        <f t="shared" si="47"/>
        <v>41</v>
      </c>
      <c r="L1515" s="69">
        <f>VLOOKUP(Table_db1_backend_Daily.accdb[[#This Row],[TradingDate]],canon!B:E,4,0)</f>
        <v>28</v>
      </c>
    </row>
    <row r="1516" spans="1:12" x14ac:dyDescent="0.2">
      <c r="A1516" s="69" t="s">
        <v>42</v>
      </c>
      <c r="B1516" s="70">
        <v>42929</v>
      </c>
      <c r="C1516" s="69">
        <v>516</v>
      </c>
      <c r="D1516" s="69">
        <v>7</v>
      </c>
      <c r="E1516" s="69">
        <v>113.52</v>
      </c>
      <c r="F1516" s="69">
        <v>47.769999999999989</v>
      </c>
      <c r="G1516" s="69" t="s">
        <v>17</v>
      </c>
      <c r="H1516" s="69" t="str">
        <f>IFERROR(VLOOKUP(Data!$G1516,canon!$I$2:$K$27,2,FALSE),"")</f>
        <v>OUTER</v>
      </c>
      <c r="I1516" s="69" t="str">
        <f>IFERROR(VLOOKUP(Data!$G1516,canon!$I$2:$K$27,3,FALSE),"")</f>
        <v>APPAREL</v>
      </c>
      <c r="J1516" s="69">
        <f t="shared" si="46"/>
        <v>5</v>
      </c>
      <c r="K1516" s="69">
        <f t="shared" si="47"/>
        <v>41</v>
      </c>
      <c r="L1516" s="69">
        <f>VLOOKUP(Table_db1_backend_Daily.accdb[[#This Row],[TradingDate]],canon!B:E,4,0)</f>
        <v>28</v>
      </c>
    </row>
    <row r="1517" spans="1:12" x14ac:dyDescent="0.2">
      <c r="A1517" s="69" t="s">
        <v>42</v>
      </c>
      <c r="B1517" s="70">
        <v>42929</v>
      </c>
      <c r="C1517" s="69">
        <v>400</v>
      </c>
      <c r="D1517" s="69">
        <v>2</v>
      </c>
      <c r="E1517" s="69">
        <v>18.18</v>
      </c>
      <c r="F1517" s="69">
        <v>6.98</v>
      </c>
      <c r="G1517" s="69" t="s">
        <v>19</v>
      </c>
      <c r="H1517" s="69" t="str">
        <f>IFERROR(VLOOKUP(Data!$G1517,canon!$I$2:$K$27,2,FALSE),"")</f>
        <v>PANT</v>
      </c>
      <c r="I1517" s="69" t="str">
        <f>IFERROR(VLOOKUP(Data!$G1517,canon!$I$2:$K$27,3,FALSE),"")</f>
        <v>APPAREL</v>
      </c>
      <c r="J1517" s="69">
        <f t="shared" si="46"/>
        <v>5</v>
      </c>
      <c r="K1517" s="69">
        <f t="shared" si="47"/>
        <v>41</v>
      </c>
      <c r="L1517" s="69">
        <f>VLOOKUP(Table_db1_backend_Daily.accdb[[#This Row],[TradingDate]],canon!B:E,4,0)</f>
        <v>28</v>
      </c>
    </row>
    <row r="1518" spans="1:12" x14ac:dyDescent="0.2">
      <c r="A1518" s="69" t="s">
        <v>42</v>
      </c>
      <c r="B1518" s="70">
        <v>42929</v>
      </c>
      <c r="C1518" s="69">
        <v>0</v>
      </c>
      <c r="D1518" s="69">
        <v>0</v>
      </c>
      <c r="E1518" s="69">
        <v>0</v>
      </c>
      <c r="F1518" s="69">
        <v>0</v>
      </c>
      <c r="G1518" s="69" t="s">
        <v>21</v>
      </c>
      <c r="H1518" s="69" t="str">
        <f>IFERROR(VLOOKUP(Data!$G1518,canon!$I$2:$K$27,2,FALSE),"")</f>
        <v>ACCESSORY</v>
      </c>
      <c r="I1518" s="69" t="str">
        <f>IFERROR(VLOOKUP(Data!$G1518,canon!$I$2:$K$27,3,FALSE),"")</f>
        <v>N.APPAREL</v>
      </c>
      <c r="J1518" s="69">
        <f t="shared" si="46"/>
        <v>5</v>
      </c>
      <c r="K1518" s="69">
        <f t="shared" si="47"/>
        <v>41</v>
      </c>
      <c r="L1518" s="69">
        <f>VLOOKUP(Table_db1_backend_Daily.accdb[[#This Row],[TradingDate]],canon!B:E,4,0)</f>
        <v>28</v>
      </c>
    </row>
    <row r="1519" spans="1:12" x14ac:dyDescent="0.2">
      <c r="A1519" s="69" t="s">
        <v>42</v>
      </c>
      <c r="B1519" s="70">
        <v>42929</v>
      </c>
      <c r="C1519" s="69">
        <v>-14</v>
      </c>
      <c r="D1519" s="69">
        <v>14</v>
      </c>
      <c r="E1519" s="69">
        <v>80.819999999999979</v>
      </c>
      <c r="F1519" s="69">
        <v>56.930000000000007</v>
      </c>
      <c r="G1519" s="69" t="s">
        <v>22</v>
      </c>
      <c r="H1519" s="69" t="str">
        <f>IFERROR(VLOOKUP(Data!$G1519,canon!$I$2:$K$27,2,FALSE),"")</f>
        <v>SCARF</v>
      </c>
      <c r="I1519" s="69" t="str">
        <f>IFERROR(VLOOKUP(Data!$G1519,canon!$I$2:$K$27,3,FALSE),"")</f>
        <v>N.APPAREL</v>
      </c>
      <c r="J1519" s="69">
        <f t="shared" si="46"/>
        <v>5</v>
      </c>
      <c r="K1519" s="69">
        <f t="shared" si="47"/>
        <v>41</v>
      </c>
      <c r="L1519" s="69">
        <f>VLOOKUP(Table_db1_backend_Daily.accdb[[#This Row],[TradingDate]],canon!B:E,4,0)</f>
        <v>28</v>
      </c>
    </row>
    <row r="1520" spans="1:12" x14ac:dyDescent="0.2">
      <c r="A1520" s="69" t="s">
        <v>42</v>
      </c>
      <c r="B1520" s="70">
        <v>42929</v>
      </c>
      <c r="C1520" s="69">
        <v>143</v>
      </c>
      <c r="D1520" s="69">
        <v>1</v>
      </c>
      <c r="E1520" s="69">
        <v>27.23</v>
      </c>
      <c r="F1520" s="69">
        <v>18.75</v>
      </c>
      <c r="G1520" s="69" t="s">
        <v>23</v>
      </c>
      <c r="H1520" s="69" t="str">
        <f>IFERROR(VLOOKUP(Data!$G1520,canon!$I$2:$K$27,2,FALSE),"")</f>
        <v>SH&amp;BL</v>
      </c>
      <c r="I1520" s="69" t="str">
        <f>IFERROR(VLOOKUP(Data!$G1520,canon!$I$2:$K$27,3,FALSE),"")</f>
        <v>APPAREL</v>
      </c>
      <c r="J1520" s="69">
        <f t="shared" si="46"/>
        <v>5</v>
      </c>
      <c r="K1520" s="69">
        <f t="shared" si="47"/>
        <v>41</v>
      </c>
      <c r="L1520" s="69">
        <f>VLOOKUP(Table_db1_backend_Daily.accdb[[#This Row],[TradingDate]],canon!B:E,4,0)</f>
        <v>28</v>
      </c>
    </row>
    <row r="1521" spans="1:12" x14ac:dyDescent="0.2">
      <c r="A1521" s="69" t="s">
        <v>42</v>
      </c>
      <c r="B1521" s="70">
        <v>42929</v>
      </c>
      <c r="C1521" s="69">
        <v>280</v>
      </c>
      <c r="D1521" s="69">
        <v>4</v>
      </c>
      <c r="E1521" s="69">
        <v>72.59</v>
      </c>
      <c r="F1521" s="69">
        <v>54.11</v>
      </c>
      <c r="G1521" s="69" t="s">
        <v>32</v>
      </c>
      <c r="H1521" s="69" t="str">
        <f>IFERROR(VLOOKUP(Data!$G1521,canon!$I$2:$K$27,2,FALSE),"")</f>
        <v>SKIRT</v>
      </c>
      <c r="I1521" s="69" t="str">
        <f>IFERROR(VLOOKUP(Data!$G1521,canon!$I$2:$K$27,3,FALSE),"")</f>
        <v>APPAREL</v>
      </c>
      <c r="J1521" s="69">
        <f t="shared" si="46"/>
        <v>5</v>
      </c>
      <c r="K1521" s="69">
        <f t="shared" si="47"/>
        <v>41</v>
      </c>
      <c r="L1521" s="69">
        <f>VLOOKUP(Table_db1_backend_Daily.accdb[[#This Row],[TradingDate]],canon!B:E,4,0)</f>
        <v>28</v>
      </c>
    </row>
    <row r="1522" spans="1:12" x14ac:dyDescent="0.2">
      <c r="A1522" s="69" t="s">
        <v>42</v>
      </c>
      <c r="B1522" s="70">
        <v>42929</v>
      </c>
      <c r="C1522" s="69">
        <v>1171</v>
      </c>
      <c r="D1522" s="69">
        <v>24</v>
      </c>
      <c r="E1522" s="69">
        <v>177.05</v>
      </c>
      <c r="F1522" s="69">
        <v>66.599999999999994</v>
      </c>
      <c r="G1522" s="69" t="s">
        <v>25</v>
      </c>
      <c r="H1522" s="69" t="str">
        <f>IFERROR(VLOOKUP(Data!$G1522,canon!$I$2:$K$27,2,FALSE),"")</f>
        <v>TOP</v>
      </c>
      <c r="I1522" s="69" t="str">
        <f>IFERROR(VLOOKUP(Data!$G1522,canon!$I$2:$K$27,3,FALSE),"")</f>
        <v>APPAREL</v>
      </c>
      <c r="J1522" s="69">
        <f t="shared" si="46"/>
        <v>5</v>
      </c>
      <c r="K1522" s="69">
        <f t="shared" si="47"/>
        <v>41</v>
      </c>
      <c r="L1522" s="69">
        <f>VLOOKUP(Table_db1_backend_Daily.accdb[[#This Row],[TradingDate]],canon!B:E,4,0)</f>
        <v>28</v>
      </c>
    </row>
    <row r="1523" spans="1:12" x14ac:dyDescent="0.2">
      <c r="A1523" s="69" t="s">
        <v>42</v>
      </c>
      <c r="B1523" s="70">
        <v>42930</v>
      </c>
      <c r="C1523" s="69">
        <v>-2</v>
      </c>
      <c r="D1523" s="69">
        <v>0</v>
      </c>
      <c r="E1523" s="69">
        <v>0</v>
      </c>
      <c r="F1523" s="69">
        <v>0</v>
      </c>
      <c r="G1523" s="69" t="s">
        <v>34</v>
      </c>
      <c r="H1523" s="69" t="str">
        <f>IFERROR(VLOOKUP(Data!$G1523,canon!$I$2:$K$27,2,FALSE),"")</f>
        <v>SHOES</v>
      </c>
      <c r="I1523" s="69" t="str">
        <f>IFERROR(VLOOKUP(Data!$G1523,canon!$I$2:$K$27,3,FALSE),"")</f>
        <v>N.APPAREL</v>
      </c>
      <c r="J1523" s="69">
        <f t="shared" si="46"/>
        <v>6</v>
      </c>
      <c r="K1523" s="69">
        <f t="shared" si="47"/>
        <v>41</v>
      </c>
      <c r="L1523" s="69">
        <f>VLOOKUP(Table_db1_backend_Daily.accdb[[#This Row],[TradingDate]],canon!B:E,4,0)</f>
        <v>28</v>
      </c>
    </row>
    <row r="1524" spans="1:12" x14ac:dyDescent="0.2">
      <c r="A1524" s="69" t="s">
        <v>42</v>
      </c>
      <c r="B1524" s="70">
        <v>42930</v>
      </c>
      <c r="C1524" s="69">
        <v>592</v>
      </c>
      <c r="D1524" s="69">
        <v>1</v>
      </c>
      <c r="E1524" s="69">
        <v>9.09</v>
      </c>
      <c r="F1524" s="69">
        <v>0.83</v>
      </c>
      <c r="G1524" s="69" t="s">
        <v>35</v>
      </c>
      <c r="H1524" s="69" t="str">
        <f>IFERROR(VLOOKUP(Data!$G1524,canon!$I$2:$K$27,2,FALSE),"")</f>
        <v>DRESS</v>
      </c>
      <c r="I1524" s="69" t="str">
        <f>IFERROR(VLOOKUP(Data!$G1524,canon!$I$2:$K$27,3,FALSE),"")</f>
        <v>APPAREL</v>
      </c>
      <c r="J1524" s="69">
        <f t="shared" si="46"/>
        <v>6</v>
      </c>
      <c r="K1524" s="69">
        <f t="shared" si="47"/>
        <v>41</v>
      </c>
      <c r="L1524" s="69">
        <f>VLOOKUP(Table_db1_backend_Daily.accdb[[#This Row],[TradingDate]],canon!B:E,4,0)</f>
        <v>28</v>
      </c>
    </row>
    <row r="1525" spans="1:12" x14ac:dyDescent="0.2">
      <c r="A1525" s="69" t="s">
        <v>42</v>
      </c>
      <c r="B1525" s="70">
        <v>42930</v>
      </c>
      <c r="C1525" s="69">
        <v>-107</v>
      </c>
      <c r="D1525" s="69">
        <v>0</v>
      </c>
      <c r="E1525" s="69">
        <v>0</v>
      </c>
      <c r="F1525" s="69">
        <v>0</v>
      </c>
      <c r="G1525" s="69" t="s">
        <v>10</v>
      </c>
      <c r="H1525" s="69" t="str">
        <f>IFERROR(VLOOKUP(Data!$G1525,canon!$I$2:$K$27,2,FALSE),"")</f>
        <v>ACCESSORY</v>
      </c>
      <c r="I1525" s="69" t="str">
        <f>IFERROR(VLOOKUP(Data!$G1525,canon!$I$2:$K$27,3,FALSE),"")</f>
        <v>N.APPAREL</v>
      </c>
      <c r="J1525" s="69">
        <f t="shared" si="46"/>
        <v>6</v>
      </c>
      <c r="K1525" s="69">
        <f t="shared" si="47"/>
        <v>41</v>
      </c>
      <c r="L1525" s="69">
        <f>VLOOKUP(Table_db1_backend_Daily.accdb[[#This Row],[TradingDate]],canon!B:E,4,0)</f>
        <v>28</v>
      </c>
    </row>
    <row r="1526" spans="1:12" x14ac:dyDescent="0.2">
      <c r="A1526" s="69" t="s">
        <v>42</v>
      </c>
      <c r="B1526" s="70">
        <v>42930</v>
      </c>
      <c r="C1526" s="69">
        <v>1345</v>
      </c>
      <c r="D1526" s="69">
        <v>60</v>
      </c>
      <c r="E1526" s="69">
        <v>712.8599999999999</v>
      </c>
      <c r="F1526" s="69">
        <v>250.5</v>
      </c>
      <c r="G1526" s="69" t="s">
        <v>11</v>
      </c>
      <c r="H1526" s="69" t="str">
        <f>IFERROR(VLOOKUP(Data!$G1526,canon!$I$2:$K$27,2,FALSE),"")</f>
        <v>KNIT</v>
      </c>
      <c r="I1526" s="69" t="str">
        <f>IFERROR(VLOOKUP(Data!$G1526,canon!$I$2:$K$27,3,FALSE),"")</f>
        <v>APPAREL</v>
      </c>
      <c r="J1526" s="69">
        <f t="shared" si="46"/>
        <v>6</v>
      </c>
      <c r="K1526" s="69">
        <f t="shared" si="47"/>
        <v>41</v>
      </c>
      <c r="L1526" s="69">
        <f>VLOOKUP(Table_db1_backend_Daily.accdb[[#This Row],[TradingDate]],canon!B:E,4,0)</f>
        <v>28</v>
      </c>
    </row>
    <row r="1527" spans="1:12" x14ac:dyDescent="0.2">
      <c r="A1527" s="69" t="s">
        <v>42</v>
      </c>
      <c r="B1527" s="70">
        <v>42930</v>
      </c>
      <c r="C1527" s="69">
        <v>431</v>
      </c>
      <c r="D1527" s="69">
        <v>6</v>
      </c>
      <c r="E1527" s="69">
        <v>72.680000000000007</v>
      </c>
      <c r="F1527" s="69">
        <v>32.24</v>
      </c>
      <c r="G1527" s="69" t="s">
        <v>14</v>
      </c>
      <c r="H1527" s="69" t="str">
        <f>IFERROR(VLOOKUP(Data!$G1527,canon!$I$2:$K$27,2,FALSE),"")</f>
        <v>LEGGING</v>
      </c>
      <c r="I1527" s="69" t="str">
        <f>IFERROR(VLOOKUP(Data!$G1527,canon!$I$2:$K$27,3,FALSE),"")</f>
        <v>APPAREL</v>
      </c>
      <c r="J1527" s="69">
        <f t="shared" si="46"/>
        <v>6</v>
      </c>
      <c r="K1527" s="69">
        <f t="shared" si="47"/>
        <v>41</v>
      </c>
      <c r="L1527" s="69">
        <f>VLOOKUP(Table_db1_backend_Daily.accdb[[#This Row],[TradingDate]],canon!B:E,4,0)</f>
        <v>28</v>
      </c>
    </row>
    <row r="1528" spans="1:12" x14ac:dyDescent="0.2">
      <c r="A1528" s="69" t="s">
        <v>42</v>
      </c>
      <c r="B1528" s="70">
        <v>42930</v>
      </c>
      <c r="C1528" s="69">
        <v>-91</v>
      </c>
      <c r="D1528" s="69">
        <v>0</v>
      </c>
      <c r="E1528" s="69">
        <v>0</v>
      </c>
      <c r="F1528" s="69">
        <v>0</v>
      </c>
      <c r="G1528" s="69" t="s">
        <v>37</v>
      </c>
      <c r="H1528" s="69" t="str">
        <f>IFERROR(VLOOKUP(Data!$G1528,canon!$I$2:$K$27,2,FALSE),"")</f>
        <v>SHOES</v>
      </c>
      <c r="I1528" s="69" t="str">
        <f>IFERROR(VLOOKUP(Data!$G1528,canon!$I$2:$K$27,3,FALSE),"")</f>
        <v>N.APPAREL</v>
      </c>
      <c r="J1528" s="69">
        <f t="shared" si="46"/>
        <v>6</v>
      </c>
      <c r="K1528" s="69">
        <f t="shared" si="47"/>
        <v>41</v>
      </c>
      <c r="L1528" s="69">
        <f>VLOOKUP(Table_db1_backend_Daily.accdb[[#This Row],[TradingDate]],canon!B:E,4,0)</f>
        <v>28</v>
      </c>
    </row>
    <row r="1529" spans="1:12" x14ac:dyDescent="0.2">
      <c r="A1529" s="69" t="s">
        <v>42</v>
      </c>
      <c r="B1529" s="70">
        <v>42930</v>
      </c>
      <c r="C1529" s="69">
        <v>-3</v>
      </c>
      <c r="D1529" s="69">
        <v>0</v>
      </c>
      <c r="E1529" s="69">
        <v>0</v>
      </c>
      <c r="F1529" s="69">
        <v>0</v>
      </c>
      <c r="G1529" s="69" t="s">
        <v>29</v>
      </c>
      <c r="H1529" s="69" t="str">
        <f>IFERROR(VLOOKUP(Data!$G1529,canon!$I$2:$K$27,2,FALSE),"")</f>
        <v>SHOES</v>
      </c>
      <c r="I1529" s="69" t="str">
        <f>IFERROR(VLOOKUP(Data!$G1529,canon!$I$2:$K$27,3,FALSE),"")</f>
        <v>N.APPAREL</v>
      </c>
      <c r="J1529" s="69">
        <f t="shared" si="46"/>
        <v>6</v>
      </c>
      <c r="K1529" s="69">
        <f t="shared" si="47"/>
        <v>41</v>
      </c>
      <c r="L1529" s="69">
        <f>VLOOKUP(Table_db1_backend_Daily.accdb[[#This Row],[TradingDate]],canon!B:E,4,0)</f>
        <v>28</v>
      </c>
    </row>
    <row r="1530" spans="1:12" x14ac:dyDescent="0.2">
      <c r="A1530" s="69" t="s">
        <v>42</v>
      </c>
      <c r="B1530" s="70">
        <v>42930</v>
      </c>
      <c r="C1530" s="69">
        <v>508</v>
      </c>
      <c r="D1530" s="69">
        <v>8</v>
      </c>
      <c r="E1530" s="69">
        <v>145.21</v>
      </c>
      <c r="F1530" s="69">
        <v>80.45</v>
      </c>
      <c r="G1530" s="69" t="s">
        <v>17</v>
      </c>
      <c r="H1530" s="69" t="str">
        <f>IFERROR(VLOOKUP(Data!$G1530,canon!$I$2:$K$27,2,FALSE),"")</f>
        <v>OUTER</v>
      </c>
      <c r="I1530" s="69" t="str">
        <f>IFERROR(VLOOKUP(Data!$G1530,canon!$I$2:$K$27,3,FALSE),"")</f>
        <v>APPAREL</v>
      </c>
      <c r="J1530" s="69">
        <f t="shared" si="46"/>
        <v>6</v>
      </c>
      <c r="K1530" s="69">
        <f t="shared" si="47"/>
        <v>41</v>
      </c>
      <c r="L1530" s="69">
        <f>VLOOKUP(Table_db1_backend_Daily.accdb[[#This Row],[TradingDate]],canon!B:E,4,0)</f>
        <v>28</v>
      </c>
    </row>
    <row r="1531" spans="1:12" x14ac:dyDescent="0.2">
      <c r="A1531" s="69" t="s">
        <v>42</v>
      </c>
      <c r="B1531" s="70">
        <v>42930</v>
      </c>
      <c r="C1531" s="69">
        <v>396</v>
      </c>
      <c r="D1531" s="69">
        <v>4</v>
      </c>
      <c r="E1531" s="69">
        <v>36.36</v>
      </c>
      <c r="F1531" s="69">
        <v>15.39</v>
      </c>
      <c r="G1531" s="69" t="s">
        <v>19</v>
      </c>
      <c r="H1531" s="69" t="str">
        <f>IFERROR(VLOOKUP(Data!$G1531,canon!$I$2:$K$27,2,FALSE),"")</f>
        <v>PANT</v>
      </c>
      <c r="I1531" s="69" t="str">
        <f>IFERROR(VLOOKUP(Data!$G1531,canon!$I$2:$K$27,3,FALSE),"")</f>
        <v>APPAREL</v>
      </c>
      <c r="J1531" s="69">
        <f t="shared" si="46"/>
        <v>6</v>
      </c>
      <c r="K1531" s="69">
        <f t="shared" si="47"/>
        <v>41</v>
      </c>
      <c r="L1531" s="69">
        <f>VLOOKUP(Table_db1_backend_Daily.accdb[[#This Row],[TradingDate]],canon!B:E,4,0)</f>
        <v>28</v>
      </c>
    </row>
    <row r="1532" spans="1:12" x14ac:dyDescent="0.2">
      <c r="A1532" s="69" t="s">
        <v>42</v>
      </c>
      <c r="B1532" s="70">
        <v>42930</v>
      </c>
      <c r="C1532" s="69">
        <v>0</v>
      </c>
      <c r="D1532" s="69">
        <v>0</v>
      </c>
      <c r="E1532" s="69">
        <v>0</v>
      </c>
      <c r="F1532" s="69">
        <v>0</v>
      </c>
      <c r="G1532" s="69" t="s">
        <v>21</v>
      </c>
      <c r="H1532" s="69" t="str">
        <f>IFERROR(VLOOKUP(Data!$G1532,canon!$I$2:$K$27,2,FALSE),"")</f>
        <v>ACCESSORY</v>
      </c>
      <c r="I1532" s="69" t="str">
        <f>IFERROR(VLOOKUP(Data!$G1532,canon!$I$2:$K$27,3,FALSE),"")</f>
        <v>N.APPAREL</v>
      </c>
      <c r="J1532" s="69">
        <f t="shared" si="46"/>
        <v>6</v>
      </c>
      <c r="K1532" s="69">
        <f t="shared" si="47"/>
        <v>41</v>
      </c>
      <c r="L1532" s="69">
        <f>VLOOKUP(Table_db1_backend_Daily.accdb[[#This Row],[TradingDate]],canon!B:E,4,0)</f>
        <v>28</v>
      </c>
    </row>
    <row r="1533" spans="1:12" x14ac:dyDescent="0.2">
      <c r="A1533" s="69" t="s">
        <v>42</v>
      </c>
      <c r="B1533" s="70">
        <v>42930</v>
      </c>
      <c r="C1533" s="69">
        <v>-25</v>
      </c>
      <c r="D1533" s="69">
        <v>11</v>
      </c>
      <c r="E1533" s="69">
        <v>55.41</v>
      </c>
      <c r="F1533" s="69">
        <v>36.89</v>
      </c>
      <c r="G1533" s="69" t="s">
        <v>22</v>
      </c>
      <c r="H1533" s="69" t="str">
        <f>IFERROR(VLOOKUP(Data!$G1533,canon!$I$2:$K$27,2,FALSE),"")</f>
        <v>SCARF</v>
      </c>
      <c r="I1533" s="69" t="str">
        <f>IFERROR(VLOOKUP(Data!$G1533,canon!$I$2:$K$27,3,FALSE),"")</f>
        <v>N.APPAREL</v>
      </c>
      <c r="J1533" s="69">
        <f t="shared" si="46"/>
        <v>6</v>
      </c>
      <c r="K1533" s="69">
        <f t="shared" si="47"/>
        <v>41</v>
      </c>
      <c r="L1533" s="69">
        <f>VLOOKUP(Table_db1_backend_Daily.accdb[[#This Row],[TradingDate]],canon!B:E,4,0)</f>
        <v>28</v>
      </c>
    </row>
    <row r="1534" spans="1:12" x14ac:dyDescent="0.2">
      <c r="A1534" s="69" t="s">
        <v>42</v>
      </c>
      <c r="B1534" s="70">
        <v>42930</v>
      </c>
      <c r="C1534" s="69">
        <v>141</v>
      </c>
      <c r="D1534" s="69">
        <v>2</v>
      </c>
      <c r="E1534" s="69">
        <v>36.32</v>
      </c>
      <c r="F1534" s="69">
        <v>21.64</v>
      </c>
      <c r="G1534" s="69" t="s">
        <v>23</v>
      </c>
      <c r="H1534" s="69" t="str">
        <f>IFERROR(VLOOKUP(Data!$G1534,canon!$I$2:$K$27,2,FALSE),"")</f>
        <v>SH&amp;BL</v>
      </c>
      <c r="I1534" s="69" t="str">
        <f>IFERROR(VLOOKUP(Data!$G1534,canon!$I$2:$K$27,3,FALSE),"")</f>
        <v>APPAREL</v>
      </c>
      <c r="J1534" s="69">
        <f t="shared" si="46"/>
        <v>6</v>
      </c>
      <c r="K1534" s="69">
        <f t="shared" si="47"/>
        <v>41</v>
      </c>
      <c r="L1534" s="69">
        <f>VLOOKUP(Table_db1_backend_Daily.accdb[[#This Row],[TradingDate]],canon!B:E,4,0)</f>
        <v>28</v>
      </c>
    </row>
    <row r="1535" spans="1:12" x14ac:dyDescent="0.2">
      <c r="A1535" s="69" t="s">
        <v>42</v>
      </c>
      <c r="B1535" s="70">
        <v>42930</v>
      </c>
      <c r="C1535" s="69">
        <v>277</v>
      </c>
      <c r="D1535" s="69">
        <v>3</v>
      </c>
      <c r="E1535" s="69">
        <v>68.099999999999994</v>
      </c>
      <c r="F1535" s="69">
        <v>45.7</v>
      </c>
      <c r="G1535" s="69" t="s">
        <v>32</v>
      </c>
      <c r="H1535" s="69" t="str">
        <f>IFERROR(VLOOKUP(Data!$G1535,canon!$I$2:$K$27,2,FALSE),"")</f>
        <v>SKIRT</v>
      </c>
      <c r="I1535" s="69" t="str">
        <f>IFERROR(VLOOKUP(Data!$G1535,canon!$I$2:$K$27,3,FALSE),"")</f>
        <v>APPAREL</v>
      </c>
      <c r="J1535" s="69">
        <f t="shared" si="46"/>
        <v>6</v>
      </c>
      <c r="K1535" s="69">
        <f t="shared" si="47"/>
        <v>41</v>
      </c>
      <c r="L1535" s="69">
        <f>VLOOKUP(Table_db1_backend_Daily.accdb[[#This Row],[TradingDate]],canon!B:E,4,0)</f>
        <v>28</v>
      </c>
    </row>
    <row r="1536" spans="1:12" x14ac:dyDescent="0.2">
      <c r="A1536" s="69" t="s">
        <v>42</v>
      </c>
      <c r="B1536" s="70">
        <v>42930</v>
      </c>
      <c r="C1536" s="69">
        <v>1156</v>
      </c>
      <c r="D1536" s="69">
        <v>15</v>
      </c>
      <c r="E1536" s="69">
        <v>172.6</v>
      </c>
      <c r="F1536" s="69">
        <v>92.460000000000008</v>
      </c>
      <c r="G1536" s="69" t="s">
        <v>25</v>
      </c>
      <c r="H1536" s="69" t="str">
        <f>IFERROR(VLOOKUP(Data!$G1536,canon!$I$2:$K$27,2,FALSE),"")</f>
        <v>TOP</v>
      </c>
      <c r="I1536" s="69" t="str">
        <f>IFERROR(VLOOKUP(Data!$G1536,canon!$I$2:$K$27,3,FALSE),"")</f>
        <v>APPAREL</v>
      </c>
      <c r="J1536" s="69">
        <f t="shared" si="46"/>
        <v>6</v>
      </c>
      <c r="K1536" s="69">
        <f t="shared" si="47"/>
        <v>41</v>
      </c>
      <c r="L1536" s="69">
        <f>VLOOKUP(Table_db1_backend_Daily.accdb[[#This Row],[TradingDate]],canon!B:E,4,0)</f>
        <v>28</v>
      </c>
    </row>
    <row r="1537" spans="1:12" x14ac:dyDescent="0.2">
      <c r="A1537" s="69" t="s">
        <v>42</v>
      </c>
      <c r="B1537" s="70">
        <v>42931</v>
      </c>
      <c r="C1537" s="69">
        <v>-2</v>
      </c>
      <c r="D1537" s="69">
        <v>0</v>
      </c>
      <c r="E1537" s="69">
        <v>0</v>
      </c>
      <c r="F1537" s="69">
        <v>0</v>
      </c>
      <c r="G1537" s="69" t="s">
        <v>34</v>
      </c>
      <c r="H1537" s="69" t="str">
        <f>IFERROR(VLOOKUP(Data!$G1537,canon!$I$2:$K$27,2,FALSE),"")</f>
        <v>SHOES</v>
      </c>
      <c r="I1537" s="69" t="str">
        <f>IFERROR(VLOOKUP(Data!$G1537,canon!$I$2:$K$27,3,FALSE),"")</f>
        <v>N.APPAREL</v>
      </c>
      <c r="J1537" s="69">
        <f t="shared" si="46"/>
        <v>7</v>
      </c>
      <c r="K1537" s="69">
        <f t="shared" si="47"/>
        <v>41</v>
      </c>
      <c r="L1537" s="69">
        <f>VLOOKUP(Table_db1_backend_Daily.accdb[[#This Row],[TradingDate]],canon!B:E,4,0)</f>
        <v>28</v>
      </c>
    </row>
    <row r="1538" spans="1:12" x14ac:dyDescent="0.2">
      <c r="A1538" s="69" t="s">
        <v>42</v>
      </c>
      <c r="B1538" s="70">
        <v>42931</v>
      </c>
      <c r="C1538" s="69">
        <v>590</v>
      </c>
      <c r="D1538" s="69">
        <v>2</v>
      </c>
      <c r="E1538" s="69">
        <v>49.980000000000004</v>
      </c>
      <c r="F1538" s="69">
        <v>32.590000000000003</v>
      </c>
      <c r="G1538" s="69" t="s">
        <v>35</v>
      </c>
      <c r="H1538" s="69" t="str">
        <f>IFERROR(VLOOKUP(Data!$G1538,canon!$I$2:$K$27,2,FALSE),"")</f>
        <v>DRESS</v>
      </c>
      <c r="I1538" s="69" t="str">
        <f>IFERROR(VLOOKUP(Data!$G1538,canon!$I$2:$K$27,3,FALSE),"")</f>
        <v>APPAREL</v>
      </c>
      <c r="J1538" s="69">
        <f t="shared" ref="J1538:J1601" si="48">WEEKDAY(B1538)</f>
        <v>7</v>
      </c>
      <c r="K1538" s="69">
        <f t="shared" ref="K1538:K1601" si="49">INT(A1538)</f>
        <v>41</v>
      </c>
      <c r="L1538" s="69">
        <f>VLOOKUP(Table_db1_backend_Daily.accdb[[#This Row],[TradingDate]],canon!B:E,4,0)</f>
        <v>28</v>
      </c>
    </row>
    <row r="1539" spans="1:12" x14ac:dyDescent="0.2">
      <c r="A1539" s="69" t="s">
        <v>42</v>
      </c>
      <c r="B1539" s="70">
        <v>42931</v>
      </c>
      <c r="C1539" s="69">
        <v>-107</v>
      </c>
      <c r="D1539" s="69">
        <v>0</v>
      </c>
      <c r="E1539" s="69">
        <v>0</v>
      </c>
      <c r="F1539" s="69">
        <v>0</v>
      </c>
      <c r="G1539" s="69" t="s">
        <v>10</v>
      </c>
      <c r="H1539" s="69" t="str">
        <f>IFERROR(VLOOKUP(Data!$G1539,canon!$I$2:$K$27,2,FALSE),"")</f>
        <v>ACCESSORY</v>
      </c>
      <c r="I1539" s="69" t="str">
        <f>IFERROR(VLOOKUP(Data!$G1539,canon!$I$2:$K$27,3,FALSE),"")</f>
        <v>N.APPAREL</v>
      </c>
      <c r="J1539" s="69">
        <f t="shared" si="48"/>
        <v>7</v>
      </c>
      <c r="K1539" s="69">
        <f t="shared" si="49"/>
        <v>41</v>
      </c>
      <c r="L1539" s="69">
        <f>VLOOKUP(Table_db1_backend_Daily.accdb[[#This Row],[TradingDate]],canon!B:E,4,0)</f>
        <v>28</v>
      </c>
    </row>
    <row r="1540" spans="1:12" x14ac:dyDescent="0.2">
      <c r="A1540" s="69" t="s">
        <v>42</v>
      </c>
      <c r="B1540" s="70">
        <v>42931</v>
      </c>
      <c r="C1540" s="69">
        <v>1288</v>
      </c>
      <c r="D1540" s="69">
        <v>57</v>
      </c>
      <c r="E1540" s="69">
        <v>676.85999999999979</v>
      </c>
      <c r="F1540" s="69">
        <v>241.2</v>
      </c>
      <c r="G1540" s="69" t="s">
        <v>11</v>
      </c>
      <c r="H1540" s="69" t="str">
        <f>IFERROR(VLOOKUP(Data!$G1540,canon!$I$2:$K$27,2,FALSE),"")</f>
        <v>KNIT</v>
      </c>
      <c r="I1540" s="69" t="str">
        <f>IFERROR(VLOOKUP(Data!$G1540,canon!$I$2:$K$27,3,FALSE),"")</f>
        <v>APPAREL</v>
      </c>
      <c r="J1540" s="69">
        <f t="shared" si="48"/>
        <v>7</v>
      </c>
      <c r="K1540" s="69">
        <f t="shared" si="49"/>
        <v>41</v>
      </c>
      <c r="L1540" s="69">
        <f>VLOOKUP(Table_db1_backend_Daily.accdb[[#This Row],[TradingDate]],canon!B:E,4,0)</f>
        <v>28</v>
      </c>
    </row>
    <row r="1541" spans="1:12" x14ac:dyDescent="0.2">
      <c r="A1541" s="69" t="s">
        <v>42</v>
      </c>
      <c r="B1541" s="70">
        <v>42931</v>
      </c>
      <c r="C1541" s="69">
        <v>430</v>
      </c>
      <c r="D1541" s="69">
        <v>1</v>
      </c>
      <c r="E1541" s="69">
        <v>9.09</v>
      </c>
      <c r="F1541" s="69">
        <v>1.81</v>
      </c>
      <c r="G1541" s="69" t="s">
        <v>14</v>
      </c>
      <c r="H1541" s="69" t="str">
        <f>IFERROR(VLOOKUP(Data!$G1541,canon!$I$2:$K$27,2,FALSE),"")</f>
        <v>LEGGING</v>
      </c>
      <c r="I1541" s="69" t="str">
        <f>IFERROR(VLOOKUP(Data!$G1541,canon!$I$2:$K$27,3,FALSE),"")</f>
        <v>APPAREL</v>
      </c>
      <c r="J1541" s="69">
        <f t="shared" si="48"/>
        <v>7</v>
      </c>
      <c r="K1541" s="69">
        <f t="shared" si="49"/>
        <v>41</v>
      </c>
      <c r="L1541" s="69">
        <f>VLOOKUP(Table_db1_backend_Daily.accdb[[#This Row],[TradingDate]],canon!B:E,4,0)</f>
        <v>28</v>
      </c>
    </row>
    <row r="1542" spans="1:12" x14ac:dyDescent="0.2">
      <c r="A1542" s="69" t="s">
        <v>42</v>
      </c>
      <c r="B1542" s="70">
        <v>42931</v>
      </c>
      <c r="C1542" s="69">
        <v>-91</v>
      </c>
      <c r="D1542" s="69">
        <v>0</v>
      </c>
      <c r="E1542" s="69">
        <v>0</v>
      </c>
      <c r="F1542" s="69">
        <v>0</v>
      </c>
      <c r="G1542" s="69" t="s">
        <v>37</v>
      </c>
      <c r="H1542" s="69" t="str">
        <f>IFERROR(VLOOKUP(Data!$G1542,canon!$I$2:$K$27,2,FALSE),"")</f>
        <v>SHOES</v>
      </c>
      <c r="I1542" s="69" t="str">
        <f>IFERROR(VLOOKUP(Data!$G1542,canon!$I$2:$K$27,3,FALSE),"")</f>
        <v>N.APPAREL</v>
      </c>
      <c r="J1542" s="69">
        <f t="shared" si="48"/>
        <v>7</v>
      </c>
      <c r="K1542" s="69">
        <f t="shared" si="49"/>
        <v>41</v>
      </c>
      <c r="L1542" s="69">
        <f>VLOOKUP(Table_db1_backend_Daily.accdb[[#This Row],[TradingDate]],canon!B:E,4,0)</f>
        <v>28</v>
      </c>
    </row>
    <row r="1543" spans="1:12" x14ac:dyDescent="0.2">
      <c r="A1543" s="69" t="s">
        <v>42</v>
      </c>
      <c r="B1543" s="70">
        <v>42931</v>
      </c>
      <c r="C1543" s="69">
        <v>-3</v>
      </c>
      <c r="D1543" s="69">
        <v>0</v>
      </c>
      <c r="E1543" s="69">
        <v>0</v>
      </c>
      <c r="F1543" s="69">
        <v>0</v>
      </c>
      <c r="G1543" s="69" t="s">
        <v>29</v>
      </c>
      <c r="H1543" s="69" t="str">
        <f>IFERROR(VLOOKUP(Data!$G1543,canon!$I$2:$K$27,2,FALSE),"")</f>
        <v>SHOES</v>
      </c>
      <c r="I1543" s="69" t="str">
        <f>IFERROR(VLOOKUP(Data!$G1543,canon!$I$2:$K$27,3,FALSE),"")</f>
        <v>N.APPAREL</v>
      </c>
      <c r="J1543" s="69">
        <f t="shared" si="48"/>
        <v>7</v>
      </c>
      <c r="K1543" s="69">
        <f t="shared" si="49"/>
        <v>41</v>
      </c>
      <c r="L1543" s="69">
        <f>VLOOKUP(Table_db1_backend_Daily.accdb[[#This Row],[TradingDate]],canon!B:E,4,0)</f>
        <v>28</v>
      </c>
    </row>
    <row r="1544" spans="1:12" x14ac:dyDescent="0.2">
      <c r="A1544" s="69" t="s">
        <v>42</v>
      </c>
      <c r="B1544" s="70">
        <v>42931</v>
      </c>
      <c r="C1544" s="69">
        <v>493</v>
      </c>
      <c r="D1544" s="69">
        <v>15</v>
      </c>
      <c r="E1544" s="69">
        <v>253.98999999999998</v>
      </c>
      <c r="F1544" s="69">
        <v>102.03</v>
      </c>
      <c r="G1544" s="69" t="s">
        <v>17</v>
      </c>
      <c r="H1544" s="69" t="str">
        <f>IFERROR(VLOOKUP(Data!$G1544,canon!$I$2:$K$27,2,FALSE),"")</f>
        <v>OUTER</v>
      </c>
      <c r="I1544" s="69" t="str">
        <f>IFERROR(VLOOKUP(Data!$G1544,canon!$I$2:$K$27,3,FALSE),"")</f>
        <v>APPAREL</v>
      </c>
      <c r="J1544" s="69">
        <f t="shared" si="48"/>
        <v>7</v>
      </c>
      <c r="K1544" s="69">
        <f t="shared" si="49"/>
        <v>41</v>
      </c>
      <c r="L1544" s="69">
        <f>VLOOKUP(Table_db1_backend_Daily.accdb[[#This Row],[TradingDate]],canon!B:E,4,0)</f>
        <v>28</v>
      </c>
    </row>
    <row r="1545" spans="1:12" x14ac:dyDescent="0.2">
      <c r="A1545" s="69" t="s">
        <v>42</v>
      </c>
      <c r="B1545" s="70">
        <v>42931</v>
      </c>
      <c r="C1545" s="69">
        <v>395</v>
      </c>
      <c r="D1545" s="69">
        <v>1</v>
      </c>
      <c r="E1545" s="69">
        <v>9.09</v>
      </c>
      <c r="F1545" s="69">
        <v>2.79</v>
      </c>
      <c r="G1545" s="69" t="s">
        <v>19</v>
      </c>
      <c r="H1545" s="69" t="str">
        <f>IFERROR(VLOOKUP(Data!$G1545,canon!$I$2:$K$27,2,FALSE),"")</f>
        <v>PANT</v>
      </c>
      <c r="I1545" s="69" t="str">
        <f>IFERROR(VLOOKUP(Data!$G1545,canon!$I$2:$K$27,3,FALSE),"")</f>
        <v>APPAREL</v>
      </c>
      <c r="J1545" s="69">
        <f t="shared" si="48"/>
        <v>7</v>
      </c>
      <c r="K1545" s="69">
        <f t="shared" si="49"/>
        <v>41</v>
      </c>
      <c r="L1545" s="69">
        <f>VLOOKUP(Table_db1_backend_Daily.accdb[[#This Row],[TradingDate]],canon!B:E,4,0)</f>
        <v>28</v>
      </c>
    </row>
    <row r="1546" spans="1:12" x14ac:dyDescent="0.2">
      <c r="A1546" s="69" t="s">
        <v>42</v>
      </c>
      <c r="B1546" s="70">
        <v>42931</v>
      </c>
      <c r="C1546" s="69">
        <v>0</v>
      </c>
      <c r="D1546" s="69">
        <v>0</v>
      </c>
      <c r="E1546" s="69">
        <v>0</v>
      </c>
      <c r="F1546" s="69">
        <v>0</v>
      </c>
      <c r="G1546" s="69" t="s">
        <v>21</v>
      </c>
      <c r="H1546" s="69" t="str">
        <f>IFERROR(VLOOKUP(Data!$G1546,canon!$I$2:$K$27,2,FALSE),"")</f>
        <v>ACCESSORY</v>
      </c>
      <c r="I1546" s="69" t="str">
        <f>IFERROR(VLOOKUP(Data!$G1546,canon!$I$2:$K$27,3,FALSE),"")</f>
        <v>N.APPAREL</v>
      </c>
      <c r="J1546" s="69">
        <f t="shared" si="48"/>
        <v>7</v>
      </c>
      <c r="K1546" s="69">
        <f t="shared" si="49"/>
        <v>41</v>
      </c>
      <c r="L1546" s="69">
        <f>VLOOKUP(Table_db1_backend_Daily.accdb[[#This Row],[TradingDate]],canon!B:E,4,0)</f>
        <v>28</v>
      </c>
    </row>
    <row r="1547" spans="1:12" x14ac:dyDescent="0.2">
      <c r="A1547" s="69" t="s">
        <v>42</v>
      </c>
      <c r="B1547" s="70">
        <v>42931</v>
      </c>
      <c r="C1547" s="69">
        <v>-43</v>
      </c>
      <c r="D1547" s="69">
        <v>18</v>
      </c>
      <c r="E1547" s="69">
        <v>100.64999999999999</v>
      </c>
      <c r="F1547" s="69">
        <v>69.27</v>
      </c>
      <c r="G1547" s="69" t="s">
        <v>22</v>
      </c>
      <c r="H1547" s="69" t="str">
        <f>IFERROR(VLOOKUP(Data!$G1547,canon!$I$2:$K$27,2,FALSE),"")</f>
        <v>SCARF</v>
      </c>
      <c r="I1547" s="69" t="str">
        <f>IFERROR(VLOOKUP(Data!$G1547,canon!$I$2:$K$27,3,FALSE),"")</f>
        <v>N.APPAREL</v>
      </c>
      <c r="J1547" s="69">
        <f t="shared" si="48"/>
        <v>7</v>
      </c>
      <c r="K1547" s="69">
        <f t="shared" si="49"/>
        <v>41</v>
      </c>
      <c r="L1547" s="69">
        <f>VLOOKUP(Table_db1_backend_Daily.accdb[[#This Row],[TradingDate]],canon!B:E,4,0)</f>
        <v>28</v>
      </c>
    </row>
    <row r="1548" spans="1:12" x14ac:dyDescent="0.2">
      <c r="A1548" s="69" t="s">
        <v>42</v>
      </c>
      <c r="B1548" s="70">
        <v>42931</v>
      </c>
      <c r="C1548" s="69">
        <v>141</v>
      </c>
      <c r="D1548" s="69">
        <v>0</v>
      </c>
      <c r="E1548" s="69">
        <v>0</v>
      </c>
      <c r="F1548" s="69">
        <v>0</v>
      </c>
      <c r="G1548" s="69" t="s">
        <v>23</v>
      </c>
      <c r="H1548" s="69" t="str">
        <f>IFERROR(VLOOKUP(Data!$G1548,canon!$I$2:$K$27,2,FALSE),"")</f>
        <v>SH&amp;BL</v>
      </c>
      <c r="I1548" s="69" t="str">
        <f>IFERROR(VLOOKUP(Data!$G1548,canon!$I$2:$K$27,3,FALSE),"")</f>
        <v>APPAREL</v>
      </c>
      <c r="J1548" s="69">
        <f t="shared" si="48"/>
        <v>7</v>
      </c>
      <c r="K1548" s="69">
        <f t="shared" si="49"/>
        <v>41</v>
      </c>
      <c r="L1548" s="69">
        <f>VLOOKUP(Table_db1_backend_Daily.accdb[[#This Row],[TradingDate]],canon!B:E,4,0)</f>
        <v>28</v>
      </c>
    </row>
    <row r="1549" spans="1:12" x14ac:dyDescent="0.2">
      <c r="A1549" s="69" t="s">
        <v>42</v>
      </c>
      <c r="B1549" s="70">
        <v>42931</v>
      </c>
      <c r="C1549" s="69">
        <v>276</v>
      </c>
      <c r="D1549" s="69">
        <v>1</v>
      </c>
      <c r="E1549" s="69">
        <v>18.18</v>
      </c>
      <c r="F1549" s="69">
        <v>13.18</v>
      </c>
      <c r="G1549" s="69" t="s">
        <v>32</v>
      </c>
      <c r="H1549" s="69" t="str">
        <f>IFERROR(VLOOKUP(Data!$G1549,canon!$I$2:$K$27,2,FALSE),"")</f>
        <v>SKIRT</v>
      </c>
      <c r="I1549" s="69" t="str">
        <f>IFERROR(VLOOKUP(Data!$G1549,canon!$I$2:$K$27,3,FALSE),"")</f>
        <v>APPAREL</v>
      </c>
      <c r="J1549" s="69">
        <f t="shared" si="48"/>
        <v>7</v>
      </c>
      <c r="K1549" s="69">
        <f t="shared" si="49"/>
        <v>41</v>
      </c>
      <c r="L1549" s="69">
        <f>VLOOKUP(Table_db1_backend_Daily.accdb[[#This Row],[TradingDate]],canon!B:E,4,0)</f>
        <v>28</v>
      </c>
    </row>
    <row r="1550" spans="1:12" x14ac:dyDescent="0.2">
      <c r="A1550" s="69" t="s">
        <v>42</v>
      </c>
      <c r="B1550" s="70">
        <v>42931</v>
      </c>
      <c r="C1550" s="69">
        <v>1127</v>
      </c>
      <c r="D1550" s="69">
        <v>29</v>
      </c>
      <c r="E1550" s="69">
        <v>159.07000000000002</v>
      </c>
      <c r="F1550" s="69">
        <v>21.799999999999994</v>
      </c>
      <c r="G1550" s="69" t="s">
        <v>25</v>
      </c>
      <c r="H1550" s="69" t="str">
        <f>IFERROR(VLOOKUP(Data!$G1550,canon!$I$2:$K$27,2,FALSE),"")</f>
        <v>TOP</v>
      </c>
      <c r="I1550" s="69" t="str">
        <f>IFERROR(VLOOKUP(Data!$G1550,canon!$I$2:$K$27,3,FALSE),"")</f>
        <v>APPAREL</v>
      </c>
      <c r="J1550" s="69">
        <f t="shared" si="48"/>
        <v>7</v>
      </c>
      <c r="K1550" s="69">
        <f t="shared" si="49"/>
        <v>41</v>
      </c>
      <c r="L1550" s="69">
        <f>VLOOKUP(Table_db1_backend_Daily.accdb[[#This Row],[TradingDate]],canon!B:E,4,0)</f>
        <v>28</v>
      </c>
    </row>
    <row r="1551" spans="1:12" x14ac:dyDescent="0.2">
      <c r="A1551" s="69" t="s">
        <v>42</v>
      </c>
      <c r="B1551" s="70">
        <v>42932</v>
      </c>
      <c r="C1551" s="69">
        <v>-2</v>
      </c>
      <c r="D1551" s="69">
        <v>0</v>
      </c>
      <c r="E1551" s="69">
        <v>0</v>
      </c>
      <c r="F1551" s="69">
        <v>0</v>
      </c>
      <c r="G1551" s="69" t="s">
        <v>34</v>
      </c>
      <c r="H1551" s="69" t="str">
        <f>IFERROR(VLOOKUP(Data!$G1551,canon!$I$2:$K$27,2,FALSE),"")</f>
        <v>SHOES</v>
      </c>
      <c r="I1551" s="69" t="str">
        <f>IFERROR(VLOOKUP(Data!$G1551,canon!$I$2:$K$27,3,FALSE),"")</f>
        <v>N.APPAREL</v>
      </c>
      <c r="J1551" s="69">
        <f t="shared" si="48"/>
        <v>1</v>
      </c>
      <c r="K1551" s="69">
        <f t="shared" si="49"/>
        <v>41</v>
      </c>
      <c r="L1551" s="69">
        <f>VLOOKUP(Table_db1_backend_Daily.accdb[[#This Row],[TradingDate]],canon!B:E,4,0)</f>
        <v>29</v>
      </c>
    </row>
    <row r="1552" spans="1:12" x14ac:dyDescent="0.2">
      <c r="A1552" s="69" t="s">
        <v>42</v>
      </c>
      <c r="B1552" s="70">
        <v>42932</v>
      </c>
      <c r="C1552" s="69">
        <v>589</v>
      </c>
      <c r="D1552" s="69">
        <v>1</v>
      </c>
      <c r="E1552" s="69">
        <v>40.89</v>
      </c>
      <c r="F1552" s="69">
        <v>31.11</v>
      </c>
      <c r="G1552" s="69" t="s">
        <v>35</v>
      </c>
      <c r="H1552" s="69" t="str">
        <f>IFERROR(VLOOKUP(Data!$G1552,canon!$I$2:$K$27,2,FALSE),"")</f>
        <v>DRESS</v>
      </c>
      <c r="I1552" s="69" t="str">
        <f>IFERROR(VLOOKUP(Data!$G1552,canon!$I$2:$K$27,3,FALSE),"")</f>
        <v>APPAREL</v>
      </c>
      <c r="J1552" s="69">
        <f t="shared" si="48"/>
        <v>1</v>
      </c>
      <c r="K1552" s="69">
        <f t="shared" si="49"/>
        <v>41</v>
      </c>
      <c r="L1552" s="69">
        <f>VLOOKUP(Table_db1_backend_Daily.accdb[[#This Row],[TradingDate]],canon!B:E,4,0)</f>
        <v>29</v>
      </c>
    </row>
    <row r="1553" spans="1:12" x14ac:dyDescent="0.2">
      <c r="A1553" s="69" t="s">
        <v>42</v>
      </c>
      <c r="B1553" s="70">
        <v>42932</v>
      </c>
      <c r="C1553" s="69">
        <v>-107</v>
      </c>
      <c r="D1553" s="69">
        <v>0</v>
      </c>
      <c r="E1553" s="69">
        <v>0</v>
      </c>
      <c r="F1553" s="69">
        <v>0</v>
      </c>
      <c r="G1553" s="69" t="s">
        <v>10</v>
      </c>
      <c r="H1553" s="69" t="str">
        <f>IFERROR(VLOOKUP(Data!$G1553,canon!$I$2:$K$27,2,FALSE),"")</f>
        <v>ACCESSORY</v>
      </c>
      <c r="I1553" s="69" t="str">
        <f>IFERROR(VLOOKUP(Data!$G1553,canon!$I$2:$K$27,3,FALSE),"")</f>
        <v>N.APPAREL</v>
      </c>
      <c r="J1553" s="69">
        <f t="shared" si="48"/>
        <v>1</v>
      </c>
      <c r="K1553" s="69">
        <f t="shared" si="49"/>
        <v>41</v>
      </c>
      <c r="L1553" s="69">
        <f>VLOOKUP(Table_db1_backend_Daily.accdb[[#This Row],[TradingDate]],canon!B:E,4,0)</f>
        <v>29</v>
      </c>
    </row>
    <row r="1554" spans="1:12" x14ac:dyDescent="0.2">
      <c r="A1554" s="69" t="s">
        <v>42</v>
      </c>
      <c r="B1554" s="70">
        <v>42932</v>
      </c>
      <c r="C1554" s="69">
        <v>1256</v>
      </c>
      <c r="D1554" s="69">
        <v>32</v>
      </c>
      <c r="E1554" s="69">
        <v>345.1</v>
      </c>
      <c r="F1554" s="69">
        <v>102.17999999999998</v>
      </c>
      <c r="G1554" s="69" t="s">
        <v>11</v>
      </c>
      <c r="H1554" s="69" t="str">
        <f>IFERROR(VLOOKUP(Data!$G1554,canon!$I$2:$K$27,2,FALSE),"")</f>
        <v>KNIT</v>
      </c>
      <c r="I1554" s="69" t="str">
        <f>IFERROR(VLOOKUP(Data!$G1554,canon!$I$2:$K$27,3,FALSE),"")</f>
        <v>APPAREL</v>
      </c>
      <c r="J1554" s="69">
        <f t="shared" si="48"/>
        <v>1</v>
      </c>
      <c r="K1554" s="69">
        <f t="shared" si="49"/>
        <v>41</v>
      </c>
      <c r="L1554" s="69">
        <f>VLOOKUP(Table_db1_backend_Daily.accdb[[#This Row],[TradingDate]],canon!B:E,4,0)</f>
        <v>29</v>
      </c>
    </row>
    <row r="1555" spans="1:12" x14ac:dyDescent="0.2">
      <c r="A1555" s="69" t="s">
        <v>42</v>
      </c>
      <c r="B1555" s="70">
        <v>42932</v>
      </c>
      <c r="C1555" s="69">
        <v>429</v>
      </c>
      <c r="D1555" s="69">
        <v>1</v>
      </c>
      <c r="E1555" s="69">
        <v>9.09</v>
      </c>
      <c r="F1555" s="69">
        <v>2.68</v>
      </c>
      <c r="G1555" s="69" t="s">
        <v>14</v>
      </c>
      <c r="H1555" s="69" t="str">
        <f>IFERROR(VLOOKUP(Data!$G1555,canon!$I$2:$K$27,2,FALSE),"")</f>
        <v>LEGGING</v>
      </c>
      <c r="I1555" s="69" t="str">
        <f>IFERROR(VLOOKUP(Data!$G1555,canon!$I$2:$K$27,3,FALSE),"")</f>
        <v>APPAREL</v>
      </c>
      <c r="J1555" s="69">
        <f t="shared" si="48"/>
        <v>1</v>
      </c>
      <c r="K1555" s="69">
        <f t="shared" si="49"/>
        <v>41</v>
      </c>
      <c r="L1555" s="69">
        <f>VLOOKUP(Table_db1_backend_Daily.accdb[[#This Row],[TradingDate]],canon!B:E,4,0)</f>
        <v>29</v>
      </c>
    </row>
    <row r="1556" spans="1:12" x14ac:dyDescent="0.2">
      <c r="A1556" s="69" t="s">
        <v>42</v>
      </c>
      <c r="B1556" s="70">
        <v>42932</v>
      </c>
      <c r="C1556" s="69">
        <v>-91</v>
      </c>
      <c r="D1556" s="69">
        <v>0</v>
      </c>
      <c r="E1556" s="69">
        <v>0</v>
      </c>
      <c r="F1556" s="69">
        <v>0</v>
      </c>
      <c r="G1556" s="69" t="s">
        <v>37</v>
      </c>
      <c r="H1556" s="69" t="str">
        <f>IFERROR(VLOOKUP(Data!$G1556,canon!$I$2:$K$27,2,FALSE),"")</f>
        <v>SHOES</v>
      </c>
      <c r="I1556" s="69" t="str">
        <f>IFERROR(VLOOKUP(Data!$G1556,canon!$I$2:$K$27,3,FALSE),"")</f>
        <v>N.APPAREL</v>
      </c>
      <c r="J1556" s="69">
        <f t="shared" si="48"/>
        <v>1</v>
      </c>
      <c r="K1556" s="69">
        <f t="shared" si="49"/>
        <v>41</v>
      </c>
      <c r="L1556" s="69">
        <f>VLOOKUP(Table_db1_backend_Daily.accdb[[#This Row],[TradingDate]],canon!B:E,4,0)</f>
        <v>29</v>
      </c>
    </row>
    <row r="1557" spans="1:12" x14ac:dyDescent="0.2">
      <c r="A1557" s="69" t="s">
        <v>42</v>
      </c>
      <c r="B1557" s="70">
        <v>42932</v>
      </c>
      <c r="C1557" s="69">
        <v>-3</v>
      </c>
      <c r="D1557" s="69">
        <v>0</v>
      </c>
      <c r="E1557" s="69">
        <v>0</v>
      </c>
      <c r="F1557" s="69">
        <v>0</v>
      </c>
      <c r="G1557" s="69" t="s">
        <v>29</v>
      </c>
      <c r="H1557" s="69" t="str">
        <f>IFERROR(VLOOKUP(Data!$G1557,canon!$I$2:$K$27,2,FALSE),"")</f>
        <v>SHOES</v>
      </c>
      <c r="I1557" s="69" t="str">
        <f>IFERROR(VLOOKUP(Data!$G1557,canon!$I$2:$K$27,3,FALSE),"")</f>
        <v>N.APPAREL</v>
      </c>
      <c r="J1557" s="69">
        <f t="shared" si="48"/>
        <v>1</v>
      </c>
      <c r="K1557" s="69">
        <f t="shared" si="49"/>
        <v>41</v>
      </c>
      <c r="L1557" s="69">
        <f>VLOOKUP(Table_db1_backend_Daily.accdb[[#This Row],[TradingDate]],canon!B:E,4,0)</f>
        <v>29</v>
      </c>
    </row>
    <row r="1558" spans="1:12" x14ac:dyDescent="0.2">
      <c r="A1558" s="69" t="s">
        <v>42</v>
      </c>
      <c r="B1558" s="70">
        <v>42932</v>
      </c>
      <c r="C1558" s="69">
        <v>491</v>
      </c>
      <c r="D1558" s="69">
        <v>2</v>
      </c>
      <c r="E1558" s="69">
        <v>27.18</v>
      </c>
      <c r="F1558" s="69">
        <v>7.52</v>
      </c>
      <c r="G1558" s="69" t="s">
        <v>17</v>
      </c>
      <c r="H1558" s="69" t="str">
        <f>IFERROR(VLOOKUP(Data!$G1558,canon!$I$2:$K$27,2,FALSE),"")</f>
        <v>OUTER</v>
      </c>
      <c r="I1558" s="69" t="str">
        <f>IFERROR(VLOOKUP(Data!$G1558,canon!$I$2:$K$27,3,FALSE),"")</f>
        <v>APPAREL</v>
      </c>
      <c r="J1558" s="69">
        <f t="shared" si="48"/>
        <v>1</v>
      </c>
      <c r="K1558" s="69">
        <f t="shared" si="49"/>
        <v>41</v>
      </c>
      <c r="L1558" s="69">
        <f>VLOOKUP(Table_db1_backend_Daily.accdb[[#This Row],[TradingDate]],canon!B:E,4,0)</f>
        <v>29</v>
      </c>
    </row>
    <row r="1559" spans="1:12" x14ac:dyDescent="0.2">
      <c r="A1559" s="69" t="s">
        <v>42</v>
      </c>
      <c r="B1559" s="70">
        <v>42932</v>
      </c>
      <c r="C1559" s="69">
        <v>395</v>
      </c>
      <c r="D1559" s="69">
        <v>0</v>
      </c>
      <c r="E1559" s="69">
        <v>0</v>
      </c>
      <c r="F1559" s="69">
        <v>0</v>
      </c>
      <c r="G1559" s="69" t="s">
        <v>19</v>
      </c>
      <c r="H1559" s="69" t="str">
        <f>IFERROR(VLOOKUP(Data!$G1559,canon!$I$2:$K$27,2,FALSE),"")</f>
        <v>PANT</v>
      </c>
      <c r="I1559" s="69" t="str">
        <f>IFERROR(VLOOKUP(Data!$G1559,canon!$I$2:$K$27,3,FALSE),"")</f>
        <v>APPAREL</v>
      </c>
      <c r="J1559" s="69">
        <f t="shared" si="48"/>
        <v>1</v>
      </c>
      <c r="K1559" s="69">
        <f t="shared" si="49"/>
        <v>41</v>
      </c>
      <c r="L1559" s="69">
        <f>VLOOKUP(Table_db1_backend_Daily.accdb[[#This Row],[TradingDate]],canon!B:E,4,0)</f>
        <v>29</v>
      </c>
    </row>
    <row r="1560" spans="1:12" x14ac:dyDescent="0.2">
      <c r="A1560" s="69" t="s">
        <v>42</v>
      </c>
      <c r="B1560" s="70">
        <v>42932</v>
      </c>
      <c r="C1560" s="69">
        <v>0</v>
      </c>
      <c r="D1560" s="69">
        <v>0</v>
      </c>
      <c r="E1560" s="69">
        <v>0</v>
      </c>
      <c r="F1560" s="69">
        <v>0</v>
      </c>
      <c r="G1560" s="69" t="s">
        <v>21</v>
      </c>
      <c r="H1560" s="69" t="str">
        <f>IFERROR(VLOOKUP(Data!$G1560,canon!$I$2:$K$27,2,FALSE),"")</f>
        <v>ACCESSORY</v>
      </c>
      <c r="I1560" s="69" t="str">
        <f>IFERROR(VLOOKUP(Data!$G1560,canon!$I$2:$K$27,3,FALSE),"")</f>
        <v>N.APPAREL</v>
      </c>
      <c r="J1560" s="69">
        <f t="shared" si="48"/>
        <v>1</v>
      </c>
      <c r="K1560" s="69">
        <f t="shared" si="49"/>
        <v>41</v>
      </c>
      <c r="L1560" s="69">
        <f>VLOOKUP(Table_db1_backend_Daily.accdb[[#This Row],[TradingDate]],canon!B:E,4,0)</f>
        <v>29</v>
      </c>
    </row>
    <row r="1561" spans="1:12" x14ac:dyDescent="0.2">
      <c r="A1561" s="69" t="s">
        <v>42</v>
      </c>
      <c r="B1561" s="70">
        <v>42932</v>
      </c>
      <c r="C1561" s="69">
        <v>-50</v>
      </c>
      <c r="D1561" s="69">
        <v>7</v>
      </c>
      <c r="E1561" s="69">
        <v>42.570000000000007</v>
      </c>
      <c r="F1561" s="69">
        <v>30.08</v>
      </c>
      <c r="G1561" s="69" t="s">
        <v>22</v>
      </c>
      <c r="H1561" s="69" t="str">
        <f>IFERROR(VLOOKUP(Data!$G1561,canon!$I$2:$K$27,2,FALSE),"")</f>
        <v>SCARF</v>
      </c>
      <c r="I1561" s="69" t="str">
        <f>IFERROR(VLOOKUP(Data!$G1561,canon!$I$2:$K$27,3,FALSE),"")</f>
        <v>N.APPAREL</v>
      </c>
      <c r="J1561" s="69">
        <f t="shared" si="48"/>
        <v>1</v>
      </c>
      <c r="K1561" s="69">
        <f t="shared" si="49"/>
        <v>41</v>
      </c>
      <c r="L1561" s="69">
        <f>VLOOKUP(Table_db1_backend_Daily.accdb[[#This Row],[TradingDate]],canon!B:E,4,0)</f>
        <v>29</v>
      </c>
    </row>
    <row r="1562" spans="1:12" x14ac:dyDescent="0.2">
      <c r="A1562" s="69" t="s">
        <v>42</v>
      </c>
      <c r="B1562" s="70">
        <v>42932</v>
      </c>
      <c r="C1562" s="69">
        <v>140</v>
      </c>
      <c r="D1562" s="69">
        <v>1</v>
      </c>
      <c r="E1562" s="69">
        <v>27.26</v>
      </c>
      <c r="F1562" s="69">
        <v>19.43</v>
      </c>
      <c r="G1562" s="69" t="s">
        <v>23</v>
      </c>
      <c r="H1562" s="69" t="str">
        <f>IFERROR(VLOOKUP(Data!$G1562,canon!$I$2:$K$27,2,FALSE),"")</f>
        <v>SH&amp;BL</v>
      </c>
      <c r="I1562" s="69" t="str">
        <f>IFERROR(VLOOKUP(Data!$G1562,canon!$I$2:$K$27,3,FALSE),"")</f>
        <v>APPAREL</v>
      </c>
      <c r="J1562" s="69">
        <f t="shared" si="48"/>
        <v>1</v>
      </c>
      <c r="K1562" s="69">
        <f t="shared" si="49"/>
        <v>41</v>
      </c>
      <c r="L1562" s="69">
        <f>VLOOKUP(Table_db1_backend_Daily.accdb[[#This Row],[TradingDate]],canon!B:E,4,0)</f>
        <v>29</v>
      </c>
    </row>
    <row r="1563" spans="1:12" x14ac:dyDescent="0.2">
      <c r="A1563" s="69" t="s">
        <v>42</v>
      </c>
      <c r="B1563" s="70">
        <v>42932</v>
      </c>
      <c r="C1563" s="69">
        <v>276</v>
      </c>
      <c r="D1563" s="69">
        <v>0</v>
      </c>
      <c r="E1563" s="69">
        <v>0</v>
      </c>
      <c r="F1563" s="69">
        <v>0</v>
      </c>
      <c r="G1563" s="69" t="s">
        <v>32</v>
      </c>
      <c r="H1563" s="69" t="str">
        <f>IFERROR(VLOOKUP(Data!$G1563,canon!$I$2:$K$27,2,FALSE),"")</f>
        <v>SKIRT</v>
      </c>
      <c r="I1563" s="69" t="str">
        <f>IFERROR(VLOOKUP(Data!$G1563,canon!$I$2:$K$27,3,FALSE),"")</f>
        <v>APPAREL</v>
      </c>
      <c r="J1563" s="69">
        <f t="shared" si="48"/>
        <v>1</v>
      </c>
      <c r="K1563" s="69">
        <f t="shared" si="49"/>
        <v>41</v>
      </c>
      <c r="L1563" s="69">
        <f>VLOOKUP(Table_db1_backend_Daily.accdb[[#This Row],[TradingDate]],canon!B:E,4,0)</f>
        <v>29</v>
      </c>
    </row>
    <row r="1564" spans="1:12" x14ac:dyDescent="0.2">
      <c r="A1564" s="69" t="s">
        <v>42</v>
      </c>
      <c r="B1564" s="70">
        <v>42932</v>
      </c>
      <c r="C1564" s="69">
        <v>1118</v>
      </c>
      <c r="D1564" s="69">
        <v>9</v>
      </c>
      <c r="E1564" s="69">
        <v>90.68</v>
      </c>
      <c r="F1564" s="69">
        <v>41.97</v>
      </c>
      <c r="G1564" s="69" t="s">
        <v>25</v>
      </c>
      <c r="H1564" s="69" t="str">
        <f>IFERROR(VLOOKUP(Data!$G1564,canon!$I$2:$K$27,2,FALSE),"")</f>
        <v>TOP</v>
      </c>
      <c r="I1564" s="69" t="str">
        <f>IFERROR(VLOOKUP(Data!$G1564,canon!$I$2:$K$27,3,FALSE),"")</f>
        <v>APPAREL</v>
      </c>
      <c r="J1564" s="69">
        <f t="shared" si="48"/>
        <v>1</v>
      </c>
      <c r="K1564" s="69">
        <f t="shared" si="49"/>
        <v>41</v>
      </c>
      <c r="L1564" s="69">
        <f>VLOOKUP(Table_db1_backend_Daily.accdb[[#This Row],[TradingDate]],canon!B:E,4,0)</f>
        <v>29</v>
      </c>
    </row>
    <row r="1565" spans="1:12" x14ac:dyDescent="0.2">
      <c r="A1565" s="69" t="s">
        <v>42</v>
      </c>
      <c r="B1565" s="70">
        <v>42933</v>
      </c>
      <c r="C1565" s="69">
        <v>-2</v>
      </c>
      <c r="D1565" s="69">
        <v>0</v>
      </c>
      <c r="E1565" s="69">
        <v>0</v>
      </c>
      <c r="F1565" s="69">
        <v>0</v>
      </c>
      <c r="G1565" s="69" t="s">
        <v>34</v>
      </c>
      <c r="H1565" s="69" t="str">
        <f>IFERROR(VLOOKUP(Data!$G1565,canon!$I$2:$K$27,2,FALSE),"")</f>
        <v>SHOES</v>
      </c>
      <c r="I1565" s="69" t="str">
        <f>IFERROR(VLOOKUP(Data!$G1565,canon!$I$2:$K$27,3,FALSE),"")</f>
        <v>N.APPAREL</v>
      </c>
      <c r="J1565" s="69">
        <f t="shared" si="48"/>
        <v>2</v>
      </c>
      <c r="K1565" s="69">
        <f t="shared" si="49"/>
        <v>41</v>
      </c>
      <c r="L1565" s="69">
        <f>VLOOKUP(Table_db1_backend_Daily.accdb[[#This Row],[TradingDate]],canon!B:E,4,0)</f>
        <v>29</v>
      </c>
    </row>
    <row r="1566" spans="1:12" x14ac:dyDescent="0.2">
      <c r="A1566" s="69" t="s">
        <v>42</v>
      </c>
      <c r="B1566" s="70">
        <v>42933</v>
      </c>
      <c r="C1566" s="69">
        <v>586</v>
      </c>
      <c r="D1566" s="69">
        <v>3</v>
      </c>
      <c r="E1566" s="69">
        <v>27.26</v>
      </c>
      <c r="F1566" s="69">
        <v>2.48</v>
      </c>
      <c r="G1566" s="69" t="s">
        <v>35</v>
      </c>
      <c r="H1566" s="69" t="str">
        <f>IFERROR(VLOOKUP(Data!$G1566,canon!$I$2:$K$27,2,FALSE),"")</f>
        <v>DRESS</v>
      </c>
      <c r="I1566" s="69" t="str">
        <f>IFERROR(VLOOKUP(Data!$G1566,canon!$I$2:$K$27,3,FALSE),"")</f>
        <v>APPAREL</v>
      </c>
      <c r="J1566" s="69">
        <f t="shared" si="48"/>
        <v>2</v>
      </c>
      <c r="K1566" s="69">
        <f t="shared" si="49"/>
        <v>41</v>
      </c>
      <c r="L1566" s="69">
        <f>VLOOKUP(Table_db1_backend_Daily.accdb[[#This Row],[TradingDate]],canon!B:E,4,0)</f>
        <v>29</v>
      </c>
    </row>
    <row r="1567" spans="1:12" x14ac:dyDescent="0.2">
      <c r="A1567" s="69" t="s">
        <v>42</v>
      </c>
      <c r="B1567" s="70">
        <v>42933</v>
      </c>
      <c r="C1567" s="69">
        <v>-107</v>
      </c>
      <c r="D1567" s="69">
        <v>0</v>
      </c>
      <c r="E1567" s="69">
        <v>0</v>
      </c>
      <c r="F1567" s="69">
        <v>0</v>
      </c>
      <c r="G1567" s="69" t="s">
        <v>10</v>
      </c>
      <c r="H1567" s="69" t="str">
        <f>IFERROR(VLOOKUP(Data!$G1567,canon!$I$2:$K$27,2,FALSE),"")</f>
        <v>ACCESSORY</v>
      </c>
      <c r="I1567" s="69" t="str">
        <f>IFERROR(VLOOKUP(Data!$G1567,canon!$I$2:$K$27,3,FALSE),"")</f>
        <v>N.APPAREL</v>
      </c>
      <c r="J1567" s="69">
        <f t="shared" si="48"/>
        <v>2</v>
      </c>
      <c r="K1567" s="69">
        <f t="shared" si="49"/>
        <v>41</v>
      </c>
      <c r="L1567" s="69">
        <f>VLOOKUP(Table_db1_backend_Daily.accdb[[#This Row],[TradingDate]],canon!B:E,4,0)</f>
        <v>29</v>
      </c>
    </row>
    <row r="1568" spans="1:12" x14ac:dyDescent="0.2">
      <c r="A1568" s="69" t="s">
        <v>42</v>
      </c>
      <c r="B1568" s="70">
        <v>42933</v>
      </c>
      <c r="C1568" s="69">
        <v>1224</v>
      </c>
      <c r="D1568" s="69">
        <v>32</v>
      </c>
      <c r="E1568" s="69">
        <v>381.4899999999999</v>
      </c>
      <c r="F1568" s="69">
        <v>136.56</v>
      </c>
      <c r="G1568" s="69" t="s">
        <v>11</v>
      </c>
      <c r="H1568" s="69" t="str">
        <f>IFERROR(VLOOKUP(Data!$G1568,canon!$I$2:$K$27,2,FALSE),"")</f>
        <v>KNIT</v>
      </c>
      <c r="I1568" s="69" t="str">
        <f>IFERROR(VLOOKUP(Data!$G1568,canon!$I$2:$K$27,3,FALSE),"")</f>
        <v>APPAREL</v>
      </c>
      <c r="J1568" s="69">
        <f t="shared" si="48"/>
        <v>2</v>
      </c>
      <c r="K1568" s="69">
        <f t="shared" si="49"/>
        <v>41</v>
      </c>
      <c r="L1568" s="69">
        <f>VLOOKUP(Table_db1_backend_Daily.accdb[[#This Row],[TradingDate]],canon!B:E,4,0)</f>
        <v>29</v>
      </c>
    </row>
    <row r="1569" spans="1:12" x14ac:dyDescent="0.2">
      <c r="A1569" s="69" t="s">
        <v>42</v>
      </c>
      <c r="B1569" s="70">
        <v>42933</v>
      </c>
      <c r="C1569" s="69">
        <v>427</v>
      </c>
      <c r="D1569" s="69">
        <v>2</v>
      </c>
      <c r="E1569" s="69">
        <v>18.18</v>
      </c>
      <c r="F1569" s="69">
        <v>3.62</v>
      </c>
      <c r="G1569" s="69" t="s">
        <v>14</v>
      </c>
      <c r="H1569" s="69" t="str">
        <f>IFERROR(VLOOKUP(Data!$G1569,canon!$I$2:$K$27,2,FALSE),"")</f>
        <v>LEGGING</v>
      </c>
      <c r="I1569" s="69" t="str">
        <f>IFERROR(VLOOKUP(Data!$G1569,canon!$I$2:$K$27,3,FALSE),"")</f>
        <v>APPAREL</v>
      </c>
      <c r="J1569" s="69">
        <f t="shared" si="48"/>
        <v>2</v>
      </c>
      <c r="K1569" s="69">
        <f t="shared" si="49"/>
        <v>41</v>
      </c>
      <c r="L1569" s="69">
        <f>VLOOKUP(Table_db1_backend_Daily.accdb[[#This Row],[TradingDate]],canon!B:E,4,0)</f>
        <v>29</v>
      </c>
    </row>
    <row r="1570" spans="1:12" x14ac:dyDescent="0.2">
      <c r="A1570" s="69" t="s">
        <v>42</v>
      </c>
      <c r="B1570" s="70">
        <v>42933</v>
      </c>
      <c r="C1570" s="69">
        <v>-91</v>
      </c>
      <c r="D1570" s="69">
        <v>0</v>
      </c>
      <c r="E1570" s="69">
        <v>0</v>
      </c>
      <c r="F1570" s="69">
        <v>0</v>
      </c>
      <c r="G1570" s="69" t="s">
        <v>37</v>
      </c>
      <c r="H1570" s="69" t="str">
        <f>IFERROR(VLOOKUP(Data!$G1570,canon!$I$2:$K$27,2,FALSE),"")</f>
        <v>SHOES</v>
      </c>
      <c r="I1570" s="69" t="str">
        <f>IFERROR(VLOOKUP(Data!$G1570,canon!$I$2:$K$27,3,FALSE),"")</f>
        <v>N.APPAREL</v>
      </c>
      <c r="J1570" s="69">
        <f t="shared" si="48"/>
        <v>2</v>
      </c>
      <c r="K1570" s="69">
        <f t="shared" si="49"/>
        <v>41</v>
      </c>
      <c r="L1570" s="69">
        <f>VLOOKUP(Table_db1_backend_Daily.accdb[[#This Row],[TradingDate]],canon!B:E,4,0)</f>
        <v>29</v>
      </c>
    </row>
    <row r="1571" spans="1:12" x14ac:dyDescent="0.2">
      <c r="A1571" s="69" t="s">
        <v>42</v>
      </c>
      <c r="B1571" s="70">
        <v>42933</v>
      </c>
      <c r="C1571" s="69">
        <v>-3</v>
      </c>
      <c r="D1571" s="69">
        <v>0</v>
      </c>
      <c r="E1571" s="69">
        <v>0</v>
      </c>
      <c r="F1571" s="69">
        <v>0</v>
      </c>
      <c r="G1571" s="69" t="s">
        <v>29</v>
      </c>
      <c r="H1571" s="69" t="str">
        <f>IFERROR(VLOOKUP(Data!$G1571,canon!$I$2:$K$27,2,FALSE),"")</f>
        <v>SHOES</v>
      </c>
      <c r="I1571" s="69" t="str">
        <f>IFERROR(VLOOKUP(Data!$G1571,canon!$I$2:$K$27,3,FALSE),"")</f>
        <v>N.APPAREL</v>
      </c>
      <c r="J1571" s="69">
        <f t="shared" si="48"/>
        <v>2</v>
      </c>
      <c r="K1571" s="69">
        <f t="shared" si="49"/>
        <v>41</v>
      </c>
      <c r="L1571" s="69">
        <f>VLOOKUP(Table_db1_backend_Daily.accdb[[#This Row],[TradingDate]],canon!B:E,4,0)</f>
        <v>29</v>
      </c>
    </row>
    <row r="1572" spans="1:12" x14ac:dyDescent="0.2">
      <c r="A1572" s="69" t="s">
        <v>42</v>
      </c>
      <c r="B1572" s="70">
        <v>42933</v>
      </c>
      <c r="C1572" s="69">
        <v>483</v>
      </c>
      <c r="D1572" s="69">
        <v>8</v>
      </c>
      <c r="E1572" s="69">
        <v>122.49000000000001</v>
      </c>
      <c r="F1572" s="69">
        <v>44</v>
      </c>
      <c r="G1572" s="69" t="s">
        <v>17</v>
      </c>
      <c r="H1572" s="69" t="str">
        <f>IFERROR(VLOOKUP(Data!$G1572,canon!$I$2:$K$27,2,FALSE),"")</f>
        <v>OUTER</v>
      </c>
      <c r="I1572" s="69" t="str">
        <f>IFERROR(VLOOKUP(Data!$G1572,canon!$I$2:$K$27,3,FALSE),"")</f>
        <v>APPAREL</v>
      </c>
      <c r="J1572" s="69">
        <f t="shared" si="48"/>
        <v>2</v>
      </c>
      <c r="K1572" s="69">
        <f t="shared" si="49"/>
        <v>41</v>
      </c>
      <c r="L1572" s="69">
        <f>VLOOKUP(Table_db1_backend_Daily.accdb[[#This Row],[TradingDate]],canon!B:E,4,0)</f>
        <v>29</v>
      </c>
    </row>
    <row r="1573" spans="1:12" x14ac:dyDescent="0.2">
      <c r="A1573" s="69" t="s">
        <v>42</v>
      </c>
      <c r="B1573" s="70">
        <v>42933</v>
      </c>
      <c r="C1573" s="69">
        <v>395</v>
      </c>
      <c r="D1573" s="69">
        <v>0</v>
      </c>
      <c r="E1573" s="69">
        <v>0</v>
      </c>
      <c r="F1573" s="69">
        <v>0</v>
      </c>
      <c r="G1573" s="69" t="s">
        <v>19</v>
      </c>
      <c r="H1573" s="69" t="str">
        <f>IFERROR(VLOOKUP(Data!$G1573,canon!$I$2:$K$27,2,FALSE),"")</f>
        <v>PANT</v>
      </c>
      <c r="I1573" s="69" t="str">
        <f>IFERROR(VLOOKUP(Data!$G1573,canon!$I$2:$K$27,3,FALSE),"")</f>
        <v>APPAREL</v>
      </c>
      <c r="J1573" s="69">
        <f t="shared" si="48"/>
        <v>2</v>
      </c>
      <c r="K1573" s="69">
        <f t="shared" si="49"/>
        <v>41</v>
      </c>
      <c r="L1573" s="69">
        <f>VLOOKUP(Table_db1_backend_Daily.accdb[[#This Row],[TradingDate]],canon!B:E,4,0)</f>
        <v>29</v>
      </c>
    </row>
    <row r="1574" spans="1:12" x14ac:dyDescent="0.2">
      <c r="A1574" s="69" t="s">
        <v>42</v>
      </c>
      <c r="B1574" s="70">
        <v>42933</v>
      </c>
      <c r="C1574" s="69">
        <v>0</v>
      </c>
      <c r="D1574" s="69">
        <v>0</v>
      </c>
      <c r="E1574" s="69">
        <v>0</v>
      </c>
      <c r="F1574" s="69">
        <v>0</v>
      </c>
      <c r="G1574" s="69" t="s">
        <v>21</v>
      </c>
      <c r="H1574" s="69" t="str">
        <f>IFERROR(VLOOKUP(Data!$G1574,canon!$I$2:$K$27,2,FALSE),"")</f>
        <v>ACCESSORY</v>
      </c>
      <c r="I1574" s="69" t="str">
        <f>IFERROR(VLOOKUP(Data!$G1574,canon!$I$2:$K$27,3,FALSE),"")</f>
        <v>N.APPAREL</v>
      </c>
      <c r="J1574" s="69">
        <f t="shared" si="48"/>
        <v>2</v>
      </c>
      <c r="K1574" s="69">
        <f t="shared" si="49"/>
        <v>41</v>
      </c>
      <c r="L1574" s="69">
        <f>VLOOKUP(Table_db1_backend_Daily.accdb[[#This Row],[TradingDate]],canon!B:E,4,0)</f>
        <v>29</v>
      </c>
    </row>
    <row r="1575" spans="1:12" x14ac:dyDescent="0.2">
      <c r="A1575" s="69" t="s">
        <v>42</v>
      </c>
      <c r="B1575" s="70">
        <v>42933</v>
      </c>
      <c r="C1575" s="69">
        <v>-82</v>
      </c>
      <c r="D1575" s="69">
        <v>32</v>
      </c>
      <c r="E1575" s="69">
        <v>153.53</v>
      </c>
      <c r="F1575" s="69">
        <v>100.05000000000001</v>
      </c>
      <c r="G1575" s="69" t="s">
        <v>22</v>
      </c>
      <c r="H1575" s="69" t="str">
        <f>IFERROR(VLOOKUP(Data!$G1575,canon!$I$2:$K$27,2,FALSE),"")</f>
        <v>SCARF</v>
      </c>
      <c r="I1575" s="69" t="str">
        <f>IFERROR(VLOOKUP(Data!$G1575,canon!$I$2:$K$27,3,FALSE),"")</f>
        <v>N.APPAREL</v>
      </c>
      <c r="J1575" s="69">
        <f t="shared" si="48"/>
        <v>2</v>
      </c>
      <c r="K1575" s="69">
        <f t="shared" si="49"/>
        <v>41</v>
      </c>
      <c r="L1575" s="69">
        <f>VLOOKUP(Table_db1_backend_Daily.accdb[[#This Row],[TradingDate]],canon!B:E,4,0)</f>
        <v>29</v>
      </c>
    </row>
    <row r="1576" spans="1:12" x14ac:dyDescent="0.2">
      <c r="A1576" s="69" t="s">
        <v>42</v>
      </c>
      <c r="B1576" s="70">
        <v>42933</v>
      </c>
      <c r="C1576" s="69">
        <v>140</v>
      </c>
      <c r="D1576" s="69">
        <v>0</v>
      </c>
      <c r="E1576" s="69">
        <v>0</v>
      </c>
      <c r="F1576" s="69">
        <v>0</v>
      </c>
      <c r="G1576" s="69" t="s">
        <v>23</v>
      </c>
      <c r="H1576" s="69" t="str">
        <f>IFERROR(VLOOKUP(Data!$G1576,canon!$I$2:$K$27,2,FALSE),"")</f>
        <v>SH&amp;BL</v>
      </c>
      <c r="I1576" s="69" t="str">
        <f>IFERROR(VLOOKUP(Data!$G1576,canon!$I$2:$K$27,3,FALSE),"")</f>
        <v>APPAREL</v>
      </c>
      <c r="J1576" s="69">
        <f t="shared" si="48"/>
        <v>2</v>
      </c>
      <c r="K1576" s="69">
        <f t="shared" si="49"/>
        <v>41</v>
      </c>
      <c r="L1576" s="69">
        <f>VLOOKUP(Table_db1_backend_Daily.accdb[[#This Row],[TradingDate]],canon!B:E,4,0)</f>
        <v>29</v>
      </c>
    </row>
    <row r="1577" spans="1:12" x14ac:dyDescent="0.2">
      <c r="A1577" s="69" t="s">
        <v>42</v>
      </c>
      <c r="B1577" s="70">
        <v>42933</v>
      </c>
      <c r="C1577" s="69">
        <v>275</v>
      </c>
      <c r="D1577" s="69">
        <v>1</v>
      </c>
      <c r="E1577" s="69">
        <v>9.09</v>
      </c>
      <c r="F1577" s="69">
        <v>5.61</v>
      </c>
      <c r="G1577" s="69" t="s">
        <v>32</v>
      </c>
      <c r="H1577" s="69" t="str">
        <f>IFERROR(VLOOKUP(Data!$G1577,canon!$I$2:$K$27,2,FALSE),"")</f>
        <v>SKIRT</v>
      </c>
      <c r="I1577" s="69" t="str">
        <f>IFERROR(VLOOKUP(Data!$G1577,canon!$I$2:$K$27,3,FALSE),"")</f>
        <v>APPAREL</v>
      </c>
      <c r="J1577" s="69">
        <f t="shared" si="48"/>
        <v>2</v>
      </c>
      <c r="K1577" s="69">
        <f t="shared" si="49"/>
        <v>41</v>
      </c>
      <c r="L1577" s="69">
        <f>VLOOKUP(Table_db1_backend_Daily.accdb[[#This Row],[TradingDate]],canon!B:E,4,0)</f>
        <v>29</v>
      </c>
    </row>
    <row r="1578" spans="1:12" x14ac:dyDescent="0.2">
      <c r="A1578" s="69" t="s">
        <v>42</v>
      </c>
      <c r="B1578" s="70">
        <v>42933</v>
      </c>
      <c r="C1578" s="69">
        <v>1095</v>
      </c>
      <c r="D1578" s="69">
        <v>23</v>
      </c>
      <c r="E1578" s="69">
        <v>150.02000000000001</v>
      </c>
      <c r="F1578" s="69">
        <v>35.229999999999997</v>
      </c>
      <c r="G1578" s="69" t="s">
        <v>25</v>
      </c>
      <c r="H1578" s="69" t="str">
        <f>IFERROR(VLOOKUP(Data!$G1578,canon!$I$2:$K$27,2,FALSE),"")</f>
        <v>TOP</v>
      </c>
      <c r="I1578" s="69" t="str">
        <f>IFERROR(VLOOKUP(Data!$G1578,canon!$I$2:$K$27,3,FALSE),"")</f>
        <v>APPAREL</v>
      </c>
      <c r="J1578" s="69">
        <f t="shared" si="48"/>
        <v>2</v>
      </c>
      <c r="K1578" s="69">
        <f t="shared" si="49"/>
        <v>41</v>
      </c>
      <c r="L1578" s="69">
        <f>VLOOKUP(Table_db1_backend_Daily.accdb[[#This Row],[TradingDate]],canon!B:E,4,0)</f>
        <v>29</v>
      </c>
    </row>
    <row r="1579" spans="1:12" x14ac:dyDescent="0.2">
      <c r="A1579" s="69" t="s">
        <v>42</v>
      </c>
      <c r="B1579" s="70">
        <v>42934</v>
      </c>
      <c r="C1579" s="69">
        <v>-2</v>
      </c>
      <c r="D1579" s="69">
        <v>0</v>
      </c>
      <c r="E1579" s="69">
        <v>0</v>
      </c>
      <c r="F1579" s="69">
        <v>0</v>
      </c>
      <c r="G1579" s="69" t="s">
        <v>34</v>
      </c>
      <c r="H1579" s="69" t="str">
        <f>IFERROR(VLOOKUP(Data!$G1579,canon!$I$2:$K$27,2,FALSE),"")</f>
        <v>SHOES</v>
      </c>
      <c r="I1579" s="69" t="str">
        <f>IFERROR(VLOOKUP(Data!$G1579,canon!$I$2:$K$27,3,FALSE),"")</f>
        <v>N.APPAREL</v>
      </c>
      <c r="J1579" s="69">
        <f t="shared" si="48"/>
        <v>3</v>
      </c>
      <c r="K1579" s="69">
        <f t="shared" si="49"/>
        <v>41</v>
      </c>
      <c r="L1579" s="69">
        <f>VLOOKUP(Table_db1_backend_Daily.accdb[[#This Row],[TradingDate]],canon!B:E,4,0)</f>
        <v>29</v>
      </c>
    </row>
    <row r="1580" spans="1:12" x14ac:dyDescent="0.2">
      <c r="A1580" s="69" t="s">
        <v>42</v>
      </c>
      <c r="B1580" s="70">
        <v>42934</v>
      </c>
      <c r="C1580" s="69">
        <v>584</v>
      </c>
      <c r="D1580" s="69">
        <v>2</v>
      </c>
      <c r="E1580" s="69">
        <v>54.5</v>
      </c>
      <c r="F1580" s="69">
        <v>35.58</v>
      </c>
      <c r="G1580" s="69" t="s">
        <v>35</v>
      </c>
      <c r="H1580" s="69" t="str">
        <f>IFERROR(VLOOKUP(Data!$G1580,canon!$I$2:$K$27,2,FALSE),"")</f>
        <v>DRESS</v>
      </c>
      <c r="I1580" s="69" t="str">
        <f>IFERROR(VLOOKUP(Data!$G1580,canon!$I$2:$K$27,3,FALSE),"")</f>
        <v>APPAREL</v>
      </c>
      <c r="J1580" s="69">
        <f t="shared" si="48"/>
        <v>3</v>
      </c>
      <c r="K1580" s="69">
        <f t="shared" si="49"/>
        <v>41</v>
      </c>
      <c r="L1580" s="69">
        <f>VLOOKUP(Table_db1_backend_Daily.accdb[[#This Row],[TradingDate]],canon!B:E,4,0)</f>
        <v>29</v>
      </c>
    </row>
    <row r="1581" spans="1:12" x14ac:dyDescent="0.2">
      <c r="A1581" s="69" t="s">
        <v>42</v>
      </c>
      <c r="B1581" s="70">
        <v>42934</v>
      </c>
      <c r="C1581" s="69">
        <v>-107</v>
      </c>
      <c r="D1581" s="69">
        <v>0</v>
      </c>
      <c r="E1581" s="69">
        <v>0</v>
      </c>
      <c r="F1581" s="69">
        <v>0</v>
      </c>
      <c r="G1581" s="69" t="s">
        <v>10</v>
      </c>
      <c r="H1581" s="69" t="str">
        <f>IFERROR(VLOOKUP(Data!$G1581,canon!$I$2:$K$27,2,FALSE),"")</f>
        <v>ACCESSORY</v>
      </c>
      <c r="I1581" s="69" t="str">
        <f>IFERROR(VLOOKUP(Data!$G1581,canon!$I$2:$K$27,3,FALSE),"")</f>
        <v>N.APPAREL</v>
      </c>
      <c r="J1581" s="69">
        <f t="shared" si="48"/>
        <v>3</v>
      </c>
      <c r="K1581" s="69">
        <f t="shared" si="49"/>
        <v>41</v>
      </c>
      <c r="L1581" s="69">
        <f>VLOOKUP(Table_db1_backend_Daily.accdb[[#This Row],[TradingDate]],canon!B:E,4,0)</f>
        <v>29</v>
      </c>
    </row>
    <row r="1582" spans="1:12" x14ac:dyDescent="0.2">
      <c r="A1582" s="69" t="s">
        <v>42</v>
      </c>
      <c r="B1582" s="70">
        <v>42934</v>
      </c>
      <c r="C1582" s="69">
        <v>1437</v>
      </c>
      <c r="D1582" s="69">
        <v>36</v>
      </c>
      <c r="E1582" s="69">
        <v>358.7399999999999</v>
      </c>
      <c r="F1582" s="69">
        <v>84.350000000000009</v>
      </c>
      <c r="G1582" s="69" t="s">
        <v>11</v>
      </c>
      <c r="H1582" s="69" t="str">
        <f>IFERROR(VLOOKUP(Data!$G1582,canon!$I$2:$K$27,2,FALSE),"")</f>
        <v>KNIT</v>
      </c>
      <c r="I1582" s="69" t="str">
        <f>IFERROR(VLOOKUP(Data!$G1582,canon!$I$2:$K$27,3,FALSE),"")</f>
        <v>APPAREL</v>
      </c>
      <c r="J1582" s="69">
        <f t="shared" si="48"/>
        <v>3</v>
      </c>
      <c r="K1582" s="69">
        <f t="shared" si="49"/>
        <v>41</v>
      </c>
      <c r="L1582" s="69">
        <f>VLOOKUP(Table_db1_backend_Daily.accdb[[#This Row],[TradingDate]],canon!B:E,4,0)</f>
        <v>29</v>
      </c>
    </row>
    <row r="1583" spans="1:12" x14ac:dyDescent="0.2">
      <c r="A1583" s="69" t="s">
        <v>42</v>
      </c>
      <c r="B1583" s="70">
        <v>42934</v>
      </c>
      <c r="C1583" s="69">
        <v>434</v>
      </c>
      <c r="D1583" s="69">
        <v>-1</v>
      </c>
      <c r="E1583" s="69">
        <v>-9.09</v>
      </c>
      <c r="F1583" s="69">
        <v>-1.92</v>
      </c>
      <c r="G1583" s="69" t="s">
        <v>14</v>
      </c>
      <c r="H1583" s="69" t="str">
        <f>IFERROR(VLOOKUP(Data!$G1583,canon!$I$2:$K$27,2,FALSE),"")</f>
        <v>LEGGING</v>
      </c>
      <c r="I1583" s="69" t="str">
        <f>IFERROR(VLOOKUP(Data!$G1583,canon!$I$2:$K$27,3,FALSE),"")</f>
        <v>APPAREL</v>
      </c>
      <c r="J1583" s="69">
        <f t="shared" si="48"/>
        <v>3</v>
      </c>
      <c r="K1583" s="69">
        <f t="shared" si="49"/>
        <v>41</v>
      </c>
      <c r="L1583" s="69">
        <f>VLOOKUP(Table_db1_backend_Daily.accdb[[#This Row],[TradingDate]],canon!B:E,4,0)</f>
        <v>29</v>
      </c>
    </row>
    <row r="1584" spans="1:12" x14ac:dyDescent="0.2">
      <c r="A1584" s="69" t="s">
        <v>42</v>
      </c>
      <c r="B1584" s="70">
        <v>42934</v>
      </c>
      <c r="C1584" s="69">
        <v>-91</v>
      </c>
      <c r="D1584" s="69">
        <v>0</v>
      </c>
      <c r="E1584" s="69">
        <v>0</v>
      </c>
      <c r="F1584" s="69">
        <v>0</v>
      </c>
      <c r="G1584" s="69" t="s">
        <v>37</v>
      </c>
      <c r="H1584" s="69" t="str">
        <f>IFERROR(VLOOKUP(Data!$G1584,canon!$I$2:$K$27,2,FALSE),"")</f>
        <v>SHOES</v>
      </c>
      <c r="I1584" s="69" t="str">
        <f>IFERROR(VLOOKUP(Data!$G1584,canon!$I$2:$K$27,3,FALSE),"")</f>
        <v>N.APPAREL</v>
      </c>
      <c r="J1584" s="69">
        <f t="shared" si="48"/>
        <v>3</v>
      </c>
      <c r="K1584" s="69">
        <f t="shared" si="49"/>
        <v>41</v>
      </c>
      <c r="L1584" s="69">
        <f>VLOOKUP(Table_db1_backend_Daily.accdb[[#This Row],[TradingDate]],canon!B:E,4,0)</f>
        <v>29</v>
      </c>
    </row>
    <row r="1585" spans="1:12" x14ac:dyDescent="0.2">
      <c r="A1585" s="69" t="s">
        <v>42</v>
      </c>
      <c r="B1585" s="70">
        <v>42934</v>
      </c>
      <c r="C1585" s="69">
        <v>-3</v>
      </c>
      <c r="D1585" s="69">
        <v>0</v>
      </c>
      <c r="E1585" s="69">
        <v>0</v>
      </c>
      <c r="F1585" s="69">
        <v>0</v>
      </c>
      <c r="G1585" s="69" t="s">
        <v>29</v>
      </c>
      <c r="H1585" s="69" t="str">
        <f>IFERROR(VLOOKUP(Data!$G1585,canon!$I$2:$K$27,2,FALSE),"")</f>
        <v>SHOES</v>
      </c>
      <c r="I1585" s="69" t="str">
        <f>IFERROR(VLOOKUP(Data!$G1585,canon!$I$2:$K$27,3,FALSE),"")</f>
        <v>N.APPAREL</v>
      </c>
      <c r="J1585" s="69">
        <f t="shared" si="48"/>
        <v>3</v>
      </c>
      <c r="K1585" s="69">
        <f t="shared" si="49"/>
        <v>41</v>
      </c>
      <c r="L1585" s="69">
        <f>VLOOKUP(Table_db1_backend_Daily.accdb[[#This Row],[TradingDate]],canon!B:E,4,0)</f>
        <v>29</v>
      </c>
    </row>
    <row r="1586" spans="1:12" x14ac:dyDescent="0.2">
      <c r="A1586" s="69" t="s">
        <v>42</v>
      </c>
      <c r="B1586" s="70">
        <v>42934</v>
      </c>
      <c r="C1586" s="69">
        <v>481</v>
      </c>
      <c r="D1586" s="69">
        <v>14</v>
      </c>
      <c r="E1586" s="69">
        <v>236.09</v>
      </c>
      <c r="F1586" s="69">
        <v>106.74000000000001</v>
      </c>
      <c r="G1586" s="69" t="s">
        <v>17</v>
      </c>
      <c r="H1586" s="69" t="str">
        <f>IFERROR(VLOOKUP(Data!$G1586,canon!$I$2:$K$27,2,FALSE),"")</f>
        <v>OUTER</v>
      </c>
      <c r="I1586" s="69" t="str">
        <f>IFERROR(VLOOKUP(Data!$G1586,canon!$I$2:$K$27,3,FALSE),"")</f>
        <v>APPAREL</v>
      </c>
      <c r="J1586" s="69">
        <f t="shared" si="48"/>
        <v>3</v>
      </c>
      <c r="K1586" s="69">
        <f t="shared" si="49"/>
        <v>41</v>
      </c>
      <c r="L1586" s="69">
        <f>VLOOKUP(Table_db1_backend_Daily.accdb[[#This Row],[TradingDate]],canon!B:E,4,0)</f>
        <v>29</v>
      </c>
    </row>
    <row r="1587" spans="1:12" x14ac:dyDescent="0.2">
      <c r="A1587" s="69" t="s">
        <v>42</v>
      </c>
      <c r="B1587" s="70">
        <v>42934</v>
      </c>
      <c r="C1587" s="69">
        <v>391</v>
      </c>
      <c r="D1587" s="69">
        <v>4</v>
      </c>
      <c r="E1587" s="69">
        <v>36.36</v>
      </c>
      <c r="F1587" s="69">
        <v>10.6</v>
      </c>
      <c r="G1587" s="69" t="s">
        <v>19</v>
      </c>
      <c r="H1587" s="69" t="str">
        <f>IFERROR(VLOOKUP(Data!$G1587,canon!$I$2:$K$27,2,FALSE),"")</f>
        <v>PANT</v>
      </c>
      <c r="I1587" s="69" t="str">
        <f>IFERROR(VLOOKUP(Data!$G1587,canon!$I$2:$K$27,3,FALSE),"")</f>
        <v>APPAREL</v>
      </c>
      <c r="J1587" s="69">
        <f t="shared" si="48"/>
        <v>3</v>
      </c>
      <c r="K1587" s="69">
        <f t="shared" si="49"/>
        <v>41</v>
      </c>
      <c r="L1587" s="69">
        <f>VLOOKUP(Table_db1_backend_Daily.accdb[[#This Row],[TradingDate]],canon!B:E,4,0)</f>
        <v>29</v>
      </c>
    </row>
    <row r="1588" spans="1:12" x14ac:dyDescent="0.2">
      <c r="A1588" s="69" t="s">
        <v>42</v>
      </c>
      <c r="B1588" s="70">
        <v>42934</v>
      </c>
      <c r="C1588" s="69">
        <v>0</v>
      </c>
      <c r="D1588" s="69">
        <v>0</v>
      </c>
      <c r="E1588" s="69">
        <v>0</v>
      </c>
      <c r="F1588" s="69">
        <v>0</v>
      </c>
      <c r="G1588" s="69" t="s">
        <v>21</v>
      </c>
      <c r="H1588" s="69" t="str">
        <f>IFERROR(VLOOKUP(Data!$G1588,canon!$I$2:$K$27,2,FALSE),"")</f>
        <v>ACCESSORY</v>
      </c>
      <c r="I1588" s="69" t="str">
        <f>IFERROR(VLOOKUP(Data!$G1588,canon!$I$2:$K$27,3,FALSE),"")</f>
        <v>N.APPAREL</v>
      </c>
      <c r="J1588" s="69">
        <f t="shared" si="48"/>
        <v>3</v>
      </c>
      <c r="K1588" s="69">
        <f t="shared" si="49"/>
        <v>41</v>
      </c>
      <c r="L1588" s="69">
        <f>VLOOKUP(Table_db1_backend_Daily.accdb[[#This Row],[TradingDate]],canon!B:E,4,0)</f>
        <v>29</v>
      </c>
    </row>
    <row r="1589" spans="1:12" x14ac:dyDescent="0.2">
      <c r="A1589" s="69" t="s">
        <v>42</v>
      </c>
      <c r="B1589" s="70">
        <v>42934</v>
      </c>
      <c r="C1589" s="69">
        <v>-94</v>
      </c>
      <c r="D1589" s="69">
        <v>12</v>
      </c>
      <c r="E1589" s="69">
        <v>59.959999999999994</v>
      </c>
      <c r="F1589" s="69">
        <v>40.510000000000005</v>
      </c>
      <c r="G1589" s="69" t="s">
        <v>22</v>
      </c>
      <c r="H1589" s="69" t="str">
        <f>IFERROR(VLOOKUP(Data!$G1589,canon!$I$2:$K$27,2,FALSE),"")</f>
        <v>SCARF</v>
      </c>
      <c r="I1589" s="69" t="str">
        <f>IFERROR(VLOOKUP(Data!$G1589,canon!$I$2:$K$27,3,FALSE),"")</f>
        <v>N.APPAREL</v>
      </c>
      <c r="J1589" s="69">
        <f t="shared" si="48"/>
        <v>3</v>
      </c>
      <c r="K1589" s="69">
        <f t="shared" si="49"/>
        <v>41</v>
      </c>
      <c r="L1589" s="69">
        <f>VLOOKUP(Table_db1_backend_Daily.accdb[[#This Row],[TradingDate]],canon!B:E,4,0)</f>
        <v>29</v>
      </c>
    </row>
    <row r="1590" spans="1:12" x14ac:dyDescent="0.2">
      <c r="A1590" s="69" t="s">
        <v>42</v>
      </c>
      <c r="B1590" s="70">
        <v>42934</v>
      </c>
      <c r="C1590" s="69">
        <v>140</v>
      </c>
      <c r="D1590" s="69">
        <v>0</v>
      </c>
      <c r="E1590" s="69">
        <v>0</v>
      </c>
      <c r="F1590" s="69">
        <v>0</v>
      </c>
      <c r="G1590" s="69" t="s">
        <v>23</v>
      </c>
      <c r="H1590" s="69" t="str">
        <f>IFERROR(VLOOKUP(Data!$G1590,canon!$I$2:$K$27,2,FALSE),"")</f>
        <v>SH&amp;BL</v>
      </c>
      <c r="I1590" s="69" t="str">
        <f>IFERROR(VLOOKUP(Data!$G1590,canon!$I$2:$K$27,3,FALSE),"")</f>
        <v>APPAREL</v>
      </c>
      <c r="J1590" s="69">
        <f t="shared" si="48"/>
        <v>3</v>
      </c>
      <c r="K1590" s="69">
        <f t="shared" si="49"/>
        <v>41</v>
      </c>
      <c r="L1590" s="69">
        <f>VLOOKUP(Table_db1_backend_Daily.accdb[[#This Row],[TradingDate]],canon!B:E,4,0)</f>
        <v>29</v>
      </c>
    </row>
    <row r="1591" spans="1:12" x14ac:dyDescent="0.2">
      <c r="A1591" s="69" t="s">
        <v>42</v>
      </c>
      <c r="B1591" s="70">
        <v>42934</v>
      </c>
      <c r="C1591" s="69">
        <v>272</v>
      </c>
      <c r="D1591" s="69">
        <v>3</v>
      </c>
      <c r="E1591" s="69">
        <v>54.5</v>
      </c>
      <c r="F1591" s="69">
        <v>38.629999999999995</v>
      </c>
      <c r="G1591" s="69" t="s">
        <v>32</v>
      </c>
      <c r="H1591" s="69" t="str">
        <f>IFERROR(VLOOKUP(Data!$G1591,canon!$I$2:$K$27,2,FALSE),"")</f>
        <v>SKIRT</v>
      </c>
      <c r="I1591" s="69" t="str">
        <f>IFERROR(VLOOKUP(Data!$G1591,canon!$I$2:$K$27,3,FALSE),"")</f>
        <v>APPAREL</v>
      </c>
      <c r="J1591" s="69">
        <f t="shared" si="48"/>
        <v>3</v>
      </c>
      <c r="K1591" s="69">
        <f t="shared" si="49"/>
        <v>41</v>
      </c>
      <c r="L1591" s="69">
        <f>VLOOKUP(Table_db1_backend_Daily.accdb[[#This Row],[TradingDate]],canon!B:E,4,0)</f>
        <v>29</v>
      </c>
    </row>
    <row r="1592" spans="1:12" x14ac:dyDescent="0.2">
      <c r="A1592" s="69" t="s">
        <v>42</v>
      </c>
      <c r="B1592" s="70">
        <v>42934</v>
      </c>
      <c r="C1592" s="69">
        <v>1056</v>
      </c>
      <c r="D1592" s="69">
        <v>39</v>
      </c>
      <c r="E1592" s="69">
        <v>236.31000000000003</v>
      </c>
      <c r="F1592" s="69">
        <v>52</v>
      </c>
      <c r="G1592" s="69" t="s">
        <v>25</v>
      </c>
      <c r="H1592" s="69" t="str">
        <f>IFERROR(VLOOKUP(Data!$G1592,canon!$I$2:$K$27,2,FALSE),"")</f>
        <v>TOP</v>
      </c>
      <c r="I1592" s="69" t="str">
        <f>IFERROR(VLOOKUP(Data!$G1592,canon!$I$2:$K$27,3,FALSE),"")</f>
        <v>APPAREL</v>
      </c>
      <c r="J1592" s="69">
        <f t="shared" si="48"/>
        <v>3</v>
      </c>
      <c r="K1592" s="69">
        <f t="shared" si="49"/>
        <v>41</v>
      </c>
      <c r="L1592" s="69">
        <f>VLOOKUP(Table_db1_backend_Daily.accdb[[#This Row],[TradingDate]],canon!B:E,4,0)</f>
        <v>29</v>
      </c>
    </row>
    <row r="1593" spans="1:12" x14ac:dyDescent="0.2">
      <c r="A1593" s="69" t="s">
        <v>42</v>
      </c>
      <c r="B1593" s="70">
        <v>42935</v>
      </c>
      <c r="C1593" s="69">
        <v>-2</v>
      </c>
      <c r="D1593" s="69">
        <v>0</v>
      </c>
      <c r="E1593" s="69">
        <v>0</v>
      </c>
      <c r="F1593" s="69">
        <v>0</v>
      </c>
      <c r="G1593" s="69" t="s">
        <v>34</v>
      </c>
      <c r="H1593" s="69" t="str">
        <f>IFERROR(VLOOKUP(Data!$G1593,canon!$I$2:$K$27,2,FALSE),"")</f>
        <v>SHOES</v>
      </c>
      <c r="I1593" s="69" t="str">
        <f>IFERROR(VLOOKUP(Data!$G1593,canon!$I$2:$K$27,3,FALSE),"")</f>
        <v>N.APPAREL</v>
      </c>
      <c r="J1593" s="69">
        <f t="shared" si="48"/>
        <v>4</v>
      </c>
      <c r="K1593" s="69">
        <f t="shared" si="49"/>
        <v>41</v>
      </c>
      <c r="L1593" s="69">
        <f>VLOOKUP(Table_db1_backend_Daily.accdb[[#This Row],[TradingDate]],canon!B:E,4,0)</f>
        <v>29</v>
      </c>
    </row>
    <row r="1594" spans="1:12" x14ac:dyDescent="0.2">
      <c r="A1594" s="69" t="s">
        <v>42</v>
      </c>
      <c r="B1594" s="70">
        <v>42935</v>
      </c>
      <c r="C1594" s="69">
        <v>584</v>
      </c>
      <c r="D1594" s="69">
        <v>0</v>
      </c>
      <c r="E1594" s="69">
        <v>0</v>
      </c>
      <c r="F1594" s="69">
        <v>0</v>
      </c>
      <c r="G1594" s="69" t="s">
        <v>35</v>
      </c>
      <c r="H1594" s="69" t="str">
        <f>IFERROR(VLOOKUP(Data!$G1594,canon!$I$2:$K$27,2,FALSE),"")</f>
        <v>DRESS</v>
      </c>
      <c r="I1594" s="69" t="str">
        <f>IFERROR(VLOOKUP(Data!$G1594,canon!$I$2:$K$27,3,FALSE),"")</f>
        <v>APPAREL</v>
      </c>
      <c r="J1594" s="69">
        <f t="shared" si="48"/>
        <v>4</v>
      </c>
      <c r="K1594" s="69">
        <f t="shared" si="49"/>
        <v>41</v>
      </c>
      <c r="L1594" s="69">
        <f>VLOOKUP(Table_db1_backend_Daily.accdb[[#This Row],[TradingDate]],canon!B:E,4,0)</f>
        <v>29</v>
      </c>
    </row>
    <row r="1595" spans="1:12" x14ac:dyDescent="0.2">
      <c r="A1595" s="69" t="s">
        <v>42</v>
      </c>
      <c r="B1595" s="70">
        <v>42935</v>
      </c>
      <c r="C1595" s="69">
        <v>-107</v>
      </c>
      <c r="D1595" s="69">
        <v>0</v>
      </c>
      <c r="E1595" s="69">
        <v>0</v>
      </c>
      <c r="F1595" s="69">
        <v>0</v>
      </c>
      <c r="G1595" s="69" t="s">
        <v>10</v>
      </c>
      <c r="H1595" s="69" t="str">
        <f>IFERROR(VLOOKUP(Data!$G1595,canon!$I$2:$K$27,2,FALSE),"")</f>
        <v>ACCESSORY</v>
      </c>
      <c r="I1595" s="69" t="str">
        <f>IFERROR(VLOOKUP(Data!$G1595,canon!$I$2:$K$27,3,FALSE),"")</f>
        <v>N.APPAREL</v>
      </c>
      <c r="J1595" s="69">
        <f t="shared" si="48"/>
        <v>4</v>
      </c>
      <c r="K1595" s="69">
        <f t="shared" si="49"/>
        <v>41</v>
      </c>
      <c r="L1595" s="69">
        <f>VLOOKUP(Table_db1_backend_Daily.accdb[[#This Row],[TradingDate]],canon!B:E,4,0)</f>
        <v>29</v>
      </c>
    </row>
    <row r="1596" spans="1:12" x14ac:dyDescent="0.2">
      <c r="A1596" s="69" t="s">
        <v>42</v>
      </c>
      <c r="B1596" s="70">
        <v>42935</v>
      </c>
      <c r="C1596" s="69">
        <v>1408</v>
      </c>
      <c r="D1596" s="69">
        <v>29</v>
      </c>
      <c r="E1596" s="69">
        <v>263.40000000000003</v>
      </c>
      <c r="F1596" s="69">
        <v>39.409999999999997</v>
      </c>
      <c r="G1596" s="69" t="s">
        <v>11</v>
      </c>
      <c r="H1596" s="69" t="str">
        <f>IFERROR(VLOOKUP(Data!$G1596,canon!$I$2:$K$27,2,FALSE),"")</f>
        <v>KNIT</v>
      </c>
      <c r="I1596" s="69" t="str">
        <f>IFERROR(VLOOKUP(Data!$G1596,canon!$I$2:$K$27,3,FALSE),"")</f>
        <v>APPAREL</v>
      </c>
      <c r="J1596" s="69">
        <f t="shared" si="48"/>
        <v>4</v>
      </c>
      <c r="K1596" s="69">
        <f t="shared" si="49"/>
        <v>41</v>
      </c>
      <c r="L1596" s="69">
        <f>VLOOKUP(Table_db1_backend_Daily.accdb[[#This Row],[TradingDate]],canon!B:E,4,0)</f>
        <v>29</v>
      </c>
    </row>
    <row r="1597" spans="1:12" x14ac:dyDescent="0.2">
      <c r="A1597" s="69" t="s">
        <v>42</v>
      </c>
      <c r="B1597" s="70">
        <v>42935</v>
      </c>
      <c r="C1597" s="69">
        <v>432</v>
      </c>
      <c r="D1597" s="69">
        <v>2</v>
      </c>
      <c r="E1597" s="69">
        <v>18.18</v>
      </c>
      <c r="F1597" s="69">
        <v>4.49</v>
      </c>
      <c r="G1597" s="69" t="s">
        <v>14</v>
      </c>
      <c r="H1597" s="69" t="str">
        <f>IFERROR(VLOOKUP(Data!$G1597,canon!$I$2:$K$27,2,FALSE),"")</f>
        <v>LEGGING</v>
      </c>
      <c r="I1597" s="69" t="str">
        <f>IFERROR(VLOOKUP(Data!$G1597,canon!$I$2:$K$27,3,FALSE),"")</f>
        <v>APPAREL</v>
      </c>
      <c r="J1597" s="69">
        <f t="shared" si="48"/>
        <v>4</v>
      </c>
      <c r="K1597" s="69">
        <f t="shared" si="49"/>
        <v>41</v>
      </c>
      <c r="L1597" s="69">
        <f>VLOOKUP(Table_db1_backend_Daily.accdb[[#This Row],[TradingDate]],canon!B:E,4,0)</f>
        <v>29</v>
      </c>
    </row>
    <row r="1598" spans="1:12" x14ac:dyDescent="0.2">
      <c r="A1598" s="69" t="s">
        <v>42</v>
      </c>
      <c r="B1598" s="70">
        <v>42935</v>
      </c>
      <c r="C1598" s="69">
        <v>-91</v>
      </c>
      <c r="D1598" s="69">
        <v>0</v>
      </c>
      <c r="E1598" s="69">
        <v>0</v>
      </c>
      <c r="F1598" s="69">
        <v>0</v>
      </c>
      <c r="G1598" s="69" t="s">
        <v>37</v>
      </c>
      <c r="H1598" s="69" t="str">
        <f>IFERROR(VLOOKUP(Data!$G1598,canon!$I$2:$K$27,2,FALSE),"")</f>
        <v>SHOES</v>
      </c>
      <c r="I1598" s="69" t="str">
        <f>IFERROR(VLOOKUP(Data!$G1598,canon!$I$2:$K$27,3,FALSE),"")</f>
        <v>N.APPAREL</v>
      </c>
      <c r="J1598" s="69">
        <f t="shared" si="48"/>
        <v>4</v>
      </c>
      <c r="K1598" s="69">
        <f t="shared" si="49"/>
        <v>41</v>
      </c>
      <c r="L1598" s="69">
        <f>VLOOKUP(Table_db1_backend_Daily.accdb[[#This Row],[TradingDate]],canon!B:E,4,0)</f>
        <v>29</v>
      </c>
    </row>
    <row r="1599" spans="1:12" x14ac:dyDescent="0.2">
      <c r="A1599" s="69" t="s">
        <v>42</v>
      </c>
      <c r="B1599" s="70">
        <v>42935</v>
      </c>
      <c r="C1599" s="69">
        <v>-3</v>
      </c>
      <c r="D1599" s="69">
        <v>0</v>
      </c>
      <c r="E1599" s="69">
        <v>0</v>
      </c>
      <c r="F1599" s="69">
        <v>0</v>
      </c>
      <c r="G1599" s="69" t="s">
        <v>29</v>
      </c>
      <c r="H1599" s="69" t="str">
        <f>IFERROR(VLOOKUP(Data!$G1599,canon!$I$2:$K$27,2,FALSE),"")</f>
        <v>SHOES</v>
      </c>
      <c r="I1599" s="69" t="str">
        <f>IFERROR(VLOOKUP(Data!$G1599,canon!$I$2:$K$27,3,FALSE),"")</f>
        <v>N.APPAREL</v>
      </c>
      <c r="J1599" s="69">
        <f t="shared" si="48"/>
        <v>4</v>
      </c>
      <c r="K1599" s="69">
        <f t="shared" si="49"/>
        <v>41</v>
      </c>
      <c r="L1599" s="69">
        <f>VLOOKUP(Table_db1_backend_Daily.accdb[[#This Row],[TradingDate]],canon!B:E,4,0)</f>
        <v>29</v>
      </c>
    </row>
    <row r="1600" spans="1:12" x14ac:dyDescent="0.2">
      <c r="A1600" s="69" t="s">
        <v>42</v>
      </c>
      <c r="B1600" s="70">
        <v>42935</v>
      </c>
      <c r="C1600" s="69">
        <v>474</v>
      </c>
      <c r="D1600" s="69">
        <v>7</v>
      </c>
      <c r="E1600" s="69">
        <v>90.68</v>
      </c>
      <c r="F1600" s="69">
        <v>31.58</v>
      </c>
      <c r="G1600" s="69" t="s">
        <v>17</v>
      </c>
      <c r="H1600" s="69" t="str">
        <f>IFERROR(VLOOKUP(Data!$G1600,canon!$I$2:$K$27,2,FALSE),"")</f>
        <v>OUTER</v>
      </c>
      <c r="I1600" s="69" t="str">
        <f>IFERROR(VLOOKUP(Data!$G1600,canon!$I$2:$K$27,3,FALSE),"")</f>
        <v>APPAREL</v>
      </c>
      <c r="J1600" s="69">
        <f t="shared" si="48"/>
        <v>4</v>
      </c>
      <c r="K1600" s="69">
        <f t="shared" si="49"/>
        <v>41</v>
      </c>
      <c r="L1600" s="69">
        <f>VLOOKUP(Table_db1_backend_Daily.accdb[[#This Row],[TradingDate]],canon!B:E,4,0)</f>
        <v>29</v>
      </c>
    </row>
    <row r="1601" spans="1:12" x14ac:dyDescent="0.2">
      <c r="A1601" s="69" t="s">
        <v>42</v>
      </c>
      <c r="B1601" s="70">
        <v>42935</v>
      </c>
      <c r="C1601" s="69">
        <v>387</v>
      </c>
      <c r="D1601" s="69">
        <v>4</v>
      </c>
      <c r="E1601" s="69">
        <v>45.44</v>
      </c>
      <c r="F1601" s="69">
        <v>22.189999999999998</v>
      </c>
      <c r="G1601" s="69" t="s">
        <v>19</v>
      </c>
      <c r="H1601" s="69" t="str">
        <f>IFERROR(VLOOKUP(Data!$G1601,canon!$I$2:$K$27,2,FALSE),"")</f>
        <v>PANT</v>
      </c>
      <c r="I1601" s="69" t="str">
        <f>IFERROR(VLOOKUP(Data!$G1601,canon!$I$2:$K$27,3,FALSE),"")</f>
        <v>APPAREL</v>
      </c>
      <c r="J1601" s="69">
        <f t="shared" si="48"/>
        <v>4</v>
      </c>
      <c r="K1601" s="69">
        <f t="shared" si="49"/>
        <v>41</v>
      </c>
      <c r="L1601" s="69">
        <f>VLOOKUP(Table_db1_backend_Daily.accdb[[#This Row],[TradingDate]],canon!B:E,4,0)</f>
        <v>29</v>
      </c>
    </row>
    <row r="1602" spans="1:12" x14ac:dyDescent="0.2">
      <c r="A1602" s="69" t="s">
        <v>42</v>
      </c>
      <c r="B1602" s="70">
        <v>42935</v>
      </c>
      <c r="C1602" s="69">
        <v>0</v>
      </c>
      <c r="D1602" s="69">
        <v>0</v>
      </c>
      <c r="E1602" s="69">
        <v>0</v>
      </c>
      <c r="F1602" s="69">
        <v>0</v>
      </c>
      <c r="G1602" s="69" t="s">
        <v>21</v>
      </c>
      <c r="H1602" s="69" t="str">
        <f>IFERROR(VLOOKUP(Data!$G1602,canon!$I$2:$K$27,2,FALSE),"")</f>
        <v>ACCESSORY</v>
      </c>
      <c r="I1602" s="69" t="str">
        <f>IFERROR(VLOOKUP(Data!$G1602,canon!$I$2:$K$27,3,FALSE),"")</f>
        <v>N.APPAREL</v>
      </c>
      <c r="J1602" s="69">
        <f t="shared" ref="J1602:J1665" si="50">WEEKDAY(B1602)</f>
        <v>4</v>
      </c>
      <c r="K1602" s="69">
        <f t="shared" ref="K1602:K1665" si="51">INT(A1602)</f>
        <v>41</v>
      </c>
      <c r="L1602" s="69">
        <f>VLOOKUP(Table_db1_backend_Daily.accdb[[#This Row],[TradingDate]],canon!B:E,4,0)</f>
        <v>29</v>
      </c>
    </row>
    <row r="1603" spans="1:12" x14ac:dyDescent="0.2">
      <c r="A1603" s="69" t="s">
        <v>42</v>
      </c>
      <c r="B1603" s="70">
        <v>42935</v>
      </c>
      <c r="C1603" s="69">
        <v>-103</v>
      </c>
      <c r="D1603" s="69">
        <v>9</v>
      </c>
      <c r="E1603" s="69">
        <v>46.289999999999992</v>
      </c>
      <c r="F1603" s="69">
        <v>31.919999999999998</v>
      </c>
      <c r="G1603" s="69" t="s">
        <v>22</v>
      </c>
      <c r="H1603" s="69" t="str">
        <f>IFERROR(VLOOKUP(Data!$G1603,canon!$I$2:$K$27,2,FALSE),"")</f>
        <v>SCARF</v>
      </c>
      <c r="I1603" s="69" t="str">
        <f>IFERROR(VLOOKUP(Data!$G1603,canon!$I$2:$K$27,3,FALSE),"")</f>
        <v>N.APPAREL</v>
      </c>
      <c r="J1603" s="69">
        <f t="shared" si="50"/>
        <v>4</v>
      </c>
      <c r="K1603" s="69">
        <f t="shared" si="51"/>
        <v>41</v>
      </c>
      <c r="L1603" s="69">
        <f>VLOOKUP(Table_db1_backend_Daily.accdb[[#This Row],[TradingDate]],canon!B:E,4,0)</f>
        <v>29</v>
      </c>
    </row>
    <row r="1604" spans="1:12" x14ac:dyDescent="0.2">
      <c r="A1604" s="69" t="s">
        <v>42</v>
      </c>
      <c r="B1604" s="70">
        <v>42935</v>
      </c>
      <c r="C1604" s="69">
        <v>140</v>
      </c>
      <c r="D1604" s="69">
        <v>0</v>
      </c>
      <c r="E1604" s="69">
        <v>0</v>
      </c>
      <c r="F1604" s="69">
        <v>0</v>
      </c>
      <c r="G1604" s="69" t="s">
        <v>23</v>
      </c>
      <c r="H1604" s="69" t="str">
        <f>IFERROR(VLOOKUP(Data!$G1604,canon!$I$2:$K$27,2,FALSE),"")</f>
        <v>SH&amp;BL</v>
      </c>
      <c r="I1604" s="69" t="str">
        <f>IFERROR(VLOOKUP(Data!$G1604,canon!$I$2:$K$27,3,FALSE),"")</f>
        <v>APPAREL</v>
      </c>
      <c r="J1604" s="69">
        <f t="shared" si="50"/>
        <v>4</v>
      </c>
      <c r="K1604" s="69">
        <f t="shared" si="51"/>
        <v>41</v>
      </c>
      <c r="L1604" s="69">
        <f>VLOOKUP(Table_db1_backend_Daily.accdb[[#This Row],[TradingDate]],canon!B:E,4,0)</f>
        <v>29</v>
      </c>
    </row>
    <row r="1605" spans="1:12" x14ac:dyDescent="0.2">
      <c r="A1605" s="69" t="s">
        <v>42</v>
      </c>
      <c r="B1605" s="70">
        <v>42935</v>
      </c>
      <c r="C1605" s="69">
        <v>271</v>
      </c>
      <c r="D1605" s="69">
        <v>1</v>
      </c>
      <c r="E1605" s="69">
        <v>9.09</v>
      </c>
      <c r="F1605" s="69">
        <v>4.3099999999999996</v>
      </c>
      <c r="G1605" s="69" t="s">
        <v>32</v>
      </c>
      <c r="H1605" s="69" t="str">
        <f>IFERROR(VLOOKUP(Data!$G1605,canon!$I$2:$K$27,2,FALSE),"")</f>
        <v>SKIRT</v>
      </c>
      <c r="I1605" s="69" t="str">
        <f>IFERROR(VLOOKUP(Data!$G1605,canon!$I$2:$K$27,3,FALSE),"")</f>
        <v>APPAREL</v>
      </c>
      <c r="J1605" s="69">
        <f t="shared" si="50"/>
        <v>4</v>
      </c>
      <c r="K1605" s="69">
        <f t="shared" si="51"/>
        <v>41</v>
      </c>
      <c r="L1605" s="69">
        <f>VLOOKUP(Table_db1_backend_Daily.accdb[[#This Row],[TradingDate]],canon!B:E,4,0)</f>
        <v>29</v>
      </c>
    </row>
    <row r="1606" spans="1:12" x14ac:dyDescent="0.2">
      <c r="A1606" s="69" t="s">
        <v>42</v>
      </c>
      <c r="B1606" s="70">
        <v>42935</v>
      </c>
      <c r="C1606" s="69">
        <v>1040</v>
      </c>
      <c r="D1606" s="69">
        <v>16</v>
      </c>
      <c r="E1606" s="69">
        <v>86.38000000000001</v>
      </c>
      <c r="F1606" s="69">
        <v>13.58</v>
      </c>
      <c r="G1606" s="69" t="s">
        <v>25</v>
      </c>
      <c r="H1606" s="69" t="str">
        <f>IFERROR(VLOOKUP(Data!$G1606,canon!$I$2:$K$27,2,FALSE),"")</f>
        <v>TOP</v>
      </c>
      <c r="I1606" s="69" t="str">
        <f>IFERROR(VLOOKUP(Data!$G1606,canon!$I$2:$K$27,3,FALSE),"")</f>
        <v>APPAREL</v>
      </c>
      <c r="J1606" s="69">
        <f t="shared" si="50"/>
        <v>4</v>
      </c>
      <c r="K1606" s="69">
        <f t="shared" si="51"/>
        <v>41</v>
      </c>
      <c r="L1606" s="69">
        <f>VLOOKUP(Table_db1_backend_Daily.accdb[[#This Row],[TradingDate]],canon!B:E,4,0)</f>
        <v>29</v>
      </c>
    </row>
    <row r="1607" spans="1:12" x14ac:dyDescent="0.2">
      <c r="A1607" s="69" t="s">
        <v>42</v>
      </c>
      <c r="B1607" s="70">
        <v>42936</v>
      </c>
      <c r="C1607" s="69">
        <v>-2</v>
      </c>
      <c r="D1607" s="69">
        <v>0</v>
      </c>
      <c r="E1607" s="69">
        <v>0</v>
      </c>
      <c r="F1607" s="69">
        <v>0</v>
      </c>
      <c r="G1607" s="69" t="s">
        <v>34</v>
      </c>
      <c r="H1607" s="69" t="str">
        <f>IFERROR(VLOOKUP(Data!$G1607,canon!$I$2:$K$27,2,FALSE),"")</f>
        <v>SHOES</v>
      </c>
      <c r="I1607" s="69" t="str">
        <f>IFERROR(VLOOKUP(Data!$G1607,canon!$I$2:$K$27,3,FALSE),"")</f>
        <v>N.APPAREL</v>
      </c>
      <c r="J1607" s="69">
        <f t="shared" si="50"/>
        <v>5</v>
      </c>
      <c r="K1607" s="69">
        <f t="shared" si="51"/>
        <v>41</v>
      </c>
      <c r="L1607" s="69">
        <f>VLOOKUP(Table_db1_backend_Daily.accdb[[#This Row],[TradingDate]],canon!B:E,4,0)</f>
        <v>29</v>
      </c>
    </row>
    <row r="1608" spans="1:12" x14ac:dyDescent="0.2">
      <c r="A1608" s="69" t="s">
        <v>42</v>
      </c>
      <c r="B1608" s="70">
        <v>42936</v>
      </c>
      <c r="C1608" s="69">
        <v>577</v>
      </c>
      <c r="D1608" s="69">
        <v>7</v>
      </c>
      <c r="E1608" s="69">
        <v>118.19</v>
      </c>
      <c r="F1608" s="69">
        <v>64.819999999999993</v>
      </c>
      <c r="G1608" s="69" t="s">
        <v>35</v>
      </c>
      <c r="H1608" s="69" t="str">
        <f>IFERROR(VLOOKUP(Data!$G1608,canon!$I$2:$K$27,2,FALSE),"")</f>
        <v>DRESS</v>
      </c>
      <c r="I1608" s="69" t="str">
        <f>IFERROR(VLOOKUP(Data!$G1608,canon!$I$2:$K$27,3,FALSE),"")</f>
        <v>APPAREL</v>
      </c>
      <c r="J1608" s="69">
        <f t="shared" si="50"/>
        <v>5</v>
      </c>
      <c r="K1608" s="69">
        <f t="shared" si="51"/>
        <v>41</v>
      </c>
      <c r="L1608" s="69">
        <f>VLOOKUP(Table_db1_backend_Daily.accdb[[#This Row],[TradingDate]],canon!B:E,4,0)</f>
        <v>29</v>
      </c>
    </row>
    <row r="1609" spans="1:12" x14ac:dyDescent="0.2">
      <c r="A1609" s="69" t="s">
        <v>42</v>
      </c>
      <c r="B1609" s="70">
        <v>42936</v>
      </c>
      <c r="C1609" s="69">
        <v>-107</v>
      </c>
      <c r="D1609" s="69">
        <v>0</v>
      </c>
      <c r="E1609" s="69">
        <v>0</v>
      </c>
      <c r="F1609" s="69">
        <v>0</v>
      </c>
      <c r="G1609" s="69" t="s">
        <v>10</v>
      </c>
      <c r="H1609" s="69" t="str">
        <f>IFERROR(VLOOKUP(Data!$G1609,canon!$I$2:$K$27,2,FALSE),"")</f>
        <v>ACCESSORY</v>
      </c>
      <c r="I1609" s="69" t="str">
        <f>IFERROR(VLOOKUP(Data!$G1609,canon!$I$2:$K$27,3,FALSE),"")</f>
        <v>N.APPAREL</v>
      </c>
      <c r="J1609" s="69">
        <f t="shared" si="50"/>
        <v>5</v>
      </c>
      <c r="K1609" s="69">
        <f t="shared" si="51"/>
        <v>41</v>
      </c>
      <c r="L1609" s="69">
        <f>VLOOKUP(Table_db1_backend_Daily.accdb[[#This Row],[TradingDate]],canon!B:E,4,0)</f>
        <v>29</v>
      </c>
    </row>
    <row r="1610" spans="1:12" x14ac:dyDescent="0.2">
      <c r="A1610" s="69" t="s">
        <v>42</v>
      </c>
      <c r="B1610" s="70">
        <v>42936</v>
      </c>
      <c r="C1610" s="69">
        <v>1343</v>
      </c>
      <c r="D1610" s="69">
        <v>65</v>
      </c>
      <c r="E1610" s="69">
        <v>731.43999999999994</v>
      </c>
      <c r="F1610" s="69">
        <v>221.51</v>
      </c>
      <c r="G1610" s="69" t="s">
        <v>11</v>
      </c>
      <c r="H1610" s="69" t="str">
        <f>IFERROR(VLOOKUP(Data!$G1610,canon!$I$2:$K$27,2,FALSE),"")</f>
        <v>KNIT</v>
      </c>
      <c r="I1610" s="69" t="str">
        <f>IFERROR(VLOOKUP(Data!$G1610,canon!$I$2:$K$27,3,FALSE),"")</f>
        <v>APPAREL</v>
      </c>
      <c r="J1610" s="69">
        <f t="shared" si="50"/>
        <v>5</v>
      </c>
      <c r="K1610" s="69">
        <f t="shared" si="51"/>
        <v>41</v>
      </c>
      <c r="L1610" s="69">
        <f>VLOOKUP(Table_db1_backend_Daily.accdb[[#This Row],[TradingDate]],canon!B:E,4,0)</f>
        <v>29</v>
      </c>
    </row>
    <row r="1611" spans="1:12" x14ac:dyDescent="0.2">
      <c r="A1611" s="69" t="s">
        <v>42</v>
      </c>
      <c r="B1611" s="70">
        <v>42936</v>
      </c>
      <c r="C1611" s="69">
        <v>390</v>
      </c>
      <c r="D1611" s="69">
        <v>5</v>
      </c>
      <c r="E1611" s="69">
        <v>45.45</v>
      </c>
      <c r="F1611" s="69">
        <v>12.42</v>
      </c>
      <c r="G1611" s="69" t="s">
        <v>14</v>
      </c>
      <c r="H1611" s="69" t="str">
        <f>IFERROR(VLOOKUP(Data!$G1611,canon!$I$2:$K$27,2,FALSE),"")</f>
        <v>LEGGING</v>
      </c>
      <c r="I1611" s="69" t="str">
        <f>IFERROR(VLOOKUP(Data!$G1611,canon!$I$2:$K$27,3,FALSE),"")</f>
        <v>APPAREL</v>
      </c>
      <c r="J1611" s="69">
        <f t="shared" si="50"/>
        <v>5</v>
      </c>
      <c r="K1611" s="69">
        <f t="shared" si="51"/>
        <v>41</v>
      </c>
      <c r="L1611" s="69">
        <f>VLOOKUP(Table_db1_backend_Daily.accdb[[#This Row],[TradingDate]],canon!B:E,4,0)</f>
        <v>29</v>
      </c>
    </row>
    <row r="1612" spans="1:12" x14ac:dyDescent="0.2">
      <c r="A1612" s="69" t="s">
        <v>42</v>
      </c>
      <c r="B1612" s="70">
        <v>42936</v>
      </c>
      <c r="C1612" s="69">
        <v>-91</v>
      </c>
      <c r="D1612" s="69">
        <v>0</v>
      </c>
      <c r="E1612" s="69">
        <v>0</v>
      </c>
      <c r="F1612" s="69">
        <v>0</v>
      </c>
      <c r="G1612" s="69" t="s">
        <v>37</v>
      </c>
      <c r="H1612" s="69" t="str">
        <f>IFERROR(VLOOKUP(Data!$G1612,canon!$I$2:$K$27,2,FALSE),"")</f>
        <v>SHOES</v>
      </c>
      <c r="I1612" s="69" t="str">
        <f>IFERROR(VLOOKUP(Data!$G1612,canon!$I$2:$K$27,3,FALSE),"")</f>
        <v>N.APPAREL</v>
      </c>
      <c r="J1612" s="69">
        <f t="shared" si="50"/>
        <v>5</v>
      </c>
      <c r="K1612" s="69">
        <f t="shared" si="51"/>
        <v>41</v>
      </c>
      <c r="L1612" s="69">
        <f>VLOOKUP(Table_db1_backend_Daily.accdb[[#This Row],[TradingDate]],canon!B:E,4,0)</f>
        <v>29</v>
      </c>
    </row>
    <row r="1613" spans="1:12" x14ac:dyDescent="0.2">
      <c r="A1613" s="69" t="s">
        <v>42</v>
      </c>
      <c r="B1613" s="70">
        <v>42936</v>
      </c>
      <c r="C1613" s="69">
        <v>-3</v>
      </c>
      <c r="D1613" s="69">
        <v>0</v>
      </c>
      <c r="E1613" s="69">
        <v>0</v>
      </c>
      <c r="F1613" s="69">
        <v>0</v>
      </c>
      <c r="G1613" s="69" t="s">
        <v>29</v>
      </c>
      <c r="H1613" s="69" t="str">
        <f>IFERROR(VLOOKUP(Data!$G1613,canon!$I$2:$K$27,2,FALSE),"")</f>
        <v>SHOES</v>
      </c>
      <c r="I1613" s="69" t="str">
        <f>IFERROR(VLOOKUP(Data!$G1613,canon!$I$2:$K$27,3,FALSE),"")</f>
        <v>N.APPAREL</v>
      </c>
      <c r="J1613" s="69">
        <f t="shared" si="50"/>
        <v>5</v>
      </c>
      <c r="K1613" s="69">
        <f t="shared" si="51"/>
        <v>41</v>
      </c>
      <c r="L1613" s="69">
        <f>VLOOKUP(Table_db1_backend_Daily.accdb[[#This Row],[TradingDate]],canon!B:E,4,0)</f>
        <v>29</v>
      </c>
    </row>
    <row r="1614" spans="1:12" x14ac:dyDescent="0.2">
      <c r="A1614" s="69" t="s">
        <v>42</v>
      </c>
      <c r="B1614" s="70">
        <v>42936</v>
      </c>
      <c r="C1614" s="69">
        <v>453</v>
      </c>
      <c r="D1614" s="69">
        <v>21</v>
      </c>
      <c r="E1614" s="69">
        <v>372.53000000000009</v>
      </c>
      <c r="F1614" s="69">
        <v>177.54000000000002</v>
      </c>
      <c r="G1614" s="69" t="s">
        <v>17</v>
      </c>
      <c r="H1614" s="69" t="str">
        <f>IFERROR(VLOOKUP(Data!$G1614,canon!$I$2:$K$27,2,FALSE),"")</f>
        <v>OUTER</v>
      </c>
      <c r="I1614" s="69" t="str">
        <f>IFERROR(VLOOKUP(Data!$G1614,canon!$I$2:$K$27,3,FALSE),"")</f>
        <v>APPAREL</v>
      </c>
      <c r="J1614" s="69">
        <f t="shared" si="50"/>
        <v>5</v>
      </c>
      <c r="K1614" s="69">
        <f t="shared" si="51"/>
        <v>41</v>
      </c>
      <c r="L1614" s="69">
        <f>VLOOKUP(Table_db1_backend_Daily.accdb[[#This Row],[TradingDate]],canon!B:E,4,0)</f>
        <v>29</v>
      </c>
    </row>
    <row r="1615" spans="1:12" x14ac:dyDescent="0.2">
      <c r="A1615" s="69" t="s">
        <v>42</v>
      </c>
      <c r="B1615" s="70">
        <v>42936</v>
      </c>
      <c r="C1615" s="69">
        <v>382</v>
      </c>
      <c r="D1615" s="69">
        <v>5</v>
      </c>
      <c r="E1615" s="69">
        <v>90.89</v>
      </c>
      <c r="F1615" s="69">
        <v>54.63</v>
      </c>
      <c r="G1615" s="69" t="s">
        <v>19</v>
      </c>
      <c r="H1615" s="69" t="str">
        <f>IFERROR(VLOOKUP(Data!$G1615,canon!$I$2:$K$27,2,FALSE),"")</f>
        <v>PANT</v>
      </c>
      <c r="I1615" s="69" t="str">
        <f>IFERROR(VLOOKUP(Data!$G1615,canon!$I$2:$K$27,3,FALSE),"")</f>
        <v>APPAREL</v>
      </c>
      <c r="J1615" s="69">
        <f t="shared" si="50"/>
        <v>5</v>
      </c>
      <c r="K1615" s="69">
        <f t="shared" si="51"/>
        <v>41</v>
      </c>
      <c r="L1615" s="69">
        <f>VLOOKUP(Table_db1_backend_Daily.accdb[[#This Row],[TradingDate]],canon!B:E,4,0)</f>
        <v>29</v>
      </c>
    </row>
    <row r="1616" spans="1:12" x14ac:dyDescent="0.2">
      <c r="A1616" s="69" t="s">
        <v>42</v>
      </c>
      <c r="B1616" s="70">
        <v>42936</v>
      </c>
      <c r="C1616" s="69">
        <v>0</v>
      </c>
      <c r="D1616" s="69">
        <v>0</v>
      </c>
      <c r="E1616" s="69">
        <v>0</v>
      </c>
      <c r="F1616" s="69">
        <v>0</v>
      </c>
      <c r="G1616" s="69" t="s">
        <v>21</v>
      </c>
      <c r="H1616" s="69" t="str">
        <f>IFERROR(VLOOKUP(Data!$G1616,canon!$I$2:$K$27,2,FALSE),"")</f>
        <v>ACCESSORY</v>
      </c>
      <c r="I1616" s="69" t="str">
        <f>IFERROR(VLOOKUP(Data!$G1616,canon!$I$2:$K$27,3,FALSE),"")</f>
        <v>N.APPAREL</v>
      </c>
      <c r="J1616" s="69">
        <f t="shared" si="50"/>
        <v>5</v>
      </c>
      <c r="K1616" s="69">
        <f t="shared" si="51"/>
        <v>41</v>
      </c>
      <c r="L1616" s="69">
        <f>VLOOKUP(Table_db1_backend_Daily.accdb[[#This Row],[TradingDate]],canon!B:E,4,0)</f>
        <v>29</v>
      </c>
    </row>
    <row r="1617" spans="1:12" x14ac:dyDescent="0.2">
      <c r="A1617" s="69" t="s">
        <v>42</v>
      </c>
      <c r="B1617" s="70">
        <v>42936</v>
      </c>
      <c r="C1617" s="69">
        <v>-119</v>
      </c>
      <c r="D1617" s="69">
        <v>16</v>
      </c>
      <c r="E1617" s="69">
        <v>91.52000000000001</v>
      </c>
      <c r="F1617" s="69">
        <v>65.03</v>
      </c>
      <c r="G1617" s="69" t="s">
        <v>22</v>
      </c>
      <c r="H1617" s="69" t="str">
        <f>IFERROR(VLOOKUP(Data!$G1617,canon!$I$2:$K$27,2,FALSE),"")</f>
        <v>SCARF</v>
      </c>
      <c r="I1617" s="69" t="str">
        <f>IFERROR(VLOOKUP(Data!$G1617,canon!$I$2:$K$27,3,FALSE),"")</f>
        <v>N.APPAREL</v>
      </c>
      <c r="J1617" s="69">
        <f t="shared" si="50"/>
        <v>5</v>
      </c>
      <c r="K1617" s="69">
        <f t="shared" si="51"/>
        <v>41</v>
      </c>
      <c r="L1617" s="69">
        <f>VLOOKUP(Table_db1_backend_Daily.accdb[[#This Row],[TradingDate]],canon!B:E,4,0)</f>
        <v>29</v>
      </c>
    </row>
    <row r="1618" spans="1:12" x14ac:dyDescent="0.2">
      <c r="A1618" s="69" t="s">
        <v>42</v>
      </c>
      <c r="B1618" s="70">
        <v>42936</v>
      </c>
      <c r="C1618" s="69">
        <v>138</v>
      </c>
      <c r="D1618" s="69">
        <v>2</v>
      </c>
      <c r="E1618" s="69">
        <v>27.27</v>
      </c>
      <c r="F1618" s="69">
        <v>10.75</v>
      </c>
      <c r="G1618" s="69" t="s">
        <v>23</v>
      </c>
      <c r="H1618" s="69" t="str">
        <f>IFERROR(VLOOKUP(Data!$G1618,canon!$I$2:$K$27,2,FALSE),"")</f>
        <v>SH&amp;BL</v>
      </c>
      <c r="I1618" s="69" t="str">
        <f>IFERROR(VLOOKUP(Data!$G1618,canon!$I$2:$K$27,3,FALSE),"")</f>
        <v>APPAREL</v>
      </c>
      <c r="J1618" s="69">
        <f t="shared" si="50"/>
        <v>5</v>
      </c>
      <c r="K1618" s="69">
        <f t="shared" si="51"/>
        <v>41</v>
      </c>
      <c r="L1618" s="69">
        <f>VLOOKUP(Table_db1_backend_Daily.accdb[[#This Row],[TradingDate]],canon!B:E,4,0)</f>
        <v>29</v>
      </c>
    </row>
    <row r="1619" spans="1:12" x14ac:dyDescent="0.2">
      <c r="A1619" s="69" t="s">
        <v>42</v>
      </c>
      <c r="B1619" s="70">
        <v>42936</v>
      </c>
      <c r="C1619" s="69">
        <v>268</v>
      </c>
      <c r="D1619" s="69">
        <v>3</v>
      </c>
      <c r="E1619" s="69">
        <v>45.45</v>
      </c>
      <c r="F1619" s="69">
        <v>29.58</v>
      </c>
      <c r="G1619" s="69" t="s">
        <v>32</v>
      </c>
      <c r="H1619" s="69" t="str">
        <f>IFERROR(VLOOKUP(Data!$G1619,canon!$I$2:$K$27,2,FALSE),"")</f>
        <v>SKIRT</v>
      </c>
      <c r="I1619" s="69" t="str">
        <f>IFERROR(VLOOKUP(Data!$G1619,canon!$I$2:$K$27,3,FALSE),"")</f>
        <v>APPAREL</v>
      </c>
      <c r="J1619" s="69">
        <f t="shared" si="50"/>
        <v>5</v>
      </c>
      <c r="K1619" s="69">
        <f t="shared" si="51"/>
        <v>41</v>
      </c>
      <c r="L1619" s="69">
        <f>VLOOKUP(Table_db1_backend_Daily.accdb[[#This Row],[TradingDate]],canon!B:E,4,0)</f>
        <v>29</v>
      </c>
    </row>
    <row r="1620" spans="1:12" x14ac:dyDescent="0.2">
      <c r="A1620" s="69" t="s">
        <v>42</v>
      </c>
      <c r="B1620" s="70">
        <v>42936</v>
      </c>
      <c r="C1620" s="69">
        <v>959</v>
      </c>
      <c r="D1620" s="69">
        <v>16</v>
      </c>
      <c r="E1620" s="69">
        <v>213.63</v>
      </c>
      <c r="F1620" s="69">
        <v>124.05000000000001</v>
      </c>
      <c r="G1620" s="69" t="s">
        <v>25</v>
      </c>
      <c r="H1620" s="69" t="str">
        <f>IFERROR(VLOOKUP(Data!$G1620,canon!$I$2:$K$27,2,FALSE),"")</f>
        <v>TOP</v>
      </c>
      <c r="I1620" s="69" t="str">
        <f>IFERROR(VLOOKUP(Data!$G1620,canon!$I$2:$K$27,3,FALSE),"")</f>
        <v>APPAREL</v>
      </c>
      <c r="J1620" s="69">
        <f t="shared" si="50"/>
        <v>5</v>
      </c>
      <c r="K1620" s="69">
        <f t="shared" si="51"/>
        <v>41</v>
      </c>
      <c r="L1620" s="69">
        <f>VLOOKUP(Table_db1_backend_Daily.accdb[[#This Row],[TradingDate]],canon!B:E,4,0)</f>
        <v>29</v>
      </c>
    </row>
    <row r="1621" spans="1:12" x14ac:dyDescent="0.2">
      <c r="A1621" s="69" t="s">
        <v>42</v>
      </c>
      <c r="B1621" s="70">
        <v>42937</v>
      </c>
      <c r="C1621" s="69">
        <v>-2</v>
      </c>
      <c r="D1621" s="69">
        <v>0</v>
      </c>
      <c r="E1621" s="69">
        <v>0</v>
      </c>
      <c r="F1621" s="69">
        <v>0</v>
      </c>
      <c r="G1621" s="69" t="s">
        <v>34</v>
      </c>
      <c r="H1621" s="69" t="str">
        <f>IFERROR(VLOOKUP(Data!$G1621,canon!$I$2:$K$27,2,FALSE),"")</f>
        <v>SHOES</v>
      </c>
      <c r="I1621" s="69" t="str">
        <f>IFERROR(VLOOKUP(Data!$G1621,canon!$I$2:$K$27,3,FALSE),"")</f>
        <v>N.APPAREL</v>
      </c>
      <c r="J1621" s="69">
        <f t="shared" si="50"/>
        <v>6</v>
      </c>
      <c r="K1621" s="69">
        <f t="shared" si="51"/>
        <v>41</v>
      </c>
      <c r="L1621" s="69">
        <f>VLOOKUP(Table_db1_backend_Daily.accdb[[#This Row],[TradingDate]],canon!B:E,4,0)</f>
        <v>29</v>
      </c>
    </row>
    <row r="1622" spans="1:12" x14ac:dyDescent="0.2">
      <c r="A1622" s="69" t="s">
        <v>42</v>
      </c>
      <c r="B1622" s="70">
        <v>42937</v>
      </c>
      <c r="C1622" s="69">
        <v>570</v>
      </c>
      <c r="D1622" s="69">
        <v>7</v>
      </c>
      <c r="E1622" s="69">
        <v>136.34</v>
      </c>
      <c r="F1622" s="69">
        <v>82.86</v>
      </c>
      <c r="G1622" s="69" t="s">
        <v>35</v>
      </c>
      <c r="H1622" s="69" t="str">
        <f>IFERROR(VLOOKUP(Data!$G1622,canon!$I$2:$K$27,2,FALSE),"")</f>
        <v>DRESS</v>
      </c>
      <c r="I1622" s="69" t="str">
        <f>IFERROR(VLOOKUP(Data!$G1622,canon!$I$2:$K$27,3,FALSE),"")</f>
        <v>APPAREL</v>
      </c>
      <c r="J1622" s="69">
        <f t="shared" si="50"/>
        <v>6</v>
      </c>
      <c r="K1622" s="69">
        <f t="shared" si="51"/>
        <v>41</v>
      </c>
      <c r="L1622" s="69">
        <f>VLOOKUP(Table_db1_backend_Daily.accdb[[#This Row],[TradingDate]],canon!B:E,4,0)</f>
        <v>29</v>
      </c>
    </row>
    <row r="1623" spans="1:12" x14ac:dyDescent="0.2">
      <c r="A1623" s="69" t="s">
        <v>42</v>
      </c>
      <c r="B1623" s="70">
        <v>42937</v>
      </c>
      <c r="C1623" s="69">
        <v>-107</v>
      </c>
      <c r="D1623" s="69">
        <v>0</v>
      </c>
      <c r="E1623" s="69">
        <v>0</v>
      </c>
      <c r="F1623" s="69">
        <v>0</v>
      </c>
      <c r="G1623" s="69" t="s">
        <v>10</v>
      </c>
      <c r="H1623" s="69" t="str">
        <f>IFERROR(VLOOKUP(Data!$G1623,canon!$I$2:$K$27,2,FALSE),"")</f>
        <v>ACCESSORY</v>
      </c>
      <c r="I1623" s="69" t="str">
        <f>IFERROR(VLOOKUP(Data!$G1623,canon!$I$2:$K$27,3,FALSE),"")</f>
        <v>N.APPAREL</v>
      </c>
      <c r="J1623" s="69">
        <f t="shared" si="50"/>
        <v>6</v>
      </c>
      <c r="K1623" s="69">
        <f t="shared" si="51"/>
        <v>41</v>
      </c>
      <c r="L1623" s="69">
        <f>VLOOKUP(Table_db1_backend_Daily.accdb[[#This Row],[TradingDate]],canon!B:E,4,0)</f>
        <v>29</v>
      </c>
    </row>
    <row r="1624" spans="1:12" x14ac:dyDescent="0.2">
      <c r="A1624" s="69" t="s">
        <v>42</v>
      </c>
      <c r="B1624" s="70">
        <v>42937</v>
      </c>
      <c r="C1624" s="69">
        <v>1273</v>
      </c>
      <c r="D1624" s="69">
        <v>35</v>
      </c>
      <c r="E1624" s="69">
        <v>427.24999999999989</v>
      </c>
      <c r="F1624" s="69">
        <v>156.67000000000002</v>
      </c>
      <c r="G1624" s="69" t="s">
        <v>11</v>
      </c>
      <c r="H1624" s="69" t="str">
        <f>IFERROR(VLOOKUP(Data!$G1624,canon!$I$2:$K$27,2,FALSE),"")</f>
        <v>KNIT</v>
      </c>
      <c r="I1624" s="69" t="str">
        <f>IFERROR(VLOOKUP(Data!$G1624,canon!$I$2:$K$27,3,FALSE),"")</f>
        <v>APPAREL</v>
      </c>
      <c r="J1624" s="69">
        <f t="shared" si="50"/>
        <v>6</v>
      </c>
      <c r="K1624" s="69">
        <f t="shared" si="51"/>
        <v>41</v>
      </c>
      <c r="L1624" s="69">
        <f>VLOOKUP(Table_db1_backend_Daily.accdb[[#This Row],[TradingDate]],canon!B:E,4,0)</f>
        <v>29</v>
      </c>
    </row>
    <row r="1625" spans="1:12" x14ac:dyDescent="0.2">
      <c r="A1625" s="69" t="s">
        <v>42</v>
      </c>
      <c r="B1625" s="70">
        <v>42937</v>
      </c>
      <c r="C1625" s="69">
        <v>389</v>
      </c>
      <c r="D1625" s="69">
        <v>1</v>
      </c>
      <c r="E1625" s="69">
        <v>9.09</v>
      </c>
      <c r="F1625" s="69">
        <v>1.81</v>
      </c>
      <c r="G1625" s="69" t="s">
        <v>14</v>
      </c>
      <c r="H1625" s="69" t="str">
        <f>IFERROR(VLOOKUP(Data!$G1625,canon!$I$2:$K$27,2,FALSE),"")</f>
        <v>LEGGING</v>
      </c>
      <c r="I1625" s="69" t="str">
        <f>IFERROR(VLOOKUP(Data!$G1625,canon!$I$2:$K$27,3,FALSE),"")</f>
        <v>APPAREL</v>
      </c>
      <c r="J1625" s="69">
        <f t="shared" si="50"/>
        <v>6</v>
      </c>
      <c r="K1625" s="69">
        <f t="shared" si="51"/>
        <v>41</v>
      </c>
      <c r="L1625" s="69">
        <f>VLOOKUP(Table_db1_backend_Daily.accdb[[#This Row],[TradingDate]],canon!B:E,4,0)</f>
        <v>29</v>
      </c>
    </row>
    <row r="1626" spans="1:12" x14ac:dyDescent="0.2">
      <c r="A1626" s="69" t="s">
        <v>42</v>
      </c>
      <c r="B1626" s="70">
        <v>42937</v>
      </c>
      <c r="C1626" s="69">
        <v>-91</v>
      </c>
      <c r="D1626" s="69">
        <v>0</v>
      </c>
      <c r="E1626" s="69">
        <v>0</v>
      </c>
      <c r="F1626" s="69">
        <v>0</v>
      </c>
      <c r="G1626" s="69" t="s">
        <v>37</v>
      </c>
      <c r="H1626" s="69" t="str">
        <f>IFERROR(VLOOKUP(Data!$G1626,canon!$I$2:$K$27,2,FALSE),"")</f>
        <v>SHOES</v>
      </c>
      <c r="I1626" s="69" t="str">
        <f>IFERROR(VLOOKUP(Data!$G1626,canon!$I$2:$K$27,3,FALSE),"")</f>
        <v>N.APPAREL</v>
      </c>
      <c r="J1626" s="69">
        <f t="shared" si="50"/>
        <v>6</v>
      </c>
      <c r="K1626" s="69">
        <f t="shared" si="51"/>
        <v>41</v>
      </c>
      <c r="L1626" s="69">
        <f>VLOOKUP(Table_db1_backend_Daily.accdb[[#This Row],[TradingDate]],canon!B:E,4,0)</f>
        <v>29</v>
      </c>
    </row>
    <row r="1627" spans="1:12" x14ac:dyDescent="0.2">
      <c r="A1627" s="69" t="s">
        <v>42</v>
      </c>
      <c r="B1627" s="70">
        <v>42937</v>
      </c>
      <c r="C1627" s="69">
        <v>-3</v>
      </c>
      <c r="D1627" s="69">
        <v>0</v>
      </c>
      <c r="E1627" s="69">
        <v>0</v>
      </c>
      <c r="F1627" s="69">
        <v>0</v>
      </c>
      <c r="G1627" s="69" t="s">
        <v>29</v>
      </c>
      <c r="H1627" s="69" t="str">
        <f>IFERROR(VLOOKUP(Data!$G1627,canon!$I$2:$K$27,2,FALSE),"")</f>
        <v>SHOES</v>
      </c>
      <c r="I1627" s="69" t="str">
        <f>IFERROR(VLOOKUP(Data!$G1627,canon!$I$2:$K$27,3,FALSE),"")</f>
        <v>N.APPAREL</v>
      </c>
      <c r="J1627" s="69">
        <f t="shared" si="50"/>
        <v>6</v>
      </c>
      <c r="K1627" s="69">
        <f t="shared" si="51"/>
        <v>41</v>
      </c>
      <c r="L1627" s="69">
        <f>VLOOKUP(Table_db1_backend_Daily.accdb[[#This Row],[TradingDate]],canon!B:E,4,0)</f>
        <v>29</v>
      </c>
    </row>
    <row r="1628" spans="1:12" x14ac:dyDescent="0.2">
      <c r="A1628" s="69" t="s">
        <v>42</v>
      </c>
      <c r="B1628" s="70">
        <v>42937</v>
      </c>
      <c r="C1628" s="69">
        <v>420</v>
      </c>
      <c r="D1628" s="69">
        <v>14</v>
      </c>
      <c r="E1628" s="69">
        <v>269.06</v>
      </c>
      <c r="F1628" s="69">
        <v>144.88000000000002</v>
      </c>
      <c r="G1628" s="69" t="s">
        <v>17</v>
      </c>
      <c r="H1628" s="69" t="str">
        <f>IFERROR(VLOOKUP(Data!$G1628,canon!$I$2:$K$27,2,FALSE),"")</f>
        <v>OUTER</v>
      </c>
      <c r="I1628" s="69" t="str">
        <f>IFERROR(VLOOKUP(Data!$G1628,canon!$I$2:$K$27,3,FALSE),"")</f>
        <v>APPAREL</v>
      </c>
      <c r="J1628" s="69">
        <f t="shared" si="50"/>
        <v>6</v>
      </c>
      <c r="K1628" s="69">
        <f t="shared" si="51"/>
        <v>41</v>
      </c>
      <c r="L1628" s="69">
        <f>VLOOKUP(Table_db1_backend_Daily.accdb[[#This Row],[TradingDate]],canon!B:E,4,0)</f>
        <v>29</v>
      </c>
    </row>
    <row r="1629" spans="1:12" x14ac:dyDescent="0.2">
      <c r="A1629" s="69" t="s">
        <v>42</v>
      </c>
      <c r="B1629" s="70">
        <v>42937</v>
      </c>
      <c r="C1629" s="69">
        <v>381</v>
      </c>
      <c r="D1629" s="69">
        <v>1</v>
      </c>
      <c r="E1629" s="69">
        <v>9.09</v>
      </c>
      <c r="F1629" s="69">
        <v>3.11</v>
      </c>
      <c r="G1629" s="69" t="s">
        <v>19</v>
      </c>
      <c r="H1629" s="69" t="str">
        <f>IFERROR(VLOOKUP(Data!$G1629,canon!$I$2:$K$27,2,FALSE),"")</f>
        <v>PANT</v>
      </c>
      <c r="I1629" s="69" t="str">
        <f>IFERROR(VLOOKUP(Data!$G1629,canon!$I$2:$K$27,3,FALSE),"")</f>
        <v>APPAREL</v>
      </c>
      <c r="J1629" s="69">
        <f t="shared" si="50"/>
        <v>6</v>
      </c>
      <c r="K1629" s="69">
        <f t="shared" si="51"/>
        <v>41</v>
      </c>
      <c r="L1629" s="69">
        <f>VLOOKUP(Table_db1_backend_Daily.accdb[[#This Row],[TradingDate]],canon!B:E,4,0)</f>
        <v>29</v>
      </c>
    </row>
    <row r="1630" spans="1:12" x14ac:dyDescent="0.2">
      <c r="A1630" s="69" t="s">
        <v>42</v>
      </c>
      <c r="B1630" s="70">
        <v>42937</v>
      </c>
      <c r="C1630" s="69">
        <v>0</v>
      </c>
      <c r="D1630" s="69">
        <v>0</v>
      </c>
      <c r="E1630" s="69">
        <v>0</v>
      </c>
      <c r="F1630" s="69">
        <v>0</v>
      </c>
      <c r="G1630" s="69" t="s">
        <v>21</v>
      </c>
      <c r="H1630" s="69" t="str">
        <f>IFERROR(VLOOKUP(Data!$G1630,canon!$I$2:$K$27,2,FALSE),"")</f>
        <v>ACCESSORY</v>
      </c>
      <c r="I1630" s="69" t="str">
        <f>IFERROR(VLOOKUP(Data!$G1630,canon!$I$2:$K$27,3,FALSE),"")</f>
        <v>N.APPAREL</v>
      </c>
      <c r="J1630" s="69">
        <f t="shared" si="50"/>
        <v>6</v>
      </c>
      <c r="K1630" s="69">
        <f t="shared" si="51"/>
        <v>41</v>
      </c>
      <c r="L1630" s="69">
        <f>VLOOKUP(Table_db1_backend_Daily.accdb[[#This Row],[TradingDate]],canon!B:E,4,0)</f>
        <v>29</v>
      </c>
    </row>
    <row r="1631" spans="1:12" x14ac:dyDescent="0.2">
      <c r="A1631" s="69" t="s">
        <v>42</v>
      </c>
      <c r="B1631" s="70">
        <v>42937</v>
      </c>
      <c r="C1631" s="69">
        <v>-129</v>
      </c>
      <c r="D1631" s="69">
        <v>10</v>
      </c>
      <c r="E1631" s="69">
        <v>56.22</v>
      </c>
      <c r="F1631" s="69">
        <v>38.36</v>
      </c>
      <c r="G1631" s="69" t="s">
        <v>22</v>
      </c>
      <c r="H1631" s="69" t="str">
        <f>IFERROR(VLOOKUP(Data!$G1631,canon!$I$2:$K$27,2,FALSE),"")</f>
        <v>SCARF</v>
      </c>
      <c r="I1631" s="69" t="str">
        <f>IFERROR(VLOOKUP(Data!$G1631,canon!$I$2:$K$27,3,FALSE),"")</f>
        <v>N.APPAREL</v>
      </c>
      <c r="J1631" s="69">
        <f t="shared" si="50"/>
        <v>6</v>
      </c>
      <c r="K1631" s="69">
        <f t="shared" si="51"/>
        <v>41</v>
      </c>
      <c r="L1631" s="69">
        <f>VLOOKUP(Table_db1_backend_Daily.accdb[[#This Row],[TradingDate]],canon!B:E,4,0)</f>
        <v>29</v>
      </c>
    </row>
    <row r="1632" spans="1:12" x14ac:dyDescent="0.2">
      <c r="A1632" s="69" t="s">
        <v>42</v>
      </c>
      <c r="B1632" s="70">
        <v>42937</v>
      </c>
      <c r="C1632" s="69">
        <v>131</v>
      </c>
      <c r="D1632" s="69">
        <v>0</v>
      </c>
      <c r="E1632" s="69">
        <v>0</v>
      </c>
      <c r="F1632" s="69">
        <v>0</v>
      </c>
      <c r="G1632" s="69" t="s">
        <v>23</v>
      </c>
      <c r="H1632" s="69" t="str">
        <f>IFERROR(VLOOKUP(Data!$G1632,canon!$I$2:$K$27,2,FALSE),"")</f>
        <v>SH&amp;BL</v>
      </c>
      <c r="I1632" s="69" t="str">
        <f>IFERROR(VLOOKUP(Data!$G1632,canon!$I$2:$K$27,3,FALSE),"")</f>
        <v>APPAREL</v>
      </c>
      <c r="J1632" s="69">
        <f t="shared" si="50"/>
        <v>6</v>
      </c>
      <c r="K1632" s="69">
        <f t="shared" si="51"/>
        <v>41</v>
      </c>
      <c r="L1632" s="69">
        <f>VLOOKUP(Table_db1_backend_Daily.accdb[[#This Row],[TradingDate]],canon!B:E,4,0)</f>
        <v>29</v>
      </c>
    </row>
    <row r="1633" spans="1:12" x14ac:dyDescent="0.2">
      <c r="A1633" s="69" t="s">
        <v>42</v>
      </c>
      <c r="B1633" s="70">
        <v>42937</v>
      </c>
      <c r="C1633" s="69">
        <v>268</v>
      </c>
      <c r="D1633" s="69">
        <v>0</v>
      </c>
      <c r="E1633" s="69">
        <v>0</v>
      </c>
      <c r="F1633" s="69">
        <v>0</v>
      </c>
      <c r="G1633" s="69" t="s">
        <v>32</v>
      </c>
      <c r="H1633" s="69" t="str">
        <f>IFERROR(VLOOKUP(Data!$G1633,canon!$I$2:$K$27,2,FALSE),"")</f>
        <v>SKIRT</v>
      </c>
      <c r="I1633" s="69" t="str">
        <f>IFERROR(VLOOKUP(Data!$G1633,canon!$I$2:$K$27,3,FALSE),"")</f>
        <v>APPAREL</v>
      </c>
      <c r="J1633" s="69">
        <f t="shared" si="50"/>
        <v>6</v>
      </c>
      <c r="K1633" s="69">
        <f t="shared" si="51"/>
        <v>41</v>
      </c>
      <c r="L1633" s="69">
        <f>VLOOKUP(Table_db1_backend_Daily.accdb[[#This Row],[TradingDate]],canon!B:E,4,0)</f>
        <v>29</v>
      </c>
    </row>
    <row r="1634" spans="1:12" x14ac:dyDescent="0.2">
      <c r="A1634" s="69" t="s">
        <v>42</v>
      </c>
      <c r="B1634" s="70">
        <v>42937</v>
      </c>
      <c r="C1634" s="69">
        <v>937</v>
      </c>
      <c r="D1634" s="69">
        <v>17</v>
      </c>
      <c r="E1634" s="69">
        <v>185.42000000000004</v>
      </c>
      <c r="F1634" s="69">
        <v>104.60999999999999</v>
      </c>
      <c r="G1634" s="69" t="s">
        <v>25</v>
      </c>
      <c r="H1634" s="69" t="str">
        <f>IFERROR(VLOOKUP(Data!$G1634,canon!$I$2:$K$27,2,FALSE),"")</f>
        <v>TOP</v>
      </c>
      <c r="I1634" s="69" t="str">
        <f>IFERROR(VLOOKUP(Data!$G1634,canon!$I$2:$K$27,3,FALSE),"")</f>
        <v>APPAREL</v>
      </c>
      <c r="J1634" s="69">
        <f t="shared" si="50"/>
        <v>6</v>
      </c>
      <c r="K1634" s="69">
        <f t="shared" si="51"/>
        <v>41</v>
      </c>
      <c r="L1634" s="69">
        <f>VLOOKUP(Table_db1_backend_Daily.accdb[[#This Row],[TradingDate]],canon!B:E,4,0)</f>
        <v>29</v>
      </c>
    </row>
    <row r="1635" spans="1:12" x14ac:dyDescent="0.2">
      <c r="A1635" s="69" t="s">
        <v>42</v>
      </c>
      <c r="B1635" s="70">
        <v>42938</v>
      </c>
      <c r="C1635" s="69">
        <v>-2</v>
      </c>
      <c r="D1635" s="69">
        <v>0</v>
      </c>
      <c r="E1635" s="69">
        <v>0</v>
      </c>
      <c r="F1635" s="69">
        <v>0</v>
      </c>
      <c r="G1635" s="69" t="s">
        <v>34</v>
      </c>
      <c r="H1635" s="69" t="str">
        <f>IFERROR(VLOOKUP(Data!$G1635,canon!$I$2:$K$27,2,FALSE),"")</f>
        <v>SHOES</v>
      </c>
      <c r="I1635" s="69" t="str">
        <f>IFERROR(VLOOKUP(Data!$G1635,canon!$I$2:$K$27,3,FALSE),"")</f>
        <v>N.APPAREL</v>
      </c>
      <c r="J1635" s="69">
        <f t="shared" si="50"/>
        <v>7</v>
      </c>
      <c r="K1635" s="69">
        <f t="shared" si="51"/>
        <v>41</v>
      </c>
      <c r="L1635" s="69">
        <f>VLOOKUP(Table_db1_backend_Daily.accdb[[#This Row],[TradingDate]],canon!B:E,4,0)</f>
        <v>29</v>
      </c>
    </row>
    <row r="1636" spans="1:12" x14ac:dyDescent="0.2">
      <c r="A1636" s="69" t="s">
        <v>42</v>
      </c>
      <c r="B1636" s="70">
        <v>42938</v>
      </c>
      <c r="C1636" s="69">
        <v>566</v>
      </c>
      <c r="D1636" s="69">
        <v>4</v>
      </c>
      <c r="E1636" s="69">
        <v>63.64</v>
      </c>
      <c r="F1636" s="69">
        <v>30.82</v>
      </c>
      <c r="G1636" s="69" t="s">
        <v>35</v>
      </c>
      <c r="H1636" s="69" t="str">
        <f>IFERROR(VLOOKUP(Data!$G1636,canon!$I$2:$K$27,2,FALSE),"")</f>
        <v>DRESS</v>
      </c>
      <c r="I1636" s="69" t="str">
        <f>IFERROR(VLOOKUP(Data!$G1636,canon!$I$2:$K$27,3,FALSE),"")</f>
        <v>APPAREL</v>
      </c>
      <c r="J1636" s="69">
        <f t="shared" si="50"/>
        <v>7</v>
      </c>
      <c r="K1636" s="69">
        <f t="shared" si="51"/>
        <v>41</v>
      </c>
      <c r="L1636" s="69">
        <f>VLOOKUP(Table_db1_backend_Daily.accdb[[#This Row],[TradingDate]],canon!B:E,4,0)</f>
        <v>29</v>
      </c>
    </row>
    <row r="1637" spans="1:12" x14ac:dyDescent="0.2">
      <c r="A1637" s="69" t="s">
        <v>42</v>
      </c>
      <c r="B1637" s="70">
        <v>42938</v>
      </c>
      <c r="C1637" s="69">
        <v>-107</v>
      </c>
      <c r="D1637" s="69">
        <v>0</v>
      </c>
      <c r="E1637" s="69">
        <v>0</v>
      </c>
      <c r="F1637" s="69">
        <v>0</v>
      </c>
      <c r="G1637" s="69" t="s">
        <v>10</v>
      </c>
      <c r="H1637" s="69" t="str">
        <f>IFERROR(VLOOKUP(Data!$G1637,canon!$I$2:$K$27,2,FALSE),"")</f>
        <v>ACCESSORY</v>
      </c>
      <c r="I1637" s="69" t="str">
        <f>IFERROR(VLOOKUP(Data!$G1637,canon!$I$2:$K$27,3,FALSE),"")</f>
        <v>N.APPAREL</v>
      </c>
      <c r="J1637" s="69">
        <f t="shared" si="50"/>
        <v>7</v>
      </c>
      <c r="K1637" s="69">
        <f t="shared" si="51"/>
        <v>41</v>
      </c>
      <c r="L1637" s="69">
        <f>VLOOKUP(Table_db1_backend_Daily.accdb[[#This Row],[TradingDate]],canon!B:E,4,0)</f>
        <v>29</v>
      </c>
    </row>
    <row r="1638" spans="1:12" x14ac:dyDescent="0.2">
      <c r="A1638" s="69" t="s">
        <v>42</v>
      </c>
      <c r="B1638" s="70">
        <v>42938</v>
      </c>
      <c r="C1638" s="69">
        <v>1229</v>
      </c>
      <c r="D1638" s="69">
        <v>44</v>
      </c>
      <c r="E1638" s="69">
        <v>472.67999999999989</v>
      </c>
      <c r="F1638" s="69">
        <v>112.8</v>
      </c>
      <c r="G1638" s="69" t="s">
        <v>11</v>
      </c>
      <c r="H1638" s="69" t="str">
        <f>IFERROR(VLOOKUP(Data!$G1638,canon!$I$2:$K$27,2,FALSE),"")</f>
        <v>KNIT</v>
      </c>
      <c r="I1638" s="69" t="str">
        <f>IFERROR(VLOOKUP(Data!$G1638,canon!$I$2:$K$27,3,FALSE),"")</f>
        <v>APPAREL</v>
      </c>
      <c r="J1638" s="69">
        <f t="shared" si="50"/>
        <v>7</v>
      </c>
      <c r="K1638" s="69">
        <f t="shared" si="51"/>
        <v>41</v>
      </c>
      <c r="L1638" s="69">
        <f>VLOOKUP(Table_db1_backend_Daily.accdb[[#This Row],[TradingDate]],canon!B:E,4,0)</f>
        <v>29</v>
      </c>
    </row>
    <row r="1639" spans="1:12" x14ac:dyDescent="0.2">
      <c r="A1639" s="69" t="s">
        <v>42</v>
      </c>
      <c r="B1639" s="70">
        <v>42938</v>
      </c>
      <c r="C1639" s="69">
        <v>386</v>
      </c>
      <c r="D1639" s="69">
        <v>3</v>
      </c>
      <c r="E1639" s="69">
        <v>27.27</v>
      </c>
      <c r="F1639" s="69">
        <v>5.75</v>
      </c>
      <c r="G1639" s="69" t="s">
        <v>14</v>
      </c>
      <c r="H1639" s="69" t="str">
        <f>IFERROR(VLOOKUP(Data!$G1639,canon!$I$2:$K$27,2,FALSE),"")</f>
        <v>LEGGING</v>
      </c>
      <c r="I1639" s="69" t="str">
        <f>IFERROR(VLOOKUP(Data!$G1639,canon!$I$2:$K$27,3,FALSE),"")</f>
        <v>APPAREL</v>
      </c>
      <c r="J1639" s="69">
        <f t="shared" si="50"/>
        <v>7</v>
      </c>
      <c r="K1639" s="69">
        <f t="shared" si="51"/>
        <v>41</v>
      </c>
      <c r="L1639" s="69">
        <f>VLOOKUP(Table_db1_backend_Daily.accdb[[#This Row],[TradingDate]],canon!B:E,4,0)</f>
        <v>29</v>
      </c>
    </row>
    <row r="1640" spans="1:12" x14ac:dyDescent="0.2">
      <c r="A1640" s="69" t="s">
        <v>42</v>
      </c>
      <c r="B1640" s="70">
        <v>42938</v>
      </c>
      <c r="C1640" s="69">
        <v>-91</v>
      </c>
      <c r="D1640" s="69">
        <v>0</v>
      </c>
      <c r="E1640" s="69">
        <v>0</v>
      </c>
      <c r="F1640" s="69">
        <v>0</v>
      </c>
      <c r="G1640" s="69" t="s">
        <v>37</v>
      </c>
      <c r="H1640" s="69" t="str">
        <f>IFERROR(VLOOKUP(Data!$G1640,canon!$I$2:$K$27,2,FALSE),"")</f>
        <v>SHOES</v>
      </c>
      <c r="I1640" s="69" t="str">
        <f>IFERROR(VLOOKUP(Data!$G1640,canon!$I$2:$K$27,3,FALSE),"")</f>
        <v>N.APPAREL</v>
      </c>
      <c r="J1640" s="69">
        <f t="shared" si="50"/>
        <v>7</v>
      </c>
      <c r="K1640" s="69">
        <f t="shared" si="51"/>
        <v>41</v>
      </c>
      <c r="L1640" s="69">
        <f>VLOOKUP(Table_db1_backend_Daily.accdb[[#This Row],[TradingDate]],canon!B:E,4,0)</f>
        <v>29</v>
      </c>
    </row>
    <row r="1641" spans="1:12" x14ac:dyDescent="0.2">
      <c r="A1641" s="69" t="s">
        <v>42</v>
      </c>
      <c r="B1641" s="70">
        <v>42938</v>
      </c>
      <c r="C1641" s="69">
        <v>-3</v>
      </c>
      <c r="D1641" s="69">
        <v>0</v>
      </c>
      <c r="E1641" s="69">
        <v>0</v>
      </c>
      <c r="F1641" s="69">
        <v>0</v>
      </c>
      <c r="G1641" s="69" t="s">
        <v>29</v>
      </c>
      <c r="H1641" s="69" t="str">
        <f>IFERROR(VLOOKUP(Data!$G1641,canon!$I$2:$K$27,2,FALSE),"")</f>
        <v>SHOES</v>
      </c>
      <c r="I1641" s="69" t="str">
        <f>IFERROR(VLOOKUP(Data!$G1641,canon!$I$2:$K$27,3,FALSE),"")</f>
        <v>N.APPAREL</v>
      </c>
      <c r="J1641" s="69">
        <f t="shared" si="50"/>
        <v>7</v>
      </c>
      <c r="K1641" s="69">
        <f t="shared" si="51"/>
        <v>41</v>
      </c>
      <c r="L1641" s="69">
        <f>VLOOKUP(Table_db1_backend_Daily.accdb[[#This Row],[TradingDate]],canon!B:E,4,0)</f>
        <v>29</v>
      </c>
    </row>
    <row r="1642" spans="1:12" x14ac:dyDescent="0.2">
      <c r="A1642" s="69" t="s">
        <v>42</v>
      </c>
      <c r="B1642" s="70">
        <v>42938</v>
      </c>
      <c r="C1642" s="69">
        <v>411</v>
      </c>
      <c r="D1642" s="69">
        <v>9</v>
      </c>
      <c r="E1642" s="69">
        <v>163.62</v>
      </c>
      <c r="F1642" s="69">
        <v>78.249999999999986</v>
      </c>
      <c r="G1642" s="69" t="s">
        <v>17</v>
      </c>
      <c r="H1642" s="69" t="str">
        <f>IFERROR(VLOOKUP(Data!$G1642,canon!$I$2:$K$27,2,FALSE),"")</f>
        <v>OUTER</v>
      </c>
      <c r="I1642" s="69" t="str">
        <f>IFERROR(VLOOKUP(Data!$G1642,canon!$I$2:$K$27,3,FALSE),"")</f>
        <v>APPAREL</v>
      </c>
      <c r="J1642" s="69">
        <f t="shared" si="50"/>
        <v>7</v>
      </c>
      <c r="K1642" s="69">
        <f t="shared" si="51"/>
        <v>41</v>
      </c>
      <c r="L1642" s="69">
        <f>VLOOKUP(Table_db1_backend_Daily.accdb[[#This Row],[TradingDate]],canon!B:E,4,0)</f>
        <v>29</v>
      </c>
    </row>
    <row r="1643" spans="1:12" x14ac:dyDescent="0.2">
      <c r="A1643" s="69" t="s">
        <v>42</v>
      </c>
      <c r="B1643" s="70">
        <v>42938</v>
      </c>
      <c r="C1643" s="69">
        <v>379</v>
      </c>
      <c r="D1643" s="69">
        <v>2</v>
      </c>
      <c r="E1643" s="69">
        <v>18.18</v>
      </c>
      <c r="F1643" s="69">
        <v>7.3100000000000005</v>
      </c>
      <c r="G1643" s="69" t="s">
        <v>19</v>
      </c>
      <c r="H1643" s="69" t="str">
        <f>IFERROR(VLOOKUP(Data!$G1643,canon!$I$2:$K$27,2,FALSE),"")</f>
        <v>PANT</v>
      </c>
      <c r="I1643" s="69" t="str">
        <f>IFERROR(VLOOKUP(Data!$G1643,canon!$I$2:$K$27,3,FALSE),"")</f>
        <v>APPAREL</v>
      </c>
      <c r="J1643" s="69">
        <f t="shared" si="50"/>
        <v>7</v>
      </c>
      <c r="K1643" s="69">
        <f t="shared" si="51"/>
        <v>41</v>
      </c>
      <c r="L1643" s="69">
        <f>VLOOKUP(Table_db1_backend_Daily.accdb[[#This Row],[TradingDate]],canon!B:E,4,0)</f>
        <v>29</v>
      </c>
    </row>
    <row r="1644" spans="1:12" x14ac:dyDescent="0.2">
      <c r="A1644" s="69" t="s">
        <v>42</v>
      </c>
      <c r="B1644" s="70">
        <v>42938</v>
      </c>
      <c r="C1644" s="69">
        <v>0</v>
      </c>
      <c r="D1644" s="69">
        <v>0</v>
      </c>
      <c r="E1644" s="69">
        <v>0</v>
      </c>
      <c r="F1644" s="69">
        <v>0</v>
      </c>
      <c r="G1644" s="69" t="s">
        <v>21</v>
      </c>
      <c r="H1644" s="69" t="str">
        <f>IFERROR(VLOOKUP(Data!$G1644,canon!$I$2:$K$27,2,FALSE),"")</f>
        <v>ACCESSORY</v>
      </c>
      <c r="I1644" s="69" t="str">
        <f>IFERROR(VLOOKUP(Data!$G1644,canon!$I$2:$K$27,3,FALSE),"")</f>
        <v>N.APPAREL</v>
      </c>
      <c r="J1644" s="69">
        <f t="shared" si="50"/>
        <v>7</v>
      </c>
      <c r="K1644" s="69">
        <f t="shared" si="51"/>
        <v>41</v>
      </c>
      <c r="L1644" s="69">
        <f>VLOOKUP(Table_db1_backend_Daily.accdb[[#This Row],[TradingDate]],canon!B:E,4,0)</f>
        <v>29</v>
      </c>
    </row>
    <row r="1645" spans="1:12" x14ac:dyDescent="0.2">
      <c r="A1645" s="69" t="s">
        <v>42</v>
      </c>
      <c r="B1645" s="70">
        <v>42938</v>
      </c>
      <c r="C1645" s="69">
        <v>-148</v>
      </c>
      <c r="D1645" s="69">
        <v>19</v>
      </c>
      <c r="E1645" s="69">
        <v>97.140000000000015</v>
      </c>
      <c r="F1645" s="69">
        <v>68.86</v>
      </c>
      <c r="G1645" s="69" t="s">
        <v>22</v>
      </c>
      <c r="H1645" s="69" t="str">
        <f>IFERROR(VLOOKUP(Data!$G1645,canon!$I$2:$K$27,2,FALSE),"")</f>
        <v>SCARF</v>
      </c>
      <c r="I1645" s="69" t="str">
        <f>IFERROR(VLOOKUP(Data!$G1645,canon!$I$2:$K$27,3,FALSE),"")</f>
        <v>N.APPAREL</v>
      </c>
      <c r="J1645" s="69">
        <f t="shared" si="50"/>
        <v>7</v>
      </c>
      <c r="K1645" s="69">
        <f t="shared" si="51"/>
        <v>41</v>
      </c>
      <c r="L1645" s="69">
        <f>VLOOKUP(Table_db1_backend_Daily.accdb[[#This Row],[TradingDate]],canon!B:E,4,0)</f>
        <v>29</v>
      </c>
    </row>
    <row r="1646" spans="1:12" x14ac:dyDescent="0.2">
      <c r="A1646" s="69" t="s">
        <v>42</v>
      </c>
      <c r="B1646" s="70">
        <v>42938</v>
      </c>
      <c r="C1646" s="69">
        <v>131</v>
      </c>
      <c r="D1646" s="69">
        <v>0</v>
      </c>
      <c r="E1646" s="69">
        <v>0</v>
      </c>
      <c r="F1646" s="69">
        <v>0</v>
      </c>
      <c r="G1646" s="69" t="s">
        <v>23</v>
      </c>
      <c r="H1646" s="69" t="str">
        <f>IFERROR(VLOOKUP(Data!$G1646,canon!$I$2:$K$27,2,FALSE),"")</f>
        <v>SH&amp;BL</v>
      </c>
      <c r="I1646" s="69" t="str">
        <f>IFERROR(VLOOKUP(Data!$G1646,canon!$I$2:$K$27,3,FALSE),"")</f>
        <v>APPAREL</v>
      </c>
      <c r="J1646" s="69">
        <f t="shared" si="50"/>
        <v>7</v>
      </c>
      <c r="K1646" s="69">
        <f t="shared" si="51"/>
        <v>41</v>
      </c>
      <c r="L1646" s="69">
        <f>VLOOKUP(Table_db1_backend_Daily.accdb[[#This Row],[TradingDate]],canon!B:E,4,0)</f>
        <v>29</v>
      </c>
    </row>
    <row r="1647" spans="1:12" x14ac:dyDescent="0.2">
      <c r="A1647" s="69" t="s">
        <v>42</v>
      </c>
      <c r="B1647" s="70">
        <v>42938</v>
      </c>
      <c r="C1647" s="69">
        <v>263</v>
      </c>
      <c r="D1647" s="69">
        <v>5</v>
      </c>
      <c r="E1647" s="69">
        <v>90.77000000000001</v>
      </c>
      <c r="F1647" s="69">
        <v>63.16</v>
      </c>
      <c r="G1647" s="69" t="s">
        <v>32</v>
      </c>
      <c r="H1647" s="69" t="str">
        <f>IFERROR(VLOOKUP(Data!$G1647,canon!$I$2:$K$27,2,FALSE),"")</f>
        <v>SKIRT</v>
      </c>
      <c r="I1647" s="69" t="str">
        <f>IFERROR(VLOOKUP(Data!$G1647,canon!$I$2:$K$27,3,FALSE),"")</f>
        <v>APPAREL</v>
      </c>
      <c r="J1647" s="69">
        <f t="shared" si="50"/>
        <v>7</v>
      </c>
      <c r="K1647" s="69">
        <f t="shared" si="51"/>
        <v>41</v>
      </c>
      <c r="L1647" s="69">
        <f>VLOOKUP(Table_db1_backend_Daily.accdb[[#This Row],[TradingDate]],canon!B:E,4,0)</f>
        <v>29</v>
      </c>
    </row>
    <row r="1648" spans="1:12" x14ac:dyDescent="0.2">
      <c r="A1648" s="69" t="s">
        <v>42</v>
      </c>
      <c r="B1648" s="70">
        <v>42938</v>
      </c>
      <c r="C1648" s="69">
        <v>933</v>
      </c>
      <c r="D1648" s="69">
        <v>4</v>
      </c>
      <c r="E1648" s="69">
        <v>45.45</v>
      </c>
      <c r="F1648" s="69">
        <v>24.47</v>
      </c>
      <c r="G1648" s="69" t="s">
        <v>25</v>
      </c>
      <c r="H1648" s="69" t="str">
        <f>IFERROR(VLOOKUP(Data!$G1648,canon!$I$2:$K$27,2,FALSE),"")</f>
        <v>TOP</v>
      </c>
      <c r="I1648" s="69" t="str">
        <f>IFERROR(VLOOKUP(Data!$G1648,canon!$I$2:$K$27,3,FALSE),"")</f>
        <v>APPAREL</v>
      </c>
      <c r="J1648" s="69">
        <f t="shared" si="50"/>
        <v>7</v>
      </c>
      <c r="K1648" s="69">
        <f t="shared" si="51"/>
        <v>41</v>
      </c>
      <c r="L1648" s="69">
        <f>VLOOKUP(Table_db1_backend_Daily.accdb[[#This Row],[TradingDate]],canon!B:E,4,0)</f>
        <v>29</v>
      </c>
    </row>
    <row r="1649" spans="1:12" x14ac:dyDescent="0.2">
      <c r="A1649" s="69" t="s">
        <v>42</v>
      </c>
      <c r="B1649" s="70">
        <v>42939</v>
      </c>
      <c r="C1649" s="69">
        <v>-2</v>
      </c>
      <c r="D1649" s="69">
        <v>0</v>
      </c>
      <c r="E1649" s="69">
        <v>0</v>
      </c>
      <c r="F1649" s="69">
        <v>0</v>
      </c>
      <c r="G1649" s="69" t="s">
        <v>34</v>
      </c>
      <c r="H1649" s="69" t="str">
        <f>IFERROR(VLOOKUP(Data!$G1649,canon!$I$2:$K$27,2,FALSE),"")</f>
        <v>SHOES</v>
      </c>
      <c r="I1649" s="69" t="str">
        <f>IFERROR(VLOOKUP(Data!$G1649,canon!$I$2:$K$27,3,FALSE),"")</f>
        <v>N.APPAREL</v>
      </c>
      <c r="J1649" s="69">
        <f t="shared" si="50"/>
        <v>1</v>
      </c>
      <c r="K1649" s="69">
        <f t="shared" si="51"/>
        <v>41</v>
      </c>
      <c r="L1649" s="69">
        <f>VLOOKUP(Table_db1_backend_Daily.accdb[[#This Row],[TradingDate]],canon!B:E,4,0)</f>
        <v>30</v>
      </c>
    </row>
    <row r="1650" spans="1:12" x14ac:dyDescent="0.2">
      <c r="A1650" s="69" t="s">
        <v>42</v>
      </c>
      <c r="B1650" s="70">
        <v>42939</v>
      </c>
      <c r="C1650" s="69">
        <v>565</v>
      </c>
      <c r="D1650" s="69">
        <v>1</v>
      </c>
      <c r="E1650" s="69">
        <v>18.18</v>
      </c>
      <c r="F1650" s="69">
        <v>9.48</v>
      </c>
      <c r="G1650" s="69" t="s">
        <v>35</v>
      </c>
      <c r="H1650" s="69" t="str">
        <f>IFERROR(VLOOKUP(Data!$G1650,canon!$I$2:$K$27,2,FALSE),"")</f>
        <v>DRESS</v>
      </c>
      <c r="I1650" s="69" t="str">
        <f>IFERROR(VLOOKUP(Data!$G1650,canon!$I$2:$K$27,3,FALSE),"")</f>
        <v>APPAREL</v>
      </c>
      <c r="J1650" s="69">
        <f t="shared" si="50"/>
        <v>1</v>
      </c>
      <c r="K1650" s="69">
        <f t="shared" si="51"/>
        <v>41</v>
      </c>
      <c r="L1650" s="69">
        <f>VLOOKUP(Table_db1_backend_Daily.accdb[[#This Row],[TradingDate]],canon!B:E,4,0)</f>
        <v>30</v>
      </c>
    </row>
    <row r="1651" spans="1:12" x14ac:dyDescent="0.2">
      <c r="A1651" s="69" t="s">
        <v>42</v>
      </c>
      <c r="B1651" s="70">
        <v>42939</v>
      </c>
      <c r="C1651" s="69">
        <v>-107</v>
      </c>
      <c r="D1651" s="69">
        <v>0</v>
      </c>
      <c r="E1651" s="69">
        <v>0</v>
      </c>
      <c r="F1651" s="69">
        <v>0</v>
      </c>
      <c r="G1651" s="69" t="s">
        <v>10</v>
      </c>
      <c r="H1651" s="69" t="str">
        <f>IFERROR(VLOOKUP(Data!$G1651,canon!$I$2:$K$27,2,FALSE),"")</f>
        <v>ACCESSORY</v>
      </c>
      <c r="I1651" s="69" t="str">
        <f>IFERROR(VLOOKUP(Data!$G1651,canon!$I$2:$K$27,3,FALSE),"")</f>
        <v>N.APPAREL</v>
      </c>
      <c r="J1651" s="69">
        <f t="shared" si="50"/>
        <v>1</v>
      </c>
      <c r="K1651" s="69">
        <f t="shared" si="51"/>
        <v>41</v>
      </c>
      <c r="L1651" s="69">
        <f>VLOOKUP(Table_db1_backend_Daily.accdb[[#This Row],[TradingDate]],canon!B:E,4,0)</f>
        <v>30</v>
      </c>
    </row>
    <row r="1652" spans="1:12" x14ac:dyDescent="0.2">
      <c r="A1652" s="69" t="s">
        <v>42</v>
      </c>
      <c r="B1652" s="70">
        <v>42939</v>
      </c>
      <c r="C1652" s="69">
        <v>1216</v>
      </c>
      <c r="D1652" s="69">
        <v>13</v>
      </c>
      <c r="E1652" s="69">
        <v>145.43000000000004</v>
      </c>
      <c r="F1652" s="69">
        <v>43.66</v>
      </c>
      <c r="G1652" s="69" t="s">
        <v>11</v>
      </c>
      <c r="H1652" s="69" t="str">
        <f>IFERROR(VLOOKUP(Data!$G1652,canon!$I$2:$K$27,2,FALSE),"")</f>
        <v>KNIT</v>
      </c>
      <c r="I1652" s="69" t="str">
        <f>IFERROR(VLOOKUP(Data!$G1652,canon!$I$2:$K$27,3,FALSE),"")</f>
        <v>APPAREL</v>
      </c>
      <c r="J1652" s="69">
        <f t="shared" si="50"/>
        <v>1</v>
      </c>
      <c r="K1652" s="69">
        <f t="shared" si="51"/>
        <v>41</v>
      </c>
      <c r="L1652" s="69">
        <f>VLOOKUP(Table_db1_backend_Daily.accdb[[#This Row],[TradingDate]],canon!B:E,4,0)</f>
        <v>30</v>
      </c>
    </row>
    <row r="1653" spans="1:12" x14ac:dyDescent="0.2">
      <c r="A1653" s="69" t="s">
        <v>42</v>
      </c>
      <c r="B1653" s="70">
        <v>42939</v>
      </c>
      <c r="C1653" s="69">
        <v>386</v>
      </c>
      <c r="D1653" s="69">
        <v>0</v>
      </c>
      <c r="E1653" s="69">
        <v>0</v>
      </c>
      <c r="F1653" s="69">
        <v>0</v>
      </c>
      <c r="G1653" s="69" t="s">
        <v>14</v>
      </c>
      <c r="H1653" s="69" t="str">
        <f>IFERROR(VLOOKUP(Data!$G1653,canon!$I$2:$K$27,2,FALSE),"")</f>
        <v>LEGGING</v>
      </c>
      <c r="I1653" s="69" t="str">
        <f>IFERROR(VLOOKUP(Data!$G1653,canon!$I$2:$K$27,3,FALSE),"")</f>
        <v>APPAREL</v>
      </c>
      <c r="J1653" s="69">
        <f t="shared" si="50"/>
        <v>1</v>
      </c>
      <c r="K1653" s="69">
        <f t="shared" si="51"/>
        <v>41</v>
      </c>
      <c r="L1653" s="69">
        <f>VLOOKUP(Table_db1_backend_Daily.accdb[[#This Row],[TradingDate]],canon!B:E,4,0)</f>
        <v>30</v>
      </c>
    </row>
    <row r="1654" spans="1:12" x14ac:dyDescent="0.2">
      <c r="A1654" s="69" t="s">
        <v>42</v>
      </c>
      <c r="B1654" s="70">
        <v>42939</v>
      </c>
      <c r="C1654" s="69">
        <v>-91</v>
      </c>
      <c r="D1654" s="69">
        <v>0</v>
      </c>
      <c r="E1654" s="69">
        <v>0</v>
      </c>
      <c r="F1654" s="69">
        <v>0</v>
      </c>
      <c r="G1654" s="69" t="s">
        <v>37</v>
      </c>
      <c r="H1654" s="69" t="str">
        <f>IFERROR(VLOOKUP(Data!$G1654,canon!$I$2:$K$27,2,FALSE),"")</f>
        <v>SHOES</v>
      </c>
      <c r="I1654" s="69" t="str">
        <f>IFERROR(VLOOKUP(Data!$G1654,canon!$I$2:$K$27,3,FALSE),"")</f>
        <v>N.APPAREL</v>
      </c>
      <c r="J1654" s="69">
        <f t="shared" si="50"/>
        <v>1</v>
      </c>
      <c r="K1654" s="69">
        <f t="shared" si="51"/>
        <v>41</v>
      </c>
      <c r="L1654" s="69">
        <f>VLOOKUP(Table_db1_backend_Daily.accdb[[#This Row],[TradingDate]],canon!B:E,4,0)</f>
        <v>30</v>
      </c>
    </row>
    <row r="1655" spans="1:12" x14ac:dyDescent="0.2">
      <c r="A1655" s="69" t="s">
        <v>42</v>
      </c>
      <c r="B1655" s="70">
        <v>42939</v>
      </c>
      <c r="C1655" s="69">
        <v>-3</v>
      </c>
      <c r="D1655" s="69">
        <v>0</v>
      </c>
      <c r="E1655" s="69">
        <v>0</v>
      </c>
      <c r="F1655" s="69">
        <v>0</v>
      </c>
      <c r="G1655" s="69" t="s">
        <v>29</v>
      </c>
      <c r="H1655" s="69" t="str">
        <f>IFERROR(VLOOKUP(Data!$G1655,canon!$I$2:$K$27,2,FALSE),"")</f>
        <v>SHOES</v>
      </c>
      <c r="I1655" s="69" t="str">
        <f>IFERROR(VLOOKUP(Data!$G1655,canon!$I$2:$K$27,3,FALSE),"")</f>
        <v>N.APPAREL</v>
      </c>
      <c r="J1655" s="69">
        <f t="shared" si="50"/>
        <v>1</v>
      </c>
      <c r="K1655" s="69">
        <f t="shared" si="51"/>
        <v>41</v>
      </c>
      <c r="L1655" s="69">
        <f>VLOOKUP(Table_db1_backend_Daily.accdb[[#This Row],[TradingDate]],canon!B:E,4,0)</f>
        <v>30</v>
      </c>
    </row>
    <row r="1656" spans="1:12" x14ac:dyDescent="0.2">
      <c r="A1656" s="69" t="s">
        <v>42</v>
      </c>
      <c r="B1656" s="70">
        <v>42939</v>
      </c>
      <c r="C1656" s="69">
        <v>410</v>
      </c>
      <c r="D1656" s="69">
        <v>1</v>
      </c>
      <c r="E1656" s="69">
        <v>18.18</v>
      </c>
      <c r="F1656" s="69">
        <v>11.01</v>
      </c>
      <c r="G1656" s="69" t="s">
        <v>17</v>
      </c>
      <c r="H1656" s="69" t="str">
        <f>IFERROR(VLOOKUP(Data!$G1656,canon!$I$2:$K$27,2,FALSE),"")</f>
        <v>OUTER</v>
      </c>
      <c r="I1656" s="69" t="str">
        <f>IFERROR(VLOOKUP(Data!$G1656,canon!$I$2:$K$27,3,FALSE),"")</f>
        <v>APPAREL</v>
      </c>
      <c r="J1656" s="69">
        <f t="shared" si="50"/>
        <v>1</v>
      </c>
      <c r="K1656" s="69">
        <f t="shared" si="51"/>
        <v>41</v>
      </c>
      <c r="L1656" s="69">
        <f>VLOOKUP(Table_db1_backend_Daily.accdb[[#This Row],[TradingDate]],canon!B:E,4,0)</f>
        <v>30</v>
      </c>
    </row>
    <row r="1657" spans="1:12" x14ac:dyDescent="0.2">
      <c r="A1657" s="69" t="s">
        <v>42</v>
      </c>
      <c r="B1657" s="70">
        <v>42939</v>
      </c>
      <c r="C1657" s="69">
        <v>379</v>
      </c>
      <c r="D1657" s="69">
        <v>0</v>
      </c>
      <c r="E1657" s="69">
        <v>0</v>
      </c>
      <c r="F1657" s="69">
        <v>0</v>
      </c>
      <c r="G1657" s="69" t="s">
        <v>19</v>
      </c>
      <c r="H1657" s="69" t="str">
        <f>IFERROR(VLOOKUP(Data!$G1657,canon!$I$2:$K$27,2,FALSE),"")</f>
        <v>PANT</v>
      </c>
      <c r="I1657" s="69" t="str">
        <f>IFERROR(VLOOKUP(Data!$G1657,canon!$I$2:$K$27,3,FALSE),"")</f>
        <v>APPAREL</v>
      </c>
      <c r="J1657" s="69">
        <f t="shared" si="50"/>
        <v>1</v>
      </c>
      <c r="K1657" s="69">
        <f t="shared" si="51"/>
        <v>41</v>
      </c>
      <c r="L1657" s="69">
        <f>VLOOKUP(Table_db1_backend_Daily.accdb[[#This Row],[TradingDate]],canon!B:E,4,0)</f>
        <v>30</v>
      </c>
    </row>
    <row r="1658" spans="1:12" x14ac:dyDescent="0.2">
      <c r="A1658" s="69" t="s">
        <v>42</v>
      </c>
      <c r="B1658" s="70">
        <v>42939</v>
      </c>
      <c r="C1658" s="69">
        <v>0</v>
      </c>
      <c r="D1658" s="69">
        <v>0</v>
      </c>
      <c r="E1658" s="69">
        <v>0</v>
      </c>
      <c r="F1658" s="69">
        <v>0</v>
      </c>
      <c r="G1658" s="69" t="s">
        <v>21</v>
      </c>
      <c r="H1658" s="69" t="str">
        <f>IFERROR(VLOOKUP(Data!$G1658,canon!$I$2:$K$27,2,FALSE),"")</f>
        <v>ACCESSORY</v>
      </c>
      <c r="I1658" s="69" t="str">
        <f>IFERROR(VLOOKUP(Data!$G1658,canon!$I$2:$K$27,3,FALSE),"")</f>
        <v>N.APPAREL</v>
      </c>
      <c r="J1658" s="69">
        <f t="shared" si="50"/>
        <v>1</v>
      </c>
      <c r="K1658" s="69">
        <f t="shared" si="51"/>
        <v>41</v>
      </c>
      <c r="L1658" s="69">
        <f>VLOOKUP(Table_db1_backend_Daily.accdb[[#This Row],[TradingDate]],canon!B:E,4,0)</f>
        <v>30</v>
      </c>
    </row>
    <row r="1659" spans="1:12" x14ac:dyDescent="0.2">
      <c r="A1659" s="69" t="s">
        <v>42</v>
      </c>
      <c r="B1659" s="70">
        <v>42939</v>
      </c>
      <c r="C1659" s="69">
        <v>-154</v>
      </c>
      <c r="D1659" s="69">
        <v>6</v>
      </c>
      <c r="E1659" s="69">
        <v>35.340000000000003</v>
      </c>
      <c r="F1659" s="69">
        <v>24.259999999999998</v>
      </c>
      <c r="G1659" s="69" t="s">
        <v>22</v>
      </c>
      <c r="H1659" s="69" t="str">
        <f>IFERROR(VLOOKUP(Data!$G1659,canon!$I$2:$K$27,2,FALSE),"")</f>
        <v>SCARF</v>
      </c>
      <c r="I1659" s="69" t="str">
        <f>IFERROR(VLOOKUP(Data!$G1659,canon!$I$2:$K$27,3,FALSE),"")</f>
        <v>N.APPAREL</v>
      </c>
      <c r="J1659" s="69">
        <f t="shared" si="50"/>
        <v>1</v>
      </c>
      <c r="K1659" s="69">
        <f t="shared" si="51"/>
        <v>41</v>
      </c>
      <c r="L1659" s="69">
        <f>VLOOKUP(Table_db1_backend_Daily.accdb[[#This Row],[TradingDate]],canon!B:E,4,0)</f>
        <v>30</v>
      </c>
    </row>
    <row r="1660" spans="1:12" x14ac:dyDescent="0.2">
      <c r="A1660" s="69" t="s">
        <v>42</v>
      </c>
      <c r="B1660" s="70">
        <v>42939</v>
      </c>
      <c r="C1660" s="69">
        <v>131</v>
      </c>
      <c r="D1660" s="69">
        <v>0</v>
      </c>
      <c r="E1660" s="69">
        <v>0</v>
      </c>
      <c r="F1660" s="69">
        <v>0</v>
      </c>
      <c r="G1660" s="69" t="s">
        <v>23</v>
      </c>
      <c r="H1660" s="69" t="str">
        <f>IFERROR(VLOOKUP(Data!$G1660,canon!$I$2:$K$27,2,FALSE),"")</f>
        <v>SH&amp;BL</v>
      </c>
      <c r="I1660" s="69" t="str">
        <f>IFERROR(VLOOKUP(Data!$G1660,canon!$I$2:$K$27,3,FALSE),"")</f>
        <v>APPAREL</v>
      </c>
      <c r="J1660" s="69">
        <f t="shared" si="50"/>
        <v>1</v>
      </c>
      <c r="K1660" s="69">
        <f t="shared" si="51"/>
        <v>41</v>
      </c>
      <c r="L1660" s="69">
        <f>VLOOKUP(Table_db1_backend_Daily.accdb[[#This Row],[TradingDate]],canon!B:E,4,0)</f>
        <v>30</v>
      </c>
    </row>
    <row r="1661" spans="1:12" x14ac:dyDescent="0.2">
      <c r="A1661" s="69" t="s">
        <v>42</v>
      </c>
      <c r="B1661" s="70">
        <v>42939</v>
      </c>
      <c r="C1661" s="69">
        <v>263</v>
      </c>
      <c r="D1661" s="69">
        <v>0</v>
      </c>
      <c r="E1661" s="69">
        <v>0</v>
      </c>
      <c r="F1661" s="69">
        <v>0</v>
      </c>
      <c r="G1661" s="69" t="s">
        <v>32</v>
      </c>
      <c r="H1661" s="69" t="str">
        <f>IFERROR(VLOOKUP(Data!$G1661,canon!$I$2:$K$27,2,FALSE),"")</f>
        <v>SKIRT</v>
      </c>
      <c r="I1661" s="69" t="str">
        <f>IFERROR(VLOOKUP(Data!$G1661,canon!$I$2:$K$27,3,FALSE),"")</f>
        <v>APPAREL</v>
      </c>
      <c r="J1661" s="69">
        <f t="shared" si="50"/>
        <v>1</v>
      </c>
      <c r="K1661" s="69">
        <f t="shared" si="51"/>
        <v>41</v>
      </c>
      <c r="L1661" s="69">
        <f>VLOOKUP(Table_db1_backend_Daily.accdb[[#This Row],[TradingDate]],canon!B:E,4,0)</f>
        <v>30</v>
      </c>
    </row>
    <row r="1662" spans="1:12" x14ac:dyDescent="0.2">
      <c r="A1662" s="69" t="s">
        <v>42</v>
      </c>
      <c r="B1662" s="70">
        <v>42939</v>
      </c>
      <c r="C1662" s="69">
        <v>923</v>
      </c>
      <c r="D1662" s="69">
        <v>10</v>
      </c>
      <c r="E1662" s="69">
        <v>131.67000000000002</v>
      </c>
      <c r="F1662" s="69">
        <v>85.190000000000012</v>
      </c>
      <c r="G1662" s="69" t="s">
        <v>25</v>
      </c>
      <c r="H1662" s="69" t="str">
        <f>IFERROR(VLOOKUP(Data!$G1662,canon!$I$2:$K$27,2,FALSE),"")</f>
        <v>TOP</v>
      </c>
      <c r="I1662" s="69" t="str">
        <f>IFERROR(VLOOKUP(Data!$G1662,canon!$I$2:$K$27,3,FALSE),"")</f>
        <v>APPAREL</v>
      </c>
      <c r="J1662" s="69">
        <f t="shared" si="50"/>
        <v>1</v>
      </c>
      <c r="K1662" s="69">
        <f t="shared" si="51"/>
        <v>41</v>
      </c>
      <c r="L1662" s="69">
        <f>VLOOKUP(Table_db1_backend_Daily.accdb[[#This Row],[TradingDate]],canon!B:E,4,0)</f>
        <v>30</v>
      </c>
    </row>
    <row r="1663" spans="1:12" x14ac:dyDescent="0.2">
      <c r="A1663" s="69" t="s">
        <v>42</v>
      </c>
      <c r="B1663" s="70">
        <v>42940</v>
      </c>
      <c r="C1663" s="69">
        <v>-2</v>
      </c>
      <c r="D1663" s="69">
        <v>0</v>
      </c>
      <c r="E1663" s="69">
        <v>0</v>
      </c>
      <c r="F1663" s="69">
        <v>0</v>
      </c>
      <c r="G1663" s="69" t="s">
        <v>34</v>
      </c>
      <c r="H1663" s="69" t="str">
        <f>IFERROR(VLOOKUP(Data!$G1663,canon!$I$2:$K$27,2,FALSE),"")</f>
        <v>SHOES</v>
      </c>
      <c r="I1663" s="69" t="str">
        <f>IFERROR(VLOOKUP(Data!$G1663,canon!$I$2:$K$27,3,FALSE),"")</f>
        <v>N.APPAREL</v>
      </c>
      <c r="J1663" s="69">
        <f t="shared" si="50"/>
        <v>2</v>
      </c>
      <c r="K1663" s="69">
        <f t="shared" si="51"/>
        <v>41</v>
      </c>
      <c r="L1663" s="69">
        <f>VLOOKUP(Table_db1_backend_Daily.accdb[[#This Row],[TradingDate]],canon!B:E,4,0)</f>
        <v>30</v>
      </c>
    </row>
    <row r="1664" spans="1:12" x14ac:dyDescent="0.2">
      <c r="A1664" s="69" t="s">
        <v>42</v>
      </c>
      <c r="B1664" s="70">
        <v>42940</v>
      </c>
      <c r="C1664" s="69">
        <v>629</v>
      </c>
      <c r="D1664" s="69">
        <v>2</v>
      </c>
      <c r="E1664" s="69">
        <v>45.45</v>
      </c>
      <c r="F1664" s="69">
        <v>28.5</v>
      </c>
      <c r="G1664" s="69" t="s">
        <v>35</v>
      </c>
      <c r="H1664" s="69" t="str">
        <f>IFERROR(VLOOKUP(Data!$G1664,canon!$I$2:$K$27,2,FALSE),"")</f>
        <v>DRESS</v>
      </c>
      <c r="I1664" s="69" t="str">
        <f>IFERROR(VLOOKUP(Data!$G1664,canon!$I$2:$K$27,3,FALSE),"")</f>
        <v>APPAREL</v>
      </c>
      <c r="J1664" s="69">
        <f t="shared" si="50"/>
        <v>2</v>
      </c>
      <c r="K1664" s="69">
        <f t="shared" si="51"/>
        <v>41</v>
      </c>
      <c r="L1664" s="69">
        <f>VLOOKUP(Table_db1_backend_Daily.accdb[[#This Row],[TradingDate]],canon!B:E,4,0)</f>
        <v>30</v>
      </c>
    </row>
    <row r="1665" spans="1:12" x14ac:dyDescent="0.2">
      <c r="A1665" s="69" t="s">
        <v>42</v>
      </c>
      <c r="B1665" s="70">
        <v>42940</v>
      </c>
      <c r="C1665" s="69">
        <v>-107</v>
      </c>
      <c r="D1665" s="69">
        <v>0</v>
      </c>
      <c r="E1665" s="69">
        <v>0</v>
      </c>
      <c r="F1665" s="69">
        <v>0</v>
      </c>
      <c r="G1665" s="69" t="s">
        <v>10</v>
      </c>
      <c r="H1665" s="69" t="str">
        <f>IFERROR(VLOOKUP(Data!$G1665,canon!$I$2:$K$27,2,FALSE),"")</f>
        <v>ACCESSORY</v>
      </c>
      <c r="I1665" s="69" t="str">
        <f>IFERROR(VLOOKUP(Data!$G1665,canon!$I$2:$K$27,3,FALSE),"")</f>
        <v>N.APPAREL</v>
      </c>
      <c r="J1665" s="69">
        <f t="shared" si="50"/>
        <v>2</v>
      </c>
      <c r="K1665" s="69">
        <f t="shared" si="51"/>
        <v>41</v>
      </c>
      <c r="L1665" s="69">
        <f>VLOOKUP(Table_db1_backend_Daily.accdb[[#This Row],[TradingDate]],canon!B:E,4,0)</f>
        <v>30</v>
      </c>
    </row>
    <row r="1666" spans="1:12" x14ac:dyDescent="0.2">
      <c r="A1666" s="69" t="s">
        <v>42</v>
      </c>
      <c r="B1666" s="70">
        <v>42940</v>
      </c>
      <c r="C1666" s="69">
        <v>1244</v>
      </c>
      <c r="D1666" s="69">
        <v>20</v>
      </c>
      <c r="E1666" s="69">
        <v>245.42000000000002</v>
      </c>
      <c r="F1666" s="69">
        <v>98.789999999999992</v>
      </c>
      <c r="G1666" s="69" t="s">
        <v>11</v>
      </c>
      <c r="H1666" s="69" t="str">
        <f>IFERROR(VLOOKUP(Data!$G1666,canon!$I$2:$K$27,2,FALSE),"")</f>
        <v>KNIT</v>
      </c>
      <c r="I1666" s="69" t="str">
        <f>IFERROR(VLOOKUP(Data!$G1666,canon!$I$2:$K$27,3,FALSE),"")</f>
        <v>APPAREL</v>
      </c>
      <c r="J1666" s="69">
        <f t="shared" ref="J1666:J1729" si="52">WEEKDAY(B1666)</f>
        <v>2</v>
      </c>
      <c r="K1666" s="69">
        <f t="shared" ref="K1666:K1729" si="53">INT(A1666)</f>
        <v>41</v>
      </c>
      <c r="L1666" s="69">
        <f>VLOOKUP(Table_db1_backend_Daily.accdb[[#This Row],[TradingDate]],canon!B:E,4,0)</f>
        <v>30</v>
      </c>
    </row>
    <row r="1667" spans="1:12" x14ac:dyDescent="0.2">
      <c r="A1667" s="69" t="s">
        <v>42</v>
      </c>
      <c r="B1667" s="70">
        <v>42940</v>
      </c>
      <c r="C1667" s="69">
        <v>409</v>
      </c>
      <c r="D1667" s="69">
        <v>1</v>
      </c>
      <c r="E1667" s="69">
        <v>18.18</v>
      </c>
      <c r="F1667" s="69">
        <v>11.11</v>
      </c>
      <c r="G1667" s="69" t="s">
        <v>14</v>
      </c>
      <c r="H1667" s="69" t="str">
        <f>IFERROR(VLOOKUP(Data!$G1667,canon!$I$2:$K$27,2,FALSE),"")</f>
        <v>LEGGING</v>
      </c>
      <c r="I1667" s="69" t="str">
        <f>IFERROR(VLOOKUP(Data!$G1667,canon!$I$2:$K$27,3,FALSE),"")</f>
        <v>APPAREL</v>
      </c>
      <c r="J1667" s="69">
        <f t="shared" si="52"/>
        <v>2</v>
      </c>
      <c r="K1667" s="69">
        <f t="shared" si="53"/>
        <v>41</v>
      </c>
      <c r="L1667" s="69">
        <f>VLOOKUP(Table_db1_backend_Daily.accdb[[#This Row],[TradingDate]],canon!B:E,4,0)</f>
        <v>30</v>
      </c>
    </row>
    <row r="1668" spans="1:12" x14ac:dyDescent="0.2">
      <c r="A1668" s="69" t="s">
        <v>42</v>
      </c>
      <c r="B1668" s="70">
        <v>42940</v>
      </c>
      <c r="C1668" s="69">
        <v>-91</v>
      </c>
      <c r="D1668" s="69">
        <v>0</v>
      </c>
      <c r="E1668" s="69">
        <v>0</v>
      </c>
      <c r="F1668" s="69">
        <v>0</v>
      </c>
      <c r="G1668" s="69" t="s">
        <v>37</v>
      </c>
      <c r="H1668" s="69" t="str">
        <f>IFERROR(VLOOKUP(Data!$G1668,canon!$I$2:$K$27,2,FALSE),"")</f>
        <v>SHOES</v>
      </c>
      <c r="I1668" s="69" t="str">
        <f>IFERROR(VLOOKUP(Data!$G1668,canon!$I$2:$K$27,3,FALSE),"")</f>
        <v>N.APPAREL</v>
      </c>
      <c r="J1668" s="69">
        <f t="shared" si="52"/>
        <v>2</v>
      </c>
      <c r="K1668" s="69">
        <f t="shared" si="53"/>
        <v>41</v>
      </c>
      <c r="L1668" s="69">
        <f>VLOOKUP(Table_db1_backend_Daily.accdb[[#This Row],[TradingDate]],canon!B:E,4,0)</f>
        <v>30</v>
      </c>
    </row>
    <row r="1669" spans="1:12" x14ac:dyDescent="0.2">
      <c r="A1669" s="69" t="s">
        <v>42</v>
      </c>
      <c r="B1669" s="70">
        <v>42940</v>
      </c>
      <c r="C1669" s="69">
        <v>-3</v>
      </c>
      <c r="D1669" s="69">
        <v>0</v>
      </c>
      <c r="E1669" s="69">
        <v>0</v>
      </c>
      <c r="F1669" s="69">
        <v>0</v>
      </c>
      <c r="G1669" s="69" t="s">
        <v>29</v>
      </c>
      <c r="H1669" s="69" t="str">
        <f>IFERROR(VLOOKUP(Data!$G1669,canon!$I$2:$K$27,2,FALSE),"")</f>
        <v>SHOES</v>
      </c>
      <c r="I1669" s="69" t="str">
        <f>IFERROR(VLOOKUP(Data!$G1669,canon!$I$2:$K$27,3,FALSE),"")</f>
        <v>N.APPAREL</v>
      </c>
      <c r="J1669" s="69">
        <f t="shared" si="52"/>
        <v>2</v>
      </c>
      <c r="K1669" s="69">
        <f t="shared" si="53"/>
        <v>41</v>
      </c>
      <c r="L1669" s="69">
        <f>VLOOKUP(Table_db1_backend_Daily.accdb[[#This Row],[TradingDate]],canon!B:E,4,0)</f>
        <v>30</v>
      </c>
    </row>
    <row r="1670" spans="1:12" x14ac:dyDescent="0.2">
      <c r="A1670" s="69" t="s">
        <v>42</v>
      </c>
      <c r="B1670" s="70">
        <v>42940</v>
      </c>
      <c r="C1670" s="69">
        <v>442</v>
      </c>
      <c r="D1670" s="69">
        <v>10</v>
      </c>
      <c r="E1670" s="69">
        <v>181.8</v>
      </c>
      <c r="F1670" s="69">
        <v>93.8</v>
      </c>
      <c r="G1670" s="69" t="s">
        <v>17</v>
      </c>
      <c r="H1670" s="69" t="str">
        <f>IFERROR(VLOOKUP(Data!$G1670,canon!$I$2:$K$27,2,FALSE),"")</f>
        <v>OUTER</v>
      </c>
      <c r="I1670" s="69" t="str">
        <f>IFERROR(VLOOKUP(Data!$G1670,canon!$I$2:$K$27,3,FALSE),"")</f>
        <v>APPAREL</v>
      </c>
      <c r="J1670" s="69">
        <f t="shared" si="52"/>
        <v>2</v>
      </c>
      <c r="K1670" s="69">
        <f t="shared" si="53"/>
        <v>41</v>
      </c>
      <c r="L1670" s="69">
        <f>VLOOKUP(Table_db1_backend_Daily.accdb[[#This Row],[TradingDate]],canon!B:E,4,0)</f>
        <v>30</v>
      </c>
    </row>
    <row r="1671" spans="1:12" x14ac:dyDescent="0.2">
      <c r="A1671" s="69" t="s">
        <v>42</v>
      </c>
      <c r="B1671" s="70">
        <v>42940</v>
      </c>
      <c r="C1671" s="69">
        <v>403</v>
      </c>
      <c r="D1671" s="69">
        <v>0</v>
      </c>
      <c r="E1671" s="69">
        <v>0</v>
      </c>
      <c r="F1671" s="69">
        <v>0</v>
      </c>
      <c r="G1671" s="69" t="s">
        <v>19</v>
      </c>
      <c r="H1671" s="69" t="str">
        <f>IFERROR(VLOOKUP(Data!$G1671,canon!$I$2:$K$27,2,FALSE),"")</f>
        <v>PANT</v>
      </c>
      <c r="I1671" s="69" t="str">
        <f>IFERROR(VLOOKUP(Data!$G1671,canon!$I$2:$K$27,3,FALSE),"")</f>
        <v>APPAREL</v>
      </c>
      <c r="J1671" s="69">
        <f t="shared" si="52"/>
        <v>2</v>
      </c>
      <c r="K1671" s="69">
        <f t="shared" si="53"/>
        <v>41</v>
      </c>
      <c r="L1671" s="69">
        <f>VLOOKUP(Table_db1_backend_Daily.accdb[[#This Row],[TradingDate]],canon!B:E,4,0)</f>
        <v>30</v>
      </c>
    </row>
    <row r="1672" spans="1:12" x14ac:dyDescent="0.2">
      <c r="A1672" s="69" t="s">
        <v>42</v>
      </c>
      <c r="B1672" s="70">
        <v>42940</v>
      </c>
      <c r="C1672" s="69">
        <v>0</v>
      </c>
      <c r="D1672" s="69">
        <v>0</v>
      </c>
      <c r="E1672" s="69">
        <v>0</v>
      </c>
      <c r="F1672" s="69">
        <v>0</v>
      </c>
      <c r="G1672" s="69" t="s">
        <v>21</v>
      </c>
      <c r="H1672" s="69" t="str">
        <f>IFERROR(VLOOKUP(Data!$G1672,canon!$I$2:$K$27,2,FALSE),"")</f>
        <v>ACCESSORY</v>
      </c>
      <c r="I1672" s="69" t="str">
        <f>IFERROR(VLOOKUP(Data!$G1672,canon!$I$2:$K$27,3,FALSE),"")</f>
        <v>N.APPAREL</v>
      </c>
      <c r="J1672" s="69">
        <f t="shared" si="52"/>
        <v>2</v>
      </c>
      <c r="K1672" s="69">
        <f t="shared" si="53"/>
        <v>41</v>
      </c>
      <c r="L1672" s="69">
        <f>VLOOKUP(Table_db1_backend_Daily.accdb[[#This Row],[TradingDate]],canon!B:E,4,0)</f>
        <v>30</v>
      </c>
    </row>
    <row r="1673" spans="1:12" x14ac:dyDescent="0.2">
      <c r="A1673" s="69" t="s">
        <v>42</v>
      </c>
      <c r="B1673" s="70">
        <v>42940</v>
      </c>
      <c r="C1673" s="69">
        <v>-165</v>
      </c>
      <c r="D1673" s="69">
        <v>11</v>
      </c>
      <c r="E1673" s="69">
        <v>52.699999999999989</v>
      </c>
      <c r="F1673" s="69">
        <v>35.18</v>
      </c>
      <c r="G1673" s="69" t="s">
        <v>22</v>
      </c>
      <c r="H1673" s="69" t="str">
        <f>IFERROR(VLOOKUP(Data!$G1673,canon!$I$2:$K$27,2,FALSE),"")</f>
        <v>SCARF</v>
      </c>
      <c r="I1673" s="69" t="str">
        <f>IFERROR(VLOOKUP(Data!$G1673,canon!$I$2:$K$27,3,FALSE),"")</f>
        <v>N.APPAREL</v>
      </c>
      <c r="J1673" s="69">
        <f t="shared" si="52"/>
        <v>2</v>
      </c>
      <c r="K1673" s="69">
        <f t="shared" si="53"/>
        <v>41</v>
      </c>
      <c r="L1673" s="69">
        <f>VLOOKUP(Table_db1_backend_Daily.accdb[[#This Row],[TradingDate]],canon!B:E,4,0)</f>
        <v>30</v>
      </c>
    </row>
    <row r="1674" spans="1:12" x14ac:dyDescent="0.2">
      <c r="A1674" s="69" t="s">
        <v>42</v>
      </c>
      <c r="B1674" s="70">
        <v>42940</v>
      </c>
      <c r="C1674" s="69">
        <v>136</v>
      </c>
      <c r="D1674" s="69">
        <v>1</v>
      </c>
      <c r="E1674" s="69">
        <v>27.23</v>
      </c>
      <c r="F1674" s="69">
        <v>18.32</v>
      </c>
      <c r="G1674" s="69" t="s">
        <v>23</v>
      </c>
      <c r="H1674" s="69" t="str">
        <f>IFERROR(VLOOKUP(Data!$G1674,canon!$I$2:$K$27,2,FALSE),"")</f>
        <v>SH&amp;BL</v>
      </c>
      <c r="I1674" s="69" t="str">
        <f>IFERROR(VLOOKUP(Data!$G1674,canon!$I$2:$K$27,3,FALSE),"")</f>
        <v>APPAREL</v>
      </c>
      <c r="J1674" s="69">
        <f t="shared" si="52"/>
        <v>2</v>
      </c>
      <c r="K1674" s="69">
        <f t="shared" si="53"/>
        <v>41</v>
      </c>
      <c r="L1674" s="69">
        <f>VLOOKUP(Table_db1_backend_Daily.accdb[[#This Row],[TradingDate]],canon!B:E,4,0)</f>
        <v>30</v>
      </c>
    </row>
    <row r="1675" spans="1:12" x14ac:dyDescent="0.2">
      <c r="A1675" s="69" t="s">
        <v>42</v>
      </c>
      <c r="B1675" s="70">
        <v>42940</v>
      </c>
      <c r="C1675" s="69">
        <v>311</v>
      </c>
      <c r="D1675" s="69">
        <v>0</v>
      </c>
      <c r="E1675" s="69">
        <v>0</v>
      </c>
      <c r="F1675" s="69">
        <v>0</v>
      </c>
      <c r="G1675" s="69" t="s">
        <v>32</v>
      </c>
      <c r="H1675" s="69" t="str">
        <f>IFERROR(VLOOKUP(Data!$G1675,canon!$I$2:$K$27,2,FALSE),"")</f>
        <v>SKIRT</v>
      </c>
      <c r="I1675" s="69" t="str">
        <f>IFERROR(VLOOKUP(Data!$G1675,canon!$I$2:$K$27,3,FALSE),"")</f>
        <v>APPAREL</v>
      </c>
      <c r="J1675" s="69">
        <f t="shared" si="52"/>
        <v>2</v>
      </c>
      <c r="K1675" s="69">
        <f t="shared" si="53"/>
        <v>41</v>
      </c>
      <c r="L1675" s="69">
        <f>VLOOKUP(Table_db1_backend_Daily.accdb[[#This Row],[TradingDate]],canon!B:E,4,0)</f>
        <v>30</v>
      </c>
    </row>
    <row r="1676" spans="1:12" x14ac:dyDescent="0.2">
      <c r="A1676" s="69" t="s">
        <v>42</v>
      </c>
      <c r="B1676" s="70">
        <v>42940</v>
      </c>
      <c r="C1676" s="69">
        <v>936</v>
      </c>
      <c r="D1676" s="69">
        <v>5</v>
      </c>
      <c r="E1676" s="69">
        <v>49.959999999999994</v>
      </c>
      <c r="F1676" s="69">
        <v>27.779999999999998</v>
      </c>
      <c r="G1676" s="69" t="s">
        <v>25</v>
      </c>
      <c r="H1676" s="69" t="str">
        <f>IFERROR(VLOOKUP(Data!$G1676,canon!$I$2:$K$27,2,FALSE),"")</f>
        <v>TOP</v>
      </c>
      <c r="I1676" s="69" t="str">
        <f>IFERROR(VLOOKUP(Data!$G1676,canon!$I$2:$K$27,3,FALSE),"")</f>
        <v>APPAREL</v>
      </c>
      <c r="J1676" s="69">
        <f t="shared" si="52"/>
        <v>2</v>
      </c>
      <c r="K1676" s="69">
        <f t="shared" si="53"/>
        <v>41</v>
      </c>
      <c r="L1676" s="69">
        <f>VLOOKUP(Table_db1_backend_Daily.accdb[[#This Row],[TradingDate]],canon!B:E,4,0)</f>
        <v>30</v>
      </c>
    </row>
    <row r="1677" spans="1:12" x14ac:dyDescent="0.2">
      <c r="A1677" s="69" t="s">
        <v>42</v>
      </c>
      <c r="B1677" s="70">
        <v>42941</v>
      </c>
      <c r="C1677" s="69">
        <v>-2</v>
      </c>
      <c r="D1677" s="69">
        <v>0</v>
      </c>
      <c r="E1677" s="69">
        <v>0</v>
      </c>
      <c r="F1677" s="69">
        <v>0</v>
      </c>
      <c r="G1677" s="69" t="s">
        <v>34</v>
      </c>
      <c r="H1677" s="69" t="str">
        <f>IFERROR(VLOOKUP(Data!$G1677,canon!$I$2:$K$27,2,FALSE),"")</f>
        <v>SHOES</v>
      </c>
      <c r="I1677" s="69" t="str">
        <f>IFERROR(VLOOKUP(Data!$G1677,canon!$I$2:$K$27,3,FALSE),"")</f>
        <v>N.APPAREL</v>
      </c>
      <c r="J1677" s="69">
        <f t="shared" si="52"/>
        <v>3</v>
      </c>
      <c r="K1677" s="69">
        <f t="shared" si="53"/>
        <v>41</v>
      </c>
      <c r="L1677" s="69">
        <f>VLOOKUP(Table_db1_backend_Daily.accdb[[#This Row],[TradingDate]],canon!B:E,4,0)</f>
        <v>30</v>
      </c>
    </row>
    <row r="1678" spans="1:12" x14ac:dyDescent="0.2">
      <c r="A1678" s="69" t="s">
        <v>42</v>
      </c>
      <c r="B1678" s="70">
        <v>42941</v>
      </c>
      <c r="C1678" s="69">
        <v>625</v>
      </c>
      <c r="D1678" s="69">
        <v>4</v>
      </c>
      <c r="E1678" s="69">
        <v>68.14</v>
      </c>
      <c r="F1678" s="69">
        <v>35.53</v>
      </c>
      <c r="G1678" s="69" t="s">
        <v>35</v>
      </c>
      <c r="H1678" s="69" t="str">
        <f>IFERROR(VLOOKUP(Data!$G1678,canon!$I$2:$K$27,2,FALSE),"")</f>
        <v>DRESS</v>
      </c>
      <c r="I1678" s="69" t="str">
        <f>IFERROR(VLOOKUP(Data!$G1678,canon!$I$2:$K$27,3,FALSE),"")</f>
        <v>APPAREL</v>
      </c>
      <c r="J1678" s="69">
        <f t="shared" si="52"/>
        <v>3</v>
      </c>
      <c r="K1678" s="69">
        <f t="shared" si="53"/>
        <v>41</v>
      </c>
      <c r="L1678" s="69">
        <f>VLOOKUP(Table_db1_backend_Daily.accdb[[#This Row],[TradingDate]],canon!B:E,4,0)</f>
        <v>30</v>
      </c>
    </row>
    <row r="1679" spans="1:12" x14ac:dyDescent="0.2">
      <c r="A1679" s="69" t="s">
        <v>42</v>
      </c>
      <c r="B1679" s="70">
        <v>42941</v>
      </c>
      <c r="C1679" s="69">
        <v>-107</v>
      </c>
      <c r="D1679" s="69">
        <v>0</v>
      </c>
      <c r="E1679" s="69">
        <v>0</v>
      </c>
      <c r="F1679" s="69">
        <v>0</v>
      </c>
      <c r="G1679" s="69" t="s">
        <v>10</v>
      </c>
      <c r="H1679" s="69" t="str">
        <f>IFERROR(VLOOKUP(Data!$G1679,canon!$I$2:$K$27,2,FALSE),"")</f>
        <v>ACCESSORY</v>
      </c>
      <c r="I1679" s="69" t="str">
        <f>IFERROR(VLOOKUP(Data!$G1679,canon!$I$2:$K$27,3,FALSE),"")</f>
        <v>N.APPAREL</v>
      </c>
      <c r="J1679" s="69">
        <f t="shared" si="52"/>
        <v>3</v>
      </c>
      <c r="K1679" s="69">
        <f t="shared" si="53"/>
        <v>41</v>
      </c>
      <c r="L1679" s="69">
        <f>VLOOKUP(Table_db1_backend_Daily.accdb[[#This Row],[TradingDate]],canon!B:E,4,0)</f>
        <v>30</v>
      </c>
    </row>
    <row r="1680" spans="1:12" x14ac:dyDescent="0.2">
      <c r="A1680" s="69" t="s">
        <v>42</v>
      </c>
      <c r="B1680" s="70">
        <v>42941</v>
      </c>
      <c r="C1680" s="69">
        <v>1280</v>
      </c>
      <c r="D1680" s="69">
        <v>28</v>
      </c>
      <c r="E1680" s="69">
        <v>340.65999999999997</v>
      </c>
      <c r="F1680" s="69">
        <v>115.37</v>
      </c>
      <c r="G1680" s="69" t="s">
        <v>11</v>
      </c>
      <c r="H1680" s="69" t="str">
        <f>IFERROR(VLOOKUP(Data!$G1680,canon!$I$2:$K$27,2,FALSE),"")</f>
        <v>KNIT</v>
      </c>
      <c r="I1680" s="69" t="str">
        <f>IFERROR(VLOOKUP(Data!$G1680,canon!$I$2:$K$27,3,FALSE),"")</f>
        <v>APPAREL</v>
      </c>
      <c r="J1680" s="69">
        <f t="shared" si="52"/>
        <v>3</v>
      </c>
      <c r="K1680" s="69">
        <f t="shared" si="53"/>
        <v>41</v>
      </c>
      <c r="L1680" s="69">
        <f>VLOOKUP(Table_db1_backend_Daily.accdb[[#This Row],[TradingDate]],canon!B:E,4,0)</f>
        <v>30</v>
      </c>
    </row>
    <row r="1681" spans="1:12" x14ac:dyDescent="0.2">
      <c r="A1681" s="69" t="s">
        <v>42</v>
      </c>
      <c r="B1681" s="70">
        <v>42941</v>
      </c>
      <c r="C1681" s="69">
        <v>408</v>
      </c>
      <c r="D1681" s="69">
        <v>1</v>
      </c>
      <c r="E1681" s="69">
        <v>9.08</v>
      </c>
      <c r="F1681" s="69">
        <v>2.12</v>
      </c>
      <c r="G1681" s="69" t="s">
        <v>14</v>
      </c>
      <c r="H1681" s="69" t="str">
        <f>IFERROR(VLOOKUP(Data!$G1681,canon!$I$2:$K$27,2,FALSE),"")</f>
        <v>LEGGING</v>
      </c>
      <c r="I1681" s="69" t="str">
        <f>IFERROR(VLOOKUP(Data!$G1681,canon!$I$2:$K$27,3,FALSE),"")</f>
        <v>APPAREL</v>
      </c>
      <c r="J1681" s="69">
        <f t="shared" si="52"/>
        <v>3</v>
      </c>
      <c r="K1681" s="69">
        <f t="shared" si="53"/>
        <v>41</v>
      </c>
      <c r="L1681" s="69">
        <f>VLOOKUP(Table_db1_backend_Daily.accdb[[#This Row],[TradingDate]],canon!B:E,4,0)</f>
        <v>30</v>
      </c>
    </row>
    <row r="1682" spans="1:12" x14ac:dyDescent="0.2">
      <c r="A1682" s="69" t="s">
        <v>42</v>
      </c>
      <c r="B1682" s="70">
        <v>42941</v>
      </c>
      <c r="C1682" s="69">
        <v>-91</v>
      </c>
      <c r="D1682" s="69">
        <v>0</v>
      </c>
      <c r="E1682" s="69">
        <v>0</v>
      </c>
      <c r="F1682" s="69">
        <v>0</v>
      </c>
      <c r="G1682" s="69" t="s">
        <v>37</v>
      </c>
      <c r="H1682" s="69" t="str">
        <f>IFERROR(VLOOKUP(Data!$G1682,canon!$I$2:$K$27,2,FALSE),"")</f>
        <v>SHOES</v>
      </c>
      <c r="I1682" s="69" t="str">
        <f>IFERROR(VLOOKUP(Data!$G1682,canon!$I$2:$K$27,3,FALSE),"")</f>
        <v>N.APPAREL</v>
      </c>
      <c r="J1682" s="69">
        <f t="shared" si="52"/>
        <v>3</v>
      </c>
      <c r="K1682" s="69">
        <f t="shared" si="53"/>
        <v>41</v>
      </c>
      <c r="L1682" s="69">
        <f>VLOOKUP(Table_db1_backend_Daily.accdb[[#This Row],[TradingDate]],canon!B:E,4,0)</f>
        <v>30</v>
      </c>
    </row>
    <row r="1683" spans="1:12" x14ac:dyDescent="0.2">
      <c r="A1683" s="69" t="s">
        <v>42</v>
      </c>
      <c r="B1683" s="70">
        <v>42941</v>
      </c>
      <c r="C1683" s="69">
        <v>-3</v>
      </c>
      <c r="D1683" s="69">
        <v>0</v>
      </c>
      <c r="E1683" s="69">
        <v>0</v>
      </c>
      <c r="F1683" s="69">
        <v>0</v>
      </c>
      <c r="G1683" s="69" t="s">
        <v>29</v>
      </c>
      <c r="H1683" s="69" t="str">
        <f>IFERROR(VLOOKUP(Data!$G1683,canon!$I$2:$K$27,2,FALSE),"")</f>
        <v>SHOES</v>
      </c>
      <c r="I1683" s="69" t="str">
        <f>IFERROR(VLOOKUP(Data!$G1683,canon!$I$2:$K$27,3,FALSE),"")</f>
        <v>N.APPAREL</v>
      </c>
      <c r="J1683" s="69">
        <f t="shared" si="52"/>
        <v>3</v>
      </c>
      <c r="K1683" s="69">
        <f t="shared" si="53"/>
        <v>41</v>
      </c>
      <c r="L1683" s="69">
        <f>VLOOKUP(Table_db1_backend_Daily.accdb[[#This Row],[TradingDate]],canon!B:E,4,0)</f>
        <v>30</v>
      </c>
    </row>
    <row r="1684" spans="1:12" x14ac:dyDescent="0.2">
      <c r="A1684" s="69" t="s">
        <v>42</v>
      </c>
      <c r="B1684" s="70">
        <v>42941</v>
      </c>
      <c r="C1684" s="69">
        <v>468</v>
      </c>
      <c r="D1684" s="69">
        <v>4</v>
      </c>
      <c r="E1684" s="69">
        <v>72.72</v>
      </c>
      <c r="F1684" s="69">
        <v>38.74</v>
      </c>
      <c r="G1684" s="69" t="s">
        <v>17</v>
      </c>
      <c r="H1684" s="69" t="str">
        <f>IFERROR(VLOOKUP(Data!$G1684,canon!$I$2:$K$27,2,FALSE),"")</f>
        <v>OUTER</v>
      </c>
      <c r="I1684" s="69" t="str">
        <f>IFERROR(VLOOKUP(Data!$G1684,canon!$I$2:$K$27,3,FALSE),"")</f>
        <v>APPAREL</v>
      </c>
      <c r="J1684" s="69">
        <f t="shared" si="52"/>
        <v>3</v>
      </c>
      <c r="K1684" s="69">
        <f t="shared" si="53"/>
        <v>41</v>
      </c>
      <c r="L1684" s="69">
        <f>VLOOKUP(Table_db1_backend_Daily.accdb[[#This Row],[TradingDate]],canon!B:E,4,0)</f>
        <v>30</v>
      </c>
    </row>
    <row r="1685" spans="1:12" x14ac:dyDescent="0.2">
      <c r="A1685" s="69" t="s">
        <v>42</v>
      </c>
      <c r="B1685" s="70">
        <v>42941</v>
      </c>
      <c r="C1685" s="69">
        <v>400</v>
      </c>
      <c r="D1685" s="69">
        <v>3</v>
      </c>
      <c r="E1685" s="69">
        <v>45.43</v>
      </c>
      <c r="F1685" s="69">
        <v>25.689999999999998</v>
      </c>
      <c r="G1685" s="69" t="s">
        <v>19</v>
      </c>
      <c r="H1685" s="69" t="str">
        <f>IFERROR(VLOOKUP(Data!$G1685,canon!$I$2:$K$27,2,FALSE),"")</f>
        <v>PANT</v>
      </c>
      <c r="I1685" s="69" t="str">
        <f>IFERROR(VLOOKUP(Data!$G1685,canon!$I$2:$K$27,3,FALSE),"")</f>
        <v>APPAREL</v>
      </c>
      <c r="J1685" s="69">
        <f t="shared" si="52"/>
        <v>3</v>
      </c>
      <c r="K1685" s="69">
        <f t="shared" si="53"/>
        <v>41</v>
      </c>
      <c r="L1685" s="69">
        <f>VLOOKUP(Table_db1_backend_Daily.accdb[[#This Row],[TradingDate]],canon!B:E,4,0)</f>
        <v>30</v>
      </c>
    </row>
    <row r="1686" spans="1:12" x14ac:dyDescent="0.2">
      <c r="A1686" s="69" t="s">
        <v>42</v>
      </c>
      <c r="B1686" s="70">
        <v>42941</v>
      </c>
      <c r="C1686" s="69">
        <v>0</v>
      </c>
      <c r="D1686" s="69">
        <v>0</v>
      </c>
      <c r="E1686" s="69">
        <v>0</v>
      </c>
      <c r="F1686" s="69">
        <v>0</v>
      </c>
      <c r="G1686" s="69" t="s">
        <v>21</v>
      </c>
      <c r="H1686" s="69" t="str">
        <f>IFERROR(VLOOKUP(Data!$G1686,canon!$I$2:$K$27,2,FALSE),"")</f>
        <v>ACCESSORY</v>
      </c>
      <c r="I1686" s="69" t="str">
        <f>IFERROR(VLOOKUP(Data!$G1686,canon!$I$2:$K$27,3,FALSE),"")</f>
        <v>N.APPAREL</v>
      </c>
      <c r="J1686" s="69">
        <f t="shared" si="52"/>
        <v>3</v>
      </c>
      <c r="K1686" s="69">
        <f t="shared" si="53"/>
        <v>41</v>
      </c>
      <c r="L1686" s="69">
        <f>VLOOKUP(Table_db1_backend_Daily.accdb[[#This Row],[TradingDate]],canon!B:E,4,0)</f>
        <v>30</v>
      </c>
    </row>
    <row r="1687" spans="1:12" x14ac:dyDescent="0.2">
      <c r="A1687" s="69" t="s">
        <v>42</v>
      </c>
      <c r="B1687" s="70">
        <v>42941</v>
      </c>
      <c r="C1687" s="69">
        <v>-181</v>
      </c>
      <c r="D1687" s="69">
        <v>16</v>
      </c>
      <c r="E1687" s="69">
        <v>83.489999999999981</v>
      </c>
      <c r="F1687" s="69">
        <v>57.53</v>
      </c>
      <c r="G1687" s="69" t="s">
        <v>22</v>
      </c>
      <c r="H1687" s="69" t="str">
        <f>IFERROR(VLOOKUP(Data!$G1687,canon!$I$2:$K$27,2,FALSE),"")</f>
        <v>SCARF</v>
      </c>
      <c r="I1687" s="69" t="str">
        <f>IFERROR(VLOOKUP(Data!$G1687,canon!$I$2:$K$27,3,FALSE),"")</f>
        <v>N.APPAREL</v>
      </c>
      <c r="J1687" s="69">
        <f t="shared" si="52"/>
        <v>3</v>
      </c>
      <c r="K1687" s="69">
        <f t="shared" si="53"/>
        <v>41</v>
      </c>
      <c r="L1687" s="69">
        <f>VLOOKUP(Table_db1_backend_Daily.accdb[[#This Row],[TradingDate]],canon!B:E,4,0)</f>
        <v>30</v>
      </c>
    </row>
    <row r="1688" spans="1:12" x14ac:dyDescent="0.2">
      <c r="A1688" s="69" t="s">
        <v>42</v>
      </c>
      <c r="B1688" s="70">
        <v>42941</v>
      </c>
      <c r="C1688" s="69">
        <v>136</v>
      </c>
      <c r="D1688" s="69">
        <v>0</v>
      </c>
      <c r="E1688" s="69">
        <v>0</v>
      </c>
      <c r="F1688" s="69">
        <v>0</v>
      </c>
      <c r="G1688" s="69" t="s">
        <v>23</v>
      </c>
      <c r="H1688" s="69" t="str">
        <f>IFERROR(VLOOKUP(Data!$G1688,canon!$I$2:$K$27,2,FALSE),"")</f>
        <v>SH&amp;BL</v>
      </c>
      <c r="I1688" s="69" t="str">
        <f>IFERROR(VLOOKUP(Data!$G1688,canon!$I$2:$K$27,3,FALSE),"")</f>
        <v>APPAREL</v>
      </c>
      <c r="J1688" s="69">
        <f t="shared" si="52"/>
        <v>3</v>
      </c>
      <c r="K1688" s="69">
        <f t="shared" si="53"/>
        <v>41</v>
      </c>
      <c r="L1688" s="69">
        <f>VLOOKUP(Table_db1_backend_Daily.accdb[[#This Row],[TradingDate]],canon!B:E,4,0)</f>
        <v>30</v>
      </c>
    </row>
    <row r="1689" spans="1:12" x14ac:dyDescent="0.2">
      <c r="A1689" s="69" t="s">
        <v>42</v>
      </c>
      <c r="B1689" s="70">
        <v>42941</v>
      </c>
      <c r="C1689" s="69">
        <v>310</v>
      </c>
      <c r="D1689" s="69">
        <v>1</v>
      </c>
      <c r="E1689" s="69">
        <v>18.14</v>
      </c>
      <c r="F1689" s="69">
        <v>13.14</v>
      </c>
      <c r="G1689" s="69" t="s">
        <v>32</v>
      </c>
      <c r="H1689" s="69" t="str">
        <f>IFERROR(VLOOKUP(Data!$G1689,canon!$I$2:$K$27,2,FALSE),"")</f>
        <v>SKIRT</v>
      </c>
      <c r="I1689" s="69" t="str">
        <f>IFERROR(VLOOKUP(Data!$G1689,canon!$I$2:$K$27,3,FALSE),"")</f>
        <v>APPAREL</v>
      </c>
      <c r="J1689" s="69">
        <f t="shared" si="52"/>
        <v>3</v>
      </c>
      <c r="K1689" s="69">
        <f t="shared" si="53"/>
        <v>41</v>
      </c>
      <c r="L1689" s="69">
        <f>VLOOKUP(Table_db1_backend_Daily.accdb[[#This Row],[TradingDate]],canon!B:E,4,0)</f>
        <v>30</v>
      </c>
    </row>
    <row r="1690" spans="1:12" x14ac:dyDescent="0.2">
      <c r="A1690" s="69" t="s">
        <v>42</v>
      </c>
      <c r="B1690" s="70">
        <v>42941</v>
      </c>
      <c r="C1690" s="69">
        <v>900</v>
      </c>
      <c r="D1690" s="69">
        <v>36</v>
      </c>
      <c r="E1690" s="69">
        <v>199.95000000000002</v>
      </c>
      <c r="F1690" s="69">
        <v>14.27</v>
      </c>
      <c r="G1690" s="69" t="s">
        <v>25</v>
      </c>
      <c r="H1690" s="69" t="str">
        <f>IFERROR(VLOOKUP(Data!$G1690,canon!$I$2:$K$27,2,FALSE),"")</f>
        <v>TOP</v>
      </c>
      <c r="I1690" s="69" t="str">
        <f>IFERROR(VLOOKUP(Data!$G1690,canon!$I$2:$K$27,3,FALSE),"")</f>
        <v>APPAREL</v>
      </c>
      <c r="J1690" s="69">
        <f t="shared" si="52"/>
        <v>3</v>
      </c>
      <c r="K1690" s="69">
        <f t="shared" si="53"/>
        <v>41</v>
      </c>
      <c r="L1690" s="69">
        <f>VLOOKUP(Table_db1_backend_Daily.accdb[[#This Row],[TradingDate]],canon!B:E,4,0)</f>
        <v>30</v>
      </c>
    </row>
    <row r="1691" spans="1:12" x14ac:dyDescent="0.2">
      <c r="A1691" s="69" t="s">
        <v>42</v>
      </c>
      <c r="B1691" s="70">
        <v>42942</v>
      </c>
      <c r="C1691" s="69">
        <v>-2</v>
      </c>
      <c r="D1691" s="69">
        <v>0</v>
      </c>
      <c r="E1691" s="69">
        <v>0</v>
      </c>
      <c r="F1691" s="69">
        <v>0</v>
      </c>
      <c r="G1691" s="69" t="s">
        <v>34</v>
      </c>
      <c r="H1691" s="69" t="str">
        <f>IFERROR(VLOOKUP(Data!$G1691,canon!$I$2:$K$27,2,FALSE),"")</f>
        <v>SHOES</v>
      </c>
      <c r="I1691" s="69" t="str">
        <f>IFERROR(VLOOKUP(Data!$G1691,canon!$I$2:$K$27,3,FALSE),"")</f>
        <v>N.APPAREL</v>
      </c>
      <c r="J1691" s="69">
        <f t="shared" si="52"/>
        <v>4</v>
      </c>
      <c r="K1691" s="69">
        <f t="shared" si="53"/>
        <v>41</v>
      </c>
      <c r="L1691" s="69">
        <f>VLOOKUP(Table_db1_backend_Daily.accdb[[#This Row],[TradingDate]],canon!B:E,4,0)</f>
        <v>30</v>
      </c>
    </row>
    <row r="1692" spans="1:12" x14ac:dyDescent="0.2">
      <c r="A1692" s="69" t="s">
        <v>42</v>
      </c>
      <c r="B1692" s="70">
        <v>42942</v>
      </c>
      <c r="C1692" s="69">
        <v>616</v>
      </c>
      <c r="D1692" s="69">
        <v>9</v>
      </c>
      <c r="E1692" s="69">
        <v>154.31</v>
      </c>
      <c r="F1692" s="69">
        <v>82.240000000000009</v>
      </c>
      <c r="G1692" s="69" t="s">
        <v>35</v>
      </c>
      <c r="H1692" s="69" t="str">
        <f>IFERROR(VLOOKUP(Data!$G1692,canon!$I$2:$K$27,2,FALSE),"")</f>
        <v>DRESS</v>
      </c>
      <c r="I1692" s="69" t="str">
        <f>IFERROR(VLOOKUP(Data!$G1692,canon!$I$2:$K$27,3,FALSE),"")</f>
        <v>APPAREL</v>
      </c>
      <c r="J1692" s="69">
        <f t="shared" si="52"/>
        <v>4</v>
      </c>
      <c r="K1692" s="69">
        <f t="shared" si="53"/>
        <v>41</v>
      </c>
      <c r="L1692" s="69">
        <f>VLOOKUP(Table_db1_backend_Daily.accdb[[#This Row],[TradingDate]],canon!B:E,4,0)</f>
        <v>30</v>
      </c>
    </row>
    <row r="1693" spans="1:12" x14ac:dyDescent="0.2">
      <c r="A1693" s="69" t="s">
        <v>42</v>
      </c>
      <c r="B1693" s="70">
        <v>42942</v>
      </c>
      <c r="C1693" s="69">
        <v>-107</v>
      </c>
      <c r="D1693" s="69">
        <v>0</v>
      </c>
      <c r="E1693" s="69">
        <v>0</v>
      </c>
      <c r="F1693" s="69">
        <v>0</v>
      </c>
      <c r="G1693" s="69" t="s">
        <v>10</v>
      </c>
      <c r="H1693" s="69" t="str">
        <f>IFERROR(VLOOKUP(Data!$G1693,canon!$I$2:$K$27,2,FALSE),"")</f>
        <v>ACCESSORY</v>
      </c>
      <c r="I1693" s="69" t="str">
        <f>IFERROR(VLOOKUP(Data!$G1693,canon!$I$2:$K$27,3,FALSE),"")</f>
        <v>N.APPAREL</v>
      </c>
      <c r="J1693" s="69">
        <f t="shared" si="52"/>
        <v>4</v>
      </c>
      <c r="K1693" s="69">
        <f t="shared" si="53"/>
        <v>41</v>
      </c>
      <c r="L1693" s="69">
        <f>VLOOKUP(Table_db1_backend_Daily.accdb[[#This Row],[TradingDate]],canon!B:E,4,0)</f>
        <v>30</v>
      </c>
    </row>
    <row r="1694" spans="1:12" x14ac:dyDescent="0.2">
      <c r="A1694" s="69" t="s">
        <v>42</v>
      </c>
      <c r="B1694" s="70">
        <v>42942</v>
      </c>
      <c r="C1694" s="69">
        <v>1238</v>
      </c>
      <c r="D1694" s="69">
        <v>42</v>
      </c>
      <c r="E1694" s="69">
        <v>440.36999999999995</v>
      </c>
      <c r="F1694" s="69">
        <v>106.25000000000003</v>
      </c>
      <c r="G1694" s="69" t="s">
        <v>11</v>
      </c>
      <c r="H1694" s="69" t="str">
        <f>IFERROR(VLOOKUP(Data!$G1694,canon!$I$2:$K$27,2,FALSE),"")</f>
        <v>KNIT</v>
      </c>
      <c r="I1694" s="69" t="str">
        <f>IFERROR(VLOOKUP(Data!$G1694,canon!$I$2:$K$27,3,FALSE),"")</f>
        <v>APPAREL</v>
      </c>
      <c r="J1694" s="69">
        <f t="shared" si="52"/>
        <v>4</v>
      </c>
      <c r="K1694" s="69">
        <f t="shared" si="53"/>
        <v>41</v>
      </c>
      <c r="L1694" s="69">
        <f>VLOOKUP(Table_db1_backend_Daily.accdb[[#This Row],[TradingDate]],canon!B:E,4,0)</f>
        <v>30</v>
      </c>
    </row>
    <row r="1695" spans="1:12" x14ac:dyDescent="0.2">
      <c r="A1695" s="69" t="s">
        <v>42</v>
      </c>
      <c r="B1695" s="70">
        <v>42942</v>
      </c>
      <c r="C1695" s="69">
        <v>402</v>
      </c>
      <c r="D1695" s="69">
        <v>6</v>
      </c>
      <c r="E1695" s="69">
        <v>54.53</v>
      </c>
      <c r="F1695" s="69">
        <v>12.77</v>
      </c>
      <c r="G1695" s="69" t="s">
        <v>14</v>
      </c>
      <c r="H1695" s="69" t="str">
        <f>IFERROR(VLOOKUP(Data!$G1695,canon!$I$2:$K$27,2,FALSE),"")</f>
        <v>LEGGING</v>
      </c>
      <c r="I1695" s="69" t="str">
        <f>IFERROR(VLOOKUP(Data!$G1695,canon!$I$2:$K$27,3,FALSE),"")</f>
        <v>APPAREL</v>
      </c>
      <c r="J1695" s="69">
        <f t="shared" si="52"/>
        <v>4</v>
      </c>
      <c r="K1695" s="69">
        <f t="shared" si="53"/>
        <v>41</v>
      </c>
      <c r="L1695" s="69">
        <f>VLOOKUP(Table_db1_backend_Daily.accdb[[#This Row],[TradingDate]],canon!B:E,4,0)</f>
        <v>30</v>
      </c>
    </row>
    <row r="1696" spans="1:12" x14ac:dyDescent="0.2">
      <c r="A1696" s="69" t="s">
        <v>42</v>
      </c>
      <c r="B1696" s="70">
        <v>42942</v>
      </c>
      <c r="C1696" s="69">
        <v>-91</v>
      </c>
      <c r="D1696" s="69">
        <v>0</v>
      </c>
      <c r="E1696" s="69">
        <v>0</v>
      </c>
      <c r="F1696" s="69">
        <v>0</v>
      </c>
      <c r="G1696" s="69" t="s">
        <v>37</v>
      </c>
      <c r="H1696" s="69" t="str">
        <f>IFERROR(VLOOKUP(Data!$G1696,canon!$I$2:$K$27,2,FALSE),"")</f>
        <v>SHOES</v>
      </c>
      <c r="I1696" s="69" t="str">
        <f>IFERROR(VLOOKUP(Data!$G1696,canon!$I$2:$K$27,3,FALSE),"")</f>
        <v>N.APPAREL</v>
      </c>
      <c r="J1696" s="69">
        <f t="shared" si="52"/>
        <v>4</v>
      </c>
      <c r="K1696" s="69">
        <f t="shared" si="53"/>
        <v>41</v>
      </c>
      <c r="L1696" s="69">
        <f>VLOOKUP(Table_db1_backend_Daily.accdb[[#This Row],[TradingDate]],canon!B:E,4,0)</f>
        <v>30</v>
      </c>
    </row>
    <row r="1697" spans="1:12" x14ac:dyDescent="0.2">
      <c r="A1697" s="69" t="s">
        <v>42</v>
      </c>
      <c r="B1697" s="70">
        <v>42942</v>
      </c>
      <c r="C1697" s="69">
        <v>-3</v>
      </c>
      <c r="D1697" s="69">
        <v>0</v>
      </c>
      <c r="E1697" s="69">
        <v>0</v>
      </c>
      <c r="F1697" s="69">
        <v>0</v>
      </c>
      <c r="G1697" s="69" t="s">
        <v>29</v>
      </c>
      <c r="H1697" s="69" t="str">
        <f>IFERROR(VLOOKUP(Data!$G1697,canon!$I$2:$K$27,2,FALSE),"")</f>
        <v>SHOES</v>
      </c>
      <c r="I1697" s="69" t="str">
        <f>IFERROR(VLOOKUP(Data!$G1697,canon!$I$2:$K$27,3,FALSE),"")</f>
        <v>N.APPAREL</v>
      </c>
      <c r="J1697" s="69">
        <f t="shared" si="52"/>
        <v>4</v>
      </c>
      <c r="K1697" s="69">
        <f t="shared" si="53"/>
        <v>41</v>
      </c>
      <c r="L1697" s="69">
        <f>VLOOKUP(Table_db1_backend_Daily.accdb[[#This Row],[TradingDate]],canon!B:E,4,0)</f>
        <v>30</v>
      </c>
    </row>
    <row r="1698" spans="1:12" x14ac:dyDescent="0.2">
      <c r="A1698" s="69" t="s">
        <v>42</v>
      </c>
      <c r="B1698" s="70">
        <v>42942</v>
      </c>
      <c r="C1698" s="69">
        <v>460</v>
      </c>
      <c r="D1698" s="69">
        <v>6</v>
      </c>
      <c r="E1698" s="69">
        <v>109.08</v>
      </c>
      <c r="F1698" s="69">
        <v>52.14</v>
      </c>
      <c r="G1698" s="69" t="s">
        <v>17</v>
      </c>
      <c r="H1698" s="69" t="str">
        <f>IFERROR(VLOOKUP(Data!$G1698,canon!$I$2:$K$27,2,FALSE),"")</f>
        <v>OUTER</v>
      </c>
      <c r="I1698" s="69" t="str">
        <f>IFERROR(VLOOKUP(Data!$G1698,canon!$I$2:$K$27,3,FALSE),"")</f>
        <v>APPAREL</v>
      </c>
      <c r="J1698" s="69">
        <f t="shared" si="52"/>
        <v>4</v>
      </c>
      <c r="K1698" s="69">
        <f t="shared" si="53"/>
        <v>41</v>
      </c>
      <c r="L1698" s="69">
        <f>VLOOKUP(Table_db1_backend_Daily.accdb[[#This Row],[TradingDate]],canon!B:E,4,0)</f>
        <v>30</v>
      </c>
    </row>
    <row r="1699" spans="1:12" x14ac:dyDescent="0.2">
      <c r="A1699" s="69" t="s">
        <v>42</v>
      </c>
      <c r="B1699" s="70">
        <v>42942</v>
      </c>
      <c r="C1699" s="69">
        <v>399</v>
      </c>
      <c r="D1699" s="69">
        <v>1</v>
      </c>
      <c r="E1699" s="69">
        <v>9.09</v>
      </c>
      <c r="F1699" s="69">
        <v>3.98</v>
      </c>
      <c r="G1699" s="69" t="s">
        <v>19</v>
      </c>
      <c r="H1699" s="69" t="str">
        <f>IFERROR(VLOOKUP(Data!$G1699,canon!$I$2:$K$27,2,FALSE),"")</f>
        <v>PANT</v>
      </c>
      <c r="I1699" s="69" t="str">
        <f>IFERROR(VLOOKUP(Data!$G1699,canon!$I$2:$K$27,3,FALSE),"")</f>
        <v>APPAREL</v>
      </c>
      <c r="J1699" s="69">
        <f t="shared" si="52"/>
        <v>4</v>
      </c>
      <c r="K1699" s="69">
        <f t="shared" si="53"/>
        <v>41</v>
      </c>
      <c r="L1699" s="69">
        <f>VLOOKUP(Table_db1_backend_Daily.accdb[[#This Row],[TradingDate]],canon!B:E,4,0)</f>
        <v>30</v>
      </c>
    </row>
    <row r="1700" spans="1:12" x14ac:dyDescent="0.2">
      <c r="A1700" s="69" t="s">
        <v>42</v>
      </c>
      <c r="B1700" s="70">
        <v>42942</v>
      </c>
      <c r="C1700" s="69">
        <v>0</v>
      </c>
      <c r="D1700" s="69">
        <v>0</v>
      </c>
      <c r="E1700" s="69">
        <v>0</v>
      </c>
      <c r="F1700" s="69">
        <v>0</v>
      </c>
      <c r="G1700" s="69" t="s">
        <v>21</v>
      </c>
      <c r="H1700" s="69" t="str">
        <f>IFERROR(VLOOKUP(Data!$G1700,canon!$I$2:$K$27,2,FALSE),"")</f>
        <v>ACCESSORY</v>
      </c>
      <c r="I1700" s="69" t="str">
        <f>IFERROR(VLOOKUP(Data!$G1700,canon!$I$2:$K$27,3,FALSE),"")</f>
        <v>N.APPAREL</v>
      </c>
      <c r="J1700" s="69">
        <f t="shared" si="52"/>
        <v>4</v>
      </c>
      <c r="K1700" s="69">
        <f t="shared" si="53"/>
        <v>41</v>
      </c>
      <c r="L1700" s="69">
        <f>VLOOKUP(Table_db1_backend_Daily.accdb[[#This Row],[TradingDate]],canon!B:E,4,0)</f>
        <v>30</v>
      </c>
    </row>
    <row r="1701" spans="1:12" x14ac:dyDescent="0.2">
      <c r="A1701" s="69" t="s">
        <v>42</v>
      </c>
      <c r="B1701" s="70">
        <v>42942</v>
      </c>
      <c r="C1701" s="69">
        <v>-192</v>
      </c>
      <c r="D1701" s="69">
        <v>11</v>
      </c>
      <c r="E1701" s="69">
        <v>52.719999999999992</v>
      </c>
      <c r="F1701" s="69">
        <v>34.42</v>
      </c>
      <c r="G1701" s="69" t="s">
        <v>22</v>
      </c>
      <c r="H1701" s="69" t="str">
        <f>IFERROR(VLOOKUP(Data!$G1701,canon!$I$2:$K$27,2,FALSE),"")</f>
        <v>SCARF</v>
      </c>
      <c r="I1701" s="69" t="str">
        <f>IFERROR(VLOOKUP(Data!$G1701,canon!$I$2:$K$27,3,FALSE),"")</f>
        <v>N.APPAREL</v>
      </c>
      <c r="J1701" s="69">
        <f t="shared" si="52"/>
        <v>4</v>
      </c>
      <c r="K1701" s="69">
        <f t="shared" si="53"/>
        <v>41</v>
      </c>
      <c r="L1701" s="69">
        <f>VLOOKUP(Table_db1_backend_Daily.accdb[[#This Row],[TradingDate]],canon!B:E,4,0)</f>
        <v>30</v>
      </c>
    </row>
    <row r="1702" spans="1:12" x14ac:dyDescent="0.2">
      <c r="A1702" s="69" t="s">
        <v>42</v>
      </c>
      <c r="B1702" s="70">
        <v>42942</v>
      </c>
      <c r="C1702" s="69">
        <v>133</v>
      </c>
      <c r="D1702" s="69">
        <v>3</v>
      </c>
      <c r="E1702" s="69">
        <v>72.69</v>
      </c>
      <c r="F1702" s="69">
        <v>46.83</v>
      </c>
      <c r="G1702" s="69" t="s">
        <v>23</v>
      </c>
      <c r="H1702" s="69" t="str">
        <f>IFERROR(VLOOKUP(Data!$G1702,canon!$I$2:$K$27,2,FALSE),"")</f>
        <v>SH&amp;BL</v>
      </c>
      <c r="I1702" s="69" t="str">
        <f>IFERROR(VLOOKUP(Data!$G1702,canon!$I$2:$K$27,3,FALSE),"")</f>
        <v>APPAREL</v>
      </c>
      <c r="J1702" s="69">
        <f t="shared" si="52"/>
        <v>4</v>
      </c>
      <c r="K1702" s="69">
        <f t="shared" si="53"/>
        <v>41</v>
      </c>
      <c r="L1702" s="69">
        <f>VLOOKUP(Table_db1_backend_Daily.accdb[[#This Row],[TradingDate]],canon!B:E,4,0)</f>
        <v>30</v>
      </c>
    </row>
    <row r="1703" spans="1:12" x14ac:dyDescent="0.2">
      <c r="A1703" s="69" t="s">
        <v>42</v>
      </c>
      <c r="B1703" s="70">
        <v>42942</v>
      </c>
      <c r="C1703" s="69">
        <v>307</v>
      </c>
      <c r="D1703" s="69">
        <v>3</v>
      </c>
      <c r="E1703" s="69">
        <v>54.5</v>
      </c>
      <c r="F1703" s="69">
        <v>40.81</v>
      </c>
      <c r="G1703" s="69" t="s">
        <v>32</v>
      </c>
      <c r="H1703" s="69" t="str">
        <f>IFERROR(VLOOKUP(Data!$G1703,canon!$I$2:$K$27,2,FALSE),"")</f>
        <v>SKIRT</v>
      </c>
      <c r="I1703" s="69" t="str">
        <f>IFERROR(VLOOKUP(Data!$G1703,canon!$I$2:$K$27,3,FALSE),"")</f>
        <v>APPAREL</v>
      </c>
      <c r="J1703" s="69">
        <f t="shared" si="52"/>
        <v>4</v>
      </c>
      <c r="K1703" s="69">
        <f t="shared" si="53"/>
        <v>41</v>
      </c>
      <c r="L1703" s="69">
        <f>VLOOKUP(Table_db1_backend_Daily.accdb[[#This Row],[TradingDate]],canon!B:E,4,0)</f>
        <v>30</v>
      </c>
    </row>
    <row r="1704" spans="1:12" x14ac:dyDescent="0.2">
      <c r="A1704" s="69" t="s">
        <v>42</v>
      </c>
      <c r="B1704" s="70">
        <v>42942</v>
      </c>
      <c r="C1704" s="69">
        <v>862</v>
      </c>
      <c r="D1704" s="69">
        <v>38</v>
      </c>
      <c r="E1704" s="69">
        <v>268.19000000000005</v>
      </c>
      <c r="F1704" s="69">
        <v>74.25</v>
      </c>
      <c r="G1704" s="69" t="s">
        <v>25</v>
      </c>
      <c r="H1704" s="69" t="str">
        <f>IFERROR(VLOOKUP(Data!$G1704,canon!$I$2:$K$27,2,FALSE),"")</f>
        <v>TOP</v>
      </c>
      <c r="I1704" s="69" t="str">
        <f>IFERROR(VLOOKUP(Data!$G1704,canon!$I$2:$K$27,3,FALSE),"")</f>
        <v>APPAREL</v>
      </c>
      <c r="J1704" s="69">
        <f t="shared" si="52"/>
        <v>4</v>
      </c>
      <c r="K1704" s="69">
        <f t="shared" si="53"/>
        <v>41</v>
      </c>
      <c r="L1704" s="69">
        <f>VLOOKUP(Table_db1_backend_Daily.accdb[[#This Row],[TradingDate]],canon!B:E,4,0)</f>
        <v>30</v>
      </c>
    </row>
    <row r="1705" spans="1:12" x14ac:dyDescent="0.2">
      <c r="A1705" s="69" t="s">
        <v>42</v>
      </c>
      <c r="B1705" s="70">
        <v>42943</v>
      </c>
      <c r="C1705" s="69">
        <v>-2</v>
      </c>
      <c r="D1705" s="69">
        <v>0</v>
      </c>
      <c r="E1705" s="69">
        <v>0</v>
      </c>
      <c r="F1705" s="69">
        <v>0</v>
      </c>
      <c r="G1705" s="69" t="s">
        <v>34</v>
      </c>
      <c r="H1705" s="69" t="str">
        <f>IFERROR(VLOOKUP(Data!$G1705,canon!$I$2:$K$27,2,FALSE),"")</f>
        <v>SHOES</v>
      </c>
      <c r="I1705" s="69" t="str">
        <f>IFERROR(VLOOKUP(Data!$G1705,canon!$I$2:$K$27,3,FALSE),"")</f>
        <v>N.APPAREL</v>
      </c>
      <c r="J1705" s="69">
        <f t="shared" si="52"/>
        <v>5</v>
      </c>
      <c r="K1705" s="69">
        <f t="shared" si="53"/>
        <v>41</v>
      </c>
      <c r="L1705" s="69">
        <f>VLOOKUP(Table_db1_backend_Daily.accdb[[#This Row],[TradingDate]],canon!B:E,4,0)</f>
        <v>30</v>
      </c>
    </row>
    <row r="1706" spans="1:12" x14ac:dyDescent="0.2">
      <c r="A1706" s="69" t="s">
        <v>42</v>
      </c>
      <c r="B1706" s="70">
        <v>42943</v>
      </c>
      <c r="C1706" s="69">
        <v>612</v>
      </c>
      <c r="D1706" s="69">
        <v>4</v>
      </c>
      <c r="E1706" s="69">
        <v>59.010000000000005</v>
      </c>
      <c r="F1706" s="69">
        <v>28.57</v>
      </c>
      <c r="G1706" s="69" t="s">
        <v>35</v>
      </c>
      <c r="H1706" s="69" t="str">
        <f>IFERROR(VLOOKUP(Data!$G1706,canon!$I$2:$K$27,2,FALSE),"")</f>
        <v>DRESS</v>
      </c>
      <c r="I1706" s="69" t="str">
        <f>IFERROR(VLOOKUP(Data!$G1706,canon!$I$2:$K$27,3,FALSE),"")</f>
        <v>APPAREL</v>
      </c>
      <c r="J1706" s="69">
        <f t="shared" si="52"/>
        <v>5</v>
      </c>
      <c r="K1706" s="69">
        <f t="shared" si="53"/>
        <v>41</v>
      </c>
      <c r="L1706" s="69">
        <f>VLOOKUP(Table_db1_backend_Daily.accdb[[#This Row],[TradingDate]],canon!B:E,4,0)</f>
        <v>30</v>
      </c>
    </row>
    <row r="1707" spans="1:12" x14ac:dyDescent="0.2">
      <c r="A1707" s="69" t="s">
        <v>42</v>
      </c>
      <c r="B1707" s="70">
        <v>42943</v>
      </c>
      <c r="C1707" s="69">
        <v>-107</v>
      </c>
      <c r="D1707" s="69">
        <v>0</v>
      </c>
      <c r="E1707" s="69">
        <v>0</v>
      </c>
      <c r="F1707" s="69">
        <v>0</v>
      </c>
      <c r="G1707" s="69" t="s">
        <v>10</v>
      </c>
      <c r="H1707" s="69" t="str">
        <f>IFERROR(VLOOKUP(Data!$G1707,canon!$I$2:$K$27,2,FALSE),"")</f>
        <v>ACCESSORY</v>
      </c>
      <c r="I1707" s="69" t="str">
        <f>IFERROR(VLOOKUP(Data!$G1707,canon!$I$2:$K$27,3,FALSE),"")</f>
        <v>N.APPAREL</v>
      </c>
      <c r="J1707" s="69">
        <f t="shared" si="52"/>
        <v>5</v>
      </c>
      <c r="K1707" s="69">
        <f t="shared" si="53"/>
        <v>41</v>
      </c>
      <c r="L1707" s="69">
        <f>VLOOKUP(Table_db1_backend_Daily.accdb[[#This Row],[TradingDate]],canon!B:E,4,0)</f>
        <v>30</v>
      </c>
    </row>
    <row r="1708" spans="1:12" x14ac:dyDescent="0.2">
      <c r="A1708" s="69" t="s">
        <v>42</v>
      </c>
      <c r="B1708" s="70">
        <v>42943</v>
      </c>
      <c r="C1708" s="69">
        <v>1123</v>
      </c>
      <c r="D1708" s="69">
        <v>115</v>
      </c>
      <c r="E1708" s="69">
        <v>999.16</v>
      </c>
      <c r="F1708" s="69">
        <v>91.59999999999998</v>
      </c>
      <c r="G1708" s="69" t="s">
        <v>11</v>
      </c>
      <c r="H1708" s="69" t="str">
        <f>IFERROR(VLOOKUP(Data!$G1708,canon!$I$2:$K$27,2,FALSE),"")</f>
        <v>KNIT</v>
      </c>
      <c r="I1708" s="69" t="str">
        <f>IFERROR(VLOOKUP(Data!$G1708,canon!$I$2:$K$27,3,FALSE),"")</f>
        <v>APPAREL</v>
      </c>
      <c r="J1708" s="69">
        <f t="shared" si="52"/>
        <v>5</v>
      </c>
      <c r="K1708" s="69">
        <f t="shared" si="53"/>
        <v>41</v>
      </c>
      <c r="L1708" s="69">
        <f>VLOOKUP(Table_db1_backend_Daily.accdb[[#This Row],[TradingDate]],canon!B:E,4,0)</f>
        <v>30</v>
      </c>
    </row>
    <row r="1709" spans="1:12" x14ac:dyDescent="0.2">
      <c r="A1709" s="69" t="s">
        <v>42</v>
      </c>
      <c r="B1709" s="70">
        <v>42943</v>
      </c>
      <c r="C1709" s="69">
        <v>398</v>
      </c>
      <c r="D1709" s="69">
        <v>4</v>
      </c>
      <c r="E1709" s="69">
        <v>54.53</v>
      </c>
      <c r="F1709" s="69">
        <v>27.79</v>
      </c>
      <c r="G1709" s="69" t="s">
        <v>14</v>
      </c>
      <c r="H1709" s="69" t="str">
        <f>IFERROR(VLOOKUP(Data!$G1709,canon!$I$2:$K$27,2,FALSE),"")</f>
        <v>LEGGING</v>
      </c>
      <c r="I1709" s="69" t="str">
        <f>IFERROR(VLOOKUP(Data!$G1709,canon!$I$2:$K$27,3,FALSE),"")</f>
        <v>APPAREL</v>
      </c>
      <c r="J1709" s="69">
        <f t="shared" si="52"/>
        <v>5</v>
      </c>
      <c r="K1709" s="69">
        <f t="shared" si="53"/>
        <v>41</v>
      </c>
      <c r="L1709" s="69">
        <f>VLOOKUP(Table_db1_backend_Daily.accdb[[#This Row],[TradingDate]],canon!B:E,4,0)</f>
        <v>30</v>
      </c>
    </row>
    <row r="1710" spans="1:12" x14ac:dyDescent="0.2">
      <c r="A1710" s="69" t="s">
        <v>42</v>
      </c>
      <c r="B1710" s="70">
        <v>42943</v>
      </c>
      <c r="C1710" s="69">
        <v>-91</v>
      </c>
      <c r="D1710" s="69">
        <v>0</v>
      </c>
      <c r="E1710" s="69">
        <v>0</v>
      </c>
      <c r="F1710" s="69">
        <v>0</v>
      </c>
      <c r="G1710" s="69" t="s">
        <v>37</v>
      </c>
      <c r="H1710" s="69" t="str">
        <f>IFERROR(VLOOKUP(Data!$G1710,canon!$I$2:$K$27,2,FALSE),"")</f>
        <v>SHOES</v>
      </c>
      <c r="I1710" s="69" t="str">
        <f>IFERROR(VLOOKUP(Data!$G1710,canon!$I$2:$K$27,3,FALSE),"")</f>
        <v>N.APPAREL</v>
      </c>
      <c r="J1710" s="69">
        <f t="shared" si="52"/>
        <v>5</v>
      </c>
      <c r="K1710" s="69">
        <f t="shared" si="53"/>
        <v>41</v>
      </c>
      <c r="L1710" s="69">
        <f>VLOOKUP(Table_db1_backend_Daily.accdb[[#This Row],[TradingDate]],canon!B:E,4,0)</f>
        <v>30</v>
      </c>
    </row>
    <row r="1711" spans="1:12" x14ac:dyDescent="0.2">
      <c r="A1711" s="69" t="s">
        <v>42</v>
      </c>
      <c r="B1711" s="70">
        <v>42943</v>
      </c>
      <c r="C1711" s="69">
        <v>-3</v>
      </c>
      <c r="D1711" s="69">
        <v>0</v>
      </c>
      <c r="E1711" s="69">
        <v>0</v>
      </c>
      <c r="F1711" s="69">
        <v>0</v>
      </c>
      <c r="G1711" s="69" t="s">
        <v>29</v>
      </c>
      <c r="H1711" s="69" t="str">
        <f>IFERROR(VLOOKUP(Data!$G1711,canon!$I$2:$K$27,2,FALSE),"")</f>
        <v>SHOES</v>
      </c>
      <c r="I1711" s="69" t="str">
        <f>IFERROR(VLOOKUP(Data!$G1711,canon!$I$2:$K$27,3,FALSE),"")</f>
        <v>N.APPAREL</v>
      </c>
      <c r="J1711" s="69">
        <f t="shared" si="52"/>
        <v>5</v>
      </c>
      <c r="K1711" s="69">
        <f t="shared" si="53"/>
        <v>41</v>
      </c>
      <c r="L1711" s="69">
        <f>VLOOKUP(Table_db1_backend_Daily.accdb[[#This Row],[TradingDate]],canon!B:E,4,0)</f>
        <v>30</v>
      </c>
    </row>
    <row r="1712" spans="1:12" x14ac:dyDescent="0.2">
      <c r="A1712" s="69" t="s">
        <v>42</v>
      </c>
      <c r="B1712" s="70">
        <v>42943</v>
      </c>
      <c r="C1712" s="69">
        <v>449</v>
      </c>
      <c r="D1712" s="69">
        <v>11</v>
      </c>
      <c r="E1712" s="69">
        <v>204.57000000000002</v>
      </c>
      <c r="F1712" s="69">
        <v>87.14</v>
      </c>
      <c r="G1712" s="69" t="s">
        <v>17</v>
      </c>
      <c r="H1712" s="69" t="str">
        <f>IFERROR(VLOOKUP(Data!$G1712,canon!$I$2:$K$27,2,FALSE),"")</f>
        <v>OUTER</v>
      </c>
      <c r="I1712" s="69" t="str">
        <f>IFERROR(VLOOKUP(Data!$G1712,canon!$I$2:$K$27,3,FALSE),"")</f>
        <v>APPAREL</v>
      </c>
      <c r="J1712" s="69">
        <f t="shared" si="52"/>
        <v>5</v>
      </c>
      <c r="K1712" s="69">
        <f t="shared" si="53"/>
        <v>41</v>
      </c>
      <c r="L1712" s="69">
        <f>VLOOKUP(Table_db1_backend_Daily.accdb[[#This Row],[TradingDate]],canon!B:E,4,0)</f>
        <v>30</v>
      </c>
    </row>
    <row r="1713" spans="1:12" x14ac:dyDescent="0.2">
      <c r="A1713" s="69" t="s">
        <v>42</v>
      </c>
      <c r="B1713" s="70">
        <v>42943</v>
      </c>
      <c r="C1713" s="69">
        <v>397</v>
      </c>
      <c r="D1713" s="69">
        <v>2</v>
      </c>
      <c r="E1713" s="69">
        <v>18.18</v>
      </c>
      <c r="F1713" s="69">
        <v>7.74</v>
      </c>
      <c r="G1713" s="69" t="s">
        <v>19</v>
      </c>
      <c r="H1713" s="69" t="str">
        <f>IFERROR(VLOOKUP(Data!$G1713,canon!$I$2:$K$27,2,FALSE),"")</f>
        <v>PANT</v>
      </c>
      <c r="I1713" s="69" t="str">
        <f>IFERROR(VLOOKUP(Data!$G1713,canon!$I$2:$K$27,3,FALSE),"")</f>
        <v>APPAREL</v>
      </c>
      <c r="J1713" s="69">
        <f t="shared" si="52"/>
        <v>5</v>
      </c>
      <c r="K1713" s="69">
        <f t="shared" si="53"/>
        <v>41</v>
      </c>
      <c r="L1713" s="69">
        <f>VLOOKUP(Table_db1_backend_Daily.accdb[[#This Row],[TradingDate]],canon!B:E,4,0)</f>
        <v>30</v>
      </c>
    </row>
    <row r="1714" spans="1:12" x14ac:dyDescent="0.2">
      <c r="A1714" s="69" t="s">
        <v>42</v>
      </c>
      <c r="B1714" s="70">
        <v>42943</v>
      </c>
      <c r="C1714" s="69">
        <v>0</v>
      </c>
      <c r="D1714" s="69">
        <v>0</v>
      </c>
      <c r="E1714" s="69">
        <v>0</v>
      </c>
      <c r="F1714" s="69">
        <v>0</v>
      </c>
      <c r="G1714" s="69" t="s">
        <v>21</v>
      </c>
      <c r="H1714" s="69" t="str">
        <f>IFERROR(VLOOKUP(Data!$G1714,canon!$I$2:$K$27,2,FALSE),"")</f>
        <v>ACCESSORY</v>
      </c>
      <c r="I1714" s="69" t="str">
        <f>IFERROR(VLOOKUP(Data!$G1714,canon!$I$2:$K$27,3,FALSE),"")</f>
        <v>N.APPAREL</v>
      </c>
      <c r="J1714" s="69">
        <f t="shared" si="52"/>
        <v>5</v>
      </c>
      <c r="K1714" s="69">
        <f t="shared" si="53"/>
        <v>41</v>
      </c>
      <c r="L1714" s="69">
        <f>VLOOKUP(Table_db1_backend_Daily.accdb[[#This Row],[TradingDate]],canon!B:E,4,0)</f>
        <v>30</v>
      </c>
    </row>
    <row r="1715" spans="1:12" x14ac:dyDescent="0.2">
      <c r="A1715" s="69" t="s">
        <v>42</v>
      </c>
      <c r="B1715" s="70">
        <v>42943</v>
      </c>
      <c r="C1715" s="69">
        <v>-210</v>
      </c>
      <c r="D1715" s="69">
        <v>18</v>
      </c>
      <c r="E1715" s="69">
        <v>95.259999999999977</v>
      </c>
      <c r="F1715" s="69">
        <v>65.14</v>
      </c>
      <c r="G1715" s="69" t="s">
        <v>22</v>
      </c>
      <c r="H1715" s="69" t="str">
        <f>IFERROR(VLOOKUP(Data!$G1715,canon!$I$2:$K$27,2,FALSE),"")</f>
        <v>SCARF</v>
      </c>
      <c r="I1715" s="69" t="str">
        <f>IFERROR(VLOOKUP(Data!$G1715,canon!$I$2:$K$27,3,FALSE),"")</f>
        <v>N.APPAREL</v>
      </c>
      <c r="J1715" s="69">
        <f t="shared" si="52"/>
        <v>5</v>
      </c>
      <c r="K1715" s="69">
        <f t="shared" si="53"/>
        <v>41</v>
      </c>
      <c r="L1715" s="69">
        <f>VLOOKUP(Table_db1_backend_Daily.accdb[[#This Row],[TradingDate]],canon!B:E,4,0)</f>
        <v>30</v>
      </c>
    </row>
    <row r="1716" spans="1:12" x14ac:dyDescent="0.2">
      <c r="A1716" s="69" t="s">
        <v>42</v>
      </c>
      <c r="B1716" s="70">
        <v>42943</v>
      </c>
      <c r="C1716" s="69">
        <v>132</v>
      </c>
      <c r="D1716" s="69">
        <v>1</v>
      </c>
      <c r="E1716" s="69">
        <v>27.25</v>
      </c>
      <c r="F1716" s="69">
        <v>18.34</v>
      </c>
      <c r="G1716" s="69" t="s">
        <v>23</v>
      </c>
      <c r="H1716" s="69" t="str">
        <f>IFERROR(VLOOKUP(Data!$G1716,canon!$I$2:$K$27,2,FALSE),"")</f>
        <v>SH&amp;BL</v>
      </c>
      <c r="I1716" s="69" t="str">
        <f>IFERROR(VLOOKUP(Data!$G1716,canon!$I$2:$K$27,3,FALSE),"")</f>
        <v>APPAREL</v>
      </c>
      <c r="J1716" s="69">
        <f t="shared" si="52"/>
        <v>5</v>
      </c>
      <c r="K1716" s="69">
        <f t="shared" si="53"/>
        <v>41</v>
      </c>
      <c r="L1716" s="69">
        <f>VLOOKUP(Table_db1_backend_Daily.accdb[[#This Row],[TradingDate]],canon!B:E,4,0)</f>
        <v>30</v>
      </c>
    </row>
    <row r="1717" spans="1:12" x14ac:dyDescent="0.2">
      <c r="A1717" s="69" t="s">
        <v>42</v>
      </c>
      <c r="B1717" s="70">
        <v>42943</v>
      </c>
      <c r="C1717" s="69">
        <v>300</v>
      </c>
      <c r="D1717" s="69">
        <v>7</v>
      </c>
      <c r="E1717" s="69">
        <v>81.81</v>
      </c>
      <c r="F1717" s="69">
        <v>36.36</v>
      </c>
      <c r="G1717" s="69" t="s">
        <v>32</v>
      </c>
      <c r="H1717" s="69" t="str">
        <f>IFERROR(VLOOKUP(Data!$G1717,canon!$I$2:$K$27,2,FALSE),"")</f>
        <v>SKIRT</v>
      </c>
      <c r="I1717" s="69" t="str">
        <f>IFERROR(VLOOKUP(Data!$G1717,canon!$I$2:$K$27,3,FALSE),"")</f>
        <v>APPAREL</v>
      </c>
      <c r="J1717" s="69">
        <f t="shared" si="52"/>
        <v>5</v>
      </c>
      <c r="K1717" s="69">
        <f t="shared" si="53"/>
        <v>41</v>
      </c>
      <c r="L1717" s="69">
        <f>VLOOKUP(Table_db1_backend_Daily.accdb[[#This Row],[TradingDate]],canon!B:E,4,0)</f>
        <v>30</v>
      </c>
    </row>
    <row r="1718" spans="1:12" x14ac:dyDescent="0.2">
      <c r="A1718" s="69" t="s">
        <v>42</v>
      </c>
      <c r="B1718" s="70">
        <v>42943</v>
      </c>
      <c r="C1718" s="69">
        <v>838</v>
      </c>
      <c r="D1718" s="69">
        <v>24</v>
      </c>
      <c r="E1718" s="69">
        <v>145.39000000000001</v>
      </c>
      <c r="F1718" s="69">
        <v>26.64</v>
      </c>
      <c r="G1718" s="69" t="s">
        <v>25</v>
      </c>
      <c r="H1718" s="69" t="str">
        <f>IFERROR(VLOOKUP(Data!$G1718,canon!$I$2:$K$27,2,FALSE),"")</f>
        <v>TOP</v>
      </c>
      <c r="I1718" s="69" t="str">
        <f>IFERROR(VLOOKUP(Data!$G1718,canon!$I$2:$K$27,3,FALSE),"")</f>
        <v>APPAREL</v>
      </c>
      <c r="J1718" s="69">
        <f t="shared" si="52"/>
        <v>5</v>
      </c>
      <c r="K1718" s="69">
        <f t="shared" si="53"/>
        <v>41</v>
      </c>
      <c r="L1718" s="69">
        <f>VLOOKUP(Table_db1_backend_Daily.accdb[[#This Row],[TradingDate]],canon!B:E,4,0)</f>
        <v>30</v>
      </c>
    </row>
    <row r="1719" spans="1:12" x14ac:dyDescent="0.2">
      <c r="A1719" s="69" t="s">
        <v>42</v>
      </c>
      <c r="B1719" s="70">
        <v>42944</v>
      </c>
      <c r="C1719" s="69">
        <v>-2</v>
      </c>
      <c r="D1719" s="69">
        <v>0</v>
      </c>
      <c r="E1719" s="69">
        <v>0</v>
      </c>
      <c r="F1719" s="69">
        <v>0</v>
      </c>
      <c r="G1719" s="69" t="s">
        <v>34</v>
      </c>
      <c r="H1719" s="69" t="str">
        <f>IFERROR(VLOOKUP(Data!$G1719,canon!$I$2:$K$27,2,FALSE),"")</f>
        <v>SHOES</v>
      </c>
      <c r="I1719" s="69" t="str">
        <f>IFERROR(VLOOKUP(Data!$G1719,canon!$I$2:$K$27,3,FALSE),"")</f>
        <v>N.APPAREL</v>
      </c>
      <c r="J1719" s="69">
        <f t="shared" si="52"/>
        <v>6</v>
      </c>
      <c r="K1719" s="69">
        <f t="shared" si="53"/>
        <v>41</v>
      </c>
      <c r="L1719" s="69">
        <f>VLOOKUP(Table_db1_backend_Daily.accdb[[#This Row],[TradingDate]],canon!B:E,4,0)</f>
        <v>30</v>
      </c>
    </row>
    <row r="1720" spans="1:12" x14ac:dyDescent="0.2">
      <c r="A1720" s="69" t="s">
        <v>42</v>
      </c>
      <c r="B1720" s="70">
        <v>42944</v>
      </c>
      <c r="C1720" s="69">
        <v>598</v>
      </c>
      <c r="D1720" s="69">
        <v>14</v>
      </c>
      <c r="E1720" s="69">
        <v>240.73000000000002</v>
      </c>
      <c r="F1720" s="69">
        <v>147.22</v>
      </c>
      <c r="G1720" s="69" t="s">
        <v>35</v>
      </c>
      <c r="H1720" s="69" t="str">
        <f>IFERROR(VLOOKUP(Data!$G1720,canon!$I$2:$K$27,2,FALSE),"")</f>
        <v>DRESS</v>
      </c>
      <c r="I1720" s="69" t="str">
        <f>IFERROR(VLOOKUP(Data!$G1720,canon!$I$2:$K$27,3,FALSE),"")</f>
        <v>APPAREL</v>
      </c>
      <c r="J1720" s="69">
        <f t="shared" si="52"/>
        <v>6</v>
      </c>
      <c r="K1720" s="69">
        <f t="shared" si="53"/>
        <v>41</v>
      </c>
      <c r="L1720" s="69">
        <f>VLOOKUP(Table_db1_backend_Daily.accdb[[#This Row],[TradingDate]],canon!B:E,4,0)</f>
        <v>30</v>
      </c>
    </row>
    <row r="1721" spans="1:12" x14ac:dyDescent="0.2">
      <c r="A1721" s="69" t="s">
        <v>42</v>
      </c>
      <c r="B1721" s="70">
        <v>42944</v>
      </c>
      <c r="C1721" s="69">
        <v>-107</v>
      </c>
      <c r="D1721" s="69">
        <v>0</v>
      </c>
      <c r="E1721" s="69">
        <v>0</v>
      </c>
      <c r="F1721" s="69">
        <v>0</v>
      </c>
      <c r="G1721" s="69" t="s">
        <v>10</v>
      </c>
      <c r="H1721" s="69" t="str">
        <f>IFERROR(VLOOKUP(Data!$G1721,canon!$I$2:$K$27,2,FALSE),"")</f>
        <v>ACCESSORY</v>
      </c>
      <c r="I1721" s="69" t="str">
        <f>IFERROR(VLOOKUP(Data!$G1721,canon!$I$2:$K$27,3,FALSE),"")</f>
        <v>N.APPAREL</v>
      </c>
      <c r="J1721" s="69">
        <f t="shared" si="52"/>
        <v>6</v>
      </c>
      <c r="K1721" s="69">
        <f t="shared" si="53"/>
        <v>41</v>
      </c>
      <c r="L1721" s="69">
        <f>VLOOKUP(Table_db1_backend_Daily.accdb[[#This Row],[TradingDate]],canon!B:E,4,0)</f>
        <v>30</v>
      </c>
    </row>
    <row r="1722" spans="1:12" x14ac:dyDescent="0.2">
      <c r="A1722" s="69" t="s">
        <v>42</v>
      </c>
      <c r="B1722" s="70">
        <v>42944</v>
      </c>
      <c r="C1722" s="69">
        <v>1045</v>
      </c>
      <c r="D1722" s="69">
        <v>78</v>
      </c>
      <c r="E1722" s="69">
        <v>717.45</v>
      </c>
      <c r="F1722" s="69">
        <v>100.73999999999998</v>
      </c>
      <c r="G1722" s="69" t="s">
        <v>11</v>
      </c>
      <c r="H1722" s="69" t="str">
        <f>IFERROR(VLOOKUP(Data!$G1722,canon!$I$2:$K$27,2,FALSE),"")</f>
        <v>KNIT</v>
      </c>
      <c r="I1722" s="69" t="str">
        <f>IFERROR(VLOOKUP(Data!$G1722,canon!$I$2:$K$27,3,FALSE),"")</f>
        <v>APPAREL</v>
      </c>
      <c r="J1722" s="69">
        <f t="shared" si="52"/>
        <v>6</v>
      </c>
      <c r="K1722" s="69">
        <f t="shared" si="53"/>
        <v>41</v>
      </c>
      <c r="L1722" s="69">
        <f>VLOOKUP(Table_db1_backend_Daily.accdb[[#This Row],[TradingDate]],canon!B:E,4,0)</f>
        <v>30</v>
      </c>
    </row>
    <row r="1723" spans="1:12" x14ac:dyDescent="0.2">
      <c r="A1723" s="69" t="s">
        <v>42</v>
      </c>
      <c r="B1723" s="70">
        <v>42944</v>
      </c>
      <c r="C1723" s="69">
        <v>390</v>
      </c>
      <c r="D1723" s="69">
        <v>8</v>
      </c>
      <c r="E1723" s="69">
        <v>81.81</v>
      </c>
      <c r="F1723" s="69">
        <v>25.83</v>
      </c>
      <c r="G1723" s="69" t="s">
        <v>14</v>
      </c>
      <c r="H1723" s="69" t="str">
        <f>IFERROR(VLOOKUP(Data!$G1723,canon!$I$2:$K$27,2,FALSE),"")</f>
        <v>LEGGING</v>
      </c>
      <c r="I1723" s="69" t="str">
        <f>IFERROR(VLOOKUP(Data!$G1723,canon!$I$2:$K$27,3,FALSE),"")</f>
        <v>APPAREL</v>
      </c>
      <c r="J1723" s="69">
        <f t="shared" si="52"/>
        <v>6</v>
      </c>
      <c r="K1723" s="69">
        <f t="shared" si="53"/>
        <v>41</v>
      </c>
      <c r="L1723" s="69">
        <f>VLOOKUP(Table_db1_backend_Daily.accdb[[#This Row],[TradingDate]],canon!B:E,4,0)</f>
        <v>30</v>
      </c>
    </row>
    <row r="1724" spans="1:12" x14ac:dyDescent="0.2">
      <c r="A1724" s="69" t="s">
        <v>42</v>
      </c>
      <c r="B1724" s="70">
        <v>42944</v>
      </c>
      <c r="C1724" s="69">
        <v>-91</v>
      </c>
      <c r="D1724" s="69">
        <v>0</v>
      </c>
      <c r="E1724" s="69">
        <v>0</v>
      </c>
      <c r="F1724" s="69">
        <v>0</v>
      </c>
      <c r="G1724" s="69" t="s">
        <v>37</v>
      </c>
      <c r="H1724" s="69" t="str">
        <f>IFERROR(VLOOKUP(Data!$G1724,canon!$I$2:$K$27,2,FALSE),"")</f>
        <v>SHOES</v>
      </c>
      <c r="I1724" s="69" t="str">
        <f>IFERROR(VLOOKUP(Data!$G1724,canon!$I$2:$K$27,3,FALSE),"")</f>
        <v>N.APPAREL</v>
      </c>
      <c r="J1724" s="69">
        <f t="shared" si="52"/>
        <v>6</v>
      </c>
      <c r="K1724" s="69">
        <f t="shared" si="53"/>
        <v>41</v>
      </c>
      <c r="L1724" s="69">
        <f>VLOOKUP(Table_db1_backend_Daily.accdb[[#This Row],[TradingDate]],canon!B:E,4,0)</f>
        <v>30</v>
      </c>
    </row>
    <row r="1725" spans="1:12" x14ac:dyDescent="0.2">
      <c r="A1725" s="69" t="s">
        <v>42</v>
      </c>
      <c r="B1725" s="70">
        <v>42944</v>
      </c>
      <c r="C1725" s="69">
        <v>-3</v>
      </c>
      <c r="D1725" s="69">
        <v>0</v>
      </c>
      <c r="E1725" s="69">
        <v>0</v>
      </c>
      <c r="F1725" s="69">
        <v>0</v>
      </c>
      <c r="G1725" s="69" t="s">
        <v>29</v>
      </c>
      <c r="H1725" s="69" t="str">
        <f>IFERROR(VLOOKUP(Data!$G1725,canon!$I$2:$K$27,2,FALSE),"")</f>
        <v>SHOES</v>
      </c>
      <c r="I1725" s="69" t="str">
        <f>IFERROR(VLOOKUP(Data!$G1725,canon!$I$2:$K$27,3,FALSE),"")</f>
        <v>N.APPAREL</v>
      </c>
      <c r="J1725" s="69">
        <f t="shared" si="52"/>
        <v>6</v>
      </c>
      <c r="K1725" s="69">
        <f t="shared" si="53"/>
        <v>41</v>
      </c>
      <c r="L1725" s="69">
        <f>VLOOKUP(Table_db1_backend_Daily.accdb[[#This Row],[TradingDate]],canon!B:E,4,0)</f>
        <v>30</v>
      </c>
    </row>
    <row r="1726" spans="1:12" x14ac:dyDescent="0.2">
      <c r="A1726" s="69" t="s">
        <v>42</v>
      </c>
      <c r="B1726" s="70">
        <v>42944</v>
      </c>
      <c r="C1726" s="69">
        <v>442</v>
      </c>
      <c r="D1726" s="69">
        <v>7</v>
      </c>
      <c r="E1726" s="69">
        <v>149.96</v>
      </c>
      <c r="F1726" s="69">
        <v>82.63000000000001</v>
      </c>
      <c r="G1726" s="69" t="s">
        <v>17</v>
      </c>
      <c r="H1726" s="69" t="str">
        <f>IFERROR(VLOOKUP(Data!$G1726,canon!$I$2:$K$27,2,FALSE),"")</f>
        <v>OUTER</v>
      </c>
      <c r="I1726" s="69" t="str">
        <f>IFERROR(VLOOKUP(Data!$G1726,canon!$I$2:$K$27,3,FALSE),"")</f>
        <v>APPAREL</v>
      </c>
      <c r="J1726" s="69">
        <f t="shared" si="52"/>
        <v>6</v>
      </c>
      <c r="K1726" s="69">
        <f t="shared" si="53"/>
        <v>41</v>
      </c>
      <c r="L1726" s="69">
        <f>VLOOKUP(Table_db1_backend_Daily.accdb[[#This Row],[TradingDate]],canon!B:E,4,0)</f>
        <v>30</v>
      </c>
    </row>
    <row r="1727" spans="1:12" x14ac:dyDescent="0.2">
      <c r="A1727" s="69" t="s">
        <v>42</v>
      </c>
      <c r="B1727" s="70">
        <v>42944</v>
      </c>
      <c r="C1727" s="69">
        <v>397</v>
      </c>
      <c r="D1727" s="69">
        <v>0</v>
      </c>
      <c r="E1727" s="69">
        <v>0</v>
      </c>
      <c r="F1727" s="69">
        <v>0</v>
      </c>
      <c r="G1727" s="69" t="s">
        <v>19</v>
      </c>
      <c r="H1727" s="69" t="str">
        <f>IFERROR(VLOOKUP(Data!$G1727,canon!$I$2:$K$27,2,FALSE),"")</f>
        <v>PANT</v>
      </c>
      <c r="I1727" s="69" t="str">
        <f>IFERROR(VLOOKUP(Data!$G1727,canon!$I$2:$K$27,3,FALSE),"")</f>
        <v>APPAREL</v>
      </c>
      <c r="J1727" s="69">
        <f t="shared" si="52"/>
        <v>6</v>
      </c>
      <c r="K1727" s="69">
        <f t="shared" si="53"/>
        <v>41</v>
      </c>
      <c r="L1727" s="69">
        <f>VLOOKUP(Table_db1_backend_Daily.accdb[[#This Row],[TradingDate]],canon!B:E,4,0)</f>
        <v>30</v>
      </c>
    </row>
    <row r="1728" spans="1:12" x14ac:dyDescent="0.2">
      <c r="A1728" s="69" t="s">
        <v>42</v>
      </c>
      <c r="B1728" s="70">
        <v>42944</v>
      </c>
      <c r="C1728" s="69">
        <v>0</v>
      </c>
      <c r="D1728" s="69">
        <v>0</v>
      </c>
      <c r="E1728" s="69">
        <v>0</v>
      </c>
      <c r="F1728" s="69">
        <v>0</v>
      </c>
      <c r="G1728" s="69" t="s">
        <v>21</v>
      </c>
      <c r="H1728" s="69" t="str">
        <f>IFERROR(VLOOKUP(Data!$G1728,canon!$I$2:$K$27,2,FALSE),"")</f>
        <v>ACCESSORY</v>
      </c>
      <c r="I1728" s="69" t="str">
        <f>IFERROR(VLOOKUP(Data!$G1728,canon!$I$2:$K$27,3,FALSE),"")</f>
        <v>N.APPAREL</v>
      </c>
      <c r="J1728" s="69">
        <f t="shared" si="52"/>
        <v>6</v>
      </c>
      <c r="K1728" s="69">
        <f t="shared" si="53"/>
        <v>41</v>
      </c>
      <c r="L1728" s="69">
        <f>VLOOKUP(Table_db1_backend_Daily.accdb[[#This Row],[TradingDate]],canon!B:E,4,0)</f>
        <v>30</v>
      </c>
    </row>
    <row r="1729" spans="1:12" x14ac:dyDescent="0.2">
      <c r="A1729" s="69" t="s">
        <v>42</v>
      </c>
      <c r="B1729" s="70">
        <v>42944</v>
      </c>
      <c r="C1729" s="69">
        <v>-230</v>
      </c>
      <c r="D1729" s="69">
        <v>20</v>
      </c>
      <c r="E1729" s="69">
        <v>104.38</v>
      </c>
      <c r="F1729" s="69">
        <v>67.75</v>
      </c>
      <c r="G1729" s="69" t="s">
        <v>22</v>
      </c>
      <c r="H1729" s="69" t="str">
        <f>IFERROR(VLOOKUP(Data!$G1729,canon!$I$2:$K$27,2,FALSE),"")</f>
        <v>SCARF</v>
      </c>
      <c r="I1729" s="69" t="str">
        <f>IFERROR(VLOOKUP(Data!$G1729,canon!$I$2:$K$27,3,FALSE),"")</f>
        <v>N.APPAREL</v>
      </c>
      <c r="J1729" s="69">
        <f t="shared" si="52"/>
        <v>6</v>
      </c>
      <c r="K1729" s="69">
        <f t="shared" si="53"/>
        <v>41</v>
      </c>
      <c r="L1729" s="69">
        <f>VLOOKUP(Table_db1_backend_Daily.accdb[[#This Row],[TradingDate]],canon!B:E,4,0)</f>
        <v>30</v>
      </c>
    </row>
    <row r="1730" spans="1:12" x14ac:dyDescent="0.2">
      <c r="A1730" s="69" t="s">
        <v>42</v>
      </c>
      <c r="B1730" s="70">
        <v>42944</v>
      </c>
      <c r="C1730" s="69">
        <v>132</v>
      </c>
      <c r="D1730" s="69">
        <v>0</v>
      </c>
      <c r="E1730" s="69">
        <v>0</v>
      </c>
      <c r="F1730" s="69">
        <v>0</v>
      </c>
      <c r="G1730" s="69" t="s">
        <v>23</v>
      </c>
      <c r="H1730" s="69" t="str">
        <f>IFERROR(VLOOKUP(Data!$G1730,canon!$I$2:$K$27,2,FALSE),"")</f>
        <v>SH&amp;BL</v>
      </c>
      <c r="I1730" s="69" t="str">
        <f>IFERROR(VLOOKUP(Data!$G1730,canon!$I$2:$K$27,3,FALSE),"")</f>
        <v>APPAREL</v>
      </c>
      <c r="J1730" s="69">
        <f t="shared" ref="J1730:J1793" si="54">WEEKDAY(B1730)</f>
        <v>6</v>
      </c>
      <c r="K1730" s="69">
        <f t="shared" ref="K1730:K1793" si="55">INT(A1730)</f>
        <v>41</v>
      </c>
      <c r="L1730" s="69">
        <f>VLOOKUP(Table_db1_backend_Daily.accdb[[#This Row],[TradingDate]],canon!B:E,4,0)</f>
        <v>30</v>
      </c>
    </row>
    <row r="1731" spans="1:12" x14ac:dyDescent="0.2">
      <c r="A1731" s="69" t="s">
        <v>42</v>
      </c>
      <c r="B1731" s="70">
        <v>42944</v>
      </c>
      <c r="C1731" s="69">
        <v>297</v>
      </c>
      <c r="D1731" s="69">
        <v>3</v>
      </c>
      <c r="E1731" s="69">
        <v>45.45</v>
      </c>
      <c r="F1731" s="69">
        <v>29.25</v>
      </c>
      <c r="G1731" s="69" t="s">
        <v>32</v>
      </c>
      <c r="H1731" s="69" t="str">
        <f>IFERROR(VLOOKUP(Data!$G1731,canon!$I$2:$K$27,2,FALSE),"")</f>
        <v>SKIRT</v>
      </c>
      <c r="I1731" s="69" t="str">
        <f>IFERROR(VLOOKUP(Data!$G1731,canon!$I$2:$K$27,3,FALSE),"")</f>
        <v>APPAREL</v>
      </c>
      <c r="J1731" s="69">
        <f t="shared" si="54"/>
        <v>6</v>
      </c>
      <c r="K1731" s="69">
        <f t="shared" si="55"/>
        <v>41</v>
      </c>
      <c r="L1731" s="69">
        <f>VLOOKUP(Table_db1_backend_Daily.accdb[[#This Row],[TradingDate]],canon!B:E,4,0)</f>
        <v>30</v>
      </c>
    </row>
    <row r="1732" spans="1:12" x14ac:dyDescent="0.2">
      <c r="A1732" s="69" t="s">
        <v>42</v>
      </c>
      <c r="B1732" s="70">
        <v>42944</v>
      </c>
      <c r="C1732" s="69">
        <v>803</v>
      </c>
      <c r="D1732" s="69">
        <v>35</v>
      </c>
      <c r="E1732" s="69">
        <v>281.63000000000005</v>
      </c>
      <c r="F1732" s="69">
        <v>116.86999999999999</v>
      </c>
      <c r="G1732" s="69" t="s">
        <v>25</v>
      </c>
      <c r="H1732" s="69" t="str">
        <f>IFERROR(VLOOKUP(Data!$G1732,canon!$I$2:$K$27,2,FALSE),"")</f>
        <v>TOP</v>
      </c>
      <c r="I1732" s="69" t="str">
        <f>IFERROR(VLOOKUP(Data!$G1732,canon!$I$2:$K$27,3,FALSE),"")</f>
        <v>APPAREL</v>
      </c>
      <c r="J1732" s="69">
        <f t="shared" si="54"/>
        <v>6</v>
      </c>
      <c r="K1732" s="69">
        <f t="shared" si="55"/>
        <v>41</v>
      </c>
      <c r="L1732" s="69">
        <f>VLOOKUP(Table_db1_backend_Daily.accdb[[#This Row],[TradingDate]],canon!B:E,4,0)</f>
        <v>30</v>
      </c>
    </row>
    <row r="1733" spans="1:12" x14ac:dyDescent="0.2">
      <c r="A1733" s="69" t="s">
        <v>42</v>
      </c>
      <c r="B1733" s="70">
        <v>42945</v>
      </c>
      <c r="C1733" s="69">
        <v>-2</v>
      </c>
      <c r="D1733" s="69">
        <v>0</v>
      </c>
      <c r="E1733" s="69">
        <v>0</v>
      </c>
      <c r="F1733" s="69">
        <v>0</v>
      </c>
      <c r="G1733" s="69" t="s">
        <v>34</v>
      </c>
      <c r="H1733" s="69" t="str">
        <f>IFERROR(VLOOKUP(Data!$G1733,canon!$I$2:$K$27,2,FALSE),"")</f>
        <v>SHOES</v>
      </c>
      <c r="I1733" s="69" t="str">
        <f>IFERROR(VLOOKUP(Data!$G1733,canon!$I$2:$K$27,3,FALSE),"")</f>
        <v>N.APPAREL</v>
      </c>
      <c r="J1733" s="69">
        <f t="shared" si="54"/>
        <v>7</v>
      </c>
      <c r="K1733" s="69">
        <f t="shared" si="55"/>
        <v>41</v>
      </c>
      <c r="L1733" s="69">
        <f>VLOOKUP(Table_db1_backend_Daily.accdb[[#This Row],[TradingDate]],canon!B:E,4,0)</f>
        <v>30</v>
      </c>
    </row>
    <row r="1734" spans="1:12" x14ac:dyDescent="0.2">
      <c r="A1734" s="69" t="s">
        <v>42</v>
      </c>
      <c r="B1734" s="70">
        <v>42945</v>
      </c>
      <c r="C1734" s="69">
        <v>592</v>
      </c>
      <c r="D1734" s="69">
        <v>6</v>
      </c>
      <c r="E1734" s="69">
        <v>99.91</v>
      </c>
      <c r="F1734" s="69">
        <v>53.930000000000007</v>
      </c>
      <c r="G1734" s="69" t="s">
        <v>35</v>
      </c>
      <c r="H1734" s="69" t="str">
        <f>IFERROR(VLOOKUP(Data!$G1734,canon!$I$2:$K$27,2,FALSE),"")</f>
        <v>DRESS</v>
      </c>
      <c r="I1734" s="69" t="str">
        <f>IFERROR(VLOOKUP(Data!$G1734,canon!$I$2:$K$27,3,FALSE),"")</f>
        <v>APPAREL</v>
      </c>
      <c r="J1734" s="69">
        <f t="shared" si="54"/>
        <v>7</v>
      </c>
      <c r="K1734" s="69">
        <f t="shared" si="55"/>
        <v>41</v>
      </c>
      <c r="L1734" s="69">
        <f>VLOOKUP(Table_db1_backend_Daily.accdb[[#This Row],[TradingDate]],canon!B:E,4,0)</f>
        <v>30</v>
      </c>
    </row>
    <row r="1735" spans="1:12" x14ac:dyDescent="0.2">
      <c r="A1735" s="69" t="s">
        <v>42</v>
      </c>
      <c r="B1735" s="70">
        <v>42945</v>
      </c>
      <c r="C1735" s="69">
        <v>-107</v>
      </c>
      <c r="D1735" s="69">
        <v>0</v>
      </c>
      <c r="E1735" s="69">
        <v>0</v>
      </c>
      <c r="F1735" s="69">
        <v>0</v>
      </c>
      <c r="G1735" s="69" t="s">
        <v>10</v>
      </c>
      <c r="H1735" s="69" t="str">
        <f>IFERROR(VLOOKUP(Data!$G1735,canon!$I$2:$K$27,2,FALSE),"")</f>
        <v>ACCESSORY</v>
      </c>
      <c r="I1735" s="69" t="str">
        <f>IFERROR(VLOOKUP(Data!$G1735,canon!$I$2:$K$27,3,FALSE),"")</f>
        <v>N.APPAREL</v>
      </c>
      <c r="J1735" s="69">
        <f t="shared" si="54"/>
        <v>7</v>
      </c>
      <c r="K1735" s="69">
        <f t="shared" si="55"/>
        <v>41</v>
      </c>
      <c r="L1735" s="69">
        <f>VLOOKUP(Table_db1_backend_Daily.accdb[[#This Row],[TradingDate]],canon!B:E,4,0)</f>
        <v>30</v>
      </c>
    </row>
    <row r="1736" spans="1:12" x14ac:dyDescent="0.2">
      <c r="A1736" s="69" t="s">
        <v>42</v>
      </c>
      <c r="B1736" s="70">
        <v>42945</v>
      </c>
      <c r="C1736" s="69">
        <v>985</v>
      </c>
      <c r="D1736" s="69">
        <v>60</v>
      </c>
      <c r="E1736" s="69">
        <v>549.6099999999999</v>
      </c>
      <c r="F1736" s="69">
        <v>95.53000000000003</v>
      </c>
      <c r="G1736" s="69" t="s">
        <v>11</v>
      </c>
      <c r="H1736" s="69" t="str">
        <f>IFERROR(VLOOKUP(Data!$G1736,canon!$I$2:$K$27,2,FALSE),"")</f>
        <v>KNIT</v>
      </c>
      <c r="I1736" s="69" t="str">
        <f>IFERROR(VLOOKUP(Data!$G1736,canon!$I$2:$K$27,3,FALSE),"")</f>
        <v>APPAREL</v>
      </c>
      <c r="J1736" s="69">
        <f t="shared" si="54"/>
        <v>7</v>
      </c>
      <c r="K1736" s="69">
        <f t="shared" si="55"/>
        <v>41</v>
      </c>
      <c r="L1736" s="69">
        <f>VLOOKUP(Table_db1_backend_Daily.accdb[[#This Row],[TradingDate]],canon!B:E,4,0)</f>
        <v>30</v>
      </c>
    </row>
    <row r="1737" spans="1:12" x14ac:dyDescent="0.2">
      <c r="A1737" s="69" t="s">
        <v>42</v>
      </c>
      <c r="B1737" s="70">
        <v>42945</v>
      </c>
      <c r="C1737" s="69">
        <v>386</v>
      </c>
      <c r="D1737" s="69">
        <v>4</v>
      </c>
      <c r="E1737" s="69">
        <v>45.45</v>
      </c>
      <c r="F1737" s="69">
        <v>18.05</v>
      </c>
      <c r="G1737" s="69" t="s">
        <v>14</v>
      </c>
      <c r="H1737" s="69" t="str">
        <f>IFERROR(VLOOKUP(Data!$G1737,canon!$I$2:$K$27,2,FALSE),"")</f>
        <v>LEGGING</v>
      </c>
      <c r="I1737" s="69" t="str">
        <f>IFERROR(VLOOKUP(Data!$G1737,canon!$I$2:$K$27,3,FALSE),"")</f>
        <v>APPAREL</v>
      </c>
      <c r="J1737" s="69">
        <f t="shared" si="54"/>
        <v>7</v>
      </c>
      <c r="K1737" s="69">
        <f t="shared" si="55"/>
        <v>41</v>
      </c>
      <c r="L1737" s="69">
        <f>VLOOKUP(Table_db1_backend_Daily.accdb[[#This Row],[TradingDate]],canon!B:E,4,0)</f>
        <v>30</v>
      </c>
    </row>
    <row r="1738" spans="1:12" x14ac:dyDescent="0.2">
      <c r="A1738" s="69" t="s">
        <v>42</v>
      </c>
      <c r="B1738" s="70">
        <v>42945</v>
      </c>
      <c r="C1738" s="69">
        <v>-91</v>
      </c>
      <c r="D1738" s="69">
        <v>0</v>
      </c>
      <c r="E1738" s="69">
        <v>0</v>
      </c>
      <c r="F1738" s="69">
        <v>0</v>
      </c>
      <c r="G1738" s="69" t="s">
        <v>37</v>
      </c>
      <c r="H1738" s="69" t="str">
        <f>IFERROR(VLOOKUP(Data!$G1738,canon!$I$2:$K$27,2,FALSE),"")</f>
        <v>SHOES</v>
      </c>
      <c r="I1738" s="69" t="str">
        <f>IFERROR(VLOOKUP(Data!$G1738,canon!$I$2:$K$27,3,FALSE),"")</f>
        <v>N.APPAREL</v>
      </c>
      <c r="J1738" s="69">
        <f t="shared" si="54"/>
        <v>7</v>
      </c>
      <c r="K1738" s="69">
        <f t="shared" si="55"/>
        <v>41</v>
      </c>
      <c r="L1738" s="69">
        <f>VLOOKUP(Table_db1_backend_Daily.accdb[[#This Row],[TradingDate]],canon!B:E,4,0)</f>
        <v>30</v>
      </c>
    </row>
    <row r="1739" spans="1:12" x14ac:dyDescent="0.2">
      <c r="A1739" s="69" t="s">
        <v>42</v>
      </c>
      <c r="B1739" s="70">
        <v>42945</v>
      </c>
      <c r="C1739" s="69">
        <v>-3</v>
      </c>
      <c r="D1739" s="69">
        <v>0</v>
      </c>
      <c r="E1739" s="69">
        <v>0</v>
      </c>
      <c r="F1739" s="69">
        <v>0</v>
      </c>
      <c r="G1739" s="69" t="s">
        <v>29</v>
      </c>
      <c r="H1739" s="69" t="str">
        <f>IFERROR(VLOOKUP(Data!$G1739,canon!$I$2:$K$27,2,FALSE),"")</f>
        <v>SHOES</v>
      </c>
      <c r="I1739" s="69" t="str">
        <f>IFERROR(VLOOKUP(Data!$G1739,canon!$I$2:$K$27,3,FALSE),"")</f>
        <v>N.APPAREL</v>
      </c>
      <c r="J1739" s="69">
        <f t="shared" si="54"/>
        <v>7</v>
      </c>
      <c r="K1739" s="69">
        <f t="shared" si="55"/>
        <v>41</v>
      </c>
      <c r="L1739" s="69">
        <f>VLOOKUP(Table_db1_backend_Daily.accdb[[#This Row],[TradingDate]],canon!B:E,4,0)</f>
        <v>30</v>
      </c>
    </row>
    <row r="1740" spans="1:12" x14ac:dyDescent="0.2">
      <c r="A1740" s="69" t="s">
        <v>42</v>
      </c>
      <c r="B1740" s="70">
        <v>42945</v>
      </c>
      <c r="C1740" s="69">
        <v>435</v>
      </c>
      <c r="D1740" s="69">
        <v>7</v>
      </c>
      <c r="E1740" s="69">
        <v>136.35000000000002</v>
      </c>
      <c r="F1740" s="69">
        <v>89.18</v>
      </c>
      <c r="G1740" s="69" t="s">
        <v>17</v>
      </c>
      <c r="H1740" s="69" t="str">
        <f>IFERROR(VLOOKUP(Data!$G1740,canon!$I$2:$K$27,2,FALSE),"")</f>
        <v>OUTER</v>
      </c>
      <c r="I1740" s="69" t="str">
        <f>IFERROR(VLOOKUP(Data!$G1740,canon!$I$2:$K$27,3,FALSE),"")</f>
        <v>APPAREL</v>
      </c>
      <c r="J1740" s="69">
        <f t="shared" si="54"/>
        <v>7</v>
      </c>
      <c r="K1740" s="69">
        <f t="shared" si="55"/>
        <v>41</v>
      </c>
      <c r="L1740" s="69">
        <f>VLOOKUP(Table_db1_backend_Daily.accdb[[#This Row],[TradingDate]],canon!B:E,4,0)</f>
        <v>30</v>
      </c>
    </row>
    <row r="1741" spans="1:12" x14ac:dyDescent="0.2">
      <c r="A1741" s="69" t="s">
        <v>42</v>
      </c>
      <c r="B1741" s="70">
        <v>42945</v>
      </c>
      <c r="C1741" s="69">
        <v>397</v>
      </c>
      <c r="D1741" s="69">
        <v>0</v>
      </c>
      <c r="E1741" s="69">
        <v>0</v>
      </c>
      <c r="F1741" s="69">
        <v>0</v>
      </c>
      <c r="G1741" s="69" t="s">
        <v>19</v>
      </c>
      <c r="H1741" s="69" t="str">
        <f>IFERROR(VLOOKUP(Data!$G1741,canon!$I$2:$K$27,2,FALSE),"")</f>
        <v>PANT</v>
      </c>
      <c r="I1741" s="69" t="str">
        <f>IFERROR(VLOOKUP(Data!$G1741,canon!$I$2:$K$27,3,FALSE),"")</f>
        <v>APPAREL</v>
      </c>
      <c r="J1741" s="69">
        <f t="shared" si="54"/>
        <v>7</v>
      </c>
      <c r="K1741" s="69">
        <f t="shared" si="55"/>
        <v>41</v>
      </c>
      <c r="L1741" s="69">
        <f>VLOOKUP(Table_db1_backend_Daily.accdb[[#This Row],[TradingDate]],canon!B:E,4,0)</f>
        <v>30</v>
      </c>
    </row>
    <row r="1742" spans="1:12" x14ac:dyDescent="0.2">
      <c r="A1742" s="69" t="s">
        <v>42</v>
      </c>
      <c r="B1742" s="70">
        <v>42945</v>
      </c>
      <c r="C1742" s="69">
        <v>0</v>
      </c>
      <c r="D1742" s="69">
        <v>0</v>
      </c>
      <c r="E1742" s="69">
        <v>0</v>
      </c>
      <c r="F1742" s="69">
        <v>0</v>
      </c>
      <c r="G1742" s="69" t="s">
        <v>21</v>
      </c>
      <c r="H1742" s="69" t="str">
        <f>IFERROR(VLOOKUP(Data!$G1742,canon!$I$2:$K$27,2,FALSE),"")</f>
        <v>ACCESSORY</v>
      </c>
      <c r="I1742" s="69" t="str">
        <f>IFERROR(VLOOKUP(Data!$G1742,canon!$I$2:$K$27,3,FALSE),"")</f>
        <v>N.APPAREL</v>
      </c>
      <c r="J1742" s="69">
        <f t="shared" si="54"/>
        <v>7</v>
      </c>
      <c r="K1742" s="69">
        <f t="shared" si="55"/>
        <v>41</v>
      </c>
      <c r="L1742" s="69">
        <f>VLOOKUP(Table_db1_backend_Daily.accdb[[#This Row],[TradingDate]],canon!B:E,4,0)</f>
        <v>30</v>
      </c>
    </row>
    <row r="1743" spans="1:12" x14ac:dyDescent="0.2">
      <c r="A1743" s="69" t="s">
        <v>42</v>
      </c>
      <c r="B1743" s="70">
        <v>42945</v>
      </c>
      <c r="C1743" s="69">
        <v>-251</v>
      </c>
      <c r="D1743" s="69">
        <v>21</v>
      </c>
      <c r="E1743" s="69">
        <v>106.24000000000001</v>
      </c>
      <c r="F1743" s="69">
        <v>71.86</v>
      </c>
      <c r="G1743" s="69" t="s">
        <v>22</v>
      </c>
      <c r="H1743" s="69" t="str">
        <f>IFERROR(VLOOKUP(Data!$G1743,canon!$I$2:$K$27,2,FALSE),"")</f>
        <v>SCARF</v>
      </c>
      <c r="I1743" s="69" t="str">
        <f>IFERROR(VLOOKUP(Data!$G1743,canon!$I$2:$K$27,3,FALSE),"")</f>
        <v>N.APPAREL</v>
      </c>
      <c r="J1743" s="69">
        <f t="shared" si="54"/>
        <v>7</v>
      </c>
      <c r="K1743" s="69">
        <f t="shared" si="55"/>
        <v>41</v>
      </c>
      <c r="L1743" s="69">
        <f>VLOOKUP(Table_db1_backend_Daily.accdb[[#This Row],[TradingDate]],canon!B:E,4,0)</f>
        <v>30</v>
      </c>
    </row>
    <row r="1744" spans="1:12" x14ac:dyDescent="0.2">
      <c r="A1744" s="69" t="s">
        <v>42</v>
      </c>
      <c r="B1744" s="70">
        <v>42945</v>
      </c>
      <c r="C1744" s="69">
        <v>131</v>
      </c>
      <c r="D1744" s="69">
        <v>1</v>
      </c>
      <c r="E1744" s="69">
        <v>1.9999999999999574E-2</v>
      </c>
      <c r="F1744" s="69">
        <v>-7.3800000000000008</v>
      </c>
      <c r="G1744" s="69" t="s">
        <v>23</v>
      </c>
      <c r="H1744" s="69" t="str">
        <f>IFERROR(VLOOKUP(Data!$G1744,canon!$I$2:$K$27,2,FALSE),"")</f>
        <v>SH&amp;BL</v>
      </c>
      <c r="I1744" s="69" t="str">
        <f>IFERROR(VLOOKUP(Data!$G1744,canon!$I$2:$K$27,3,FALSE),"")</f>
        <v>APPAREL</v>
      </c>
      <c r="J1744" s="69">
        <f t="shared" si="54"/>
        <v>7</v>
      </c>
      <c r="K1744" s="69">
        <f t="shared" si="55"/>
        <v>41</v>
      </c>
      <c r="L1744" s="69">
        <f>VLOOKUP(Table_db1_backend_Daily.accdb[[#This Row],[TradingDate]],canon!B:E,4,0)</f>
        <v>30</v>
      </c>
    </row>
    <row r="1745" spans="1:12" x14ac:dyDescent="0.2">
      <c r="A1745" s="69" t="s">
        <v>42</v>
      </c>
      <c r="B1745" s="70">
        <v>42945</v>
      </c>
      <c r="C1745" s="69">
        <v>295</v>
      </c>
      <c r="D1745" s="69">
        <v>2</v>
      </c>
      <c r="E1745" s="69">
        <v>22.73</v>
      </c>
      <c r="F1745" s="69">
        <v>14.9</v>
      </c>
      <c r="G1745" s="69" t="s">
        <v>32</v>
      </c>
      <c r="H1745" s="69" t="str">
        <f>IFERROR(VLOOKUP(Data!$G1745,canon!$I$2:$K$27,2,FALSE),"")</f>
        <v>SKIRT</v>
      </c>
      <c r="I1745" s="69" t="str">
        <f>IFERROR(VLOOKUP(Data!$G1745,canon!$I$2:$K$27,3,FALSE),"")</f>
        <v>APPAREL</v>
      </c>
      <c r="J1745" s="69">
        <f t="shared" si="54"/>
        <v>7</v>
      </c>
      <c r="K1745" s="69">
        <f t="shared" si="55"/>
        <v>41</v>
      </c>
      <c r="L1745" s="69">
        <f>VLOOKUP(Table_db1_backend_Daily.accdb[[#This Row],[TradingDate]],canon!B:E,4,0)</f>
        <v>30</v>
      </c>
    </row>
    <row r="1746" spans="1:12" x14ac:dyDescent="0.2">
      <c r="A1746" s="69" t="s">
        <v>42</v>
      </c>
      <c r="B1746" s="70">
        <v>42945</v>
      </c>
      <c r="C1746" s="69">
        <v>791</v>
      </c>
      <c r="D1746" s="69">
        <v>12</v>
      </c>
      <c r="E1746" s="69">
        <v>127.16</v>
      </c>
      <c r="F1746" s="69">
        <v>70.91</v>
      </c>
      <c r="G1746" s="69" t="s">
        <v>25</v>
      </c>
      <c r="H1746" s="69" t="str">
        <f>IFERROR(VLOOKUP(Data!$G1746,canon!$I$2:$K$27,2,FALSE),"")</f>
        <v>TOP</v>
      </c>
      <c r="I1746" s="69" t="str">
        <f>IFERROR(VLOOKUP(Data!$G1746,canon!$I$2:$K$27,3,FALSE),"")</f>
        <v>APPAREL</v>
      </c>
      <c r="J1746" s="69">
        <f t="shared" si="54"/>
        <v>7</v>
      </c>
      <c r="K1746" s="69">
        <f t="shared" si="55"/>
        <v>41</v>
      </c>
      <c r="L1746" s="69">
        <f>VLOOKUP(Table_db1_backend_Daily.accdb[[#This Row],[TradingDate]],canon!B:E,4,0)</f>
        <v>30</v>
      </c>
    </row>
    <row r="1747" spans="1:12" x14ac:dyDescent="0.2">
      <c r="A1747" s="69" t="s">
        <v>42</v>
      </c>
      <c r="B1747" s="70">
        <v>42946</v>
      </c>
      <c r="C1747" s="69">
        <v>-2</v>
      </c>
      <c r="D1747" s="69">
        <v>0</v>
      </c>
      <c r="E1747" s="69">
        <v>0</v>
      </c>
      <c r="F1747" s="69">
        <v>0</v>
      </c>
      <c r="G1747" s="69" t="s">
        <v>34</v>
      </c>
      <c r="H1747" s="69" t="str">
        <f>IFERROR(VLOOKUP(Data!$G1747,canon!$I$2:$K$27,2,FALSE),"")</f>
        <v>SHOES</v>
      </c>
      <c r="I1747" s="69" t="str">
        <f>IFERROR(VLOOKUP(Data!$G1747,canon!$I$2:$K$27,3,FALSE),"")</f>
        <v>N.APPAREL</v>
      </c>
      <c r="J1747" s="69">
        <f t="shared" si="54"/>
        <v>1</v>
      </c>
      <c r="K1747" s="69">
        <f t="shared" si="55"/>
        <v>41</v>
      </c>
      <c r="L1747" s="69">
        <f>VLOOKUP(Table_db1_backend_Daily.accdb[[#This Row],[TradingDate]],canon!B:E,4,0)</f>
        <v>31</v>
      </c>
    </row>
    <row r="1748" spans="1:12" x14ac:dyDescent="0.2">
      <c r="A1748" s="69" t="s">
        <v>42</v>
      </c>
      <c r="B1748" s="70">
        <v>42946</v>
      </c>
      <c r="C1748" s="69">
        <v>588</v>
      </c>
      <c r="D1748" s="69">
        <v>4</v>
      </c>
      <c r="E1748" s="69">
        <v>58.949999999999996</v>
      </c>
      <c r="F1748" s="69">
        <v>24.93</v>
      </c>
      <c r="G1748" s="69" t="s">
        <v>35</v>
      </c>
      <c r="H1748" s="69" t="str">
        <f>IFERROR(VLOOKUP(Data!$G1748,canon!$I$2:$K$27,2,FALSE),"")</f>
        <v>DRESS</v>
      </c>
      <c r="I1748" s="69" t="str">
        <f>IFERROR(VLOOKUP(Data!$G1748,canon!$I$2:$K$27,3,FALSE),"")</f>
        <v>APPAREL</v>
      </c>
      <c r="J1748" s="69">
        <f t="shared" si="54"/>
        <v>1</v>
      </c>
      <c r="K1748" s="69">
        <f t="shared" si="55"/>
        <v>41</v>
      </c>
      <c r="L1748" s="69">
        <f>VLOOKUP(Table_db1_backend_Daily.accdb[[#This Row],[TradingDate]],canon!B:E,4,0)</f>
        <v>31</v>
      </c>
    </row>
    <row r="1749" spans="1:12" x14ac:dyDescent="0.2">
      <c r="A1749" s="69" t="s">
        <v>42</v>
      </c>
      <c r="B1749" s="70">
        <v>42946</v>
      </c>
      <c r="C1749" s="69">
        <v>-107</v>
      </c>
      <c r="D1749" s="69">
        <v>0</v>
      </c>
      <c r="E1749" s="69">
        <v>0</v>
      </c>
      <c r="F1749" s="69">
        <v>0</v>
      </c>
      <c r="G1749" s="69" t="s">
        <v>10</v>
      </c>
      <c r="H1749" s="69" t="str">
        <f>IFERROR(VLOOKUP(Data!$G1749,canon!$I$2:$K$27,2,FALSE),"")</f>
        <v>ACCESSORY</v>
      </c>
      <c r="I1749" s="69" t="str">
        <f>IFERROR(VLOOKUP(Data!$G1749,canon!$I$2:$K$27,3,FALSE),"")</f>
        <v>N.APPAREL</v>
      </c>
      <c r="J1749" s="69">
        <f t="shared" si="54"/>
        <v>1</v>
      </c>
      <c r="K1749" s="69">
        <f t="shared" si="55"/>
        <v>41</v>
      </c>
      <c r="L1749" s="69">
        <f>VLOOKUP(Table_db1_backend_Daily.accdb[[#This Row],[TradingDate]],canon!B:E,4,0)</f>
        <v>31</v>
      </c>
    </row>
    <row r="1750" spans="1:12" x14ac:dyDescent="0.2">
      <c r="A1750" s="69" t="s">
        <v>42</v>
      </c>
      <c r="B1750" s="70">
        <v>42946</v>
      </c>
      <c r="C1750" s="69">
        <v>965</v>
      </c>
      <c r="D1750" s="69">
        <v>20</v>
      </c>
      <c r="E1750" s="69">
        <v>136.25000000000003</v>
      </c>
      <c r="F1750" s="69">
        <v>-5.6499999999999968</v>
      </c>
      <c r="G1750" s="69" t="s">
        <v>11</v>
      </c>
      <c r="H1750" s="69" t="str">
        <f>IFERROR(VLOOKUP(Data!$G1750,canon!$I$2:$K$27,2,FALSE),"")</f>
        <v>KNIT</v>
      </c>
      <c r="I1750" s="69" t="str">
        <f>IFERROR(VLOOKUP(Data!$G1750,canon!$I$2:$K$27,3,FALSE),"")</f>
        <v>APPAREL</v>
      </c>
      <c r="J1750" s="69">
        <f t="shared" si="54"/>
        <v>1</v>
      </c>
      <c r="K1750" s="69">
        <f t="shared" si="55"/>
        <v>41</v>
      </c>
      <c r="L1750" s="69">
        <f>VLOOKUP(Table_db1_backend_Daily.accdb[[#This Row],[TradingDate]],canon!B:E,4,0)</f>
        <v>31</v>
      </c>
    </row>
    <row r="1751" spans="1:12" x14ac:dyDescent="0.2">
      <c r="A1751" s="69" t="s">
        <v>42</v>
      </c>
      <c r="B1751" s="70">
        <v>42946</v>
      </c>
      <c r="C1751" s="69">
        <v>384</v>
      </c>
      <c r="D1751" s="69">
        <v>2</v>
      </c>
      <c r="E1751" s="69">
        <v>13.64</v>
      </c>
      <c r="F1751" s="69">
        <v>-0.28000000000000025</v>
      </c>
      <c r="G1751" s="69" t="s">
        <v>14</v>
      </c>
      <c r="H1751" s="69" t="str">
        <f>IFERROR(VLOOKUP(Data!$G1751,canon!$I$2:$K$27,2,FALSE),"")</f>
        <v>LEGGING</v>
      </c>
      <c r="I1751" s="69" t="str">
        <f>IFERROR(VLOOKUP(Data!$G1751,canon!$I$2:$K$27,3,FALSE),"")</f>
        <v>APPAREL</v>
      </c>
      <c r="J1751" s="69">
        <f t="shared" si="54"/>
        <v>1</v>
      </c>
      <c r="K1751" s="69">
        <f t="shared" si="55"/>
        <v>41</v>
      </c>
      <c r="L1751" s="69">
        <f>VLOOKUP(Table_db1_backend_Daily.accdb[[#This Row],[TradingDate]],canon!B:E,4,0)</f>
        <v>31</v>
      </c>
    </row>
    <row r="1752" spans="1:12" x14ac:dyDescent="0.2">
      <c r="A1752" s="69" t="s">
        <v>42</v>
      </c>
      <c r="B1752" s="70">
        <v>42946</v>
      </c>
      <c r="C1752" s="69">
        <v>-91</v>
      </c>
      <c r="D1752" s="69">
        <v>0</v>
      </c>
      <c r="E1752" s="69">
        <v>0</v>
      </c>
      <c r="F1752" s="69">
        <v>0</v>
      </c>
      <c r="G1752" s="69" t="s">
        <v>37</v>
      </c>
      <c r="H1752" s="69" t="str">
        <f>IFERROR(VLOOKUP(Data!$G1752,canon!$I$2:$K$27,2,FALSE),"")</f>
        <v>SHOES</v>
      </c>
      <c r="I1752" s="69" t="str">
        <f>IFERROR(VLOOKUP(Data!$G1752,canon!$I$2:$K$27,3,FALSE),"")</f>
        <v>N.APPAREL</v>
      </c>
      <c r="J1752" s="69">
        <f t="shared" si="54"/>
        <v>1</v>
      </c>
      <c r="K1752" s="69">
        <f t="shared" si="55"/>
        <v>41</v>
      </c>
      <c r="L1752" s="69">
        <f>VLOOKUP(Table_db1_backend_Daily.accdb[[#This Row],[TradingDate]],canon!B:E,4,0)</f>
        <v>31</v>
      </c>
    </row>
    <row r="1753" spans="1:12" x14ac:dyDescent="0.2">
      <c r="A1753" s="69" t="s">
        <v>42</v>
      </c>
      <c r="B1753" s="70">
        <v>42946</v>
      </c>
      <c r="C1753" s="69">
        <v>-3</v>
      </c>
      <c r="D1753" s="69">
        <v>0</v>
      </c>
      <c r="E1753" s="69">
        <v>0</v>
      </c>
      <c r="F1753" s="69">
        <v>0</v>
      </c>
      <c r="G1753" s="69" t="s">
        <v>29</v>
      </c>
      <c r="H1753" s="69" t="str">
        <f>IFERROR(VLOOKUP(Data!$G1753,canon!$I$2:$K$27,2,FALSE),"")</f>
        <v>SHOES</v>
      </c>
      <c r="I1753" s="69" t="str">
        <f>IFERROR(VLOOKUP(Data!$G1753,canon!$I$2:$K$27,3,FALSE),"")</f>
        <v>N.APPAREL</v>
      </c>
      <c r="J1753" s="69">
        <f t="shared" si="54"/>
        <v>1</v>
      </c>
      <c r="K1753" s="69">
        <f t="shared" si="55"/>
        <v>41</v>
      </c>
      <c r="L1753" s="69">
        <f>VLOOKUP(Table_db1_backend_Daily.accdb[[#This Row],[TradingDate]],canon!B:E,4,0)</f>
        <v>31</v>
      </c>
    </row>
    <row r="1754" spans="1:12" x14ac:dyDescent="0.2">
      <c r="A1754" s="69" t="s">
        <v>42</v>
      </c>
      <c r="B1754" s="70">
        <v>42946</v>
      </c>
      <c r="C1754" s="69">
        <v>429</v>
      </c>
      <c r="D1754" s="69">
        <v>6</v>
      </c>
      <c r="E1754" s="69">
        <v>109.09</v>
      </c>
      <c r="F1754" s="69">
        <v>64.320000000000007</v>
      </c>
      <c r="G1754" s="69" t="s">
        <v>17</v>
      </c>
      <c r="H1754" s="69" t="str">
        <f>IFERROR(VLOOKUP(Data!$G1754,canon!$I$2:$K$27,2,FALSE),"")</f>
        <v>OUTER</v>
      </c>
      <c r="I1754" s="69" t="str">
        <f>IFERROR(VLOOKUP(Data!$G1754,canon!$I$2:$K$27,3,FALSE),"")</f>
        <v>APPAREL</v>
      </c>
      <c r="J1754" s="69">
        <f t="shared" si="54"/>
        <v>1</v>
      </c>
      <c r="K1754" s="69">
        <f t="shared" si="55"/>
        <v>41</v>
      </c>
      <c r="L1754" s="69">
        <f>VLOOKUP(Table_db1_backend_Daily.accdb[[#This Row],[TradingDate]],canon!B:E,4,0)</f>
        <v>31</v>
      </c>
    </row>
    <row r="1755" spans="1:12" x14ac:dyDescent="0.2">
      <c r="A1755" s="69" t="s">
        <v>42</v>
      </c>
      <c r="B1755" s="70">
        <v>42946</v>
      </c>
      <c r="C1755" s="69">
        <v>397</v>
      </c>
      <c r="D1755" s="69">
        <v>0</v>
      </c>
      <c r="E1755" s="69">
        <v>0</v>
      </c>
      <c r="F1755" s="69">
        <v>0</v>
      </c>
      <c r="G1755" s="69" t="s">
        <v>19</v>
      </c>
      <c r="H1755" s="69" t="str">
        <f>IFERROR(VLOOKUP(Data!$G1755,canon!$I$2:$K$27,2,FALSE),"")</f>
        <v>PANT</v>
      </c>
      <c r="I1755" s="69" t="str">
        <f>IFERROR(VLOOKUP(Data!$G1755,canon!$I$2:$K$27,3,FALSE),"")</f>
        <v>APPAREL</v>
      </c>
      <c r="J1755" s="69">
        <f t="shared" si="54"/>
        <v>1</v>
      </c>
      <c r="K1755" s="69">
        <f t="shared" si="55"/>
        <v>41</v>
      </c>
      <c r="L1755" s="69">
        <f>VLOOKUP(Table_db1_backend_Daily.accdb[[#This Row],[TradingDate]],canon!B:E,4,0)</f>
        <v>31</v>
      </c>
    </row>
    <row r="1756" spans="1:12" x14ac:dyDescent="0.2">
      <c r="A1756" s="69" t="s">
        <v>42</v>
      </c>
      <c r="B1756" s="70">
        <v>42946</v>
      </c>
      <c r="C1756" s="69">
        <v>0</v>
      </c>
      <c r="D1756" s="69">
        <v>0</v>
      </c>
      <c r="E1756" s="69">
        <v>0</v>
      </c>
      <c r="F1756" s="69">
        <v>0</v>
      </c>
      <c r="G1756" s="69" t="s">
        <v>21</v>
      </c>
      <c r="H1756" s="69" t="str">
        <f>IFERROR(VLOOKUP(Data!$G1756,canon!$I$2:$K$27,2,FALSE),"")</f>
        <v>ACCESSORY</v>
      </c>
      <c r="I1756" s="69" t="str">
        <f>IFERROR(VLOOKUP(Data!$G1756,canon!$I$2:$K$27,3,FALSE),"")</f>
        <v>N.APPAREL</v>
      </c>
      <c r="J1756" s="69">
        <f t="shared" si="54"/>
        <v>1</v>
      </c>
      <c r="K1756" s="69">
        <f t="shared" si="55"/>
        <v>41</v>
      </c>
      <c r="L1756" s="69">
        <f>VLOOKUP(Table_db1_backend_Daily.accdb[[#This Row],[TradingDate]],canon!B:E,4,0)</f>
        <v>31</v>
      </c>
    </row>
    <row r="1757" spans="1:12" x14ac:dyDescent="0.2">
      <c r="A1757" s="69" t="s">
        <v>42</v>
      </c>
      <c r="B1757" s="70">
        <v>42946</v>
      </c>
      <c r="C1757" s="69">
        <v>-253</v>
      </c>
      <c r="D1757" s="69">
        <v>2</v>
      </c>
      <c r="E1757" s="69">
        <v>9.1</v>
      </c>
      <c r="F1757" s="69">
        <v>6.0600000000000005</v>
      </c>
      <c r="G1757" s="69" t="s">
        <v>22</v>
      </c>
      <c r="H1757" s="69" t="str">
        <f>IFERROR(VLOOKUP(Data!$G1757,canon!$I$2:$K$27,2,FALSE),"")</f>
        <v>SCARF</v>
      </c>
      <c r="I1757" s="69" t="str">
        <f>IFERROR(VLOOKUP(Data!$G1757,canon!$I$2:$K$27,3,FALSE),"")</f>
        <v>N.APPAREL</v>
      </c>
      <c r="J1757" s="69">
        <f t="shared" si="54"/>
        <v>1</v>
      </c>
      <c r="K1757" s="69">
        <f t="shared" si="55"/>
        <v>41</v>
      </c>
      <c r="L1757" s="69">
        <f>VLOOKUP(Table_db1_backend_Daily.accdb[[#This Row],[TradingDate]],canon!B:E,4,0)</f>
        <v>31</v>
      </c>
    </row>
    <row r="1758" spans="1:12" x14ac:dyDescent="0.2">
      <c r="A1758" s="69" t="s">
        <v>42</v>
      </c>
      <c r="B1758" s="70">
        <v>42946</v>
      </c>
      <c r="C1758" s="69">
        <v>131</v>
      </c>
      <c r="D1758" s="69">
        <v>0</v>
      </c>
      <c r="E1758" s="69">
        <v>0</v>
      </c>
      <c r="F1758" s="69">
        <v>0</v>
      </c>
      <c r="G1758" s="69" t="s">
        <v>23</v>
      </c>
      <c r="H1758" s="69" t="str">
        <f>IFERROR(VLOOKUP(Data!$G1758,canon!$I$2:$K$27,2,FALSE),"")</f>
        <v>SH&amp;BL</v>
      </c>
      <c r="I1758" s="69" t="str">
        <f>IFERROR(VLOOKUP(Data!$G1758,canon!$I$2:$K$27,3,FALSE),"")</f>
        <v>APPAREL</v>
      </c>
      <c r="J1758" s="69">
        <f t="shared" si="54"/>
        <v>1</v>
      </c>
      <c r="K1758" s="69">
        <f t="shared" si="55"/>
        <v>41</v>
      </c>
      <c r="L1758" s="69">
        <f>VLOOKUP(Table_db1_backend_Daily.accdb[[#This Row],[TradingDate]],canon!B:E,4,0)</f>
        <v>31</v>
      </c>
    </row>
    <row r="1759" spans="1:12" x14ac:dyDescent="0.2">
      <c r="A1759" s="69" t="s">
        <v>42</v>
      </c>
      <c r="B1759" s="70">
        <v>42946</v>
      </c>
      <c r="C1759" s="69">
        <v>290</v>
      </c>
      <c r="D1759" s="69">
        <v>5</v>
      </c>
      <c r="E1759" s="69">
        <v>36.379999999999995</v>
      </c>
      <c r="F1759" s="69">
        <v>6.0000000000000497E-2</v>
      </c>
      <c r="G1759" s="69" t="s">
        <v>32</v>
      </c>
      <c r="H1759" s="69" t="str">
        <f>IFERROR(VLOOKUP(Data!$G1759,canon!$I$2:$K$27,2,FALSE),"")</f>
        <v>SKIRT</v>
      </c>
      <c r="I1759" s="69" t="str">
        <f>IFERROR(VLOOKUP(Data!$G1759,canon!$I$2:$K$27,3,FALSE),"")</f>
        <v>APPAREL</v>
      </c>
      <c r="J1759" s="69">
        <f t="shared" si="54"/>
        <v>1</v>
      </c>
      <c r="K1759" s="69">
        <f t="shared" si="55"/>
        <v>41</v>
      </c>
      <c r="L1759" s="69">
        <f>VLOOKUP(Table_db1_backend_Daily.accdb[[#This Row],[TradingDate]],canon!B:E,4,0)</f>
        <v>31</v>
      </c>
    </row>
    <row r="1760" spans="1:12" x14ac:dyDescent="0.2">
      <c r="A1760" s="69" t="s">
        <v>42</v>
      </c>
      <c r="B1760" s="70">
        <v>42946</v>
      </c>
      <c r="C1760" s="69">
        <v>784</v>
      </c>
      <c r="D1760" s="69">
        <v>7</v>
      </c>
      <c r="E1760" s="69">
        <v>63.55</v>
      </c>
      <c r="F1760" s="69">
        <v>30.01</v>
      </c>
      <c r="G1760" s="69" t="s">
        <v>25</v>
      </c>
      <c r="H1760" s="69" t="str">
        <f>IFERROR(VLOOKUP(Data!$G1760,canon!$I$2:$K$27,2,FALSE),"")</f>
        <v>TOP</v>
      </c>
      <c r="I1760" s="69" t="str">
        <f>IFERROR(VLOOKUP(Data!$G1760,canon!$I$2:$K$27,3,FALSE),"")</f>
        <v>APPAREL</v>
      </c>
      <c r="J1760" s="69">
        <f t="shared" si="54"/>
        <v>1</v>
      </c>
      <c r="K1760" s="69">
        <f t="shared" si="55"/>
        <v>41</v>
      </c>
      <c r="L1760" s="69">
        <f>VLOOKUP(Table_db1_backend_Daily.accdb[[#This Row],[TradingDate]],canon!B:E,4,0)</f>
        <v>31</v>
      </c>
    </row>
    <row r="1761" spans="1:12" x14ac:dyDescent="0.2">
      <c r="A1761" s="69" t="s">
        <v>42</v>
      </c>
      <c r="B1761" s="70">
        <v>42947</v>
      </c>
      <c r="C1761" s="69">
        <v>-2</v>
      </c>
      <c r="D1761" s="69">
        <v>0</v>
      </c>
      <c r="E1761" s="69">
        <v>0</v>
      </c>
      <c r="F1761" s="69">
        <v>0</v>
      </c>
      <c r="G1761" s="69" t="s">
        <v>34</v>
      </c>
      <c r="H1761" s="69" t="str">
        <f>IFERROR(VLOOKUP(Data!$G1761,canon!$I$2:$K$27,2,FALSE),"")</f>
        <v>SHOES</v>
      </c>
      <c r="I1761" s="69" t="str">
        <f>IFERROR(VLOOKUP(Data!$G1761,canon!$I$2:$K$27,3,FALSE),"")</f>
        <v>N.APPAREL</v>
      </c>
      <c r="J1761" s="69">
        <f t="shared" si="54"/>
        <v>2</v>
      </c>
      <c r="K1761" s="69">
        <f t="shared" si="55"/>
        <v>41</v>
      </c>
      <c r="L1761" s="69">
        <f>VLOOKUP(Table_db1_backend_Daily.accdb[[#This Row],[TradingDate]],canon!B:E,4,0)</f>
        <v>31</v>
      </c>
    </row>
    <row r="1762" spans="1:12" x14ac:dyDescent="0.2">
      <c r="A1762" s="69" t="s">
        <v>42</v>
      </c>
      <c r="B1762" s="70">
        <v>42947</v>
      </c>
      <c r="C1762" s="69">
        <v>605</v>
      </c>
      <c r="D1762" s="69">
        <v>7</v>
      </c>
      <c r="E1762" s="69">
        <v>113.45000000000002</v>
      </c>
      <c r="F1762" s="69">
        <v>57.04</v>
      </c>
      <c r="G1762" s="69" t="s">
        <v>35</v>
      </c>
      <c r="H1762" s="69" t="str">
        <f>IFERROR(VLOOKUP(Data!$G1762,canon!$I$2:$K$27,2,FALSE),"")</f>
        <v>DRESS</v>
      </c>
      <c r="I1762" s="69" t="str">
        <f>IFERROR(VLOOKUP(Data!$G1762,canon!$I$2:$K$27,3,FALSE),"")</f>
        <v>APPAREL</v>
      </c>
      <c r="J1762" s="69">
        <f t="shared" si="54"/>
        <v>2</v>
      </c>
      <c r="K1762" s="69">
        <f t="shared" si="55"/>
        <v>41</v>
      </c>
      <c r="L1762" s="69">
        <f>VLOOKUP(Table_db1_backend_Daily.accdb[[#This Row],[TradingDate]],canon!B:E,4,0)</f>
        <v>31</v>
      </c>
    </row>
    <row r="1763" spans="1:12" x14ac:dyDescent="0.2">
      <c r="A1763" s="69" t="s">
        <v>42</v>
      </c>
      <c r="B1763" s="70">
        <v>42947</v>
      </c>
      <c r="C1763" s="69">
        <v>-107</v>
      </c>
      <c r="D1763" s="69">
        <v>0</v>
      </c>
      <c r="E1763" s="69">
        <v>0</v>
      </c>
      <c r="F1763" s="69">
        <v>0</v>
      </c>
      <c r="G1763" s="69" t="s">
        <v>10</v>
      </c>
      <c r="H1763" s="69" t="str">
        <f>IFERROR(VLOOKUP(Data!$G1763,canon!$I$2:$K$27,2,FALSE),"")</f>
        <v>ACCESSORY</v>
      </c>
      <c r="I1763" s="69" t="str">
        <f>IFERROR(VLOOKUP(Data!$G1763,canon!$I$2:$K$27,3,FALSE),"")</f>
        <v>N.APPAREL</v>
      </c>
      <c r="J1763" s="69">
        <f t="shared" si="54"/>
        <v>2</v>
      </c>
      <c r="K1763" s="69">
        <f t="shared" si="55"/>
        <v>41</v>
      </c>
      <c r="L1763" s="69">
        <f>VLOOKUP(Table_db1_backend_Daily.accdb[[#This Row],[TradingDate]],canon!B:E,4,0)</f>
        <v>31</v>
      </c>
    </row>
    <row r="1764" spans="1:12" x14ac:dyDescent="0.2">
      <c r="A1764" s="69" t="s">
        <v>42</v>
      </c>
      <c r="B1764" s="70">
        <v>42947</v>
      </c>
      <c r="C1764" s="69">
        <v>984</v>
      </c>
      <c r="D1764" s="69">
        <v>41</v>
      </c>
      <c r="E1764" s="69">
        <v>440.30999999999989</v>
      </c>
      <c r="F1764" s="69">
        <v>119.7</v>
      </c>
      <c r="G1764" s="69" t="s">
        <v>11</v>
      </c>
      <c r="H1764" s="69" t="str">
        <f>IFERROR(VLOOKUP(Data!$G1764,canon!$I$2:$K$27,2,FALSE),"")</f>
        <v>KNIT</v>
      </c>
      <c r="I1764" s="69" t="str">
        <f>IFERROR(VLOOKUP(Data!$G1764,canon!$I$2:$K$27,3,FALSE),"")</f>
        <v>APPAREL</v>
      </c>
      <c r="J1764" s="69">
        <f t="shared" si="54"/>
        <v>2</v>
      </c>
      <c r="K1764" s="69">
        <f t="shared" si="55"/>
        <v>41</v>
      </c>
      <c r="L1764" s="69">
        <f>VLOOKUP(Table_db1_backend_Daily.accdb[[#This Row],[TradingDate]],canon!B:E,4,0)</f>
        <v>31</v>
      </c>
    </row>
    <row r="1765" spans="1:12" x14ac:dyDescent="0.2">
      <c r="A1765" s="69" t="s">
        <v>42</v>
      </c>
      <c r="B1765" s="70">
        <v>42947</v>
      </c>
      <c r="C1765" s="69">
        <v>393</v>
      </c>
      <c r="D1765" s="69">
        <v>2</v>
      </c>
      <c r="E1765" s="69">
        <v>18.18</v>
      </c>
      <c r="F1765" s="69">
        <v>4.26</v>
      </c>
      <c r="G1765" s="69" t="s">
        <v>14</v>
      </c>
      <c r="H1765" s="69" t="str">
        <f>IFERROR(VLOOKUP(Data!$G1765,canon!$I$2:$K$27,2,FALSE),"")</f>
        <v>LEGGING</v>
      </c>
      <c r="I1765" s="69" t="str">
        <f>IFERROR(VLOOKUP(Data!$G1765,canon!$I$2:$K$27,3,FALSE),"")</f>
        <v>APPAREL</v>
      </c>
      <c r="J1765" s="69">
        <f t="shared" si="54"/>
        <v>2</v>
      </c>
      <c r="K1765" s="69">
        <f t="shared" si="55"/>
        <v>41</v>
      </c>
      <c r="L1765" s="69">
        <f>VLOOKUP(Table_db1_backend_Daily.accdb[[#This Row],[TradingDate]],canon!B:E,4,0)</f>
        <v>31</v>
      </c>
    </row>
    <row r="1766" spans="1:12" x14ac:dyDescent="0.2">
      <c r="A1766" s="69" t="s">
        <v>42</v>
      </c>
      <c r="B1766" s="70">
        <v>42947</v>
      </c>
      <c r="C1766" s="69">
        <v>-91</v>
      </c>
      <c r="D1766" s="69">
        <v>0</v>
      </c>
      <c r="E1766" s="69">
        <v>0</v>
      </c>
      <c r="F1766" s="69">
        <v>0</v>
      </c>
      <c r="G1766" s="69" t="s">
        <v>37</v>
      </c>
      <c r="H1766" s="69" t="str">
        <f>IFERROR(VLOOKUP(Data!$G1766,canon!$I$2:$K$27,2,FALSE),"")</f>
        <v>SHOES</v>
      </c>
      <c r="I1766" s="69" t="str">
        <f>IFERROR(VLOOKUP(Data!$G1766,canon!$I$2:$K$27,3,FALSE),"")</f>
        <v>N.APPAREL</v>
      </c>
      <c r="J1766" s="69">
        <f t="shared" si="54"/>
        <v>2</v>
      </c>
      <c r="K1766" s="69">
        <f t="shared" si="55"/>
        <v>41</v>
      </c>
      <c r="L1766" s="69">
        <f>VLOOKUP(Table_db1_backend_Daily.accdb[[#This Row],[TradingDate]],canon!B:E,4,0)</f>
        <v>31</v>
      </c>
    </row>
    <row r="1767" spans="1:12" x14ac:dyDescent="0.2">
      <c r="A1767" s="69" t="s">
        <v>42</v>
      </c>
      <c r="B1767" s="70">
        <v>42947</v>
      </c>
      <c r="C1767" s="69">
        <v>-3</v>
      </c>
      <c r="D1767" s="69">
        <v>0</v>
      </c>
      <c r="E1767" s="69">
        <v>0</v>
      </c>
      <c r="F1767" s="69">
        <v>0</v>
      </c>
      <c r="G1767" s="69" t="s">
        <v>29</v>
      </c>
      <c r="H1767" s="69" t="str">
        <f>IFERROR(VLOOKUP(Data!$G1767,canon!$I$2:$K$27,2,FALSE),"")</f>
        <v>SHOES</v>
      </c>
      <c r="I1767" s="69" t="str">
        <f>IFERROR(VLOOKUP(Data!$G1767,canon!$I$2:$K$27,3,FALSE),"")</f>
        <v>N.APPAREL</v>
      </c>
      <c r="J1767" s="69">
        <f t="shared" si="54"/>
        <v>2</v>
      </c>
      <c r="K1767" s="69">
        <f t="shared" si="55"/>
        <v>41</v>
      </c>
      <c r="L1767" s="69">
        <f>VLOOKUP(Table_db1_backend_Daily.accdb[[#This Row],[TradingDate]],canon!B:E,4,0)</f>
        <v>31</v>
      </c>
    </row>
    <row r="1768" spans="1:12" x14ac:dyDescent="0.2">
      <c r="A1768" s="69" t="s">
        <v>42</v>
      </c>
      <c r="B1768" s="70">
        <v>42947</v>
      </c>
      <c r="C1768" s="69">
        <v>425</v>
      </c>
      <c r="D1768" s="69">
        <v>4</v>
      </c>
      <c r="E1768" s="69">
        <v>72.7</v>
      </c>
      <c r="F1768" s="69">
        <v>39.620000000000005</v>
      </c>
      <c r="G1768" s="69" t="s">
        <v>17</v>
      </c>
      <c r="H1768" s="69" t="str">
        <f>IFERROR(VLOOKUP(Data!$G1768,canon!$I$2:$K$27,2,FALSE),"")</f>
        <v>OUTER</v>
      </c>
      <c r="I1768" s="69" t="str">
        <f>IFERROR(VLOOKUP(Data!$G1768,canon!$I$2:$K$27,3,FALSE),"")</f>
        <v>APPAREL</v>
      </c>
      <c r="J1768" s="69">
        <f t="shared" si="54"/>
        <v>2</v>
      </c>
      <c r="K1768" s="69">
        <f t="shared" si="55"/>
        <v>41</v>
      </c>
      <c r="L1768" s="69">
        <f>VLOOKUP(Table_db1_backend_Daily.accdb[[#This Row],[TradingDate]],canon!B:E,4,0)</f>
        <v>31</v>
      </c>
    </row>
    <row r="1769" spans="1:12" x14ac:dyDescent="0.2">
      <c r="A1769" s="69" t="s">
        <v>42</v>
      </c>
      <c r="B1769" s="70">
        <v>42947</v>
      </c>
      <c r="C1769" s="69">
        <v>386</v>
      </c>
      <c r="D1769" s="69">
        <v>4</v>
      </c>
      <c r="E1769" s="69">
        <v>45.44</v>
      </c>
      <c r="F1769" s="69">
        <v>21.1</v>
      </c>
      <c r="G1769" s="69" t="s">
        <v>19</v>
      </c>
      <c r="H1769" s="69" t="str">
        <f>IFERROR(VLOOKUP(Data!$G1769,canon!$I$2:$K$27,2,FALSE),"")</f>
        <v>PANT</v>
      </c>
      <c r="I1769" s="69" t="str">
        <f>IFERROR(VLOOKUP(Data!$G1769,canon!$I$2:$K$27,3,FALSE),"")</f>
        <v>APPAREL</v>
      </c>
      <c r="J1769" s="69">
        <f t="shared" si="54"/>
        <v>2</v>
      </c>
      <c r="K1769" s="69">
        <f t="shared" si="55"/>
        <v>41</v>
      </c>
      <c r="L1769" s="69">
        <f>VLOOKUP(Table_db1_backend_Daily.accdb[[#This Row],[TradingDate]],canon!B:E,4,0)</f>
        <v>31</v>
      </c>
    </row>
    <row r="1770" spans="1:12" x14ac:dyDescent="0.2">
      <c r="A1770" s="69" t="s">
        <v>42</v>
      </c>
      <c r="B1770" s="70">
        <v>42947</v>
      </c>
      <c r="C1770" s="69">
        <v>0</v>
      </c>
      <c r="D1770" s="69">
        <v>0</v>
      </c>
      <c r="E1770" s="69">
        <v>0</v>
      </c>
      <c r="F1770" s="69">
        <v>0</v>
      </c>
      <c r="G1770" s="69" t="s">
        <v>21</v>
      </c>
      <c r="H1770" s="69" t="str">
        <f>IFERROR(VLOOKUP(Data!$G1770,canon!$I$2:$K$27,2,FALSE),"")</f>
        <v>ACCESSORY</v>
      </c>
      <c r="I1770" s="69" t="str">
        <f>IFERROR(VLOOKUP(Data!$G1770,canon!$I$2:$K$27,3,FALSE),"")</f>
        <v>N.APPAREL</v>
      </c>
      <c r="J1770" s="69">
        <f t="shared" si="54"/>
        <v>2</v>
      </c>
      <c r="K1770" s="69">
        <f t="shared" si="55"/>
        <v>41</v>
      </c>
      <c r="L1770" s="69">
        <f>VLOOKUP(Table_db1_backend_Daily.accdb[[#This Row],[TradingDate]],canon!B:E,4,0)</f>
        <v>31</v>
      </c>
    </row>
    <row r="1771" spans="1:12" x14ac:dyDescent="0.2">
      <c r="A1771" s="69" t="s">
        <v>42</v>
      </c>
      <c r="B1771" s="70">
        <v>42947</v>
      </c>
      <c r="C1771" s="69">
        <v>-271</v>
      </c>
      <c r="D1771" s="69">
        <v>17</v>
      </c>
      <c r="E1771" s="69">
        <v>98.780000000000015</v>
      </c>
      <c r="F1771" s="69">
        <v>72.39</v>
      </c>
      <c r="G1771" s="69" t="s">
        <v>22</v>
      </c>
      <c r="H1771" s="69" t="str">
        <f>IFERROR(VLOOKUP(Data!$G1771,canon!$I$2:$K$27,2,FALSE),"")</f>
        <v>SCARF</v>
      </c>
      <c r="I1771" s="69" t="str">
        <f>IFERROR(VLOOKUP(Data!$G1771,canon!$I$2:$K$27,3,FALSE),"")</f>
        <v>N.APPAREL</v>
      </c>
      <c r="J1771" s="69">
        <f t="shared" si="54"/>
        <v>2</v>
      </c>
      <c r="K1771" s="69">
        <f t="shared" si="55"/>
        <v>41</v>
      </c>
      <c r="L1771" s="69">
        <f>VLOOKUP(Table_db1_backend_Daily.accdb[[#This Row],[TradingDate]],canon!B:E,4,0)</f>
        <v>31</v>
      </c>
    </row>
    <row r="1772" spans="1:12" x14ac:dyDescent="0.2">
      <c r="A1772" s="69" t="s">
        <v>42</v>
      </c>
      <c r="B1772" s="70">
        <v>42947</v>
      </c>
      <c r="C1772" s="69">
        <v>239</v>
      </c>
      <c r="D1772" s="69">
        <v>0</v>
      </c>
      <c r="E1772" s="69">
        <v>0</v>
      </c>
      <c r="F1772" s="69">
        <v>0</v>
      </c>
      <c r="G1772" s="69" t="s">
        <v>23</v>
      </c>
      <c r="H1772" s="69" t="str">
        <f>IFERROR(VLOOKUP(Data!$G1772,canon!$I$2:$K$27,2,FALSE),"")</f>
        <v>SH&amp;BL</v>
      </c>
      <c r="I1772" s="69" t="str">
        <f>IFERROR(VLOOKUP(Data!$G1772,canon!$I$2:$K$27,3,FALSE),"")</f>
        <v>APPAREL</v>
      </c>
      <c r="J1772" s="69">
        <f t="shared" si="54"/>
        <v>2</v>
      </c>
      <c r="K1772" s="69">
        <f t="shared" si="55"/>
        <v>41</v>
      </c>
      <c r="L1772" s="69">
        <f>VLOOKUP(Table_db1_backend_Daily.accdb[[#This Row],[TradingDate]],canon!B:E,4,0)</f>
        <v>31</v>
      </c>
    </row>
    <row r="1773" spans="1:12" x14ac:dyDescent="0.2">
      <c r="A1773" s="69" t="s">
        <v>42</v>
      </c>
      <c r="B1773" s="70">
        <v>42947</v>
      </c>
      <c r="C1773" s="69">
        <v>305</v>
      </c>
      <c r="D1773" s="69">
        <v>2</v>
      </c>
      <c r="E1773" s="69">
        <v>36.36</v>
      </c>
      <c r="F1773" s="69">
        <v>27.77</v>
      </c>
      <c r="G1773" s="69" t="s">
        <v>32</v>
      </c>
      <c r="H1773" s="69" t="str">
        <f>IFERROR(VLOOKUP(Data!$G1773,canon!$I$2:$K$27,2,FALSE),"")</f>
        <v>SKIRT</v>
      </c>
      <c r="I1773" s="69" t="str">
        <f>IFERROR(VLOOKUP(Data!$G1773,canon!$I$2:$K$27,3,FALSE),"")</f>
        <v>APPAREL</v>
      </c>
      <c r="J1773" s="69">
        <f t="shared" si="54"/>
        <v>2</v>
      </c>
      <c r="K1773" s="69">
        <f t="shared" si="55"/>
        <v>41</v>
      </c>
      <c r="L1773" s="69">
        <f>VLOOKUP(Table_db1_backend_Daily.accdb[[#This Row],[TradingDate]],canon!B:E,4,0)</f>
        <v>31</v>
      </c>
    </row>
    <row r="1774" spans="1:12" x14ac:dyDescent="0.2">
      <c r="A1774" s="69" t="s">
        <v>42</v>
      </c>
      <c r="B1774" s="70">
        <v>42947</v>
      </c>
      <c r="C1774" s="69">
        <v>1004</v>
      </c>
      <c r="D1774" s="69">
        <v>18</v>
      </c>
      <c r="E1774" s="69">
        <v>104.56</v>
      </c>
      <c r="F1774" s="69">
        <v>35.36</v>
      </c>
      <c r="G1774" s="69" t="s">
        <v>25</v>
      </c>
      <c r="H1774" s="69" t="str">
        <f>IFERROR(VLOOKUP(Data!$G1774,canon!$I$2:$K$27,2,FALSE),"")</f>
        <v>TOP</v>
      </c>
      <c r="I1774" s="69" t="str">
        <f>IFERROR(VLOOKUP(Data!$G1774,canon!$I$2:$K$27,3,FALSE),"")</f>
        <v>APPAREL</v>
      </c>
      <c r="J1774" s="69">
        <f t="shared" si="54"/>
        <v>2</v>
      </c>
      <c r="K1774" s="69">
        <f t="shared" si="55"/>
        <v>41</v>
      </c>
      <c r="L1774" s="69">
        <f>VLOOKUP(Table_db1_backend_Daily.accdb[[#This Row],[TradingDate]],canon!B:E,4,0)</f>
        <v>31</v>
      </c>
    </row>
    <row r="1775" spans="1:12" x14ac:dyDescent="0.2">
      <c r="A1775" s="69" t="s">
        <v>42</v>
      </c>
      <c r="B1775" s="70">
        <v>42948</v>
      </c>
      <c r="C1775" s="69">
        <v>-2</v>
      </c>
      <c r="D1775" s="69">
        <v>0</v>
      </c>
      <c r="E1775" s="69">
        <v>0</v>
      </c>
      <c r="F1775" s="69">
        <v>0</v>
      </c>
      <c r="G1775" s="69" t="s">
        <v>34</v>
      </c>
      <c r="H1775" s="69" t="str">
        <f>IFERROR(VLOOKUP(Data!$G1775,canon!$I$2:$K$27,2,FALSE),"")</f>
        <v>SHOES</v>
      </c>
      <c r="I1775" s="69" t="str">
        <f>IFERROR(VLOOKUP(Data!$G1775,canon!$I$2:$K$27,3,FALSE),"")</f>
        <v>N.APPAREL</v>
      </c>
      <c r="J1775" s="69">
        <f t="shared" si="54"/>
        <v>3</v>
      </c>
      <c r="K1775" s="69">
        <f t="shared" si="55"/>
        <v>41</v>
      </c>
      <c r="L1775" s="69">
        <f>VLOOKUP(Table_db1_backend_Daily.accdb[[#This Row],[TradingDate]],canon!B:E,4,0)</f>
        <v>31</v>
      </c>
    </row>
    <row r="1776" spans="1:12" x14ac:dyDescent="0.2">
      <c r="A1776" s="69" t="s">
        <v>42</v>
      </c>
      <c r="B1776" s="70">
        <v>42948</v>
      </c>
      <c r="C1776" s="69">
        <v>621</v>
      </c>
      <c r="D1776" s="69">
        <v>2</v>
      </c>
      <c r="E1776" s="69">
        <v>31.77</v>
      </c>
      <c r="F1776" s="69">
        <v>17.420000000000002</v>
      </c>
      <c r="G1776" s="69" t="s">
        <v>35</v>
      </c>
      <c r="H1776" s="69" t="str">
        <f>IFERROR(VLOOKUP(Data!$G1776,canon!$I$2:$K$27,2,FALSE),"")</f>
        <v>DRESS</v>
      </c>
      <c r="I1776" s="69" t="str">
        <f>IFERROR(VLOOKUP(Data!$G1776,canon!$I$2:$K$27,3,FALSE),"")</f>
        <v>APPAREL</v>
      </c>
      <c r="J1776" s="69">
        <f t="shared" si="54"/>
        <v>3</v>
      </c>
      <c r="K1776" s="69">
        <f t="shared" si="55"/>
        <v>41</v>
      </c>
      <c r="L1776" s="69">
        <f>VLOOKUP(Table_db1_backend_Daily.accdb[[#This Row],[TradingDate]],canon!B:E,4,0)</f>
        <v>31</v>
      </c>
    </row>
    <row r="1777" spans="1:12" x14ac:dyDescent="0.2">
      <c r="A1777" s="69" t="s">
        <v>42</v>
      </c>
      <c r="B1777" s="70">
        <v>42948</v>
      </c>
      <c r="C1777" s="69">
        <v>-107</v>
      </c>
      <c r="D1777" s="69">
        <v>0</v>
      </c>
      <c r="E1777" s="69">
        <v>0</v>
      </c>
      <c r="F1777" s="69">
        <v>0</v>
      </c>
      <c r="G1777" s="69" t="s">
        <v>10</v>
      </c>
      <c r="H1777" s="69" t="str">
        <f>IFERROR(VLOOKUP(Data!$G1777,canon!$I$2:$K$27,2,FALSE),"")</f>
        <v>ACCESSORY</v>
      </c>
      <c r="I1777" s="69" t="str">
        <f>IFERROR(VLOOKUP(Data!$G1777,canon!$I$2:$K$27,3,FALSE),"")</f>
        <v>N.APPAREL</v>
      </c>
      <c r="J1777" s="69">
        <f t="shared" si="54"/>
        <v>3</v>
      </c>
      <c r="K1777" s="69">
        <f t="shared" si="55"/>
        <v>41</v>
      </c>
      <c r="L1777" s="69">
        <f>VLOOKUP(Table_db1_backend_Daily.accdb[[#This Row],[TradingDate]],canon!B:E,4,0)</f>
        <v>31</v>
      </c>
    </row>
    <row r="1778" spans="1:12" x14ac:dyDescent="0.2">
      <c r="A1778" s="69" t="s">
        <v>42</v>
      </c>
      <c r="B1778" s="70">
        <v>42948</v>
      </c>
      <c r="C1778" s="69">
        <v>980</v>
      </c>
      <c r="D1778" s="69">
        <v>36</v>
      </c>
      <c r="E1778" s="69">
        <v>385.80999999999995</v>
      </c>
      <c r="F1778" s="69">
        <v>103.61000000000001</v>
      </c>
      <c r="G1778" s="69" t="s">
        <v>11</v>
      </c>
      <c r="H1778" s="69" t="str">
        <f>IFERROR(VLOOKUP(Data!$G1778,canon!$I$2:$K$27,2,FALSE),"")</f>
        <v>KNIT</v>
      </c>
      <c r="I1778" s="69" t="str">
        <f>IFERROR(VLOOKUP(Data!$G1778,canon!$I$2:$K$27,3,FALSE),"")</f>
        <v>APPAREL</v>
      </c>
      <c r="J1778" s="69">
        <f t="shared" si="54"/>
        <v>3</v>
      </c>
      <c r="K1778" s="69">
        <f t="shared" si="55"/>
        <v>41</v>
      </c>
      <c r="L1778" s="69">
        <f>VLOOKUP(Table_db1_backend_Daily.accdb[[#This Row],[TradingDate]],canon!B:E,4,0)</f>
        <v>31</v>
      </c>
    </row>
    <row r="1779" spans="1:12" x14ac:dyDescent="0.2">
      <c r="A1779" s="69" t="s">
        <v>42</v>
      </c>
      <c r="B1779" s="70">
        <v>42948</v>
      </c>
      <c r="C1779" s="69">
        <v>390</v>
      </c>
      <c r="D1779" s="69">
        <v>3</v>
      </c>
      <c r="E1779" s="69">
        <v>27.27</v>
      </c>
      <c r="F1779" s="69">
        <v>6.39</v>
      </c>
      <c r="G1779" s="69" t="s">
        <v>14</v>
      </c>
      <c r="H1779" s="69" t="str">
        <f>IFERROR(VLOOKUP(Data!$G1779,canon!$I$2:$K$27,2,FALSE),"")</f>
        <v>LEGGING</v>
      </c>
      <c r="I1779" s="69" t="str">
        <f>IFERROR(VLOOKUP(Data!$G1779,canon!$I$2:$K$27,3,FALSE),"")</f>
        <v>APPAREL</v>
      </c>
      <c r="J1779" s="69">
        <f t="shared" si="54"/>
        <v>3</v>
      </c>
      <c r="K1779" s="69">
        <f t="shared" si="55"/>
        <v>41</v>
      </c>
      <c r="L1779" s="69">
        <f>VLOOKUP(Table_db1_backend_Daily.accdb[[#This Row],[TradingDate]],canon!B:E,4,0)</f>
        <v>31</v>
      </c>
    </row>
    <row r="1780" spans="1:12" x14ac:dyDescent="0.2">
      <c r="A1780" s="69" t="s">
        <v>42</v>
      </c>
      <c r="B1780" s="70">
        <v>42948</v>
      </c>
      <c r="C1780" s="69">
        <v>-91</v>
      </c>
      <c r="D1780" s="69">
        <v>0</v>
      </c>
      <c r="E1780" s="69">
        <v>0</v>
      </c>
      <c r="F1780" s="69">
        <v>0</v>
      </c>
      <c r="G1780" s="69" t="s">
        <v>37</v>
      </c>
      <c r="H1780" s="69" t="str">
        <f>IFERROR(VLOOKUP(Data!$G1780,canon!$I$2:$K$27,2,FALSE),"")</f>
        <v>SHOES</v>
      </c>
      <c r="I1780" s="69" t="str">
        <f>IFERROR(VLOOKUP(Data!$G1780,canon!$I$2:$K$27,3,FALSE),"")</f>
        <v>N.APPAREL</v>
      </c>
      <c r="J1780" s="69">
        <f t="shared" si="54"/>
        <v>3</v>
      </c>
      <c r="K1780" s="69">
        <f t="shared" si="55"/>
        <v>41</v>
      </c>
      <c r="L1780" s="69">
        <f>VLOOKUP(Table_db1_backend_Daily.accdb[[#This Row],[TradingDate]],canon!B:E,4,0)</f>
        <v>31</v>
      </c>
    </row>
    <row r="1781" spans="1:12" x14ac:dyDescent="0.2">
      <c r="A1781" s="69" t="s">
        <v>42</v>
      </c>
      <c r="B1781" s="70">
        <v>42948</v>
      </c>
      <c r="C1781" s="69">
        <v>-3</v>
      </c>
      <c r="D1781" s="69">
        <v>0</v>
      </c>
      <c r="E1781" s="69">
        <v>0</v>
      </c>
      <c r="F1781" s="69">
        <v>0</v>
      </c>
      <c r="G1781" s="69" t="s">
        <v>29</v>
      </c>
      <c r="H1781" s="69" t="str">
        <f>IFERROR(VLOOKUP(Data!$G1781,canon!$I$2:$K$27,2,FALSE),"")</f>
        <v>SHOES</v>
      </c>
      <c r="I1781" s="69" t="str">
        <f>IFERROR(VLOOKUP(Data!$G1781,canon!$I$2:$K$27,3,FALSE),"")</f>
        <v>N.APPAREL</v>
      </c>
      <c r="J1781" s="69">
        <f t="shared" si="54"/>
        <v>3</v>
      </c>
      <c r="K1781" s="69">
        <f t="shared" si="55"/>
        <v>41</v>
      </c>
      <c r="L1781" s="69">
        <f>VLOOKUP(Table_db1_backend_Daily.accdb[[#This Row],[TradingDate]],canon!B:E,4,0)</f>
        <v>31</v>
      </c>
    </row>
    <row r="1782" spans="1:12" x14ac:dyDescent="0.2">
      <c r="A1782" s="69" t="s">
        <v>42</v>
      </c>
      <c r="B1782" s="70">
        <v>42948</v>
      </c>
      <c r="C1782" s="69">
        <v>424</v>
      </c>
      <c r="D1782" s="69">
        <v>7</v>
      </c>
      <c r="E1782" s="69">
        <v>127.27000000000001</v>
      </c>
      <c r="F1782" s="69">
        <v>71.53</v>
      </c>
      <c r="G1782" s="69" t="s">
        <v>17</v>
      </c>
      <c r="H1782" s="69" t="str">
        <f>IFERROR(VLOOKUP(Data!$G1782,canon!$I$2:$K$27,2,FALSE),"")</f>
        <v>OUTER</v>
      </c>
      <c r="I1782" s="69" t="str">
        <f>IFERROR(VLOOKUP(Data!$G1782,canon!$I$2:$K$27,3,FALSE),"")</f>
        <v>APPAREL</v>
      </c>
      <c r="J1782" s="69">
        <f t="shared" si="54"/>
        <v>3</v>
      </c>
      <c r="K1782" s="69">
        <f t="shared" si="55"/>
        <v>41</v>
      </c>
      <c r="L1782" s="69">
        <f>VLOOKUP(Table_db1_backend_Daily.accdb[[#This Row],[TradingDate]],canon!B:E,4,0)</f>
        <v>31</v>
      </c>
    </row>
    <row r="1783" spans="1:12" x14ac:dyDescent="0.2">
      <c r="A1783" s="69" t="s">
        <v>42</v>
      </c>
      <c r="B1783" s="70">
        <v>42948</v>
      </c>
      <c r="C1783" s="69">
        <v>383</v>
      </c>
      <c r="D1783" s="69">
        <v>3</v>
      </c>
      <c r="E1783" s="69">
        <v>45.45</v>
      </c>
      <c r="F1783" s="69">
        <v>25.78</v>
      </c>
      <c r="G1783" s="69" t="s">
        <v>19</v>
      </c>
      <c r="H1783" s="69" t="str">
        <f>IFERROR(VLOOKUP(Data!$G1783,canon!$I$2:$K$27,2,FALSE),"")</f>
        <v>PANT</v>
      </c>
      <c r="I1783" s="69" t="str">
        <f>IFERROR(VLOOKUP(Data!$G1783,canon!$I$2:$K$27,3,FALSE),"")</f>
        <v>APPAREL</v>
      </c>
      <c r="J1783" s="69">
        <f t="shared" si="54"/>
        <v>3</v>
      </c>
      <c r="K1783" s="69">
        <f t="shared" si="55"/>
        <v>41</v>
      </c>
      <c r="L1783" s="69">
        <f>VLOOKUP(Table_db1_backend_Daily.accdb[[#This Row],[TradingDate]],canon!B:E,4,0)</f>
        <v>31</v>
      </c>
    </row>
    <row r="1784" spans="1:12" x14ac:dyDescent="0.2">
      <c r="A1784" s="69" t="s">
        <v>42</v>
      </c>
      <c r="B1784" s="70">
        <v>42948</v>
      </c>
      <c r="C1784" s="69">
        <v>0</v>
      </c>
      <c r="D1784" s="69">
        <v>0</v>
      </c>
      <c r="E1784" s="69">
        <v>0</v>
      </c>
      <c r="F1784" s="69">
        <v>0</v>
      </c>
      <c r="G1784" s="69" t="s">
        <v>21</v>
      </c>
      <c r="H1784" s="69" t="str">
        <f>IFERROR(VLOOKUP(Data!$G1784,canon!$I$2:$K$27,2,FALSE),"")</f>
        <v>ACCESSORY</v>
      </c>
      <c r="I1784" s="69" t="str">
        <f>IFERROR(VLOOKUP(Data!$G1784,canon!$I$2:$K$27,3,FALSE),"")</f>
        <v>N.APPAREL</v>
      </c>
      <c r="J1784" s="69">
        <f t="shared" si="54"/>
        <v>3</v>
      </c>
      <c r="K1784" s="69">
        <f t="shared" si="55"/>
        <v>41</v>
      </c>
      <c r="L1784" s="69">
        <f>VLOOKUP(Table_db1_backend_Daily.accdb[[#This Row],[TradingDate]],canon!B:E,4,0)</f>
        <v>31</v>
      </c>
    </row>
    <row r="1785" spans="1:12" x14ac:dyDescent="0.2">
      <c r="A1785" s="69" t="s">
        <v>42</v>
      </c>
      <c r="B1785" s="70">
        <v>42948</v>
      </c>
      <c r="C1785" s="69">
        <v>-291</v>
      </c>
      <c r="D1785" s="69">
        <v>20</v>
      </c>
      <c r="E1785" s="69">
        <v>86.38</v>
      </c>
      <c r="F1785" s="69">
        <v>51.61</v>
      </c>
      <c r="G1785" s="69" t="s">
        <v>22</v>
      </c>
      <c r="H1785" s="69" t="str">
        <f>IFERROR(VLOOKUP(Data!$G1785,canon!$I$2:$K$27,2,FALSE),"")</f>
        <v>SCARF</v>
      </c>
      <c r="I1785" s="69" t="str">
        <f>IFERROR(VLOOKUP(Data!$G1785,canon!$I$2:$K$27,3,FALSE),"")</f>
        <v>N.APPAREL</v>
      </c>
      <c r="J1785" s="69">
        <f t="shared" si="54"/>
        <v>3</v>
      </c>
      <c r="K1785" s="69">
        <f t="shared" si="55"/>
        <v>41</v>
      </c>
      <c r="L1785" s="69">
        <f>VLOOKUP(Table_db1_backend_Daily.accdb[[#This Row],[TradingDate]],canon!B:E,4,0)</f>
        <v>31</v>
      </c>
    </row>
    <row r="1786" spans="1:12" x14ac:dyDescent="0.2">
      <c r="A1786" s="69" t="s">
        <v>42</v>
      </c>
      <c r="B1786" s="70">
        <v>42948</v>
      </c>
      <c r="C1786" s="69">
        <v>238</v>
      </c>
      <c r="D1786" s="69">
        <v>1</v>
      </c>
      <c r="E1786" s="69">
        <v>18.18</v>
      </c>
      <c r="F1786" s="69">
        <v>9.6999999999999993</v>
      </c>
      <c r="G1786" s="69" t="s">
        <v>23</v>
      </c>
      <c r="H1786" s="69" t="str">
        <f>IFERROR(VLOOKUP(Data!$G1786,canon!$I$2:$K$27,2,FALSE),"")</f>
        <v>SH&amp;BL</v>
      </c>
      <c r="I1786" s="69" t="str">
        <f>IFERROR(VLOOKUP(Data!$G1786,canon!$I$2:$K$27,3,FALSE),"")</f>
        <v>APPAREL</v>
      </c>
      <c r="J1786" s="69">
        <f t="shared" si="54"/>
        <v>3</v>
      </c>
      <c r="K1786" s="69">
        <f t="shared" si="55"/>
        <v>41</v>
      </c>
      <c r="L1786" s="69">
        <f>VLOOKUP(Table_db1_backend_Daily.accdb[[#This Row],[TradingDate]],canon!B:E,4,0)</f>
        <v>31</v>
      </c>
    </row>
    <row r="1787" spans="1:12" x14ac:dyDescent="0.2">
      <c r="A1787" s="69" t="s">
        <v>42</v>
      </c>
      <c r="B1787" s="70">
        <v>42948</v>
      </c>
      <c r="C1787" s="69">
        <v>334</v>
      </c>
      <c r="D1787" s="69">
        <v>1</v>
      </c>
      <c r="E1787" s="69">
        <v>18.18</v>
      </c>
      <c r="F1787" s="69">
        <v>10.57</v>
      </c>
      <c r="G1787" s="69" t="s">
        <v>32</v>
      </c>
      <c r="H1787" s="69" t="str">
        <f>IFERROR(VLOOKUP(Data!$G1787,canon!$I$2:$K$27,2,FALSE),"")</f>
        <v>SKIRT</v>
      </c>
      <c r="I1787" s="69" t="str">
        <f>IFERROR(VLOOKUP(Data!$G1787,canon!$I$2:$K$27,3,FALSE),"")</f>
        <v>APPAREL</v>
      </c>
      <c r="J1787" s="69">
        <f t="shared" si="54"/>
        <v>3</v>
      </c>
      <c r="K1787" s="69">
        <f t="shared" si="55"/>
        <v>41</v>
      </c>
      <c r="L1787" s="69">
        <f>VLOOKUP(Table_db1_backend_Daily.accdb[[#This Row],[TradingDate]],canon!B:E,4,0)</f>
        <v>31</v>
      </c>
    </row>
    <row r="1788" spans="1:12" x14ac:dyDescent="0.2">
      <c r="A1788" s="69" t="s">
        <v>42</v>
      </c>
      <c r="B1788" s="70">
        <v>42948</v>
      </c>
      <c r="C1788" s="69">
        <v>1003</v>
      </c>
      <c r="D1788" s="69">
        <v>19</v>
      </c>
      <c r="E1788" s="69">
        <v>131.82999999999998</v>
      </c>
      <c r="F1788" s="69">
        <v>43.760000000000005</v>
      </c>
      <c r="G1788" s="69" t="s">
        <v>25</v>
      </c>
      <c r="H1788" s="69" t="str">
        <f>IFERROR(VLOOKUP(Data!$G1788,canon!$I$2:$K$27,2,FALSE),"")</f>
        <v>TOP</v>
      </c>
      <c r="I1788" s="69" t="str">
        <f>IFERROR(VLOOKUP(Data!$G1788,canon!$I$2:$K$27,3,FALSE),"")</f>
        <v>APPAREL</v>
      </c>
      <c r="J1788" s="69">
        <f t="shared" si="54"/>
        <v>3</v>
      </c>
      <c r="K1788" s="69">
        <f t="shared" si="55"/>
        <v>41</v>
      </c>
      <c r="L1788" s="69">
        <f>VLOOKUP(Table_db1_backend_Daily.accdb[[#This Row],[TradingDate]],canon!B:E,4,0)</f>
        <v>31</v>
      </c>
    </row>
    <row r="1789" spans="1:12" x14ac:dyDescent="0.2">
      <c r="A1789" s="69" t="s">
        <v>42</v>
      </c>
      <c r="B1789" s="70">
        <v>42949</v>
      </c>
      <c r="C1789" s="69">
        <v>-2</v>
      </c>
      <c r="D1789" s="69">
        <v>0</v>
      </c>
      <c r="E1789" s="69">
        <v>0</v>
      </c>
      <c r="F1789" s="69">
        <v>0</v>
      </c>
      <c r="G1789" s="69" t="s">
        <v>34</v>
      </c>
      <c r="H1789" s="69" t="str">
        <f>IFERROR(VLOOKUP(Data!$G1789,canon!$I$2:$K$27,2,FALSE),"")</f>
        <v>SHOES</v>
      </c>
      <c r="I1789" s="69" t="str">
        <f>IFERROR(VLOOKUP(Data!$G1789,canon!$I$2:$K$27,3,FALSE),"")</f>
        <v>N.APPAREL</v>
      </c>
      <c r="J1789" s="69">
        <f t="shared" si="54"/>
        <v>4</v>
      </c>
      <c r="K1789" s="69">
        <f t="shared" si="55"/>
        <v>41</v>
      </c>
      <c r="L1789" s="69">
        <f>VLOOKUP(Table_db1_backend_Daily.accdb[[#This Row],[TradingDate]],canon!B:E,4,0)</f>
        <v>31</v>
      </c>
    </row>
    <row r="1790" spans="1:12" x14ac:dyDescent="0.2">
      <c r="A1790" s="69" t="s">
        <v>42</v>
      </c>
      <c r="B1790" s="70">
        <v>42949</v>
      </c>
      <c r="C1790" s="69">
        <v>619</v>
      </c>
      <c r="D1790" s="69">
        <v>2</v>
      </c>
      <c r="E1790" s="69">
        <v>27.18</v>
      </c>
      <c r="F1790" s="69">
        <v>10.219999999999999</v>
      </c>
      <c r="G1790" s="69" t="s">
        <v>35</v>
      </c>
      <c r="H1790" s="69" t="str">
        <f>IFERROR(VLOOKUP(Data!$G1790,canon!$I$2:$K$27,2,FALSE),"")</f>
        <v>DRESS</v>
      </c>
      <c r="I1790" s="69" t="str">
        <f>IFERROR(VLOOKUP(Data!$G1790,canon!$I$2:$K$27,3,FALSE),"")</f>
        <v>APPAREL</v>
      </c>
      <c r="J1790" s="69">
        <f t="shared" si="54"/>
        <v>4</v>
      </c>
      <c r="K1790" s="69">
        <f t="shared" si="55"/>
        <v>41</v>
      </c>
      <c r="L1790" s="69">
        <f>VLOOKUP(Table_db1_backend_Daily.accdb[[#This Row],[TradingDate]],canon!B:E,4,0)</f>
        <v>31</v>
      </c>
    </row>
    <row r="1791" spans="1:12" x14ac:dyDescent="0.2">
      <c r="A1791" s="69" t="s">
        <v>42</v>
      </c>
      <c r="B1791" s="70">
        <v>42949</v>
      </c>
      <c r="C1791" s="69">
        <v>-99</v>
      </c>
      <c r="D1791" s="69">
        <v>0</v>
      </c>
      <c r="E1791" s="69">
        <v>0</v>
      </c>
      <c r="F1791" s="69">
        <v>0</v>
      </c>
      <c r="G1791" s="69" t="s">
        <v>10</v>
      </c>
      <c r="H1791" s="69" t="str">
        <f>IFERROR(VLOOKUP(Data!$G1791,canon!$I$2:$K$27,2,FALSE),"")</f>
        <v>ACCESSORY</v>
      </c>
      <c r="I1791" s="69" t="str">
        <f>IFERROR(VLOOKUP(Data!$G1791,canon!$I$2:$K$27,3,FALSE),"")</f>
        <v>N.APPAREL</v>
      </c>
      <c r="J1791" s="69">
        <f t="shared" si="54"/>
        <v>4</v>
      </c>
      <c r="K1791" s="69">
        <f t="shared" si="55"/>
        <v>41</v>
      </c>
      <c r="L1791" s="69">
        <f>VLOOKUP(Table_db1_backend_Daily.accdb[[#This Row],[TradingDate]],canon!B:E,4,0)</f>
        <v>31</v>
      </c>
    </row>
    <row r="1792" spans="1:12" x14ac:dyDescent="0.2">
      <c r="A1792" s="69" t="s">
        <v>42</v>
      </c>
      <c r="B1792" s="70">
        <v>42949</v>
      </c>
      <c r="C1792" s="69">
        <v>935</v>
      </c>
      <c r="D1792" s="69">
        <v>45</v>
      </c>
      <c r="E1792" s="69">
        <v>417.65999999999991</v>
      </c>
      <c r="F1792" s="69">
        <v>81.170000000000016</v>
      </c>
      <c r="G1792" s="69" t="s">
        <v>11</v>
      </c>
      <c r="H1792" s="69" t="str">
        <f>IFERROR(VLOOKUP(Data!$G1792,canon!$I$2:$K$27,2,FALSE),"")</f>
        <v>KNIT</v>
      </c>
      <c r="I1792" s="69" t="str">
        <f>IFERROR(VLOOKUP(Data!$G1792,canon!$I$2:$K$27,3,FALSE),"")</f>
        <v>APPAREL</v>
      </c>
      <c r="J1792" s="69">
        <f t="shared" si="54"/>
        <v>4</v>
      </c>
      <c r="K1792" s="69">
        <f t="shared" si="55"/>
        <v>41</v>
      </c>
      <c r="L1792" s="69">
        <f>VLOOKUP(Table_db1_backend_Daily.accdb[[#This Row],[TradingDate]],canon!B:E,4,0)</f>
        <v>31</v>
      </c>
    </row>
    <row r="1793" spans="1:12" x14ac:dyDescent="0.2">
      <c r="A1793" s="69" t="s">
        <v>42</v>
      </c>
      <c r="B1793" s="70">
        <v>42949</v>
      </c>
      <c r="C1793" s="69">
        <v>383</v>
      </c>
      <c r="D1793" s="69">
        <v>7</v>
      </c>
      <c r="E1793" s="69">
        <v>63.620000000000005</v>
      </c>
      <c r="F1793" s="69">
        <v>14.579999999999998</v>
      </c>
      <c r="G1793" s="69" t="s">
        <v>14</v>
      </c>
      <c r="H1793" s="69" t="str">
        <f>IFERROR(VLOOKUP(Data!$G1793,canon!$I$2:$K$27,2,FALSE),"")</f>
        <v>LEGGING</v>
      </c>
      <c r="I1793" s="69" t="str">
        <f>IFERROR(VLOOKUP(Data!$G1793,canon!$I$2:$K$27,3,FALSE),"")</f>
        <v>APPAREL</v>
      </c>
      <c r="J1793" s="69">
        <f t="shared" si="54"/>
        <v>4</v>
      </c>
      <c r="K1793" s="69">
        <f t="shared" si="55"/>
        <v>41</v>
      </c>
      <c r="L1793" s="69">
        <f>VLOOKUP(Table_db1_backend_Daily.accdb[[#This Row],[TradingDate]],canon!B:E,4,0)</f>
        <v>31</v>
      </c>
    </row>
    <row r="1794" spans="1:12" x14ac:dyDescent="0.2">
      <c r="A1794" s="69" t="s">
        <v>42</v>
      </c>
      <c r="B1794" s="70">
        <v>42949</v>
      </c>
      <c r="C1794" s="69">
        <v>-102</v>
      </c>
      <c r="D1794" s="69">
        <v>0</v>
      </c>
      <c r="E1794" s="69">
        <v>0</v>
      </c>
      <c r="F1794" s="69">
        <v>0</v>
      </c>
      <c r="G1794" s="69" t="s">
        <v>37</v>
      </c>
      <c r="H1794" s="69" t="str">
        <f>IFERROR(VLOOKUP(Data!$G1794,canon!$I$2:$K$27,2,FALSE),"")</f>
        <v>SHOES</v>
      </c>
      <c r="I1794" s="69" t="str">
        <f>IFERROR(VLOOKUP(Data!$G1794,canon!$I$2:$K$27,3,FALSE),"")</f>
        <v>N.APPAREL</v>
      </c>
      <c r="J1794" s="69">
        <f t="shared" ref="J1794:J1857" si="56">WEEKDAY(B1794)</f>
        <v>4</v>
      </c>
      <c r="K1794" s="69">
        <f t="shared" ref="K1794:K1857" si="57">INT(A1794)</f>
        <v>41</v>
      </c>
      <c r="L1794" s="69">
        <f>VLOOKUP(Table_db1_backend_Daily.accdb[[#This Row],[TradingDate]],canon!B:E,4,0)</f>
        <v>31</v>
      </c>
    </row>
    <row r="1795" spans="1:12" x14ac:dyDescent="0.2">
      <c r="A1795" s="69" t="s">
        <v>42</v>
      </c>
      <c r="B1795" s="70">
        <v>42949</v>
      </c>
      <c r="C1795" s="69">
        <v>413</v>
      </c>
      <c r="D1795" s="69">
        <v>13</v>
      </c>
      <c r="E1795" s="69">
        <v>227.23000000000002</v>
      </c>
      <c r="F1795" s="69">
        <v>133.94</v>
      </c>
      <c r="G1795" s="69" t="s">
        <v>17</v>
      </c>
      <c r="H1795" s="69" t="str">
        <f>IFERROR(VLOOKUP(Data!$G1795,canon!$I$2:$K$27,2,FALSE),"")</f>
        <v>OUTER</v>
      </c>
      <c r="I1795" s="69" t="str">
        <f>IFERROR(VLOOKUP(Data!$G1795,canon!$I$2:$K$27,3,FALSE),"")</f>
        <v>APPAREL</v>
      </c>
      <c r="J1795" s="69">
        <f t="shared" si="56"/>
        <v>4</v>
      </c>
      <c r="K1795" s="69">
        <f t="shared" si="57"/>
        <v>41</v>
      </c>
      <c r="L1795" s="69">
        <f>VLOOKUP(Table_db1_backend_Daily.accdb[[#This Row],[TradingDate]],canon!B:E,4,0)</f>
        <v>31</v>
      </c>
    </row>
    <row r="1796" spans="1:12" x14ac:dyDescent="0.2">
      <c r="A1796" s="69" t="s">
        <v>42</v>
      </c>
      <c r="B1796" s="70">
        <v>42949</v>
      </c>
      <c r="C1796" s="69">
        <v>383</v>
      </c>
      <c r="D1796" s="69">
        <v>0</v>
      </c>
      <c r="E1796" s="69">
        <v>0</v>
      </c>
      <c r="F1796" s="69">
        <v>0</v>
      </c>
      <c r="G1796" s="69" t="s">
        <v>19</v>
      </c>
      <c r="H1796" s="69" t="str">
        <f>IFERROR(VLOOKUP(Data!$G1796,canon!$I$2:$K$27,2,FALSE),"")</f>
        <v>PANT</v>
      </c>
      <c r="I1796" s="69" t="str">
        <f>IFERROR(VLOOKUP(Data!$G1796,canon!$I$2:$K$27,3,FALSE),"")</f>
        <v>APPAREL</v>
      </c>
      <c r="J1796" s="69">
        <f t="shared" si="56"/>
        <v>4</v>
      </c>
      <c r="K1796" s="69">
        <f t="shared" si="57"/>
        <v>41</v>
      </c>
      <c r="L1796" s="69">
        <f>VLOOKUP(Table_db1_backend_Daily.accdb[[#This Row],[TradingDate]],canon!B:E,4,0)</f>
        <v>31</v>
      </c>
    </row>
    <row r="1797" spans="1:12" x14ac:dyDescent="0.2">
      <c r="A1797" s="69" t="s">
        <v>42</v>
      </c>
      <c r="B1797" s="70">
        <v>42949</v>
      </c>
      <c r="C1797" s="69">
        <v>0</v>
      </c>
      <c r="D1797" s="69">
        <v>0</v>
      </c>
      <c r="E1797" s="69">
        <v>0</v>
      </c>
      <c r="F1797" s="69">
        <v>0</v>
      </c>
      <c r="G1797" s="69" t="s">
        <v>21</v>
      </c>
      <c r="H1797" s="69" t="str">
        <f>IFERROR(VLOOKUP(Data!$G1797,canon!$I$2:$K$27,2,FALSE),"")</f>
        <v>ACCESSORY</v>
      </c>
      <c r="I1797" s="69" t="str">
        <f>IFERROR(VLOOKUP(Data!$G1797,canon!$I$2:$K$27,3,FALSE),"")</f>
        <v>N.APPAREL</v>
      </c>
      <c r="J1797" s="69">
        <f t="shared" si="56"/>
        <v>4</v>
      </c>
      <c r="K1797" s="69">
        <f t="shared" si="57"/>
        <v>41</v>
      </c>
      <c r="L1797" s="69">
        <f>VLOOKUP(Table_db1_backend_Daily.accdb[[#This Row],[TradingDate]],canon!B:E,4,0)</f>
        <v>31</v>
      </c>
    </row>
    <row r="1798" spans="1:12" x14ac:dyDescent="0.2">
      <c r="A1798" s="69" t="s">
        <v>42</v>
      </c>
      <c r="B1798" s="70">
        <v>42949</v>
      </c>
      <c r="C1798" s="69">
        <v>-261</v>
      </c>
      <c r="D1798" s="69">
        <v>13</v>
      </c>
      <c r="E1798" s="69">
        <v>72.52</v>
      </c>
      <c r="F1798" s="69">
        <v>50.16</v>
      </c>
      <c r="G1798" s="69" t="s">
        <v>22</v>
      </c>
      <c r="H1798" s="69" t="str">
        <f>IFERROR(VLOOKUP(Data!$G1798,canon!$I$2:$K$27,2,FALSE),"")</f>
        <v>SCARF</v>
      </c>
      <c r="I1798" s="69" t="str">
        <f>IFERROR(VLOOKUP(Data!$G1798,canon!$I$2:$K$27,3,FALSE),"")</f>
        <v>N.APPAREL</v>
      </c>
      <c r="J1798" s="69">
        <f t="shared" si="56"/>
        <v>4</v>
      </c>
      <c r="K1798" s="69">
        <f t="shared" si="57"/>
        <v>41</v>
      </c>
      <c r="L1798" s="69">
        <f>VLOOKUP(Table_db1_backend_Daily.accdb[[#This Row],[TradingDate]],canon!B:E,4,0)</f>
        <v>31</v>
      </c>
    </row>
    <row r="1799" spans="1:12" x14ac:dyDescent="0.2">
      <c r="A1799" s="69" t="s">
        <v>42</v>
      </c>
      <c r="B1799" s="70">
        <v>42949</v>
      </c>
      <c r="C1799" s="69">
        <v>238</v>
      </c>
      <c r="D1799" s="69">
        <v>0</v>
      </c>
      <c r="E1799" s="69">
        <v>0</v>
      </c>
      <c r="F1799" s="69">
        <v>0</v>
      </c>
      <c r="G1799" s="69" t="s">
        <v>23</v>
      </c>
      <c r="H1799" s="69" t="str">
        <f>IFERROR(VLOOKUP(Data!$G1799,canon!$I$2:$K$27,2,FALSE),"")</f>
        <v>SH&amp;BL</v>
      </c>
      <c r="I1799" s="69" t="str">
        <f>IFERROR(VLOOKUP(Data!$G1799,canon!$I$2:$K$27,3,FALSE),"")</f>
        <v>APPAREL</v>
      </c>
      <c r="J1799" s="69">
        <f t="shared" si="56"/>
        <v>4</v>
      </c>
      <c r="K1799" s="69">
        <f t="shared" si="57"/>
        <v>41</v>
      </c>
      <c r="L1799" s="69">
        <f>VLOOKUP(Table_db1_backend_Daily.accdb[[#This Row],[TradingDate]],canon!B:E,4,0)</f>
        <v>31</v>
      </c>
    </row>
    <row r="1800" spans="1:12" x14ac:dyDescent="0.2">
      <c r="A1800" s="69" t="s">
        <v>42</v>
      </c>
      <c r="B1800" s="70">
        <v>42949</v>
      </c>
      <c r="C1800" s="69">
        <v>333</v>
      </c>
      <c r="D1800" s="69">
        <v>1</v>
      </c>
      <c r="E1800" s="69">
        <v>18.14</v>
      </c>
      <c r="F1800" s="69">
        <v>12.71</v>
      </c>
      <c r="G1800" s="69" t="s">
        <v>32</v>
      </c>
      <c r="H1800" s="69" t="str">
        <f>IFERROR(VLOOKUP(Data!$G1800,canon!$I$2:$K$27,2,FALSE),"")</f>
        <v>SKIRT</v>
      </c>
      <c r="I1800" s="69" t="str">
        <f>IFERROR(VLOOKUP(Data!$G1800,canon!$I$2:$K$27,3,FALSE),"")</f>
        <v>APPAREL</v>
      </c>
      <c r="J1800" s="69">
        <f t="shared" si="56"/>
        <v>4</v>
      </c>
      <c r="K1800" s="69">
        <f t="shared" si="57"/>
        <v>41</v>
      </c>
      <c r="L1800" s="69">
        <f>VLOOKUP(Table_db1_backend_Daily.accdb[[#This Row],[TradingDate]],canon!B:E,4,0)</f>
        <v>31</v>
      </c>
    </row>
    <row r="1801" spans="1:12" x14ac:dyDescent="0.2">
      <c r="A1801" s="69" t="s">
        <v>42</v>
      </c>
      <c r="B1801" s="70">
        <v>42949</v>
      </c>
      <c r="C1801" s="69">
        <v>989</v>
      </c>
      <c r="D1801" s="69">
        <v>14</v>
      </c>
      <c r="E1801" s="69">
        <v>118.03</v>
      </c>
      <c r="F1801" s="69">
        <v>54.519999999999996</v>
      </c>
      <c r="G1801" s="69" t="s">
        <v>25</v>
      </c>
      <c r="H1801" s="69" t="str">
        <f>IFERROR(VLOOKUP(Data!$G1801,canon!$I$2:$K$27,2,FALSE),"")</f>
        <v>TOP</v>
      </c>
      <c r="I1801" s="69" t="str">
        <f>IFERROR(VLOOKUP(Data!$G1801,canon!$I$2:$K$27,3,FALSE),"")</f>
        <v>APPAREL</v>
      </c>
      <c r="J1801" s="69">
        <f t="shared" si="56"/>
        <v>4</v>
      </c>
      <c r="K1801" s="69">
        <f t="shared" si="57"/>
        <v>41</v>
      </c>
      <c r="L1801" s="69">
        <f>VLOOKUP(Table_db1_backend_Daily.accdb[[#This Row],[TradingDate]],canon!B:E,4,0)</f>
        <v>31</v>
      </c>
    </row>
    <row r="1802" spans="1:12" x14ac:dyDescent="0.2">
      <c r="A1802" s="69" t="s">
        <v>42</v>
      </c>
      <c r="B1802" s="70">
        <v>42950</v>
      </c>
      <c r="C1802" s="69">
        <v>-2</v>
      </c>
      <c r="D1802" s="69">
        <v>0</v>
      </c>
      <c r="E1802" s="69">
        <v>0</v>
      </c>
      <c r="F1802" s="69">
        <v>0</v>
      </c>
      <c r="G1802" s="69" t="s">
        <v>34</v>
      </c>
      <c r="H1802" s="69" t="str">
        <f>IFERROR(VLOOKUP(Data!$G1802,canon!$I$2:$K$27,2,FALSE),"")</f>
        <v>SHOES</v>
      </c>
      <c r="I1802" s="69" t="str">
        <f>IFERROR(VLOOKUP(Data!$G1802,canon!$I$2:$K$27,3,FALSE),"")</f>
        <v>N.APPAREL</v>
      </c>
      <c r="J1802" s="69">
        <f t="shared" si="56"/>
        <v>5</v>
      </c>
      <c r="K1802" s="69">
        <f t="shared" si="57"/>
        <v>41</v>
      </c>
      <c r="L1802" s="69">
        <f>VLOOKUP(Table_db1_backend_Daily.accdb[[#This Row],[TradingDate]],canon!B:E,4,0)</f>
        <v>31</v>
      </c>
    </row>
    <row r="1803" spans="1:12" x14ac:dyDescent="0.2">
      <c r="A1803" s="69" t="s">
        <v>42</v>
      </c>
      <c r="B1803" s="70">
        <v>42950</v>
      </c>
      <c r="C1803" s="69">
        <v>609</v>
      </c>
      <c r="D1803" s="69">
        <v>10</v>
      </c>
      <c r="E1803" s="69">
        <v>122.57000000000002</v>
      </c>
      <c r="F1803" s="69">
        <v>48.42</v>
      </c>
      <c r="G1803" s="69" t="s">
        <v>35</v>
      </c>
      <c r="H1803" s="69" t="str">
        <f>IFERROR(VLOOKUP(Data!$G1803,canon!$I$2:$K$27,2,FALSE),"")</f>
        <v>DRESS</v>
      </c>
      <c r="I1803" s="69" t="str">
        <f>IFERROR(VLOOKUP(Data!$G1803,canon!$I$2:$K$27,3,FALSE),"")</f>
        <v>APPAREL</v>
      </c>
      <c r="J1803" s="69">
        <f t="shared" si="56"/>
        <v>5</v>
      </c>
      <c r="K1803" s="69">
        <f t="shared" si="57"/>
        <v>41</v>
      </c>
      <c r="L1803" s="69">
        <f>VLOOKUP(Table_db1_backend_Daily.accdb[[#This Row],[TradingDate]],canon!B:E,4,0)</f>
        <v>31</v>
      </c>
    </row>
    <row r="1804" spans="1:12" x14ac:dyDescent="0.2">
      <c r="A1804" s="69" t="s">
        <v>42</v>
      </c>
      <c r="B1804" s="70">
        <v>42950</v>
      </c>
      <c r="C1804" s="69">
        <v>-107</v>
      </c>
      <c r="D1804" s="69">
        <v>0</v>
      </c>
      <c r="E1804" s="69">
        <v>0</v>
      </c>
      <c r="F1804" s="69">
        <v>0</v>
      </c>
      <c r="G1804" s="69" t="s">
        <v>10</v>
      </c>
      <c r="H1804" s="69" t="str">
        <f>IFERROR(VLOOKUP(Data!$G1804,canon!$I$2:$K$27,2,FALSE),"")</f>
        <v>ACCESSORY</v>
      </c>
      <c r="I1804" s="69" t="str">
        <f>IFERROR(VLOOKUP(Data!$G1804,canon!$I$2:$K$27,3,FALSE),"")</f>
        <v>N.APPAREL</v>
      </c>
      <c r="J1804" s="69">
        <f t="shared" si="56"/>
        <v>5</v>
      </c>
      <c r="K1804" s="69">
        <f t="shared" si="57"/>
        <v>41</v>
      </c>
      <c r="L1804" s="69">
        <f>VLOOKUP(Table_db1_backend_Daily.accdb[[#This Row],[TradingDate]],canon!B:E,4,0)</f>
        <v>31</v>
      </c>
    </row>
    <row r="1805" spans="1:12" x14ac:dyDescent="0.2">
      <c r="A1805" s="69" t="s">
        <v>42</v>
      </c>
      <c r="B1805" s="70">
        <v>42950</v>
      </c>
      <c r="C1805" s="69">
        <v>855</v>
      </c>
      <c r="D1805" s="69">
        <v>80</v>
      </c>
      <c r="E1805" s="69">
        <v>749.4899999999999</v>
      </c>
      <c r="F1805" s="69">
        <v>123.83</v>
      </c>
      <c r="G1805" s="69" t="s">
        <v>11</v>
      </c>
      <c r="H1805" s="69" t="str">
        <f>IFERROR(VLOOKUP(Data!$G1805,canon!$I$2:$K$27,2,FALSE),"")</f>
        <v>KNIT</v>
      </c>
      <c r="I1805" s="69" t="str">
        <f>IFERROR(VLOOKUP(Data!$G1805,canon!$I$2:$K$27,3,FALSE),"")</f>
        <v>APPAREL</v>
      </c>
      <c r="J1805" s="69">
        <f t="shared" si="56"/>
        <v>5</v>
      </c>
      <c r="K1805" s="69">
        <f t="shared" si="57"/>
        <v>41</v>
      </c>
      <c r="L1805" s="69">
        <f>VLOOKUP(Table_db1_backend_Daily.accdb[[#This Row],[TradingDate]],canon!B:E,4,0)</f>
        <v>31</v>
      </c>
    </row>
    <row r="1806" spans="1:12" x14ac:dyDescent="0.2">
      <c r="A1806" s="69" t="s">
        <v>42</v>
      </c>
      <c r="B1806" s="70">
        <v>42950</v>
      </c>
      <c r="C1806" s="69">
        <v>376</v>
      </c>
      <c r="D1806" s="69">
        <v>7</v>
      </c>
      <c r="E1806" s="69">
        <v>90.9</v>
      </c>
      <c r="F1806" s="69">
        <v>42.19</v>
      </c>
      <c r="G1806" s="69" t="s">
        <v>14</v>
      </c>
      <c r="H1806" s="69" t="str">
        <f>IFERROR(VLOOKUP(Data!$G1806,canon!$I$2:$K$27,2,FALSE),"")</f>
        <v>LEGGING</v>
      </c>
      <c r="I1806" s="69" t="str">
        <f>IFERROR(VLOOKUP(Data!$G1806,canon!$I$2:$K$27,3,FALSE),"")</f>
        <v>APPAREL</v>
      </c>
      <c r="J1806" s="69">
        <f t="shared" si="56"/>
        <v>5</v>
      </c>
      <c r="K1806" s="69">
        <f t="shared" si="57"/>
        <v>41</v>
      </c>
      <c r="L1806" s="69">
        <f>VLOOKUP(Table_db1_backend_Daily.accdb[[#This Row],[TradingDate]],canon!B:E,4,0)</f>
        <v>31</v>
      </c>
    </row>
    <row r="1807" spans="1:12" x14ac:dyDescent="0.2">
      <c r="A1807" s="69" t="s">
        <v>42</v>
      </c>
      <c r="B1807" s="70">
        <v>42950</v>
      </c>
      <c r="C1807" s="69">
        <v>-91</v>
      </c>
      <c r="D1807" s="69">
        <v>0</v>
      </c>
      <c r="E1807" s="69">
        <v>0</v>
      </c>
      <c r="F1807" s="69">
        <v>0</v>
      </c>
      <c r="G1807" s="69" t="s">
        <v>37</v>
      </c>
      <c r="H1807" s="69" t="str">
        <f>IFERROR(VLOOKUP(Data!$G1807,canon!$I$2:$K$27,2,FALSE),"")</f>
        <v>SHOES</v>
      </c>
      <c r="I1807" s="69" t="str">
        <f>IFERROR(VLOOKUP(Data!$G1807,canon!$I$2:$K$27,3,FALSE),"")</f>
        <v>N.APPAREL</v>
      </c>
      <c r="J1807" s="69">
        <f t="shared" si="56"/>
        <v>5</v>
      </c>
      <c r="K1807" s="69">
        <f t="shared" si="57"/>
        <v>41</v>
      </c>
      <c r="L1807" s="69">
        <f>VLOOKUP(Table_db1_backend_Daily.accdb[[#This Row],[TradingDate]],canon!B:E,4,0)</f>
        <v>31</v>
      </c>
    </row>
    <row r="1808" spans="1:12" x14ac:dyDescent="0.2">
      <c r="A1808" s="69" t="s">
        <v>42</v>
      </c>
      <c r="B1808" s="70">
        <v>42950</v>
      </c>
      <c r="C1808" s="69">
        <v>-3</v>
      </c>
      <c r="D1808" s="69">
        <v>0</v>
      </c>
      <c r="E1808" s="69">
        <v>0</v>
      </c>
      <c r="F1808" s="69">
        <v>0</v>
      </c>
      <c r="G1808" s="69" t="s">
        <v>29</v>
      </c>
      <c r="H1808" s="69" t="str">
        <f>IFERROR(VLOOKUP(Data!$G1808,canon!$I$2:$K$27,2,FALSE),"")</f>
        <v>SHOES</v>
      </c>
      <c r="I1808" s="69" t="str">
        <f>IFERROR(VLOOKUP(Data!$G1808,canon!$I$2:$K$27,3,FALSE),"")</f>
        <v>N.APPAREL</v>
      </c>
      <c r="J1808" s="69">
        <f t="shared" si="56"/>
        <v>5</v>
      </c>
      <c r="K1808" s="69">
        <f t="shared" si="57"/>
        <v>41</v>
      </c>
      <c r="L1808" s="69">
        <f>VLOOKUP(Table_db1_backend_Daily.accdb[[#This Row],[TradingDate]],canon!B:E,4,0)</f>
        <v>31</v>
      </c>
    </row>
    <row r="1809" spans="1:12" x14ac:dyDescent="0.2">
      <c r="A1809" s="69" t="s">
        <v>42</v>
      </c>
      <c r="B1809" s="70">
        <v>42950</v>
      </c>
      <c r="C1809" s="69">
        <v>385</v>
      </c>
      <c r="D1809" s="69">
        <v>26</v>
      </c>
      <c r="E1809" s="69">
        <v>409.03000000000003</v>
      </c>
      <c r="F1809" s="69">
        <v>169.84</v>
      </c>
      <c r="G1809" s="69" t="s">
        <v>17</v>
      </c>
      <c r="H1809" s="69" t="str">
        <f>IFERROR(VLOOKUP(Data!$G1809,canon!$I$2:$K$27,2,FALSE),"")</f>
        <v>OUTER</v>
      </c>
      <c r="I1809" s="69" t="str">
        <f>IFERROR(VLOOKUP(Data!$G1809,canon!$I$2:$K$27,3,FALSE),"")</f>
        <v>APPAREL</v>
      </c>
      <c r="J1809" s="69">
        <f t="shared" si="56"/>
        <v>5</v>
      </c>
      <c r="K1809" s="69">
        <f t="shared" si="57"/>
        <v>41</v>
      </c>
      <c r="L1809" s="69">
        <f>VLOOKUP(Table_db1_backend_Daily.accdb[[#This Row],[TradingDate]],canon!B:E,4,0)</f>
        <v>31</v>
      </c>
    </row>
    <row r="1810" spans="1:12" x14ac:dyDescent="0.2">
      <c r="A1810" s="69" t="s">
        <v>42</v>
      </c>
      <c r="B1810" s="70">
        <v>42950</v>
      </c>
      <c r="C1810" s="69">
        <v>370</v>
      </c>
      <c r="D1810" s="69">
        <v>13</v>
      </c>
      <c r="E1810" s="69">
        <v>95.44</v>
      </c>
      <c r="F1810" s="69">
        <v>15.030000000000001</v>
      </c>
      <c r="G1810" s="69" t="s">
        <v>19</v>
      </c>
      <c r="H1810" s="69" t="str">
        <f>IFERROR(VLOOKUP(Data!$G1810,canon!$I$2:$K$27,2,FALSE),"")</f>
        <v>PANT</v>
      </c>
      <c r="I1810" s="69" t="str">
        <f>IFERROR(VLOOKUP(Data!$G1810,canon!$I$2:$K$27,3,FALSE),"")</f>
        <v>APPAREL</v>
      </c>
      <c r="J1810" s="69">
        <f t="shared" si="56"/>
        <v>5</v>
      </c>
      <c r="K1810" s="69">
        <f t="shared" si="57"/>
        <v>41</v>
      </c>
      <c r="L1810" s="69">
        <f>VLOOKUP(Table_db1_backend_Daily.accdb[[#This Row],[TradingDate]],canon!B:E,4,0)</f>
        <v>31</v>
      </c>
    </row>
    <row r="1811" spans="1:12" x14ac:dyDescent="0.2">
      <c r="A1811" s="69" t="s">
        <v>42</v>
      </c>
      <c r="B1811" s="70">
        <v>42950</v>
      </c>
      <c r="C1811" s="69">
        <v>0</v>
      </c>
      <c r="D1811" s="69">
        <v>0</v>
      </c>
      <c r="E1811" s="69">
        <v>0</v>
      </c>
      <c r="F1811" s="69">
        <v>0</v>
      </c>
      <c r="G1811" s="69" t="s">
        <v>21</v>
      </c>
      <c r="H1811" s="69" t="str">
        <f>IFERROR(VLOOKUP(Data!$G1811,canon!$I$2:$K$27,2,FALSE),"")</f>
        <v>ACCESSORY</v>
      </c>
      <c r="I1811" s="69" t="str">
        <f>IFERROR(VLOOKUP(Data!$G1811,canon!$I$2:$K$27,3,FALSE),"")</f>
        <v>N.APPAREL</v>
      </c>
      <c r="J1811" s="69">
        <f t="shared" si="56"/>
        <v>5</v>
      </c>
      <c r="K1811" s="69">
        <f t="shared" si="57"/>
        <v>41</v>
      </c>
      <c r="L1811" s="69">
        <f>VLOOKUP(Table_db1_backend_Daily.accdb[[#This Row],[TradingDate]],canon!B:E,4,0)</f>
        <v>31</v>
      </c>
    </row>
    <row r="1812" spans="1:12" x14ac:dyDescent="0.2">
      <c r="A1812" s="69" t="s">
        <v>42</v>
      </c>
      <c r="B1812" s="70">
        <v>42950</v>
      </c>
      <c r="C1812" s="69">
        <v>-118</v>
      </c>
      <c r="D1812" s="69">
        <v>14</v>
      </c>
      <c r="E1812" s="69">
        <v>71.719999999999985</v>
      </c>
      <c r="F1812" s="69">
        <v>48.930000000000014</v>
      </c>
      <c r="G1812" s="69" t="s">
        <v>22</v>
      </c>
      <c r="H1812" s="69" t="str">
        <f>IFERROR(VLOOKUP(Data!$G1812,canon!$I$2:$K$27,2,FALSE),"")</f>
        <v>SCARF</v>
      </c>
      <c r="I1812" s="69" t="str">
        <f>IFERROR(VLOOKUP(Data!$G1812,canon!$I$2:$K$27,3,FALSE),"")</f>
        <v>N.APPAREL</v>
      </c>
      <c r="J1812" s="69">
        <f t="shared" si="56"/>
        <v>5</v>
      </c>
      <c r="K1812" s="69">
        <f t="shared" si="57"/>
        <v>41</v>
      </c>
      <c r="L1812" s="69">
        <f>VLOOKUP(Table_db1_backend_Daily.accdb[[#This Row],[TradingDate]],canon!B:E,4,0)</f>
        <v>31</v>
      </c>
    </row>
    <row r="1813" spans="1:12" x14ac:dyDescent="0.2">
      <c r="A1813" s="69" t="s">
        <v>42</v>
      </c>
      <c r="B1813" s="70">
        <v>42950</v>
      </c>
      <c r="C1813" s="69">
        <v>237</v>
      </c>
      <c r="D1813" s="69">
        <v>1</v>
      </c>
      <c r="E1813" s="69">
        <v>9.09</v>
      </c>
      <c r="F1813" s="69">
        <v>1.05</v>
      </c>
      <c r="G1813" s="69" t="s">
        <v>23</v>
      </c>
      <c r="H1813" s="69" t="str">
        <f>IFERROR(VLOOKUP(Data!$G1813,canon!$I$2:$K$27,2,FALSE),"")</f>
        <v>SH&amp;BL</v>
      </c>
      <c r="I1813" s="69" t="str">
        <f>IFERROR(VLOOKUP(Data!$G1813,canon!$I$2:$K$27,3,FALSE),"")</f>
        <v>APPAREL</v>
      </c>
      <c r="J1813" s="69">
        <f t="shared" si="56"/>
        <v>5</v>
      </c>
      <c r="K1813" s="69">
        <f t="shared" si="57"/>
        <v>41</v>
      </c>
      <c r="L1813" s="69">
        <f>VLOOKUP(Table_db1_backend_Daily.accdb[[#This Row],[TradingDate]],canon!B:E,4,0)</f>
        <v>31</v>
      </c>
    </row>
    <row r="1814" spans="1:12" x14ac:dyDescent="0.2">
      <c r="A1814" s="69" t="s">
        <v>42</v>
      </c>
      <c r="B1814" s="70">
        <v>42950</v>
      </c>
      <c r="C1814" s="69">
        <v>330</v>
      </c>
      <c r="D1814" s="69">
        <v>3</v>
      </c>
      <c r="E1814" s="69">
        <v>54.49</v>
      </c>
      <c r="F1814" s="69">
        <v>38.629999999999995</v>
      </c>
      <c r="G1814" s="69" t="s">
        <v>32</v>
      </c>
      <c r="H1814" s="69" t="str">
        <f>IFERROR(VLOOKUP(Data!$G1814,canon!$I$2:$K$27,2,FALSE),"")</f>
        <v>SKIRT</v>
      </c>
      <c r="I1814" s="69" t="str">
        <f>IFERROR(VLOOKUP(Data!$G1814,canon!$I$2:$K$27,3,FALSE),"")</f>
        <v>APPAREL</v>
      </c>
      <c r="J1814" s="69">
        <f t="shared" si="56"/>
        <v>5</v>
      </c>
      <c r="K1814" s="69">
        <f t="shared" si="57"/>
        <v>41</v>
      </c>
      <c r="L1814" s="69">
        <f>VLOOKUP(Table_db1_backend_Daily.accdb[[#This Row],[TradingDate]],canon!B:E,4,0)</f>
        <v>31</v>
      </c>
    </row>
    <row r="1815" spans="1:12" x14ac:dyDescent="0.2">
      <c r="A1815" s="69" t="s">
        <v>42</v>
      </c>
      <c r="B1815" s="70">
        <v>42950</v>
      </c>
      <c r="C1815" s="69">
        <v>961</v>
      </c>
      <c r="D1815" s="69">
        <v>28</v>
      </c>
      <c r="E1815" s="69">
        <v>290.65999999999997</v>
      </c>
      <c r="F1815" s="69">
        <v>122.91999999999997</v>
      </c>
      <c r="G1815" s="69" t="s">
        <v>25</v>
      </c>
      <c r="H1815" s="69" t="str">
        <f>IFERROR(VLOOKUP(Data!$G1815,canon!$I$2:$K$27,2,FALSE),"")</f>
        <v>TOP</v>
      </c>
      <c r="I1815" s="69" t="str">
        <f>IFERROR(VLOOKUP(Data!$G1815,canon!$I$2:$K$27,3,FALSE),"")</f>
        <v>APPAREL</v>
      </c>
      <c r="J1815" s="69">
        <f t="shared" si="56"/>
        <v>5</v>
      </c>
      <c r="K1815" s="69">
        <f t="shared" si="57"/>
        <v>41</v>
      </c>
      <c r="L1815" s="69">
        <f>VLOOKUP(Table_db1_backend_Daily.accdb[[#This Row],[TradingDate]],canon!B:E,4,0)</f>
        <v>31</v>
      </c>
    </row>
    <row r="1816" spans="1:12" x14ac:dyDescent="0.2">
      <c r="A1816" s="69" t="s">
        <v>42</v>
      </c>
      <c r="B1816" s="70">
        <v>42951</v>
      </c>
      <c r="C1816" s="69">
        <v>-2</v>
      </c>
      <c r="D1816" s="69">
        <v>0</v>
      </c>
      <c r="E1816" s="69">
        <v>0</v>
      </c>
      <c r="F1816" s="69">
        <v>0</v>
      </c>
      <c r="G1816" s="69" t="s">
        <v>34</v>
      </c>
      <c r="H1816" s="69" t="str">
        <f>IFERROR(VLOOKUP(Data!$G1816,canon!$I$2:$K$27,2,FALSE),"")</f>
        <v>SHOES</v>
      </c>
      <c r="I1816" s="69" t="str">
        <f>IFERROR(VLOOKUP(Data!$G1816,canon!$I$2:$K$27,3,FALSE),"")</f>
        <v>N.APPAREL</v>
      </c>
      <c r="J1816" s="69">
        <f t="shared" si="56"/>
        <v>6</v>
      </c>
      <c r="K1816" s="69">
        <f t="shared" si="57"/>
        <v>41</v>
      </c>
      <c r="L1816" s="69">
        <f>VLOOKUP(Table_db1_backend_Daily.accdb[[#This Row],[TradingDate]],canon!B:E,4,0)</f>
        <v>31</v>
      </c>
    </row>
    <row r="1817" spans="1:12" x14ac:dyDescent="0.2">
      <c r="A1817" s="69" t="s">
        <v>42</v>
      </c>
      <c r="B1817" s="70">
        <v>42951</v>
      </c>
      <c r="C1817" s="69">
        <v>594</v>
      </c>
      <c r="D1817" s="69">
        <v>15</v>
      </c>
      <c r="E1817" s="69">
        <v>136.35</v>
      </c>
      <c r="F1817" s="69">
        <v>15.78</v>
      </c>
      <c r="G1817" s="69" t="s">
        <v>35</v>
      </c>
      <c r="H1817" s="69" t="str">
        <f>IFERROR(VLOOKUP(Data!$G1817,canon!$I$2:$K$27,2,FALSE),"")</f>
        <v>DRESS</v>
      </c>
      <c r="I1817" s="69" t="str">
        <f>IFERROR(VLOOKUP(Data!$G1817,canon!$I$2:$K$27,3,FALSE),"")</f>
        <v>APPAREL</v>
      </c>
      <c r="J1817" s="69">
        <f t="shared" si="56"/>
        <v>6</v>
      </c>
      <c r="K1817" s="69">
        <f t="shared" si="57"/>
        <v>41</v>
      </c>
      <c r="L1817" s="69">
        <f>VLOOKUP(Table_db1_backend_Daily.accdb[[#This Row],[TradingDate]],canon!B:E,4,0)</f>
        <v>31</v>
      </c>
    </row>
    <row r="1818" spans="1:12" x14ac:dyDescent="0.2">
      <c r="A1818" s="69" t="s">
        <v>42</v>
      </c>
      <c r="B1818" s="70">
        <v>42951</v>
      </c>
      <c r="C1818" s="69">
        <v>-107</v>
      </c>
      <c r="D1818" s="69">
        <v>0</v>
      </c>
      <c r="E1818" s="69">
        <v>0</v>
      </c>
      <c r="F1818" s="69">
        <v>0</v>
      </c>
      <c r="G1818" s="69" t="s">
        <v>10</v>
      </c>
      <c r="H1818" s="69" t="str">
        <f>IFERROR(VLOOKUP(Data!$G1818,canon!$I$2:$K$27,2,FALSE),"")</f>
        <v>ACCESSORY</v>
      </c>
      <c r="I1818" s="69" t="str">
        <f>IFERROR(VLOOKUP(Data!$G1818,canon!$I$2:$K$27,3,FALSE),"")</f>
        <v>N.APPAREL</v>
      </c>
      <c r="J1818" s="69">
        <f t="shared" si="56"/>
        <v>6</v>
      </c>
      <c r="K1818" s="69">
        <f t="shared" si="57"/>
        <v>41</v>
      </c>
      <c r="L1818" s="69">
        <f>VLOOKUP(Table_db1_backend_Daily.accdb[[#This Row],[TradingDate]],canon!B:E,4,0)</f>
        <v>31</v>
      </c>
    </row>
    <row r="1819" spans="1:12" x14ac:dyDescent="0.2">
      <c r="A1819" s="69" t="s">
        <v>42</v>
      </c>
      <c r="B1819" s="70">
        <v>42951</v>
      </c>
      <c r="C1819" s="69">
        <v>771</v>
      </c>
      <c r="D1819" s="69">
        <v>84</v>
      </c>
      <c r="E1819" s="69">
        <v>722.68000000000006</v>
      </c>
      <c r="F1819" s="69">
        <v>45.919999999999987</v>
      </c>
      <c r="G1819" s="69" t="s">
        <v>11</v>
      </c>
      <c r="H1819" s="69" t="str">
        <f>IFERROR(VLOOKUP(Data!$G1819,canon!$I$2:$K$27,2,FALSE),"")</f>
        <v>KNIT</v>
      </c>
      <c r="I1819" s="69" t="str">
        <f>IFERROR(VLOOKUP(Data!$G1819,canon!$I$2:$K$27,3,FALSE),"")</f>
        <v>APPAREL</v>
      </c>
      <c r="J1819" s="69">
        <f t="shared" si="56"/>
        <v>6</v>
      </c>
      <c r="K1819" s="69">
        <f t="shared" si="57"/>
        <v>41</v>
      </c>
      <c r="L1819" s="69">
        <f>VLOOKUP(Table_db1_backend_Daily.accdb[[#This Row],[TradingDate]],canon!B:E,4,0)</f>
        <v>31</v>
      </c>
    </row>
    <row r="1820" spans="1:12" x14ac:dyDescent="0.2">
      <c r="A1820" s="69" t="s">
        <v>42</v>
      </c>
      <c r="B1820" s="70">
        <v>42951</v>
      </c>
      <c r="C1820" s="69">
        <v>373</v>
      </c>
      <c r="D1820" s="69">
        <v>3</v>
      </c>
      <c r="E1820" s="69">
        <v>22.73</v>
      </c>
      <c r="F1820" s="69">
        <v>1.2099999999999997</v>
      </c>
      <c r="G1820" s="69" t="s">
        <v>14</v>
      </c>
      <c r="H1820" s="69" t="str">
        <f>IFERROR(VLOOKUP(Data!$G1820,canon!$I$2:$K$27,2,FALSE),"")</f>
        <v>LEGGING</v>
      </c>
      <c r="I1820" s="69" t="str">
        <f>IFERROR(VLOOKUP(Data!$G1820,canon!$I$2:$K$27,3,FALSE),"")</f>
        <v>APPAREL</v>
      </c>
      <c r="J1820" s="69">
        <f t="shared" si="56"/>
        <v>6</v>
      </c>
      <c r="K1820" s="69">
        <f t="shared" si="57"/>
        <v>41</v>
      </c>
      <c r="L1820" s="69">
        <f>VLOOKUP(Table_db1_backend_Daily.accdb[[#This Row],[TradingDate]],canon!B:E,4,0)</f>
        <v>31</v>
      </c>
    </row>
    <row r="1821" spans="1:12" x14ac:dyDescent="0.2">
      <c r="A1821" s="69" t="s">
        <v>42</v>
      </c>
      <c r="B1821" s="70">
        <v>42951</v>
      </c>
      <c r="C1821" s="69">
        <v>-91</v>
      </c>
      <c r="D1821" s="69">
        <v>0</v>
      </c>
      <c r="E1821" s="69">
        <v>0</v>
      </c>
      <c r="F1821" s="69">
        <v>0</v>
      </c>
      <c r="G1821" s="69" t="s">
        <v>37</v>
      </c>
      <c r="H1821" s="69" t="str">
        <f>IFERROR(VLOOKUP(Data!$G1821,canon!$I$2:$K$27,2,FALSE),"")</f>
        <v>SHOES</v>
      </c>
      <c r="I1821" s="69" t="str">
        <f>IFERROR(VLOOKUP(Data!$G1821,canon!$I$2:$K$27,3,FALSE),"")</f>
        <v>N.APPAREL</v>
      </c>
      <c r="J1821" s="69">
        <f t="shared" si="56"/>
        <v>6</v>
      </c>
      <c r="K1821" s="69">
        <f t="shared" si="57"/>
        <v>41</v>
      </c>
      <c r="L1821" s="69">
        <f>VLOOKUP(Table_db1_backend_Daily.accdb[[#This Row],[TradingDate]],canon!B:E,4,0)</f>
        <v>31</v>
      </c>
    </row>
    <row r="1822" spans="1:12" x14ac:dyDescent="0.2">
      <c r="A1822" s="69" t="s">
        <v>42</v>
      </c>
      <c r="B1822" s="70">
        <v>42951</v>
      </c>
      <c r="C1822" s="69">
        <v>-3</v>
      </c>
      <c r="D1822" s="69">
        <v>0</v>
      </c>
      <c r="E1822" s="69">
        <v>0</v>
      </c>
      <c r="F1822" s="69">
        <v>0</v>
      </c>
      <c r="G1822" s="69" t="s">
        <v>29</v>
      </c>
      <c r="H1822" s="69" t="str">
        <f>IFERROR(VLOOKUP(Data!$G1822,canon!$I$2:$K$27,2,FALSE),"")</f>
        <v>SHOES</v>
      </c>
      <c r="I1822" s="69" t="str">
        <f>IFERROR(VLOOKUP(Data!$G1822,canon!$I$2:$K$27,3,FALSE),"")</f>
        <v>N.APPAREL</v>
      </c>
      <c r="J1822" s="69">
        <f t="shared" si="56"/>
        <v>6</v>
      </c>
      <c r="K1822" s="69">
        <f t="shared" si="57"/>
        <v>41</v>
      </c>
      <c r="L1822" s="69">
        <f>VLOOKUP(Table_db1_backend_Daily.accdb[[#This Row],[TradingDate]],canon!B:E,4,0)</f>
        <v>31</v>
      </c>
    </row>
    <row r="1823" spans="1:12" x14ac:dyDescent="0.2">
      <c r="A1823" s="69" t="s">
        <v>42</v>
      </c>
      <c r="B1823" s="70">
        <v>42951</v>
      </c>
      <c r="C1823" s="69">
        <v>364</v>
      </c>
      <c r="D1823" s="69">
        <v>21</v>
      </c>
      <c r="E1823" s="69">
        <v>272.65000000000003</v>
      </c>
      <c r="F1823" s="69">
        <v>51.689999999999991</v>
      </c>
      <c r="G1823" s="69" t="s">
        <v>17</v>
      </c>
      <c r="H1823" s="69" t="str">
        <f>IFERROR(VLOOKUP(Data!$G1823,canon!$I$2:$K$27,2,FALSE),"")</f>
        <v>OUTER</v>
      </c>
      <c r="I1823" s="69" t="str">
        <f>IFERROR(VLOOKUP(Data!$G1823,canon!$I$2:$K$27,3,FALSE),"")</f>
        <v>APPAREL</v>
      </c>
      <c r="J1823" s="69">
        <f t="shared" si="56"/>
        <v>6</v>
      </c>
      <c r="K1823" s="69">
        <f t="shared" si="57"/>
        <v>41</v>
      </c>
      <c r="L1823" s="69">
        <f>VLOOKUP(Table_db1_backend_Daily.accdb[[#This Row],[TradingDate]],canon!B:E,4,0)</f>
        <v>31</v>
      </c>
    </row>
    <row r="1824" spans="1:12" x14ac:dyDescent="0.2">
      <c r="A1824" s="69" t="s">
        <v>42</v>
      </c>
      <c r="B1824" s="70">
        <v>42951</v>
      </c>
      <c r="C1824" s="69">
        <v>360</v>
      </c>
      <c r="D1824" s="69">
        <v>10</v>
      </c>
      <c r="E1824" s="69">
        <v>54.569999999999993</v>
      </c>
      <c r="F1824" s="69">
        <v>-7.7299999999999978</v>
      </c>
      <c r="G1824" s="69" t="s">
        <v>19</v>
      </c>
      <c r="H1824" s="69" t="str">
        <f>IFERROR(VLOOKUP(Data!$G1824,canon!$I$2:$K$27,2,FALSE),"")</f>
        <v>PANT</v>
      </c>
      <c r="I1824" s="69" t="str">
        <f>IFERROR(VLOOKUP(Data!$G1824,canon!$I$2:$K$27,3,FALSE),"")</f>
        <v>APPAREL</v>
      </c>
      <c r="J1824" s="69">
        <f t="shared" si="56"/>
        <v>6</v>
      </c>
      <c r="K1824" s="69">
        <f t="shared" si="57"/>
        <v>41</v>
      </c>
      <c r="L1824" s="69">
        <f>VLOOKUP(Table_db1_backend_Daily.accdb[[#This Row],[TradingDate]],canon!B:E,4,0)</f>
        <v>31</v>
      </c>
    </row>
    <row r="1825" spans="1:12" x14ac:dyDescent="0.2">
      <c r="A1825" s="69" t="s">
        <v>42</v>
      </c>
      <c r="B1825" s="70">
        <v>42951</v>
      </c>
      <c r="C1825" s="69">
        <v>0</v>
      </c>
      <c r="D1825" s="69">
        <v>0</v>
      </c>
      <c r="E1825" s="69">
        <v>0</v>
      </c>
      <c r="F1825" s="69">
        <v>0</v>
      </c>
      <c r="G1825" s="69" t="s">
        <v>21</v>
      </c>
      <c r="H1825" s="69" t="str">
        <f>IFERROR(VLOOKUP(Data!$G1825,canon!$I$2:$K$27,2,FALSE),"")</f>
        <v>ACCESSORY</v>
      </c>
      <c r="I1825" s="69" t="str">
        <f>IFERROR(VLOOKUP(Data!$G1825,canon!$I$2:$K$27,3,FALSE),"")</f>
        <v>N.APPAREL</v>
      </c>
      <c r="J1825" s="69">
        <f t="shared" si="56"/>
        <v>6</v>
      </c>
      <c r="K1825" s="69">
        <f t="shared" si="57"/>
        <v>41</v>
      </c>
      <c r="L1825" s="69">
        <f>VLOOKUP(Table_db1_backend_Daily.accdb[[#This Row],[TradingDate]],canon!B:E,4,0)</f>
        <v>31</v>
      </c>
    </row>
    <row r="1826" spans="1:12" x14ac:dyDescent="0.2">
      <c r="A1826" s="69" t="s">
        <v>42</v>
      </c>
      <c r="B1826" s="70">
        <v>42951</v>
      </c>
      <c r="C1826" s="69">
        <v>-131</v>
      </c>
      <c r="D1826" s="69">
        <v>13</v>
      </c>
      <c r="E1826" s="69">
        <v>69.859999999999985</v>
      </c>
      <c r="F1826" s="69">
        <v>46.32</v>
      </c>
      <c r="G1826" s="69" t="s">
        <v>22</v>
      </c>
      <c r="H1826" s="69" t="str">
        <f>IFERROR(VLOOKUP(Data!$G1826,canon!$I$2:$K$27,2,FALSE),"")</f>
        <v>SCARF</v>
      </c>
      <c r="I1826" s="69" t="str">
        <f>IFERROR(VLOOKUP(Data!$G1826,canon!$I$2:$K$27,3,FALSE),"")</f>
        <v>N.APPAREL</v>
      </c>
      <c r="J1826" s="69">
        <f t="shared" si="56"/>
        <v>6</v>
      </c>
      <c r="K1826" s="69">
        <f t="shared" si="57"/>
        <v>41</v>
      </c>
      <c r="L1826" s="69">
        <f>VLOOKUP(Table_db1_backend_Daily.accdb[[#This Row],[TradingDate]],canon!B:E,4,0)</f>
        <v>31</v>
      </c>
    </row>
    <row r="1827" spans="1:12" x14ac:dyDescent="0.2">
      <c r="A1827" s="69" t="s">
        <v>42</v>
      </c>
      <c r="B1827" s="70">
        <v>42951</v>
      </c>
      <c r="C1827" s="69">
        <v>233</v>
      </c>
      <c r="D1827" s="69">
        <v>4</v>
      </c>
      <c r="E1827" s="69">
        <v>40.86</v>
      </c>
      <c r="F1827" s="69">
        <v>7.59</v>
      </c>
      <c r="G1827" s="69" t="s">
        <v>23</v>
      </c>
      <c r="H1827" s="69" t="str">
        <f>IFERROR(VLOOKUP(Data!$G1827,canon!$I$2:$K$27,2,FALSE),"")</f>
        <v>SH&amp;BL</v>
      </c>
      <c r="I1827" s="69" t="str">
        <f>IFERROR(VLOOKUP(Data!$G1827,canon!$I$2:$K$27,3,FALSE),"")</f>
        <v>APPAREL</v>
      </c>
      <c r="J1827" s="69">
        <f t="shared" si="56"/>
        <v>6</v>
      </c>
      <c r="K1827" s="69">
        <f t="shared" si="57"/>
        <v>41</v>
      </c>
      <c r="L1827" s="69">
        <f>VLOOKUP(Table_db1_backend_Daily.accdb[[#This Row],[TradingDate]],canon!B:E,4,0)</f>
        <v>31</v>
      </c>
    </row>
    <row r="1828" spans="1:12" x14ac:dyDescent="0.2">
      <c r="A1828" s="69" t="s">
        <v>42</v>
      </c>
      <c r="B1828" s="70">
        <v>42951</v>
      </c>
      <c r="C1828" s="69">
        <v>328</v>
      </c>
      <c r="D1828" s="69">
        <v>2</v>
      </c>
      <c r="E1828" s="69">
        <v>45.39</v>
      </c>
      <c r="F1828" s="69">
        <v>35.39</v>
      </c>
      <c r="G1828" s="69" t="s">
        <v>32</v>
      </c>
      <c r="H1828" s="69" t="str">
        <f>IFERROR(VLOOKUP(Data!$G1828,canon!$I$2:$K$27,2,FALSE),"")</f>
        <v>SKIRT</v>
      </c>
      <c r="I1828" s="69" t="str">
        <f>IFERROR(VLOOKUP(Data!$G1828,canon!$I$2:$K$27,3,FALSE),"")</f>
        <v>APPAREL</v>
      </c>
      <c r="J1828" s="69">
        <f t="shared" si="56"/>
        <v>6</v>
      </c>
      <c r="K1828" s="69">
        <f t="shared" si="57"/>
        <v>41</v>
      </c>
      <c r="L1828" s="69">
        <f>VLOOKUP(Table_db1_backend_Daily.accdb[[#This Row],[TradingDate]],canon!B:E,4,0)</f>
        <v>31</v>
      </c>
    </row>
    <row r="1829" spans="1:12" x14ac:dyDescent="0.2">
      <c r="A1829" s="69" t="s">
        <v>42</v>
      </c>
      <c r="B1829" s="70">
        <v>42951</v>
      </c>
      <c r="C1829" s="69">
        <v>952</v>
      </c>
      <c r="D1829" s="69">
        <v>9</v>
      </c>
      <c r="E1829" s="69">
        <v>127.17000000000002</v>
      </c>
      <c r="F1829" s="69">
        <v>68.13</v>
      </c>
      <c r="G1829" s="69" t="s">
        <v>25</v>
      </c>
      <c r="H1829" s="69" t="str">
        <f>IFERROR(VLOOKUP(Data!$G1829,canon!$I$2:$K$27,2,FALSE),"")</f>
        <v>TOP</v>
      </c>
      <c r="I1829" s="69" t="str">
        <f>IFERROR(VLOOKUP(Data!$G1829,canon!$I$2:$K$27,3,FALSE),"")</f>
        <v>APPAREL</v>
      </c>
      <c r="J1829" s="69">
        <f t="shared" si="56"/>
        <v>6</v>
      </c>
      <c r="K1829" s="69">
        <f t="shared" si="57"/>
        <v>41</v>
      </c>
      <c r="L1829" s="69">
        <f>VLOOKUP(Table_db1_backend_Daily.accdb[[#This Row],[TradingDate]],canon!B:E,4,0)</f>
        <v>31</v>
      </c>
    </row>
    <row r="1830" spans="1:12" x14ac:dyDescent="0.2">
      <c r="A1830" s="69" t="s">
        <v>42</v>
      </c>
      <c r="B1830" s="70">
        <v>42952</v>
      </c>
      <c r="C1830" s="69">
        <v>-2</v>
      </c>
      <c r="D1830" s="69">
        <v>0</v>
      </c>
      <c r="E1830" s="69">
        <v>0</v>
      </c>
      <c r="F1830" s="69">
        <v>0</v>
      </c>
      <c r="G1830" s="69" t="s">
        <v>34</v>
      </c>
      <c r="H1830" s="69" t="str">
        <f>IFERROR(VLOOKUP(Data!$G1830,canon!$I$2:$K$27,2,FALSE),"")</f>
        <v>SHOES</v>
      </c>
      <c r="I1830" s="69" t="str">
        <f>IFERROR(VLOOKUP(Data!$G1830,canon!$I$2:$K$27,3,FALSE),"")</f>
        <v>N.APPAREL</v>
      </c>
      <c r="J1830" s="69">
        <f t="shared" si="56"/>
        <v>7</v>
      </c>
      <c r="K1830" s="69">
        <f t="shared" si="57"/>
        <v>41</v>
      </c>
      <c r="L1830" s="69">
        <f>VLOOKUP(Table_db1_backend_Daily.accdb[[#This Row],[TradingDate]],canon!B:E,4,0)</f>
        <v>31</v>
      </c>
    </row>
    <row r="1831" spans="1:12" x14ac:dyDescent="0.2">
      <c r="A1831" s="69" t="s">
        <v>42</v>
      </c>
      <c r="B1831" s="70">
        <v>42952</v>
      </c>
      <c r="C1831" s="69">
        <v>584</v>
      </c>
      <c r="D1831" s="69">
        <v>10</v>
      </c>
      <c r="E1831" s="69">
        <v>109.07000000000002</v>
      </c>
      <c r="F1831" s="69">
        <v>25.91</v>
      </c>
      <c r="G1831" s="69" t="s">
        <v>35</v>
      </c>
      <c r="H1831" s="69" t="str">
        <f>IFERROR(VLOOKUP(Data!$G1831,canon!$I$2:$K$27,2,FALSE),"")</f>
        <v>DRESS</v>
      </c>
      <c r="I1831" s="69" t="str">
        <f>IFERROR(VLOOKUP(Data!$G1831,canon!$I$2:$K$27,3,FALSE),"")</f>
        <v>APPAREL</v>
      </c>
      <c r="J1831" s="69">
        <f t="shared" si="56"/>
        <v>7</v>
      </c>
      <c r="K1831" s="69">
        <f t="shared" si="57"/>
        <v>41</v>
      </c>
      <c r="L1831" s="69">
        <f>VLOOKUP(Table_db1_backend_Daily.accdb[[#This Row],[TradingDate]],canon!B:E,4,0)</f>
        <v>31</v>
      </c>
    </row>
    <row r="1832" spans="1:12" x14ac:dyDescent="0.2">
      <c r="A1832" s="69" t="s">
        <v>42</v>
      </c>
      <c r="B1832" s="70">
        <v>42952</v>
      </c>
      <c r="C1832" s="69">
        <v>-107</v>
      </c>
      <c r="D1832" s="69">
        <v>0</v>
      </c>
      <c r="E1832" s="69">
        <v>0</v>
      </c>
      <c r="F1832" s="69">
        <v>0</v>
      </c>
      <c r="G1832" s="69" t="s">
        <v>10</v>
      </c>
      <c r="H1832" s="69" t="str">
        <f>IFERROR(VLOOKUP(Data!$G1832,canon!$I$2:$K$27,2,FALSE),"")</f>
        <v>ACCESSORY</v>
      </c>
      <c r="I1832" s="69" t="str">
        <f>IFERROR(VLOOKUP(Data!$G1832,canon!$I$2:$K$27,3,FALSE),"")</f>
        <v>N.APPAREL</v>
      </c>
      <c r="J1832" s="69">
        <f t="shared" si="56"/>
        <v>7</v>
      </c>
      <c r="K1832" s="69">
        <f t="shared" si="57"/>
        <v>41</v>
      </c>
      <c r="L1832" s="69">
        <f>VLOOKUP(Table_db1_backend_Daily.accdb[[#This Row],[TradingDate]],canon!B:E,4,0)</f>
        <v>31</v>
      </c>
    </row>
    <row r="1833" spans="1:12" x14ac:dyDescent="0.2">
      <c r="A1833" s="69" t="s">
        <v>42</v>
      </c>
      <c r="B1833" s="70">
        <v>42952</v>
      </c>
      <c r="C1833" s="69">
        <v>691</v>
      </c>
      <c r="D1833" s="69">
        <v>80</v>
      </c>
      <c r="E1833" s="69">
        <v>695.37999999999988</v>
      </c>
      <c r="F1833" s="69">
        <v>50.54</v>
      </c>
      <c r="G1833" s="69" t="s">
        <v>11</v>
      </c>
      <c r="H1833" s="69" t="str">
        <f>IFERROR(VLOOKUP(Data!$G1833,canon!$I$2:$K$27,2,FALSE),"")</f>
        <v>KNIT</v>
      </c>
      <c r="I1833" s="69" t="str">
        <f>IFERROR(VLOOKUP(Data!$G1833,canon!$I$2:$K$27,3,FALSE),"")</f>
        <v>APPAREL</v>
      </c>
      <c r="J1833" s="69">
        <f t="shared" si="56"/>
        <v>7</v>
      </c>
      <c r="K1833" s="69">
        <f t="shared" si="57"/>
        <v>41</v>
      </c>
      <c r="L1833" s="69">
        <f>VLOOKUP(Table_db1_backend_Daily.accdb[[#This Row],[TradingDate]],canon!B:E,4,0)</f>
        <v>31</v>
      </c>
    </row>
    <row r="1834" spans="1:12" x14ac:dyDescent="0.2">
      <c r="A1834" s="69" t="s">
        <v>42</v>
      </c>
      <c r="B1834" s="70">
        <v>42952</v>
      </c>
      <c r="C1834" s="69">
        <v>371</v>
      </c>
      <c r="D1834" s="69">
        <v>2</v>
      </c>
      <c r="E1834" s="69">
        <v>18.18</v>
      </c>
      <c r="F1834" s="69">
        <v>7.09</v>
      </c>
      <c r="G1834" s="69" t="s">
        <v>14</v>
      </c>
      <c r="H1834" s="69" t="str">
        <f>IFERROR(VLOOKUP(Data!$G1834,canon!$I$2:$K$27,2,FALSE),"")</f>
        <v>LEGGING</v>
      </c>
      <c r="I1834" s="69" t="str">
        <f>IFERROR(VLOOKUP(Data!$G1834,canon!$I$2:$K$27,3,FALSE),"")</f>
        <v>APPAREL</v>
      </c>
      <c r="J1834" s="69">
        <f t="shared" si="56"/>
        <v>7</v>
      </c>
      <c r="K1834" s="69">
        <f t="shared" si="57"/>
        <v>41</v>
      </c>
      <c r="L1834" s="69">
        <f>VLOOKUP(Table_db1_backend_Daily.accdb[[#This Row],[TradingDate]],canon!B:E,4,0)</f>
        <v>31</v>
      </c>
    </row>
    <row r="1835" spans="1:12" x14ac:dyDescent="0.2">
      <c r="A1835" s="69" t="s">
        <v>42</v>
      </c>
      <c r="B1835" s="70">
        <v>42952</v>
      </c>
      <c r="C1835" s="69">
        <v>-91</v>
      </c>
      <c r="D1835" s="69">
        <v>0</v>
      </c>
      <c r="E1835" s="69">
        <v>0</v>
      </c>
      <c r="F1835" s="69">
        <v>0</v>
      </c>
      <c r="G1835" s="69" t="s">
        <v>37</v>
      </c>
      <c r="H1835" s="69" t="str">
        <f>IFERROR(VLOOKUP(Data!$G1835,canon!$I$2:$K$27,2,FALSE),"")</f>
        <v>SHOES</v>
      </c>
      <c r="I1835" s="69" t="str">
        <f>IFERROR(VLOOKUP(Data!$G1835,canon!$I$2:$K$27,3,FALSE),"")</f>
        <v>N.APPAREL</v>
      </c>
      <c r="J1835" s="69">
        <f t="shared" si="56"/>
        <v>7</v>
      </c>
      <c r="K1835" s="69">
        <f t="shared" si="57"/>
        <v>41</v>
      </c>
      <c r="L1835" s="69">
        <f>VLOOKUP(Table_db1_backend_Daily.accdb[[#This Row],[TradingDate]],canon!B:E,4,0)</f>
        <v>31</v>
      </c>
    </row>
    <row r="1836" spans="1:12" x14ac:dyDescent="0.2">
      <c r="A1836" s="69" t="s">
        <v>42</v>
      </c>
      <c r="B1836" s="70">
        <v>42952</v>
      </c>
      <c r="C1836" s="69">
        <v>-3</v>
      </c>
      <c r="D1836" s="69">
        <v>0</v>
      </c>
      <c r="E1836" s="69">
        <v>0</v>
      </c>
      <c r="F1836" s="69">
        <v>0</v>
      </c>
      <c r="G1836" s="69" t="s">
        <v>29</v>
      </c>
      <c r="H1836" s="69" t="str">
        <f>IFERROR(VLOOKUP(Data!$G1836,canon!$I$2:$K$27,2,FALSE),"")</f>
        <v>SHOES</v>
      </c>
      <c r="I1836" s="69" t="str">
        <f>IFERROR(VLOOKUP(Data!$G1836,canon!$I$2:$K$27,3,FALSE),"")</f>
        <v>N.APPAREL</v>
      </c>
      <c r="J1836" s="69">
        <f t="shared" si="56"/>
        <v>7</v>
      </c>
      <c r="K1836" s="69">
        <f t="shared" si="57"/>
        <v>41</v>
      </c>
      <c r="L1836" s="69">
        <f>VLOOKUP(Table_db1_backend_Daily.accdb[[#This Row],[TradingDate]],canon!B:E,4,0)</f>
        <v>31</v>
      </c>
    </row>
    <row r="1837" spans="1:12" x14ac:dyDescent="0.2">
      <c r="A1837" s="69" t="s">
        <v>42</v>
      </c>
      <c r="B1837" s="70">
        <v>42952</v>
      </c>
      <c r="C1837" s="69">
        <v>345</v>
      </c>
      <c r="D1837" s="69">
        <v>19</v>
      </c>
      <c r="E1837" s="69">
        <v>227.17</v>
      </c>
      <c r="F1837" s="69">
        <v>28.049999999999997</v>
      </c>
      <c r="G1837" s="69" t="s">
        <v>17</v>
      </c>
      <c r="H1837" s="69" t="str">
        <f>IFERROR(VLOOKUP(Data!$G1837,canon!$I$2:$K$27,2,FALSE),"")</f>
        <v>OUTER</v>
      </c>
      <c r="I1837" s="69" t="str">
        <f>IFERROR(VLOOKUP(Data!$G1837,canon!$I$2:$K$27,3,FALSE),"")</f>
        <v>APPAREL</v>
      </c>
      <c r="J1837" s="69">
        <f t="shared" si="56"/>
        <v>7</v>
      </c>
      <c r="K1837" s="69">
        <f t="shared" si="57"/>
        <v>41</v>
      </c>
      <c r="L1837" s="69">
        <f>VLOOKUP(Table_db1_backend_Daily.accdb[[#This Row],[TradingDate]],canon!B:E,4,0)</f>
        <v>31</v>
      </c>
    </row>
    <row r="1838" spans="1:12" x14ac:dyDescent="0.2">
      <c r="A1838" s="69" t="s">
        <v>42</v>
      </c>
      <c r="B1838" s="70">
        <v>42952</v>
      </c>
      <c r="C1838" s="69">
        <v>349</v>
      </c>
      <c r="D1838" s="69">
        <v>11</v>
      </c>
      <c r="E1838" s="69">
        <v>99.99</v>
      </c>
      <c r="F1838" s="69">
        <v>29.469999999999995</v>
      </c>
      <c r="G1838" s="69" t="s">
        <v>19</v>
      </c>
      <c r="H1838" s="69" t="str">
        <f>IFERROR(VLOOKUP(Data!$G1838,canon!$I$2:$K$27,2,FALSE),"")</f>
        <v>PANT</v>
      </c>
      <c r="I1838" s="69" t="str">
        <f>IFERROR(VLOOKUP(Data!$G1838,canon!$I$2:$K$27,3,FALSE),"")</f>
        <v>APPAREL</v>
      </c>
      <c r="J1838" s="69">
        <f t="shared" si="56"/>
        <v>7</v>
      </c>
      <c r="K1838" s="69">
        <f t="shared" si="57"/>
        <v>41</v>
      </c>
      <c r="L1838" s="69">
        <f>VLOOKUP(Table_db1_backend_Daily.accdb[[#This Row],[TradingDate]],canon!B:E,4,0)</f>
        <v>31</v>
      </c>
    </row>
    <row r="1839" spans="1:12" x14ac:dyDescent="0.2">
      <c r="A1839" s="69" t="s">
        <v>42</v>
      </c>
      <c r="B1839" s="70">
        <v>42952</v>
      </c>
      <c r="C1839" s="69">
        <v>0</v>
      </c>
      <c r="D1839" s="69">
        <v>0</v>
      </c>
      <c r="E1839" s="69">
        <v>0</v>
      </c>
      <c r="F1839" s="69">
        <v>0</v>
      </c>
      <c r="G1839" s="69" t="s">
        <v>21</v>
      </c>
      <c r="H1839" s="69" t="str">
        <f>IFERROR(VLOOKUP(Data!$G1839,canon!$I$2:$K$27,2,FALSE),"")</f>
        <v>ACCESSORY</v>
      </c>
      <c r="I1839" s="69" t="str">
        <f>IFERROR(VLOOKUP(Data!$G1839,canon!$I$2:$K$27,3,FALSE),"")</f>
        <v>N.APPAREL</v>
      </c>
      <c r="J1839" s="69">
        <f t="shared" si="56"/>
        <v>7</v>
      </c>
      <c r="K1839" s="69">
        <f t="shared" si="57"/>
        <v>41</v>
      </c>
      <c r="L1839" s="69">
        <f>VLOOKUP(Table_db1_backend_Daily.accdb[[#This Row],[TradingDate]],canon!B:E,4,0)</f>
        <v>31</v>
      </c>
    </row>
    <row r="1840" spans="1:12" x14ac:dyDescent="0.2">
      <c r="A1840" s="69" t="s">
        <v>42</v>
      </c>
      <c r="B1840" s="70">
        <v>42952</v>
      </c>
      <c r="C1840" s="69">
        <v>-144</v>
      </c>
      <c r="D1840" s="69">
        <v>13</v>
      </c>
      <c r="E1840" s="69">
        <v>75.22</v>
      </c>
      <c r="F1840" s="69">
        <v>52.010000000000005</v>
      </c>
      <c r="G1840" s="69" t="s">
        <v>22</v>
      </c>
      <c r="H1840" s="69" t="str">
        <f>IFERROR(VLOOKUP(Data!$G1840,canon!$I$2:$K$27,2,FALSE),"")</f>
        <v>SCARF</v>
      </c>
      <c r="I1840" s="69" t="str">
        <f>IFERROR(VLOOKUP(Data!$G1840,canon!$I$2:$K$27,3,FALSE),"")</f>
        <v>N.APPAREL</v>
      </c>
      <c r="J1840" s="69">
        <f t="shared" si="56"/>
        <v>7</v>
      </c>
      <c r="K1840" s="69">
        <f t="shared" si="57"/>
        <v>41</v>
      </c>
      <c r="L1840" s="69">
        <f>VLOOKUP(Table_db1_backend_Daily.accdb[[#This Row],[TradingDate]],canon!B:E,4,0)</f>
        <v>31</v>
      </c>
    </row>
    <row r="1841" spans="1:12" x14ac:dyDescent="0.2">
      <c r="A1841" s="69" t="s">
        <v>42</v>
      </c>
      <c r="B1841" s="70">
        <v>42952</v>
      </c>
      <c r="C1841" s="69">
        <v>232</v>
      </c>
      <c r="D1841" s="69">
        <v>1</v>
      </c>
      <c r="E1841" s="69">
        <v>9.09</v>
      </c>
      <c r="F1841" s="69">
        <v>1.26</v>
      </c>
      <c r="G1841" s="69" t="s">
        <v>23</v>
      </c>
      <c r="H1841" s="69" t="str">
        <f>IFERROR(VLOOKUP(Data!$G1841,canon!$I$2:$K$27,2,FALSE),"")</f>
        <v>SH&amp;BL</v>
      </c>
      <c r="I1841" s="69" t="str">
        <f>IFERROR(VLOOKUP(Data!$G1841,canon!$I$2:$K$27,3,FALSE),"")</f>
        <v>APPAREL</v>
      </c>
      <c r="J1841" s="69">
        <f t="shared" si="56"/>
        <v>7</v>
      </c>
      <c r="K1841" s="69">
        <f t="shared" si="57"/>
        <v>41</v>
      </c>
      <c r="L1841" s="69">
        <f>VLOOKUP(Table_db1_backend_Daily.accdb[[#This Row],[TradingDate]],canon!B:E,4,0)</f>
        <v>31</v>
      </c>
    </row>
    <row r="1842" spans="1:12" x14ac:dyDescent="0.2">
      <c r="A1842" s="69" t="s">
        <v>42</v>
      </c>
      <c r="B1842" s="70">
        <v>42952</v>
      </c>
      <c r="C1842" s="69">
        <v>328</v>
      </c>
      <c r="D1842" s="69">
        <v>0</v>
      </c>
      <c r="E1842" s="69">
        <v>0</v>
      </c>
      <c r="F1842" s="69">
        <v>0</v>
      </c>
      <c r="G1842" s="69" t="s">
        <v>32</v>
      </c>
      <c r="H1842" s="69" t="str">
        <f>IFERROR(VLOOKUP(Data!$G1842,canon!$I$2:$K$27,2,FALSE),"")</f>
        <v>SKIRT</v>
      </c>
      <c r="I1842" s="69" t="str">
        <f>IFERROR(VLOOKUP(Data!$G1842,canon!$I$2:$K$27,3,FALSE),"")</f>
        <v>APPAREL</v>
      </c>
      <c r="J1842" s="69">
        <f t="shared" si="56"/>
        <v>7</v>
      </c>
      <c r="K1842" s="69">
        <f t="shared" si="57"/>
        <v>41</v>
      </c>
      <c r="L1842" s="69">
        <f>VLOOKUP(Table_db1_backend_Daily.accdb[[#This Row],[TradingDate]],canon!B:E,4,0)</f>
        <v>31</v>
      </c>
    </row>
    <row r="1843" spans="1:12" x14ac:dyDescent="0.2">
      <c r="A1843" s="69" t="s">
        <v>42</v>
      </c>
      <c r="B1843" s="70">
        <v>42952</v>
      </c>
      <c r="C1843" s="69">
        <v>935</v>
      </c>
      <c r="D1843" s="69">
        <v>17</v>
      </c>
      <c r="E1843" s="69">
        <v>113.53999999999999</v>
      </c>
      <c r="F1843" s="69">
        <v>34.93</v>
      </c>
      <c r="G1843" s="69" t="s">
        <v>25</v>
      </c>
      <c r="H1843" s="69" t="str">
        <f>IFERROR(VLOOKUP(Data!$G1843,canon!$I$2:$K$27,2,FALSE),"")</f>
        <v>TOP</v>
      </c>
      <c r="I1843" s="69" t="str">
        <f>IFERROR(VLOOKUP(Data!$G1843,canon!$I$2:$K$27,3,FALSE),"")</f>
        <v>APPAREL</v>
      </c>
      <c r="J1843" s="69">
        <f t="shared" si="56"/>
        <v>7</v>
      </c>
      <c r="K1843" s="69">
        <f t="shared" si="57"/>
        <v>41</v>
      </c>
      <c r="L1843" s="69">
        <f>VLOOKUP(Table_db1_backend_Daily.accdb[[#This Row],[TradingDate]],canon!B:E,4,0)</f>
        <v>31</v>
      </c>
    </row>
    <row r="1844" spans="1:12" x14ac:dyDescent="0.2">
      <c r="A1844" s="69" t="s">
        <v>43</v>
      </c>
      <c r="B1844" s="70">
        <v>42925</v>
      </c>
      <c r="C1844" s="69">
        <v>10</v>
      </c>
      <c r="D1844" s="69">
        <v>0</v>
      </c>
      <c r="E1844" s="69">
        <v>0</v>
      </c>
      <c r="F1844" s="69">
        <v>0</v>
      </c>
      <c r="G1844" s="69" t="s">
        <v>27</v>
      </c>
      <c r="H1844" s="69" t="str">
        <f>IFERROR(VLOOKUP(Data!$G1844,canon!$I$2:$K$27,2,FALSE),"")</f>
        <v>ACCESSORY</v>
      </c>
      <c r="I1844" s="69" t="str">
        <f>IFERROR(VLOOKUP(Data!$G1844,canon!$I$2:$K$27,3,FALSE),"")</f>
        <v>N.APPAREL</v>
      </c>
      <c r="J1844" s="69">
        <f t="shared" si="56"/>
        <v>1</v>
      </c>
      <c r="K1844" s="69">
        <f t="shared" si="57"/>
        <v>43</v>
      </c>
      <c r="L1844" s="69">
        <f>VLOOKUP(Table_db1_backend_Daily.accdb[[#This Row],[TradingDate]],canon!B:E,4,0)</f>
        <v>28</v>
      </c>
    </row>
    <row r="1845" spans="1:12" x14ac:dyDescent="0.2">
      <c r="A1845" s="69" t="s">
        <v>43</v>
      </c>
      <c r="B1845" s="70">
        <v>42925</v>
      </c>
      <c r="C1845" s="69">
        <v>4</v>
      </c>
      <c r="D1845" s="69">
        <v>0</v>
      </c>
      <c r="E1845" s="69">
        <v>0</v>
      </c>
      <c r="F1845" s="69">
        <v>0</v>
      </c>
      <c r="G1845" s="69" t="s">
        <v>34</v>
      </c>
      <c r="H1845" s="69" t="str">
        <f>IFERROR(VLOOKUP(Data!$G1845,canon!$I$2:$K$27,2,FALSE),"")</f>
        <v>SHOES</v>
      </c>
      <c r="I1845" s="69" t="str">
        <f>IFERROR(VLOOKUP(Data!$G1845,canon!$I$2:$K$27,3,FALSE),"")</f>
        <v>N.APPAREL</v>
      </c>
      <c r="J1845" s="69">
        <f t="shared" si="56"/>
        <v>1</v>
      </c>
      <c r="K1845" s="69">
        <f t="shared" si="57"/>
        <v>43</v>
      </c>
      <c r="L1845" s="69">
        <f>VLOOKUP(Table_db1_backend_Daily.accdb[[#This Row],[TradingDate]],canon!B:E,4,0)</f>
        <v>28</v>
      </c>
    </row>
    <row r="1846" spans="1:12" x14ac:dyDescent="0.2">
      <c r="A1846" s="69" t="s">
        <v>43</v>
      </c>
      <c r="B1846" s="70">
        <v>42925</v>
      </c>
      <c r="C1846" s="69">
        <v>554</v>
      </c>
      <c r="D1846" s="69">
        <v>1</v>
      </c>
      <c r="E1846" s="69">
        <v>11.37</v>
      </c>
      <c r="F1846" s="69">
        <v>1.59</v>
      </c>
      <c r="G1846" s="69" t="s">
        <v>35</v>
      </c>
      <c r="H1846" s="69" t="str">
        <f>IFERROR(VLOOKUP(Data!$G1846,canon!$I$2:$K$27,2,FALSE),"")</f>
        <v>DRESS</v>
      </c>
      <c r="I1846" s="69" t="str">
        <f>IFERROR(VLOOKUP(Data!$G1846,canon!$I$2:$K$27,3,FALSE),"")</f>
        <v>APPAREL</v>
      </c>
      <c r="J1846" s="69">
        <f t="shared" si="56"/>
        <v>1</v>
      </c>
      <c r="K1846" s="69">
        <f t="shared" si="57"/>
        <v>43</v>
      </c>
      <c r="L1846" s="69">
        <f>VLOOKUP(Table_db1_backend_Daily.accdb[[#This Row],[TradingDate]],canon!B:E,4,0)</f>
        <v>28</v>
      </c>
    </row>
    <row r="1847" spans="1:12" x14ac:dyDescent="0.2">
      <c r="A1847" s="69" t="s">
        <v>43</v>
      </c>
      <c r="B1847" s="70">
        <v>42925</v>
      </c>
      <c r="C1847" s="69">
        <v>-11</v>
      </c>
      <c r="D1847" s="69">
        <v>0</v>
      </c>
      <c r="E1847" s="69">
        <v>0</v>
      </c>
      <c r="F1847" s="69">
        <v>0</v>
      </c>
      <c r="G1847" s="69" t="s">
        <v>10</v>
      </c>
      <c r="H1847" s="69" t="str">
        <f>IFERROR(VLOOKUP(Data!$G1847,canon!$I$2:$K$27,2,FALSE),"")</f>
        <v>ACCESSORY</v>
      </c>
      <c r="I1847" s="69" t="str">
        <f>IFERROR(VLOOKUP(Data!$G1847,canon!$I$2:$K$27,3,FALSE),"")</f>
        <v>N.APPAREL</v>
      </c>
      <c r="J1847" s="69">
        <f t="shared" si="56"/>
        <v>1</v>
      </c>
      <c r="K1847" s="69">
        <f t="shared" si="57"/>
        <v>43</v>
      </c>
      <c r="L1847" s="69">
        <f>VLOOKUP(Table_db1_backend_Daily.accdb[[#This Row],[TradingDate]],canon!B:E,4,0)</f>
        <v>28</v>
      </c>
    </row>
    <row r="1848" spans="1:12" x14ac:dyDescent="0.2">
      <c r="A1848" s="69" t="s">
        <v>43</v>
      </c>
      <c r="B1848" s="70">
        <v>42925</v>
      </c>
      <c r="C1848" s="69">
        <v>8</v>
      </c>
      <c r="D1848" s="69">
        <v>0</v>
      </c>
      <c r="E1848" s="69">
        <v>0</v>
      </c>
      <c r="F1848" s="69">
        <v>0</v>
      </c>
      <c r="G1848" s="69" t="s">
        <v>28</v>
      </c>
      <c r="H1848" s="69" t="str">
        <f>IFERROR(VLOOKUP(Data!$G1848,canon!$I$2:$K$27,2,FALSE),"")</f>
        <v>ACCESSORY</v>
      </c>
      <c r="I1848" s="69" t="str">
        <f>IFERROR(VLOOKUP(Data!$G1848,canon!$I$2:$K$27,3,FALSE),"")</f>
        <v>N.APPAREL</v>
      </c>
      <c r="J1848" s="69">
        <f t="shared" si="56"/>
        <v>1</v>
      </c>
      <c r="K1848" s="69">
        <f t="shared" si="57"/>
        <v>43</v>
      </c>
      <c r="L1848" s="69">
        <f>VLOOKUP(Table_db1_backend_Daily.accdb[[#This Row],[TradingDate]],canon!B:E,4,0)</f>
        <v>28</v>
      </c>
    </row>
    <row r="1849" spans="1:12" x14ac:dyDescent="0.2">
      <c r="A1849" s="69" t="s">
        <v>43</v>
      </c>
      <c r="B1849" s="70">
        <v>42925</v>
      </c>
      <c r="C1849" s="69">
        <v>1622</v>
      </c>
      <c r="D1849" s="69">
        <v>29</v>
      </c>
      <c r="E1849" s="69">
        <v>404.2700000000001</v>
      </c>
      <c r="F1849" s="69">
        <v>179.42999999999998</v>
      </c>
      <c r="G1849" s="69" t="s">
        <v>11</v>
      </c>
      <c r="H1849" s="69" t="str">
        <f>IFERROR(VLOOKUP(Data!$G1849,canon!$I$2:$K$27,2,FALSE),"")</f>
        <v>KNIT</v>
      </c>
      <c r="I1849" s="69" t="str">
        <f>IFERROR(VLOOKUP(Data!$G1849,canon!$I$2:$K$27,3,FALSE),"")</f>
        <v>APPAREL</v>
      </c>
      <c r="J1849" s="69">
        <f t="shared" si="56"/>
        <v>1</v>
      </c>
      <c r="K1849" s="69">
        <f t="shared" si="57"/>
        <v>43</v>
      </c>
      <c r="L1849" s="69">
        <f>VLOOKUP(Table_db1_backend_Daily.accdb[[#This Row],[TradingDate]],canon!B:E,4,0)</f>
        <v>28</v>
      </c>
    </row>
    <row r="1850" spans="1:12" x14ac:dyDescent="0.2">
      <c r="A1850" s="69" t="s">
        <v>43</v>
      </c>
      <c r="B1850" s="70">
        <v>42925</v>
      </c>
      <c r="C1850" s="69">
        <v>56</v>
      </c>
      <c r="D1850" s="69">
        <v>1</v>
      </c>
      <c r="E1850" s="69">
        <v>27.23</v>
      </c>
      <c r="F1850" s="69">
        <v>22.66</v>
      </c>
      <c r="G1850" s="69" t="s">
        <v>14</v>
      </c>
      <c r="H1850" s="69" t="str">
        <f>IFERROR(VLOOKUP(Data!$G1850,canon!$I$2:$K$27,2,FALSE),"")</f>
        <v>LEGGING</v>
      </c>
      <c r="I1850" s="69" t="str">
        <f>IFERROR(VLOOKUP(Data!$G1850,canon!$I$2:$K$27,3,FALSE),"")</f>
        <v>APPAREL</v>
      </c>
      <c r="J1850" s="69">
        <f t="shared" si="56"/>
        <v>1</v>
      </c>
      <c r="K1850" s="69">
        <f t="shared" si="57"/>
        <v>43</v>
      </c>
      <c r="L1850" s="69">
        <f>VLOOKUP(Table_db1_backend_Daily.accdb[[#This Row],[TradingDate]],canon!B:E,4,0)</f>
        <v>28</v>
      </c>
    </row>
    <row r="1851" spans="1:12" x14ac:dyDescent="0.2">
      <c r="A1851" s="69" t="s">
        <v>43</v>
      </c>
      <c r="B1851" s="70">
        <v>42925</v>
      </c>
      <c r="C1851" s="69">
        <v>61</v>
      </c>
      <c r="D1851" s="69">
        <v>0</v>
      </c>
      <c r="E1851" s="69">
        <v>0</v>
      </c>
      <c r="F1851" s="69">
        <v>0</v>
      </c>
      <c r="G1851" s="69" t="s">
        <v>37</v>
      </c>
      <c r="H1851" s="69" t="str">
        <f>IFERROR(VLOOKUP(Data!$G1851,canon!$I$2:$K$27,2,FALSE),"")</f>
        <v>SHOES</v>
      </c>
      <c r="I1851" s="69" t="str">
        <f>IFERROR(VLOOKUP(Data!$G1851,canon!$I$2:$K$27,3,FALSE),"")</f>
        <v>N.APPAREL</v>
      </c>
      <c r="J1851" s="69">
        <f t="shared" si="56"/>
        <v>1</v>
      </c>
      <c r="K1851" s="69">
        <f t="shared" si="57"/>
        <v>43</v>
      </c>
      <c r="L1851" s="69">
        <f>VLOOKUP(Table_db1_backend_Daily.accdb[[#This Row],[TradingDate]],canon!B:E,4,0)</f>
        <v>28</v>
      </c>
    </row>
    <row r="1852" spans="1:12" x14ac:dyDescent="0.2">
      <c r="A1852" s="69" t="s">
        <v>43</v>
      </c>
      <c r="B1852" s="70">
        <v>42925</v>
      </c>
      <c r="C1852" s="69">
        <v>61</v>
      </c>
      <c r="D1852" s="69">
        <v>0</v>
      </c>
      <c r="E1852" s="69">
        <v>0</v>
      </c>
      <c r="F1852" s="69">
        <v>0</v>
      </c>
      <c r="G1852" s="69" t="s">
        <v>29</v>
      </c>
      <c r="H1852" s="69" t="str">
        <f>IFERROR(VLOOKUP(Data!$G1852,canon!$I$2:$K$27,2,FALSE),"")</f>
        <v>SHOES</v>
      </c>
      <c r="I1852" s="69" t="str">
        <f>IFERROR(VLOOKUP(Data!$G1852,canon!$I$2:$K$27,3,FALSE),"")</f>
        <v>N.APPAREL</v>
      </c>
      <c r="J1852" s="69">
        <f t="shared" si="56"/>
        <v>1</v>
      </c>
      <c r="K1852" s="69">
        <f t="shared" si="57"/>
        <v>43</v>
      </c>
      <c r="L1852" s="69">
        <f>VLOOKUP(Table_db1_backend_Daily.accdb[[#This Row],[TradingDate]],canon!B:E,4,0)</f>
        <v>28</v>
      </c>
    </row>
    <row r="1853" spans="1:12" x14ac:dyDescent="0.2">
      <c r="A1853" s="69" t="s">
        <v>43</v>
      </c>
      <c r="B1853" s="70">
        <v>42925</v>
      </c>
      <c r="C1853" s="69">
        <v>589</v>
      </c>
      <c r="D1853" s="69">
        <v>6</v>
      </c>
      <c r="E1853" s="69">
        <v>118.08000000000001</v>
      </c>
      <c r="F1853" s="69">
        <v>53.59</v>
      </c>
      <c r="G1853" s="69" t="s">
        <v>17</v>
      </c>
      <c r="H1853" s="69" t="str">
        <f>IFERROR(VLOOKUP(Data!$G1853,canon!$I$2:$K$27,2,FALSE),"")</f>
        <v>OUTER</v>
      </c>
      <c r="I1853" s="69" t="str">
        <f>IFERROR(VLOOKUP(Data!$G1853,canon!$I$2:$K$27,3,FALSE),"")</f>
        <v>APPAREL</v>
      </c>
      <c r="J1853" s="69">
        <f t="shared" si="56"/>
        <v>1</v>
      </c>
      <c r="K1853" s="69">
        <f t="shared" si="57"/>
        <v>43</v>
      </c>
      <c r="L1853" s="69">
        <f>VLOOKUP(Table_db1_backend_Daily.accdb[[#This Row],[TradingDate]],canon!B:E,4,0)</f>
        <v>28</v>
      </c>
    </row>
    <row r="1854" spans="1:12" x14ac:dyDescent="0.2">
      <c r="A1854" s="69" t="s">
        <v>43</v>
      </c>
      <c r="B1854" s="70">
        <v>42925</v>
      </c>
      <c r="C1854" s="69">
        <v>219</v>
      </c>
      <c r="D1854" s="69">
        <v>1</v>
      </c>
      <c r="E1854" s="69">
        <v>9.09</v>
      </c>
      <c r="F1854" s="69">
        <v>3.11</v>
      </c>
      <c r="G1854" s="69" t="s">
        <v>19</v>
      </c>
      <c r="H1854" s="69" t="str">
        <f>IFERROR(VLOOKUP(Data!$G1854,canon!$I$2:$K$27,2,FALSE),"")</f>
        <v>PANT</v>
      </c>
      <c r="I1854" s="69" t="str">
        <f>IFERROR(VLOOKUP(Data!$G1854,canon!$I$2:$K$27,3,FALSE),"")</f>
        <v>APPAREL</v>
      </c>
      <c r="J1854" s="69">
        <f t="shared" si="56"/>
        <v>1</v>
      </c>
      <c r="K1854" s="69">
        <f t="shared" si="57"/>
        <v>43</v>
      </c>
      <c r="L1854" s="69">
        <f>VLOOKUP(Table_db1_backend_Daily.accdb[[#This Row],[TradingDate]],canon!B:E,4,0)</f>
        <v>28</v>
      </c>
    </row>
    <row r="1855" spans="1:12" x14ac:dyDescent="0.2">
      <c r="A1855" s="69" t="s">
        <v>43</v>
      </c>
      <c r="B1855" s="70">
        <v>42925</v>
      </c>
      <c r="C1855" s="69">
        <v>64</v>
      </c>
      <c r="D1855" s="69">
        <v>0</v>
      </c>
      <c r="E1855" s="69">
        <v>0</v>
      </c>
      <c r="F1855" s="69">
        <v>0</v>
      </c>
      <c r="G1855" s="69" t="s">
        <v>21</v>
      </c>
      <c r="H1855" s="69" t="str">
        <f>IFERROR(VLOOKUP(Data!$G1855,canon!$I$2:$K$27,2,FALSE),"")</f>
        <v>ACCESSORY</v>
      </c>
      <c r="I1855" s="69" t="str">
        <f>IFERROR(VLOOKUP(Data!$G1855,canon!$I$2:$K$27,3,FALSE),"")</f>
        <v>N.APPAREL</v>
      </c>
      <c r="J1855" s="69">
        <f t="shared" si="56"/>
        <v>1</v>
      </c>
      <c r="K1855" s="69">
        <f t="shared" si="57"/>
        <v>43</v>
      </c>
      <c r="L1855" s="69">
        <f>VLOOKUP(Table_db1_backend_Daily.accdb[[#This Row],[TradingDate]],canon!B:E,4,0)</f>
        <v>28</v>
      </c>
    </row>
    <row r="1856" spans="1:12" x14ac:dyDescent="0.2">
      <c r="A1856" s="69" t="s">
        <v>43</v>
      </c>
      <c r="B1856" s="70">
        <v>42925</v>
      </c>
      <c r="C1856" s="69">
        <v>790</v>
      </c>
      <c r="D1856" s="69">
        <v>6</v>
      </c>
      <c r="E1856" s="69">
        <v>32.64</v>
      </c>
      <c r="F1856" s="69">
        <v>21.669999999999998</v>
      </c>
      <c r="G1856" s="69" t="s">
        <v>22</v>
      </c>
      <c r="H1856" s="69" t="str">
        <f>IFERROR(VLOOKUP(Data!$G1856,canon!$I$2:$K$27,2,FALSE),"")</f>
        <v>SCARF</v>
      </c>
      <c r="I1856" s="69" t="str">
        <f>IFERROR(VLOOKUP(Data!$G1856,canon!$I$2:$K$27,3,FALSE),"")</f>
        <v>N.APPAREL</v>
      </c>
      <c r="J1856" s="69">
        <f t="shared" si="56"/>
        <v>1</v>
      </c>
      <c r="K1856" s="69">
        <f t="shared" si="57"/>
        <v>43</v>
      </c>
      <c r="L1856" s="69">
        <f>VLOOKUP(Table_db1_backend_Daily.accdb[[#This Row],[TradingDate]],canon!B:E,4,0)</f>
        <v>28</v>
      </c>
    </row>
    <row r="1857" spans="1:12" x14ac:dyDescent="0.2">
      <c r="A1857" s="69" t="s">
        <v>43</v>
      </c>
      <c r="B1857" s="70">
        <v>42925</v>
      </c>
      <c r="C1857" s="69">
        <v>69</v>
      </c>
      <c r="D1857" s="69">
        <v>0</v>
      </c>
      <c r="E1857" s="69">
        <v>0</v>
      </c>
      <c r="F1857" s="69">
        <v>0</v>
      </c>
      <c r="G1857" s="69" t="s">
        <v>23</v>
      </c>
      <c r="H1857" s="69" t="str">
        <f>IFERROR(VLOOKUP(Data!$G1857,canon!$I$2:$K$27,2,FALSE),"")</f>
        <v>SH&amp;BL</v>
      </c>
      <c r="I1857" s="69" t="str">
        <f>IFERROR(VLOOKUP(Data!$G1857,canon!$I$2:$K$27,3,FALSE),"")</f>
        <v>APPAREL</v>
      </c>
      <c r="J1857" s="69">
        <f t="shared" si="56"/>
        <v>1</v>
      </c>
      <c r="K1857" s="69">
        <f t="shared" si="57"/>
        <v>43</v>
      </c>
      <c r="L1857" s="69">
        <f>VLOOKUP(Table_db1_backend_Daily.accdb[[#This Row],[TradingDate]],canon!B:E,4,0)</f>
        <v>28</v>
      </c>
    </row>
    <row r="1858" spans="1:12" x14ac:dyDescent="0.2">
      <c r="A1858" s="69" t="s">
        <v>43</v>
      </c>
      <c r="B1858" s="70">
        <v>42925</v>
      </c>
      <c r="C1858" s="69">
        <v>8</v>
      </c>
      <c r="D1858" s="69">
        <v>1</v>
      </c>
      <c r="E1858" s="69">
        <v>18.16</v>
      </c>
      <c r="F1858" s="69">
        <v>14.14</v>
      </c>
      <c r="G1858" s="69" t="s">
        <v>32</v>
      </c>
      <c r="H1858" s="69" t="str">
        <f>IFERROR(VLOOKUP(Data!$G1858,canon!$I$2:$K$27,2,FALSE),"")</f>
        <v>SKIRT</v>
      </c>
      <c r="I1858" s="69" t="str">
        <f>IFERROR(VLOOKUP(Data!$G1858,canon!$I$2:$K$27,3,FALSE),"")</f>
        <v>APPAREL</v>
      </c>
      <c r="J1858" s="69">
        <f t="shared" ref="J1858:J1921" si="58">WEEKDAY(B1858)</f>
        <v>1</v>
      </c>
      <c r="K1858" s="69">
        <f t="shared" ref="K1858:K1921" si="59">INT(A1858)</f>
        <v>43</v>
      </c>
      <c r="L1858" s="69">
        <f>VLOOKUP(Table_db1_backend_Daily.accdb[[#This Row],[TradingDate]],canon!B:E,4,0)</f>
        <v>28</v>
      </c>
    </row>
    <row r="1859" spans="1:12" x14ac:dyDescent="0.2">
      <c r="A1859" s="69" t="s">
        <v>43</v>
      </c>
      <c r="B1859" s="70">
        <v>42925</v>
      </c>
      <c r="C1859" s="69">
        <v>1007</v>
      </c>
      <c r="D1859" s="69">
        <v>34</v>
      </c>
      <c r="E1859" s="69">
        <v>215.90000000000003</v>
      </c>
      <c r="F1859" s="69">
        <v>66.449999999999989</v>
      </c>
      <c r="G1859" s="69" t="s">
        <v>25</v>
      </c>
      <c r="H1859" s="69" t="str">
        <f>IFERROR(VLOOKUP(Data!$G1859,canon!$I$2:$K$27,2,FALSE),"")</f>
        <v>TOP</v>
      </c>
      <c r="I1859" s="69" t="str">
        <f>IFERROR(VLOOKUP(Data!$G1859,canon!$I$2:$K$27,3,FALSE),"")</f>
        <v>APPAREL</v>
      </c>
      <c r="J1859" s="69">
        <f t="shared" si="58"/>
        <v>1</v>
      </c>
      <c r="K1859" s="69">
        <f t="shared" si="59"/>
        <v>43</v>
      </c>
      <c r="L1859" s="69">
        <f>VLOOKUP(Table_db1_backend_Daily.accdb[[#This Row],[TradingDate]],canon!B:E,4,0)</f>
        <v>28</v>
      </c>
    </row>
    <row r="1860" spans="1:12" x14ac:dyDescent="0.2">
      <c r="A1860" s="69" t="s">
        <v>43</v>
      </c>
      <c r="B1860" s="70">
        <v>42926</v>
      </c>
      <c r="C1860" s="69">
        <v>10</v>
      </c>
      <c r="D1860" s="69">
        <v>0</v>
      </c>
      <c r="E1860" s="69">
        <v>0</v>
      </c>
      <c r="F1860" s="69">
        <v>0</v>
      </c>
      <c r="G1860" s="69" t="s">
        <v>27</v>
      </c>
      <c r="H1860" s="69" t="str">
        <f>IFERROR(VLOOKUP(Data!$G1860,canon!$I$2:$K$27,2,FALSE),"")</f>
        <v>ACCESSORY</v>
      </c>
      <c r="I1860" s="69" t="str">
        <f>IFERROR(VLOOKUP(Data!$G1860,canon!$I$2:$K$27,3,FALSE),"")</f>
        <v>N.APPAREL</v>
      </c>
      <c r="J1860" s="69">
        <f t="shared" si="58"/>
        <v>2</v>
      </c>
      <c r="K1860" s="69">
        <f t="shared" si="59"/>
        <v>43</v>
      </c>
      <c r="L1860" s="69">
        <f>VLOOKUP(Table_db1_backend_Daily.accdb[[#This Row],[TradingDate]],canon!B:E,4,0)</f>
        <v>28</v>
      </c>
    </row>
    <row r="1861" spans="1:12" x14ac:dyDescent="0.2">
      <c r="A1861" s="69" t="s">
        <v>43</v>
      </c>
      <c r="B1861" s="70">
        <v>42926</v>
      </c>
      <c r="C1861" s="69">
        <v>4</v>
      </c>
      <c r="D1861" s="69">
        <v>0</v>
      </c>
      <c r="E1861" s="69">
        <v>0</v>
      </c>
      <c r="F1861" s="69">
        <v>0</v>
      </c>
      <c r="G1861" s="69" t="s">
        <v>34</v>
      </c>
      <c r="H1861" s="69" t="str">
        <f>IFERROR(VLOOKUP(Data!$G1861,canon!$I$2:$K$27,2,FALSE),"")</f>
        <v>SHOES</v>
      </c>
      <c r="I1861" s="69" t="str">
        <f>IFERROR(VLOOKUP(Data!$G1861,canon!$I$2:$K$27,3,FALSE),"")</f>
        <v>N.APPAREL</v>
      </c>
      <c r="J1861" s="69">
        <f t="shared" si="58"/>
        <v>2</v>
      </c>
      <c r="K1861" s="69">
        <f t="shared" si="59"/>
        <v>43</v>
      </c>
      <c r="L1861" s="69">
        <f>VLOOKUP(Table_db1_backend_Daily.accdb[[#This Row],[TradingDate]],canon!B:E,4,0)</f>
        <v>28</v>
      </c>
    </row>
    <row r="1862" spans="1:12" x14ac:dyDescent="0.2">
      <c r="A1862" s="69" t="s">
        <v>43</v>
      </c>
      <c r="B1862" s="70">
        <v>42926</v>
      </c>
      <c r="C1862" s="69">
        <v>554</v>
      </c>
      <c r="D1862" s="69">
        <v>0</v>
      </c>
      <c r="E1862" s="69">
        <v>0</v>
      </c>
      <c r="F1862" s="69">
        <v>0</v>
      </c>
      <c r="G1862" s="69" t="s">
        <v>35</v>
      </c>
      <c r="H1862" s="69" t="str">
        <f>IFERROR(VLOOKUP(Data!$G1862,canon!$I$2:$K$27,2,FALSE),"")</f>
        <v>DRESS</v>
      </c>
      <c r="I1862" s="69" t="str">
        <f>IFERROR(VLOOKUP(Data!$G1862,canon!$I$2:$K$27,3,FALSE),"")</f>
        <v>APPAREL</v>
      </c>
      <c r="J1862" s="69">
        <f t="shared" si="58"/>
        <v>2</v>
      </c>
      <c r="K1862" s="69">
        <f t="shared" si="59"/>
        <v>43</v>
      </c>
      <c r="L1862" s="69">
        <f>VLOOKUP(Table_db1_backend_Daily.accdb[[#This Row],[TradingDate]],canon!B:E,4,0)</f>
        <v>28</v>
      </c>
    </row>
    <row r="1863" spans="1:12" x14ac:dyDescent="0.2">
      <c r="A1863" s="69" t="s">
        <v>43</v>
      </c>
      <c r="B1863" s="70">
        <v>42926</v>
      </c>
      <c r="C1863" s="69">
        <v>-11</v>
      </c>
      <c r="D1863" s="69">
        <v>0</v>
      </c>
      <c r="E1863" s="69">
        <v>0</v>
      </c>
      <c r="F1863" s="69">
        <v>0</v>
      </c>
      <c r="G1863" s="69" t="s">
        <v>10</v>
      </c>
      <c r="H1863" s="69" t="str">
        <f>IFERROR(VLOOKUP(Data!$G1863,canon!$I$2:$K$27,2,FALSE),"")</f>
        <v>ACCESSORY</v>
      </c>
      <c r="I1863" s="69" t="str">
        <f>IFERROR(VLOOKUP(Data!$G1863,canon!$I$2:$K$27,3,FALSE),"")</f>
        <v>N.APPAREL</v>
      </c>
      <c r="J1863" s="69">
        <f t="shared" si="58"/>
        <v>2</v>
      </c>
      <c r="K1863" s="69">
        <f t="shared" si="59"/>
        <v>43</v>
      </c>
      <c r="L1863" s="69">
        <f>VLOOKUP(Table_db1_backend_Daily.accdb[[#This Row],[TradingDate]],canon!B:E,4,0)</f>
        <v>28</v>
      </c>
    </row>
    <row r="1864" spans="1:12" x14ac:dyDescent="0.2">
      <c r="A1864" s="69" t="s">
        <v>43</v>
      </c>
      <c r="B1864" s="70">
        <v>42926</v>
      </c>
      <c r="C1864" s="69">
        <v>8</v>
      </c>
      <c r="D1864" s="69">
        <v>0</v>
      </c>
      <c r="E1864" s="69">
        <v>0</v>
      </c>
      <c r="F1864" s="69">
        <v>0</v>
      </c>
      <c r="G1864" s="69" t="s">
        <v>28</v>
      </c>
      <c r="H1864" s="69" t="str">
        <f>IFERROR(VLOOKUP(Data!$G1864,canon!$I$2:$K$27,2,FALSE),"")</f>
        <v>ACCESSORY</v>
      </c>
      <c r="I1864" s="69" t="str">
        <f>IFERROR(VLOOKUP(Data!$G1864,canon!$I$2:$K$27,3,FALSE),"")</f>
        <v>N.APPAREL</v>
      </c>
      <c r="J1864" s="69">
        <f t="shared" si="58"/>
        <v>2</v>
      </c>
      <c r="K1864" s="69">
        <f t="shared" si="59"/>
        <v>43</v>
      </c>
      <c r="L1864" s="69">
        <f>VLOOKUP(Table_db1_backend_Daily.accdb[[#This Row],[TradingDate]],canon!B:E,4,0)</f>
        <v>28</v>
      </c>
    </row>
    <row r="1865" spans="1:12" x14ac:dyDescent="0.2">
      <c r="A1865" s="69" t="s">
        <v>43</v>
      </c>
      <c r="B1865" s="70">
        <v>42926</v>
      </c>
      <c r="C1865" s="69">
        <v>1943</v>
      </c>
      <c r="D1865" s="69">
        <v>31</v>
      </c>
      <c r="E1865" s="69">
        <v>415.71000000000009</v>
      </c>
      <c r="F1865" s="69">
        <v>178.44</v>
      </c>
      <c r="G1865" s="69" t="s">
        <v>11</v>
      </c>
      <c r="H1865" s="69" t="str">
        <f>IFERROR(VLOOKUP(Data!$G1865,canon!$I$2:$K$27,2,FALSE),"")</f>
        <v>KNIT</v>
      </c>
      <c r="I1865" s="69" t="str">
        <f>IFERROR(VLOOKUP(Data!$G1865,canon!$I$2:$K$27,3,FALSE),"")</f>
        <v>APPAREL</v>
      </c>
      <c r="J1865" s="69">
        <f t="shared" si="58"/>
        <v>2</v>
      </c>
      <c r="K1865" s="69">
        <f t="shared" si="59"/>
        <v>43</v>
      </c>
      <c r="L1865" s="69">
        <f>VLOOKUP(Table_db1_backend_Daily.accdb[[#This Row],[TradingDate]],canon!B:E,4,0)</f>
        <v>28</v>
      </c>
    </row>
    <row r="1866" spans="1:12" x14ac:dyDescent="0.2">
      <c r="A1866" s="69" t="s">
        <v>43</v>
      </c>
      <c r="B1866" s="70">
        <v>42926</v>
      </c>
      <c r="C1866" s="69">
        <v>56</v>
      </c>
      <c r="D1866" s="69">
        <v>0</v>
      </c>
      <c r="E1866" s="69">
        <v>0</v>
      </c>
      <c r="F1866" s="69">
        <v>0</v>
      </c>
      <c r="G1866" s="69" t="s">
        <v>14</v>
      </c>
      <c r="H1866" s="69" t="str">
        <f>IFERROR(VLOOKUP(Data!$G1866,canon!$I$2:$K$27,2,FALSE),"")</f>
        <v>LEGGING</v>
      </c>
      <c r="I1866" s="69" t="str">
        <f>IFERROR(VLOOKUP(Data!$G1866,canon!$I$2:$K$27,3,FALSE),"")</f>
        <v>APPAREL</v>
      </c>
      <c r="J1866" s="69">
        <f t="shared" si="58"/>
        <v>2</v>
      </c>
      <c r="K1866" s="69">
        <f t="shared" si="59"/>
        <v>43</v>
      </c>
      <c r="L1866" s="69">
        <f>VLOOKUP(Table_db1_backend_Daily.accdb[[#This Row],[TradingDate]],canon!B:E,4,0)</f>
        <v>28</v>
      </c>
    </row>
    <row r="1867" spans="1:12" x14ac:dyDescent="0.2">
      <c r="A1867" s="69" t="s">
        <v>43</v>
      </c>
      <c r="B1867" s="70">
        <v>42926</v>
      </c>
      <c r="C1867" s="69">
        <v>61</v>
      </c>
      <c r="D1867" s="69">
        <v>0</v>
      </c>
      <c r="E1867" s="69">
        <v>0</v>
      </c>
      <c r="F1867" s="69">
        <v>0</v>
      </c>
      <c r="G1867" s="69" t="s">
        <v>37</v>
      </c>
      <c r="H1867" s="69" t="str">
        <f>IFERROR(VLOOKUP(Data!$G1867,canon!$I$2:$K$27,2,FALSE),"")</f>
        <v>SHOES</v>
      </c>
      <c r="I1867" s="69" t="str">
        <f>IFERROR(VLOOKUP(Data!$G1867,canon!$I$2:$K$27,3,FALSE),"")</f>
        <v>N.APPAREL</v>
      </c>
      <c r="J1867" s="69">
        <f t="shared" si="58"/>
        <v>2</v>
      </c>
      <c r="K1867" s="69">
        <f t="shared" si="59"/>
        <v>43</v>
      </c>
      <c r="L1867" s="69">
        <f>VLOOKUP(Table_db1_backend_Daily.accdb[[#This Row],[TradingDate]],canon!B:E,4,0)</f>
        <v>28</v>
      </c>
    </row>
    <row r="1868" spans="1:12" x14ac:dyDescent="0.2">
      <c r="A1868" s="69" t="s">
        <v>43</v>
      </c>
      <c r="B1868" s="70">
        <v>42926</v>
      </c>
      <c r="C1868" s="69">
        <v>61</v>
      </c>
      <c r="D1868" s="69">
        <v>0</v>
      </c>
      <c r="E1868" s="69">
        <v>0</v>
      </c>
      <c r="F1868" s="69">
        <v>0</v>
      </c>
      <c r="G1868" s="69" t="s">
        <v>29</v>
      </c>
      <c r="H1868" s="69" t="str">
        <f>IFERROR(VLOOKUP(Data!$G1868,canon!$I$2:$K$27,2,FALSE),"")</f>
        <v>SHOES</v>
      </c>
      <c r="I1868" s="69" t="str">
        <f>IFERROR(VLOOKUP(Data!$G1868,canon!$I$2:$K$27,3,FALSE),"")</f>
        <v>N.APPAREL</v>
      </c>
      <c r="J1868" s="69">
        <f t="shared" si="58"/>
        <v>2</v>
      </c>
      <c r="K1868" s="69">
        <f t="shared" si="59"/>
        <v>43</v>
      </c>
      <c r="L1868" s="69">
        <f>VLOOKUP(Table_db1_backend_Daily.accdb[[#This Row],[TradingDate]],canon!B:E,4,0)</f>
        <v>28</v>
      </c>
    </row>
    <row r="1869" spans="1:12" x14ac:dyDescent="0.2">
      <c r="A1869" s="69" t="s">
        <v>43</v>
      </c>
      <c r="B1869" s="70">
        <v>42926</v>
      </c>
      <c r="C1869" s="69">
        <v>584</v>
      </c>
      <c r="D1869" s="69">
        <v>5</v>
      </c>
      <c r="E1869" s="69">
        <v>56.769999999999996</v>
      </c>
      <c r="F1869" s="69">
        <v>7.7700000000000005</v>
      </c>
      <c r="G1869" s="69" t="s">
        <v>17</v>
      </c>
      <c r="H1869" s="69" t="str">
        <f>IFERROR(VLOOKUP(Data!$G1869,canon!$I$2:$K$27,2,FALSE),"")</f>
        <v>OUTER</v>
      </c>
      <c r="I1869" s="69" t="str">
        <f>IFERROR(VLOOKUP(Data!$G1869,canon!$I$2:$K$27,3,FALSE),"")</f>
        <v>APPAREL</v>
      </c>
      <c r="J1869" s="69">
        <f t="shared" si="58"/>
        <v>2</v>
      </c>
      <c r="K1869" s="69">
        <f t="shared" si="59"/>
        <v>43</v>
      </c>
      <c r="L1869" s="69">
        <f>VLOOKUP(Table_db1_backend_Daily.accdb[[#This Row],[TradingDate]],canon!B:E,4,0)</f>
        <v>28</v>
      </c>
    </row>
    <row r="1870" spans="1:12" x14ac:dyDescent="0.2">
      <c r="A1870" s="69" t="s">
        <v>43</v>
      </c>
      <c r="B1870" s="70">
        <v>42926</v>
      </c>
      <c r="C1870" s="69">
        <v>219</v>
      </c>
      <c r="D1870" s="69">
        <v>0</v>
      </c>
      <c r="E1870" s="69">
        <v>0</v>
      </c>
      <c r="F1870" s="69">
        <v>0</v>
      </c>
      <c r="G1870" s="69" t="s">
        <v>19</v>
      </c>
      <c r="H1870" s="69" t="str">
        <f>IFERROR(VLOOKUP(Data!$G1870,canon!$I$2:$K$27,2,FALSE),"")</f>
        <v>PANT</v>
      </c>
      <c r="I1870" s="69" t="str">
        <f>IFERROR(VLOOKUP(Data!$G1870,canon!$I$2:$K$27,3,FALSE),"")</f>
        <v>APPAREL</v>
      </c>
      <c r="J1870" s="69">
        <f t="shared" si="58"/>
        <v>2</v>
      </c>
      <c r="K1870" s="69">
        <f t="shared" si="59"/>
        <v>43</v>
      </c>
      <c r="L1870" s="69">
        <f>VLOOKUP(Table_db1_backend_Daily.accdb[[#This Row],[TradingDate]],canon!B:E,4,0)</f>
        <v>28</v>
      </c>
    </row>
    <row r="1871" spans="1:12" x14ac:dyDescent="0.2">
      <c r="A1871" s="69" t="s">
        <v>43</v>
      </c>
      <c r="B1871" s="70">
        <v>42926</v>
      </c>
      <c r="C1871" s="69">
        <v>64</v>
      </c>
      <c r="D1871" s="69">
        <v>0</v>
      </c>
      <c r="E1871" s="69">
        <v>0</v>
      </c>
      <c r="F1871" s="69">
        <v>0</v>
      </c>
      <c r="G1871" s="69" t="s">
        <v>21</v>
      </c>
      <c r="H1871" s="69" t="str">
        <f>IFERROR(VLOOKUP(Data!$G1871,canon!$I$2:$K$27,2,FALSE),"")</f>
        <v>ACCESSORY</v>
      </c>
      <c r="I1871" s="69" t="str">
        <f>IFERROR(VLOOKUP(Data!$G1871,canon!$I$2:$K$27,3,FALSE),"")</f>
        <v>N.APPAREL</v>
      </c>
      <c r="J1871" s="69">
        <f t="shared" si="58"/>
        <v>2</v>
      </c>
      <c r="K1871" s="69">
        <f t="shared" si="59"/>
        <v>43</v>
      </c>
      <c r="L1871" s="69">
        <f>VLOOKUP(Table_db1_backend_Daily.accdb[[#This Row],[TradingDate]],canon!B:E,4,0)</f>
        <v>28</v>
      </c>
    </row>
    <row r="1872" spans="1:12" x14ac:dyDescent="0.2">
      <c r="A1872" s="69" t="s">
        <v>43</v>
      </c>
      <c r="B1872" s="70">
        <v>42926</v>
      </c>
      <c r="C1872" s="69">
        <v>790</v>
      </c>
      <c r="D1872" s="69">
        <v>0</v>
      </c>
      <c r="E1872" s="69">
        <v>0</v>
      </c>
      <c r="F1872" s="69">
        <v>0</v>
      </c>
      <c r="G1872" s="69" t="s">
        <v>22</v>
      </c>
      <c r="H1872" s="69" t="str">
        <f>IFERROR(VLOOKUP(Data!$G1872,canon!$I$2:$K$27,2,FALSE),"")</f>
        <v>SCARF</v>
      </c>
      <c r="I1872" s="69" t="str">
        <f>IFERROR(VLOOKUP(Data!$G1872,canon!$I$2:$K$27,3,FALSE),"")</f>
        <v>N.APPAREL</v>
      </c>
      <c r="J1872" s="69">
        <f t="shared" si="58"/>
        <v>2</v>
      </c>
      <c r="K1872" s="69">
        <f t="shared" si="59"/>
        <v>43</v>
      </c>
      <c r="L1872" s="69">
        <f>VLOOKUP(Table_db1_backend_Daily.accdb[[#This Row],[TradingDate]],canon!B:E,4,0)</f>
        <v>28</v>
      </c>
    </row>
    <row r="1873" spans="1:12" x14ac:dyDescent="0.2">
      <c r="A1873" s="69" t="s">
        <v>43</v>
      </c>
      <c r="B1873" s="70">
        <v>42926</v>
      </c>
      <c r="C1873" s="69">
        <v>69</v>
      </c>
      <c r="D1873" s="69">
        <v>0</v>
      </c>
      <c r="E1873" s="69">
        <v>0</v>
      </c>
      <c r="F1873" s="69">
        <v>0</v>
      </c>
      <c r="G1873" s="69" t="s">
        <v>23</v>
      </c>
      <c r="H1873" s="69" t="str">
        <f>IFERROR(VLOOKUP(Data!$G1873,canon!$I$2:$K$27,2,FALSE),"")</f>
        <v>SH&amp;BL</v>
      </c>
      <c r="I1873" s="69" t="str">
        <f>IFERROR(VLOOKUP(Data!$G1873,canon!$I$2:$K$27,3,FALSE),"")</f>
        <v>APPAREL</v>
      </c>
      <c r="J1873" s="69">
        <f t="shared" si="58"/>
        <v>2</v>
      </c>
      <c r="K1873" s="69">
        <f t="shared" si="59"/>
        <v>43</v>
      </c>
      <c r="L1873" s="69">
        <f>VLOOKUP(Table_db1_backend_Daily.accdb[[#This Row],[TradingDate]],canon!B:E,4,0)</f>
        <v>28</v>
      </c>
    </row>
    <row r="1874" spans="1:12" x14ac:dyDescent="0.2">
      <c r="A1874" s="69" t="s">
        <v>43</v>
      </c>
      <c r="B1874" s="70">
        <v>42926</v>
      </c>
      <c r="C1874" s="69">
        <v>6</v>
      </c>
      <c r="D1874" s="69">
        <v>2</v>
      </c>
      <c r="E1874" s="69">
        <v>18.18</v>
      </c>
      <c r="F1874" s="69">
        <v>6.87</v>
      </c>
      <c r="G1874" s="69" t="s">
        <v>32</v>
      </c>
      <c r="H1874" s="69" t="str">
        <f>IFERROR(VLOOKUP(Data!$G1874,canon!$I$2:$K$27,2,FALSE),"")</f>
        <v>SKIRT</v>
      </c>
      <c r="I1874" s="69" t="str">
        <f>IFERROR(VLOOKUP(Data!$G1874,canon!$I$2:$K$27,3,FALSE),"")</f>
        <v>APPAREL</v>
      </c>
      <c r="J1874" s="69">
        <f t="shared" si="58"/>
        <v>2</v>
      </c>
      <c r="K1874" s="69">
        <f t="shared" si="59"/>
        <v>43</v>
      </c>
      <c r="L1874" s="69">
        <f>VLOOKUP(Table_db1_backend_Daily.accdb[[#This Row],[TradingDate]],canon!B:E,4,0)</f>
        <v>28</v>
      </c>
    </row>
    <row r="1875" spans="1:12" x14ac:dyDescent="0.2">
      <c r="A1875" s="69" t="s">
        <v>43</v>
      </c>
      <c r="B1875" s="70">
        <v>42926</v>
      </c>
      <c r="C1875" s="69">
        <v>970</v>
      </c>
      <c r="D1875" s="69">
        <v>37</v>
      </c>
      <c r="E1875" s="69">
        <v>227.17000000000002</v>
      </c>
      <c r="F1875" s="69">
        <v>64.89</v>
      </c>
      <c r="G1875" s="69" t="s">
        <v>25</v>
      </c>
      <c r="H1875" s="69" t="str">
        <f>IFERROR(VLOOKUP(Data!$G1875,canon!$I$2:$K$27,2,FALSE),"")</f>
        <v>TOP</v>
      </c>
      <c r="I1875" s="69" t="str">
        <f>IFERROR(VLOOKUP(Data!$G1875,canon!$I$2:$K$27,3,FALSE),"")</f>
        <v>APPAREL</v>
      </c>
      <c r="J1875" s="69">
        <f t="shared" si="58"/>
        <v>2</v>
      </c>
      <c r="K1875" s="69">
        <f t="shared" si="59"/>
        <v>43</v>
      </c>
      <c r="L1875" s="69">
        <f>VLOOKUP(Table_db1_backend_Daily.accdb[[#This Row],[TradingDate]],canon!B:E,4,0)</f>
        <v>28</v>
      </c>
    </row>
    <row r="1876" spans="1:12" x14ac:dyDescent="0.2">
      <c r="A1876" s="69" t="s">
        <v>43</v>
      </c>
      <c r="B1876" s="70">
        <v>42927</v>
      </c>
      <c r="C1876" s="69">
        <v>10</v>
      </c>
      <c r="D1876" s="69">
        <v>0</v>
      </c>
      <c r="E1876" s="69">
        <v>0</v>
      </c>
      <c r="F1876" s="69">
        <v>0</v>
      </c>
      <c r="G1876" s="69" t="s">
        <v>27</v>
      </c>
      <c r="H1876" s="69" t="str">
        <f>IFERROR(VLOOKUP(Data!$G1876,canon!$I$2:$K$27,2,FALSE),"")</f>
        <v>ACCESSORY</v>
      </c>
      <c r="I1876" s="69" t="str">
        <f>IFERROR(VLOOKUP(Data!$G1876,canon!$I$2:$K$27,3,FALSE),"")</f>
        <v>N.APPAREL</v>
      </c>
      <c r="J1876" s="69">
        <f t="shared" si="58"/>
        <v>3</v>
      </c>
      <c r="K1876" s="69">
        <f t="shared" si="59"/>
        <v>43</v>
      </c>
      <c r="L1876" s="69">
        <f>VLOOKUP(Table_db1_backend_Daily.accdb[[#This Row],[TradingDate]],canon!B:E,4,0)</f>
        <v>28</v>
      </c>
    </row>
    <row r="1877" spans="1:12" x14ac:dyDescent="0.2">
      <c r="A1877" s="69" t="s">
        <v>43</v>
      </c>
      <c r="B1877" s="70">
        <v>42927</v>
      </c>
      <c r="C1877" s="69">
        <v>4</v>
      </c>
      <c r="D1877" s="69">
        <v>0</v>
      </c>
      <c r="E1877" s="69">
        <v>0</v>
      </c>
      <c r="F1877" s="69">
        <v>0</v>
      </c>
      <c r="G1877" s="69" t="s">
        <v>34</v>
      </c>
      <c r="H1877" s="69" t="str">
        <f>IFERROR(VLOOKUP(Data!$G1877,canon!$I$2:$K$27,2,FALSE),"")</f>
        <v>SHOES</v>
      </c>
      <c r="I1877" s="69" t="str">
        <f>IFERROR(VLOOKUP(Data!$G1877,canon!$I$2:$K$27,3,FALSE),"")</f>
        <v>N.APPAREL</v>
      </c>
      <c r="J1877" s="69">
        <f t="shared" si="58"/>
        <v>3</v>
      </c>
      <c r="K1877" s="69">
        <f t="shared" si="59"/>
        <v>43</v>
      </c>
      <c r="L1877" s="69">
        <f>VLOOKUP(Table_db1_backend_Daily.accdb[[#This Row],[TradingDate]],canon!B:E,4,0)</f>
        <v>28</v>
      </c>
    </row>
    <row r="1878" spans="1:12" x14ac:dyDescent="0.2">
      <c r="A1878" s="69" t="s">
        <v>43</v>
      </c>
      <c r="B1878" s="70">
        <v>42927</v>
      </c>
      <c r="C1878" s="69">
        <v>552</v>
      </c>
      <c r="D1878" s="69">
        <v>2</v>
      </c>
      <c r="E1878" s="69">
        <v>36.36</v>
      </c>
      <c r="F1878" s="69">
        <v>18.54</v>
      </c>
      <c r="G1878" s="69" t="s">
        <v>35</v>
      </c>
      <c r="H1878" s="69" t="str">
        <f>IFERROR(VLOOKUP(Data!$G1878,canon!$I$2:$K$27,2,FALSE),"")</f>
        <v>DRESS</v>
      </c>
      <c r="I1878" s="69" t="str">
        <f>IFERROR(VLOOKUP(Data!$G1878,canon!$I$2:$K$27,3,FALSE),"")</f>
        <v>APPAREL</v>
      </c>
      <c r="J1878" s="69">
        <f t="shared" si="58"/>
        <v>3</v>
      </c>
      <c r="K1878" s="69">
        <f t="shared" si="59"/>
        <v>43</v>
      </c>
      <c r="L1878" s="69">
        <f>VLOOKUP(Table_db1_backend_Daily.accdb[[#This Row],[TradingDate]],canon!B:E,4,0)</f>
        <v>28</v>
      </c>
    </row>
    <row r="1879" spans="1:12" x14ac:dyDescent="0.2">
      <c r="A1879" s="69" t="s">
        <v>43</v>
      </c>
      <c r="B1879" s="70">
        <v>42927</v>
      </c>
      <c r="C1879" s="69">
        <v>-11</v>
      </c>
      <c r="D1879" s="69">
        <v>0</v>
      </c>
      <c r="E1879" s="69">
        <v>0</v>
      </c>
      <c r="F1879" s="69">
        <v>0</v>
      </c>
      <c r="G1879" s="69" t="s">
        <v>10</v>
      </c>
      <c r="H1879" s="69" t="str">
        <f>IFERROR(VLOOKUP(Data!$G1879,canon!$I$2:$K$27,2,FALSE),"")</f>
        <v>ACCESSORY</v>
      </c>
      <c r="I1879" s="69" t="str">
        <f>IFERROR(VLOOKUP(Data!$G1879,canon!$I$2:$K$27,3,FALSE),"")</f>
        <v>N.APPAREL</v>
      </c>
      <c r="J1879" s="69">
        <f t="shared" si="58"/>
        <v>3</v>
      </c>
      <c r="K1879" s="69">
        <f t="shared" si="59"/>
        <v>43</v>
      </c>
      <c r="L1879" s="69">
        <f>VLOOKUP(Table_db1_backend_Daily.accdb[[#This Row],[TradingDate]],canon!B:E,4,0)</f>
        <v>28</v>
      </c>
    </row>
    <row r="1880" spans="1:12" x14ac:dyDescent="0.2">
      <c r="A1880" s="69" t="s">
        <v>43</v>
      </c>
      <c r="B1880" s="70">
        <v>42927</v>
      </c>
      <c r="C1880" s="69">
        <v>8</v>
      </c>
      <c r="D1880" s="69">
        <v>0</v>
      </c>
      <c r="E1880" s="69">
        <v>0</v>
      </c>
      <c r="F1880" s="69">
        <v>0</v>
      </c>
      <c r="G1880" s="69" t="s">
        <v>28</v>
      </c>
      <c r="H1880" s="69" t="str">
        <f>IFERROR(VLOOKUP(Data!$G1880,canon!$I$2:$K$27,2,FALSE),"")</f>
        <v>ACCESSORY</v>
      </c>
      <c r="I1880" s="69" t="str">
        <f>IFERROR(VLOOKUP(Data!$G1880,canon!$I$2:$K$27,3,FALSE),"")</f>
        <v>N.APPAREL</v>
      </c>
      <c r="J1880" s="69">
        <f t="shared" si="58"/>
        <v>3</v>
      </c>
      <c r="K1880" s="69">
        <f t="shared" si="59"/>
        <v>43</v>
      </c>
      <c r="L1880" s="69">
        <f>VLOOKUP(Table_db1_backend_Daily.accdb[[#This Row],[TradingDate]],canon!B:E,4,0)</f>
        <v>28</v>
      </c>
    </row>
    <row r="1881" spans="1:12" x14ac:dyDescent="0.2">
      <c r="A1881" s="69" t="s">
        <v>43</v>
      </c>
      <c r="B1881" s="70">
        <v>42927</v>
      </c>
      <c r="C1881" s="69">
        <v>1926</v>
      </c>
      <c r="D1881" s="69">
        <v>80</v>
      </c>
      <c r="E1881" s="69">
        <v>885.74999999999989</v>
      </c>
      <c r="F1881" s="69">
        <v>275.86</v>
      </c>
      <c r="G1881" s="69" t="s">
        <v>11</v>
      </c>
      <c r="H1881" s="69" t="str">
        <f>IFERROR(VLOOKUP(Data!$G1881,canon!$I$2:$K$27,2,FALSE),"")</f>
        <v>KNIT</v>
      </c>
      <c r="I1881" s="69" t="str">
        <f>IFERROR(VLOOKUP(Data!$G1881,canon!$I$2:$K$27,3,FALSE),"")</f>
        <v>APPAREL</v>
      </c>
      <c r="J1881" s="69">
        <f t="shared" si="58"/>
        <v>3</v>
      </c>
      <c r="K1881" s="69">
        <f t="shared" si="59"/>
        <v>43</v>
      </c>
      <c r="L1881" s="69">
        <f>VLOOKUP(Table_db1_backend_Daily.accdb[[#This Row],[TradingDate]],canon!B:E,4,0)</f>
        <v>28</v>
      </c>
    </row>
    <row r="1882" spans="1:12" x14ac:dyDescent="0.2">
      <c r="A1882" s="69" t="s">
        <v>43</v>
      </c>
      <c r="B1882" s="70">
        <v>42927</v>
      </c>
      <c r="C1882" s="69">
        <v>54</v>
      </c>
      <c r="D1882" s="69">
        <v>2</v>
      </c>
      <c r="E1882" s="69">
        <v>27.18</v>
      </c>
      <c r="F1882" s="69">
        <v>12.62</v>
      </c>
      <c r="G1882" s="69" t="s">
        <v>14</v>
      </c>
      <c r="H1882" s="69" t="str">
        <f>IFERROR(VLOOKUP(Data!$G1882,canon!$I$2:$K$27,2,FALSE),"")</f>
        <v>LEGGING</v>
      </c>
      <c r="I1882" s="69" t="str">
        <f>IFERROR(VLOOKUP(Data!$G1882,canon!$I$2:$K$27,3,FALSE),"")</f>
        <v>APPAREL</v>
      </c>
      <c r="J1882" s="69">
        <f t="shared" si="58"/>
        <v>3</v>
      </c>
      <c r="K1882" s="69">
        <f t="shared" si="59"/>
        <v>43</v>
      </c>
      <c r="L1882" s="69">
        <f>VLOOKUP(Table_db1_backend_Daily.accdb[[#This Row],[TradingDate]],canon!B:E,4,0)</f>
        <v>28</v>
      </c>
    </row>
    <row r="1883" spans="1:12" x14ac:dyDescent="0.2">
      <c r="A1883" s="69" t="s">
        <v>43</v>
      </c>
      <c r="B1883" s="70">
        <v>42927</v>
      </c>
      <c r="C1883" s="69">
        <v>61</v>
      </c>
      <c r="D1883" s="69">
        <v>0</v>
      </c>
      <c r="E1883" s="69">
        <v>0</v>
      </c>
      <c r="F1883" s="69">
        <v>0</v>
      </c>
      <c r="G1883" s="69" t="s">
        <v>37</v>
      </c>
      <c r="H1883" s="69" t="str">
        <f>IFERROR(VLOOKUP(Data!$G1883,canon!$I$2:$K$27,2,FALSE),"")</f>
        <v>SHOES</v>
      </c>
      <c r="I1883" s="69" t="str">
        <f>IFERROR(VLOOKUP(Data!$G1883,canon!$I$2:$K$27,3,FALSE),"")</f>
        <v>N.APPAREL</v>
      </c>
      <c r="J1883" s="69">
        <f t="shared" si="58"/>
        <v>3</v>
      </c>
      <c r="K1883" s="69">
        <f t="shared" si="59"/>
        <v>43</v>
      </c>
      <c r="L1883" s="69">
        <f>VLOOKUP(Table_db1_backend_Daily.accdb[[#This Row],[TradingDate]],canon!B:E,4,0)</f>
        <v>28</v>
      </c>
    </row>
    <row r="1884" spans="1:12" x14ac:dyDescent="0.2">
      <c r="A1884" s="69" t="s">
        <v>43</v>
      </c>
      <c r="B1884" s="70">
        <v>42927</v>
      </c>
      <c r="C1884" s="69">
        <v>61</v>
      </c>
      <c r="D1884" s="69">
        <v>0</v>
      </c>
      <c r="E1884" s="69">
        <v>0</v>
      </c>
      <c r="F1884" s="69">
        <v>0</v>
      </c>
      <c r="G1884" s="69" t="s">
        <v>29</v>
      </c>
      <c r="H1884" s="69" t="str">
        <f>IFERROR(VLOOKUP(Data!$G1884,canon!$I$2:$K$27,2,FALSE),"")</f>
        <v>SHOES</v>
      </c>
      <c r="I1884" s="69" t="str">
        <f>IFERROR(VLOOKUP(Data!$G1884,canon!$I$2:$K$27,3,FALSE),"")</f>
        <v>N.APPAREL</v>
      </c>
      <c r="J1884" s="69">
        <f t="shared" si="58"/>
        <v>3</v>
      </c>
      <c r="K1884" s="69">
        <f t="shared" si="59"/>
        <v>43</v>
      </c>
      <c r="L1884" s="69">
        <f>VLOOKUP(Table_db1_backend_Daily.accdb[[#This Row],[TradingDate]],canon!B:E,4,0)</f>
        <v>28</v>
      </c>
    </row>
    <row r="1885" spans="1:12" x14ac:dyDescent="0.2">
      <c r="A1885" s="69" t="s">
        <v>43</v>
      </c>
      <c r="B1885" s="70">
        <v>42927</v>
      </c>
      <c r="C1885" s="69">
        <v>605</v>
      </c>
      <c r="D1885" s="69">
        <v>15</v>
      </c>
      <c r="E1885" s="69">
        <v>194.99000000000004</v>
      </c>
      <c r="F1885" s="69">
        <v>50.809999999999995</v>
      </c>
      <c r="G1885" s="69" t="s">
        <v>17</v>
      </c>
      <c r="H1885" s="69" t="str">
        <f>IFERROR(VLOOKUP(Data!$G1885,canon!$I$2:$K$27,2,FALSE),"")</f>
        <v>OUTER</v>
      </c>
      <c r="I1885" s="69" t="str">
        <f>IFERROR(VLOOKUP(Data!$G1885,canon!$I$2:$K$27,3,FALSE),"")</f>
        <v>APPAREL</v>
      </c>
      <c r="J1885" s="69">
        <f t="shared" si="58"/>
        <v>3</v>
      </c>
      <c r="K1885" s="69">
        <f t="shared" si="59"/>
        <v>43</v>
      </c>
      <c r="L1885" s="69">
        <f>VLOOKUP(Table_db1_backend_Daily.accdb[[#This Row],[TradingDate]],canon!B:E,4,0)</f>
        <v>28</v>
      </c>
    </row>
    <row r="1886" spans="1:12" x14ac:dyDescent="0.2">
      <c r="A1886" s="69" t="s">
        <v>43</v>
      </c>
      <c r="B1886" s="70">
        <v>42927</v>
      </c>
      <c r="C1886" s="69">
        <v>217</v>
      </c>
      <c r="D1886" s="69">
        <v>2</v>
      </c>
      <c r="E1886" s="69">
        <v>18.18</v>
      </c>
      <c r="F1886" s="69">
        <v>4.59</v>
      </c>
      <c r="G1886" s="69" t="s">
        <v>19</v>
      </c>
      <c r="H1886" s="69" t="str">
        <f>IFERROR(VLOOKUP(Data!$G1886,canon!$I$2:$K$27,2,FALSE),"")</f>
        <v>PANT</v>
      </c>
      <c r="I1886" s="69" t="str">
        <f>IFERROR(VLOOKUP(Data!$G1886,canon!$I$2:$K$27,3,FALSE),"")</f>
        <v>APPAREL</v>
      </c>
      <c r="J1886" s="69">
        <f t="shared" si="58"/>
        <v>3</v>
      </c>
      <c r="K1886" s="69">
        <f t="shared" si="59"/>
        <v>43</v>
      </c>
      <c r="L1886" s="69">
        <f>VLOOKUP(Table_db1_backend_Daily.accdb[[#This Row],[TradingDate]],canon!B:E,4,0)</f>
        <v>28</v>
      </c>
    </row>
    <row r="1887" spans="1:12" x14ac:dyDescent="0.2">
      <c r="A1887" s="69" t="s">
        <v>43</v>
      </c>
      <c r="B1887" s="70">
        <v>42927</v>
      </c>
      <c r="C1887" s="69">
        <v>64</v>
      </c>
      <c r="D1887" s="69">
        <v>0</v>
      </c>
      <c r="E1887" s="69">
        <v>0</v>
      </c>
      <c r="F1887" s="69">
        <v>0</v>
      </c>
      <c r="G1887" s="69" t="s">
        <v>21</v>
      </c>
      <c r="H1887" s="69" t="str">
        <f>IFERROR(VLOOKUP(Data!$G1887,canon!$I$2:$K$27,2,FALSE),"")</f>
        <v>ACCESSORY</v>
      </c>
      <c r="I1887" s="69" t="str">
        <f>IFERROR(VLOOKUP(Data!$G1887,canon!$I$2:$K$27,3,FALSE),"")</f>
        <v>N.APPAREL</v>
      </c>
      <c r="J1887" s="69">
        <f t="shared" si="58"/>
        <v>3</v>
      </c>
      <c r="K1887" s="69">
        <f t="shared" si="59"/>
        <v>43</v>
      </c>
      <c r="L1887" s="69">
        <f>VLOOKUP(Table_db1_backend_Daily.accdb[[#This Row],[TradingDate]],canon!B:E,4,0)</f>
        <v>28</v>
      </c>
    </row>
    <row r="1888" spans="1:12" x14ac:dyDescent="0.2">
      <c r="A1888" s="69" t="s">
        <v>43</v>
      </c>
      <c r="B1888" s="70">
        <v>42927</v>
      </c>
      <c r="C1888" s="69">
        <v>788</v>
      </c>
      <c r="D1888" s="69">
        <v>2</v>
      </c>
      <c r="E1888" s="69">
        <v>9.1</v>
      </c>
      <c r="F1888" s="69">
        <v>5.51</v>
      </c>
      <c r="G1888" s="69" t="s">
        <v>22</v>
      </c>
      <c r="H1888" s="69" t="str">
        <f>IFERROR(VLOOKUP(Data!$G1888,canon!$I$2:$K$27,2,FALSE),"")</f>
        <v>SCARF</v>
      </c>
      <c r="I1888" s="69" t="str">
        <f>IFERROR(VLOOKUP(Data!$G1888,canon!$I$2:$K$27,3,FALSE),"")</f>
        <v>N.APPAREL</v>
      </c>
      <c r="J1888" s="69">
        <f t="shared" si="58"/>
        <v>3</v>
      </c>
      <c r="K1888" s="69">
        <f t="shared" si="59"/>
        <v>43</v>
      </c>
      <c r="L1888" s="69">
        <f>VLOOKUP(Table_db1_backend_Daily.accdb[[#This Row],[TradingDate]],canon!B:E,4,0)</f>
        <v>28</v>
      </c>
    </row>
    <row r="1889" spans="1:12" x14ac:dyDescent="0.2">
      <c r="A1889" s="69" t="s">
        <v>43</v>
      </c>
      <c r="B1889" s="70">
        <v>42927</v>
      </c>
      <c r="C1889" s="69">
        <v>67</v>
      </c>
      <c r="D1889" s="69">
        <v>2</v>
      </c>
      <c r="E1889" s="69">
        <v>18.18</v>
      </c>
      <c r="F1889" s="69">
        <v>-1.38</v>
      </c>
      <c r="G1889" s="69" t="s">
        <v>23</v>
      </c>
      <c r="H1889" s="69" t="str">
        <f>IFERROR(VLOOKUP(Data!$G1889,canon!$I$2:$K$27,2,FALSE),"")</f>
        <v>SH&amp;BL</v>
      </c>
      <c r="I1889" s="69" t="str">
        <f>IFERROR(VLOOKUP(Data!$G1889,canon!$I$2:$K$27,3,FALSE),"")</f>
        <v>APPAREL</v>
      </c>
      <c r="J1889" s="69">
        <f t="shared" si="58"/>
        <v>3</v>
      </c>
      <c r="K1889" s="69">
        <f t="shared" si="59"/>
        <v>43</v>
      </c>
      <c r="L1889" s="69">
        <f>VLOOKUP(Table_db1_backend_Daily.accdb[[#This Row],[TradingDate]],canon!B:E,4,0)</f>
        <v>28</v>
      </c>
    </row>
    <row r="1890" spans="1:12" x14ac:dyDescent="0.2">
      <c r="A1890" s="69" t="s">
        <v>43</v>
      </c>
      <c r="B1890" s="70">
        <v>42927</v>
      </c>
      <c r="C1890" s="69">
        <v>4</v>
      </c>
      <c r="D1890" s="69">
        <v>2</v>
      </c>
      <c r="E1890" s="69">
        <v>18.18</v>
      </c>
      <c r="F1890" s="69">
        <v>2.74</v>
      </c>
      <c r="G1890" s="69" t="s">
        <v>32</v>
      </c>
      <c r="H1890" s="69" t="str">
        <f>IFERROR(VLOOKUP(Data!$G1890,canon!$I$2:$K$27,2,FALSE),"")</f>
        <v>SKIRT</v>
      </c>
      <c r="I1890" s="69" t="str">
        <f>IFERROR(VLOOKUP(Data!$G1890,canon!$I$2:$K$27,3,FALSE),"")</f>
        <v>APPAREL</v>
      </c>
      <c r="J1890" s="69">
        <f t="shared" si="58"/>
        <v>3</v>
      </c>
      <c r="K1890" s="69">
        <f t="shared" si="59"/>
        <v>43</v>
      </c>
      <c r="L1890" s="69">
        <f>VLOOKUP(Table_db1_backend_Daily.accdb[[#This Row],[TradingDate]],canon!B:E,4,0)</f>
        <v>28</v>
      </c>
    </row>
    <row r="1891" spans="1:12" x14ac:dyDescent="0.2">
      <c r="A1891" s="69" t="s">
        <v>43</v>
      </c>
      <c r="B1891" s="70">
        <v>42927</v>
      </c>
      <c r="C1891" s="69">
        <v>924</v>
      </c>
      <c r="D1891" s="69">
        <v>46</v>
      </c>
      <c r="E1891" s="69">
        <v>272.73</v>
      </c>
      <c r="F1891" s="69">
        <v>69.53</v>
      </c>
      <c r="G1891" s="69" t="s">
        <v>25</v>
      </c>
      <c r="H1891" s="69" t="str">
        <f>IFERROR(VLOOKUP(Data!$G1891,canon!$I$2:$K$27,2,FALSE),"")</f>
        <v>TOP</v>
      </c>
      <c r="I1891" s="69" t="str">
        <f>IFERROR(VLOOKUP(Data!$G1891,canon!$I$2:$K$27,3,FALSE),"")</f>
        <v>APPAREL</v>
      </c>
      <c r="J1891" s="69">
        <f t="shared" si="58"/>
        <v>3</v>
      </c>
      <c r="K1891" s="69">
        <f t="shared" si="59"/>
        <v>43</v>
      </c>
      <c r="L1891" s="69">
        <f>VLOOKUP(Table_db1_backend_Daily.accdb[[#This Row],[TradingDate]],canon!B:E,4,0)</f>
        <v>28</v>
      </c>
    </row>
    <row r="1892" spans="1:12" x14ac:dyDescent="0.2">
      <c r="A1892" s="69" t="s">
        <v>43</v>
      </c>
      <c r="B1892" s="70">
        <v>42928</v>
      </c>
      <c r="C1892" s="69">
        <v>10</v>
      </c>
      <c r="D1892" s="69">
        <v>0</v>
      </c>
      <c r="E1892" s="69">
        <v>0</v>
      </c>
      <c r="F1892" s="69">
        <v>0</v>
      </c>
      <c r="G1892" s="69" t="s">
        <v>27</v>
      </c>
      <c r="H1892" s="69" t="str">
        <f>IFERROR(VLOOKUP(Data!$G1892,canon!$I$2:$K$27,2,FALSE),"")</f>
        <v>ACCESSORY</v>
      </c>
      <c r="I1892" s="69" t="str">
        <f>IFERROR(VLOOKUP(Data!$G1892,canon!$I$2:$K$27,3,FALSE),"")</f>
        <v>N.APPAREL</v>
      </c>
      <c r="J1892" s="69">
        <f t="shared" si="58"/>
        <v>4</v>
      </c>
      <c r="K1892" s="69">
        <f t="shared" si="59"/>
        <v>43</v>
      </c>
      <c r="L1892" s="69">
        <f>VLOOKUP(Table_db1_backend_Daily.accdb[[#This Row],[TradingDate]],canon!B:E,4,0)</f>
        <v>28</v>
      </c>
    </row>
    <row r="1893" spans="1:12" x14ac:dyDescent="0.2">
      <c r="A1893" s="69" t="s">
        <v>43</v>
      </c>
      <c r="B1893" s="70">
        <v>42928</v>
      </c>
      <c r="C1893" s="69">
        <v>4</v>
      </c>
      <c r="D1893" s="69">
        <v>0</v>
      </c>
      <c r="E1893" s="69">
        <v>0</v>
      </c>
      <c r="F1893" s="69">
        <v>0</v>
      </c>
      <c r="G1893" s="69" t="s">
        <v>34</v>
      </c>
      <c r="H1893" s="69" t="str">
        <f>IFERROR(VLOOKUP(Data!$G1893,canon!$I$2:$K$27,2,FALSE),"")</f>
        <v>SHOES</v>
      </c>
      <c r="I1893" s="69" t="str">
        <f>IFERROR(VLOOKUP(Data!$G1893,canon!$I$2:$K$27,3,FALSE),"")</f>
        <v>N.APPAREL</v>
      </c>
      <c r="J1893" s="69">
        <f t="shared" si="58"/>
        <v>4</v>
      </c>
      <c r="K1893" s="69">
        <f t="shared" si="59"/>
        <v>43</v>
      </c>
      <c r="L1893" s="69">
        <f>VLOOKUP(Table_db1_backend_Daily.accdb[[#This Row],[TradingDate]],canon!B:E,4,0)</f>
        <v>28</v>
      </c>
    </row>
    <row r="1894" spans="1:12" x14ac:dyDescent="0.2">
      <c r="A1894" s="69" t="s">
        <v>43</v>
      </c>
      <c r="B1894" s="70">
        <v>42928</v>
      </c>
      <c r="C1894" s="69">
        <v>553</v>
      </c>
      <c r="D1894" s="69">
        <v>5</v>
      </c>
      <c r="E1894" s="69">
        <v>109.03999999999999</v>
      </c>
      <c r="F1894" s="69">
        <v>64.05</v>
      </c>
      <c r="G1894" s="69" t="s">
        <v>35</v>
      </c>
      <c r="H1894" s="69" t="str">
        <f>IFERROR(VLOOKUP(Data!$G1894,canon!$I$2:$K$27,2,FALSE),"")</f>
        <v>DRESS</v>
      </c>
      <c r="I1894" s="69" t="str">
        <f>IFERROR(VLOOKUP(Data!$G1894,canon!$I$2:$K$27,3,FALSE),"")</f>
        <v>APPAREL</v>
      </c>
      <c r="J1894" s="69">
        <f t="shared" si="58"/>
        <v>4</v>
      </c>
      <c r="K1894" s="69">
        <f t="shared" si="59"/>
        <v>43</v>
      </c>
      <c r="L1894" s="69">
        <f>VLOOKUP(Table_db1_backend_Daily.accdb[[#This Row],[TradingDate]],canon!B:E,4,0)</f>
        <v>28</v>
      </c>
    </row>
    <row r="1895" spans="1:12" x14ac:dyDescent="0.2">
      <c r="A1895" s="69" t="s">
        <v>43</v>
      </c>
      <c r="B1895" s="70">
        <v>42928</v>
      </c>
      <c r="C1895" s="69">
        <v>-11</v>
      </c>
      <c r="D1895" s="69">
        <v>0</v>
      </c>
      <c r="E1895" s="69">
        <v>0</v>
      </c>
      <c r="F1895" s="69">
        <v>0</v>
      </c>
      <c r="G1895" s="69" t="s">
        <v>10</v>
      </c>
      <c r="H1895" s="69" t="str">
        <f>IFERROR(VLOOKUP(Data!$G1895,canon!$I$2:$K$27,2,FALSE),"")</f>
        <v>ACCESSORY</v>
      </c>
      <c r="I1895" s="69" t="str">
        <f>IFERROR(VLOOKUP(Data!$G1895,canon!$I$2:$K$27,3,FALSE),"")</f>
        <v>N.APPAREL</v>
      </c>
      <c r="J1895" s="69">
        <f t="shared" si="58"/>
        <v>4</v>
      </c>
      <c r="K1895" s="69">
        <f t="shared" si="59"/>
        <v>43</v>
      </c>
      <c r="L1895" s="69">
        <f>VLOOKUP(Table_db1_backend_Daily.accdb[[#This Row],[TradingDate]],canon!B:E,4,0)</f>
        <v>28</v>
      </c>
    </row>
    <row r="1896" spans="1:12" x14ac:dyDescent="0.2">
      <c r="A1896" s="69" t="s">
        <v>43</v>
      </c>
      <c r="B1896" s="70">
        <v>42928</v>
      </c>
      <c r="C1896" s="69">
        <v>8</v>
      </c>
      <c r="D1896" s="69">
        <v>0</v>
      </c>
      <c r="E1896" s="69">
        <v>0</v>
      </c>
      <c r="F1896" s="69">
        <v>0</v>
      </c>
      <c r="G1896" s="69" t="s">
        <v>28</v>
      </c>
      <c r="H1896" s="69" t="str">
        <f>IFERROR(VLOOKUP(Data!$G1896,canon!$I$2:$K$27,2,FALSE),"")</f>
        <v>ACCESSORY</v>
      </c>
      <c r="I1896" s="69" t="str">
        <f>IFERROR(VLOOKUP(Data!$G1896,canon!$I$2:$K$27,3,FALSE),"")</f>
        <v>N.APPAREL</v>
      </c>
      <c r="J1896" s="69">
        <f t="shared" si="58"/>
        <v>4</v>
      </c>
      <c r="K1896" s="69">
        <f t="shared" si="59"/>
        <v>43</v>
      </c>
      <c r="L1896" s="69">
        <f>VLOOKUP(Table_db1_backend_Daily.accdb[[#This Row],[TradingDate]],canon!B:E,4,0)</f>
        <v>28</v>
      </c>
    </row>
    <row r="1897" spans="1:12" x14ac:dyDescent="0.2">
      <c r="A1897" s="69" t="s">
        <v>43</v>
      </c>
      <c r="B1897" s="70">
        <v>42928</v>
      </c>
      <c r="C1897" s="69">
        <v>1825</v>
      </c>
      <c r="D1897" s="69">
        <v>101</v>
      </c>
      <c r="E1897" s="69">
        <v>1117.3700000000001</v>
      </c>
      <c r="F1897" s="69">
        <v>342.44000000000011</v>
      </c>
      <c r="G1897" s="69" t="s">
        <v>11</v>
      </c>
      <c r="H1897" s="69" t="str">
        <f>IFERROR(VLOOKUP(Data!$G1897,canon!$I$2:$K$27,2,FALSE),"")</f>
        <v>KNIT</v>
      </c>
      <c r="I1897" s="69" t="str">
        <f>IFERROR(VLOOKUP(Data!$G1897,canon!$I$2:$K$27,3,FALSE),"")</f>
        <v>APPAREL</v>
      </c>
      <c r="J1897" s="69">
        <f t="shared" si="58"/>
        <v>4</v>
      </c>
      <c r="K1897" s="69">
        <f t="shared" si="59"/>
        <v>43</v>
      </c>
      <c r="L1897" s="69">
        <f>VLOOKUP(Table_db1_backend_Daily.accdb[[#This Row],[TradingDate]],canon!B:E,4,0)</f>
        <v>28</v>
      </c>
    </row>
    <row r="1898" spans="1:12" x14ac:dyDescent="0.2">
      <c r="A1898" s="69" t="s">
        <v>43</v>
      </c>
      <c r="B1898" s="70">
        <v>42928</v>
      </c>
      <c r="C1898" s="69">
        <v>53</v>
      </c>
      <c r="D1898" s="69">
        <v>1</v>
      </c>
      <c r="E1898" s="69">
        <v>13.59</v>
      </c>
      <c r="F1898" s="69">
        <v>5.66</v>
      </c>
      <c r="G1898" s="69" t="s">
        <v>14</v>
      </c>
      <c r="H1898" s="69" t="str">
        <f>IFERROR(VLOOKUP(Data!$G1898,canon!$I$2:$K$27,2,FALSE),"")</f>
        <v>LEGGING</v>
      </c>
      <c r="I1898" s="69" t="str">
        <f>IFERROR(VLOOKUP(Data!$G1898,canon!$I$2:$K$27,3,FALSE),"")</f>
        <v>APPAREL</v>
      </c>
      <c r="J1898" s="69">
        <f t="shared" si="58"/>
        <v>4</v>
      </c>
      <c r="K1898" s="69">
        <f t="shared" si="59"/>
        <v>43</v>
      </c>
      <c r="L1898" s="69">
        <f>VLOOKUP(Table_db1_backend_Daily.accdb[[#This Row],[TradingDate]],canon!B:E,4,0)</f>
        <v>28</v>
      </c>
    </row>
    <row r="1899" spans="1:12" x14ac:dyDescent="0.2">
      <c r="A1899" s="69" t="s">
        <v>43</v>
      </c>
      <c r="B1899" s="70">
        <v>42928</v>
      </c>
      <c r="C1899" s="69">
        <v>61</v>
      </c>
      <c r="D1899" s="69">
        <v>0</v>
      </c>
      <c r="E1899" s="69">
        <v>0</v>
      </c>
      <c r="F1899" s="69">
        <v>0</v>
      </c>
      <c r="G1899" s="69" t="s">
        <v>37</v>
      </c>
      <c r="H1899" s="69" t="str">
        <f>IFERROR(VLOOKUP(Data!$G1899,canon!$I$2:$K$27,2,FALSE),"")</f>
        <v>SHOES</v>
      </c>
      <c r="I1899" s="69" t="str">
        <f>IFERROR(VLOOKUP(Data!$G1899,canon!$I$2:$K$27,3,FALSE),"")</f>
        <v>N.APPAREL</v>
      </c>
      <c r="J1899" s="69">
        <f t="shared" si="58"/>
        <v>4</v>
      </c>
      <c r="K1899" s="69">
        <f t="shared" si="59"/>
        <v>43</v>
      </c>
      <c r="L1899" s="69">
        <f>VLOOKUP(Table_db1_backend_Daily.accdb[[#This Row],[TradingDate]],canon!B:E,4,0)</f>
        <v>28</v>
      </c>
    </row>
    <row r="1900" spans="1:12" x14ac:dyDescent="0.2">
      <c r="A1900" s="69" t="s">
        <v>43</v>
      </c>
      <c r="B1900" s="70">
        <v>42928</v>
      </c>
      <c r="C1900" s="69">
        <v>61</v>
      </c>
      <c r="D1900" s="69">
        <v>0</v>
      </c>
      <c r="E1900" s="69">
        <v>0</v>
      </c>
      <c r="F1900" s="69">
        <v>0</v>
      </c>
      <c r="G1900" s="69" t="s">
        <v>29</v>
      </c>
      <c r="H1900" s="69" t="str">
        <f>IFERROR(VLOOKUP(Data!$G1900,canon!$I$2:$K$27,2,FALSE),"")</f>
        <v>SHOES</v>
      </c>
      <c r="I1900" s="69" t="str">
        <f>IFERROR(VLOOKUP(Data!$G1900,canon!$I$2:$K$27,3,FALSE),"")</f>
        <v>N.APPAREL</v>
      </c>
      <c r="J1900" s="69">
        <f t="shared" si="58"/>
        <v>4</v>
      </c>
      <c r="K1900" s="69">
        <f t="shared" si="59"/>
        <v>43</v>
      </c>
      <c r="L1900" s="69">
        <f>VLOOKUP(Table_db1_backend_Daily.accdb[[#This Row],[TradingDate]],canon!B:E,4,0)</f>
        <v>28</v>
      </c>
    </row>
    <row r="1901" spans="1:12" x14ac:dyDescent="0.2">
      <c r="A1901" s="69" t="s">
        <v>43</v>
      </c>
      <c r="B1901" s="70">
        <v>42928</v>
      </c>
      <c r="C1901" s="69">
        <v>593</v>
      </c>
      <c r="D1901" s="69">
        <v>12</v>
      </c>
      <c r="E1901" s="69">
        <v>172.35000000000002</v>
      </c>
      <c r="F1901" s="69">
        <v>55.339999999999996</v>
      </c>
      <c r="G1901" s="69" t="s">
        <v>17</v>
      </c>
      <c r="H1901" s="69" t="str">
        <f>IFERROR(VLOOKUP(Data!$G1901,canon!$I$2:$K$27,2,FALSE),"")</f>
        <v>OUTER</v>
      </c>
      <c r="I1901" s="69" t="str">
        <f>IFERROR(VLOOKUP(Data!$G1901,canon!$I$2:$K$27,3,FALSE),"")</f>
        <v>APPAREL</v>
      </c>
      <c r="J1901" s="69">
        <f t="shared" si="58"/>
        <v>4</v>
      </c>
      <c r="K1901" s="69">
        <f t="shared" si="59"/>
        <v>43</v>
      </c>
      <c r="L1901" s="69">
        <f>VLOOKUP(Table_db1_backend_Daily.accdb[[#This Row],[TradingDate]],canon!B:E,4,0)</f>
        <v>28</v>
      </c>
    </row>
    <row r="1902" spans="1:12" x14ac:dyDescent="0.2">
      <c r="A1902" s="69" t="s">
        <v>43</v>
      </c>
      <c r="B1902" s="70">
        <v>42928</v>
      </c>
      <c r="C1902" s="69">
        <v>212</v>
      </c>
      <c r="D1902" s="69">
        <v>5</v>
      </c>
      <c r="E1902" s="69">
        <v>90.92</v>
      </c>
      <c r="F1902" s="69">
        <v>54.499999999999993</v>
      </c>
      <c r="G1902" s="69" t="s">
        <v>19</v>
      </c>
      <c r="H1902" s="69" t="str">
        <f>IFERROR(VLOOKUP(Data!$G1902,canon!$I$2:$K$27,2,FALSE),"")</f>
        <v>PANT</v>
      </c>
      <c r="I1902" s="69" t="str">
        <f>IFERROR(VLOOKUP(Data!$G1902,canon!$I$2:$K$27,3,FALSE),"")</f>
        <v>APPAREL</v>
      </c>
      <c r="J1902" s="69">
        <f t="shared" si="58"/>
        <v>4</v>
      </c>
      <c r="K1902" s="69">
        <f t="shared" si="59"/>
        <v>43</v>
      </c>
      <c r="L1902" s="69">
        <f>VLOOKUP(Table_db1_backend_Daily.accdb[[#This Row],[TradingDate]],canon!B:E,4,0)</f>
        <v>28</v>
      </c>
    </row>
    <row r="1903" spans="1:12" x14ac:dyDescent="0.2">
      <c r="A1903" s="69" t="s">
        <v>43</v>
      </c>
      <c r="B1903" s="70">
        <v>42928</v>
      </c>
      <c r="C1903" s="69">
        <v>64</v>
      </c>
      <c r="D1903" s="69">
        <v>0</v>
      </c>
      <c r="E1903" s="69">
        <v>0</v>
      </c>
      <c r="F1903" s="69">
        <v>0</v>
      </c>
      <c r="G1903" s="69" t="s">
        <v>21</v>
      </c>
      <c r="H1903" s="69" t="str">
        <f>IFERROR(VLOOKUP(Data!$G1903,canon!$I$2:$K$27,2,FALSE),"")</f>
        <v>ACCESSORY</v>
      </c>
      <c r="I1903" s="69" t="str">
        <f>IFERROR(VLOOKUP(Data!$G1903,canon!$I$2:$K$27,3,FALSE),"")</f>
        <v>N.APPAREL</v>
      </c>
      <c r="J1903" s="69">
        <f t="shared" si="58"/>
        <v>4</v>
      </c>
      <c r="K1903" s="69">
        <f t="shared" si="59"/>
        <v>43</v>
      </c>
      <c r="L1903" s="69">
        <f>VLOOKUP(Table_db1_backend_Daily.accdb[[#This Row],[TradingDate]],canon!B:E,4,0)</f>
        <v>28</v>
      </c>
    </row>
    <row r="1904" spans="1:12" x14ac:dyDescent="0.2">
      <c r="A1904" s="69" t="s">
        <v>43</v>
      </c>
      <c r="B1904" s="70">
        <v>42928</v>
      </c>
      <c r="C1904" s="69">
        <v>784</v>
      </c>
      <c r="D1904" s="69">
        <v>4</v>
      </c>
      <c r="E1904" s="69">
        <v>23.560000000000002</v>
      </c>
      <c r="F1904" s="69">
        <v>16.07</v>
      </c>
      <c r="G1904" s="69" t="s">
        <v>22</v>
      </c>
      <c r="H1904" s="69" t="str">
        <f>IFERROR(VLOOKUP(Data!$G1904,canon!$I$2:$K$27,2,FALSE),"")</f>
        <v>SCARF</v>
      </c>
      <c r="I1904" s="69" t="str">
        <f>IFERROR(VLOOKUP(Data!$G1904,canon!$I$2:$K$27,3,FALSE),"")</f>
        <v>N.APPAREL</v>
      </c>
      <c r="J1904" s="69">
        <f t="shared" si="58"/>
        <v>4</v>
      </c>
      <c r="K1904" s="69">
        <f t="shared" si="59"/>
        <v>43</v>
      </c>
      <c r="L1904" s="69">
        <f>VLOOKUP(Table_db1_backend_Daily.accdb[[#This Row],[TradingDate]],canon!B:E,4,0)</f>
        <v>28</v>
      </c>
    </row>
    <row r="1905" spans="1:12" x14ac:dyDescent="0.2">
      <c r="A1905" s="69" t="s">
        <v>43</v>
      </c>
      <c r="B1905" s="70">
        <v>42928</v>
      </c>
      <c r="C1905" s="69">
        <v>63</v>
      </c>
      <c r="D1905" s="69">
        <v>4</v>
      </c>
      <c r="E1905" s="69">
        <v>36.36</v>
      </c>
      <c r="F1905" s="69">
        <v>9.6199999999999992</v>
      </c>
      <c r="G1905" s="69" t="s">
        <v>23</v>
      </c>
      <c r="H1905" s="69" t="str">
        <f>IFERROR(VLOOKUP(Data!$G1905,canon!$I$2:$K$27,2,FALSE),"")</f>
        <v>SH&amp;BL</v>
      </c>
      <c r="I1905" s="69" t="str">
        <f>IFERROR(VLOOKUP(Data!$G1905,canon!$I$2:$K$27,3,FALSE),"")</f>
        <v>APPAREL</v>
      </c>
      <c r="J1905" s="69">
        <f t="shared" si="58"/>
        <v>4</v>
      </c>
      <c r="K1905" s="69">
        <f t="shared" si="59"/>
        <v>43</v>
      </c>
      <c r="L1905" s="69">
        <f>VLOOKUP(Table_db1_backend_Daily.accdb[[#This Row],[TradingDate]],canon!B:E,4,0)</f>
        <v>28</v>
      </c>
    </row>
    <row r="1906" spans="1:12" x14ac:dyDescent="0.2">
      <c r="A1906" s="69" t="s">
        <v>43</v>
      </c>
      <c r="B1906" s="70">
        <v>42928</v>
      </c>
      <c r="C1906" s="69">
        <v>3</v>
      </c>
      <c r="D1906" s="69">
        <v>1</v>
      </c>
      <c r="E1906" s="69">
        <v>27.27</v>
      </c>
      <c r="F1906" s="69">
        <v>22.7</v>
      </c>
      <c r="G1906" s="69" t="s">
        <v>32</v>
      </c>
      <c r="H1906" s="69" t="str">
        <f>IFERROR(VLOOKUP(Data!$G1906,canon!$I$2:$K$27,2,FALSE),"")</f>
        <v>SKIRT</v>
      </c>
      <c r="I1906" s="69" t="str">
        <f>IFERROR(VLOOKUP(Data!$G1906,canon!$I$2:$K$27,3,FALSE),"")</f>
        <v>APPAREL</v>
      </c>
      <c r="J1906" s="69">
        <f t="shared" si="58"/>
        <v>4</v>
      </c>
      <c r="K1906" s="69">
        <f t="shared" si="59"/>
        <v>43</v>
      </c>
      <c r="L1906" s="69">
        <f>VLOOKUP(Table_db1_backend_Daily.accdb[[#This Row],[TradingDate]],canon!B:E,4,0)</f>
        <v>28</v>
      </c>
    </row>
    <row r="1907" spans="1:12" x14ac:dyDescent="0.2">
      <c r="A1907" s="69" t="s">
        <v>43</v>
      </c>
      <c r="B1907" s="70">
        <v>42928</v>
      </c>
      <c r="C1907" s="69">
        <v>934</v>
      </c>
      <c r="D1907" s="69">
        <v>38</v>
      </c>
      <c r="E1907" s="69">
        <v>245.41000000000003</v>
      </c>
      <c r="F1907" s="69">
        <v>67.23</v>
      </c>
      <c r="G1907" s="69" t="s">
        <v>25</v>
      </c>
      <c r="H1907" s="69" t="str">
        <f>IFERROR(VLOOKUP(Data!$G1907,canon!$I$2:$K$27,2,FALSE),"")</f>
        <v>TOP</v>
      </c>
      <c r="I1907" s="69" t="str">
        <f>IFERROR(VLOOKUP(Data!$G1907,canon!$I$2:$K$27,3,FALSE),"")</f>
        <v>APPAREL</v>
      </c>
      <c r="J1907" s="69">
        <f t="shared" si="58"/>
        <v>4</v>
      </c>
      <c r="K1907" s="69">
        <f t="shared" si="59"/>
        <v>43</v>
      </c>
      <c r="L1907" s="69">
        <f>VLOOKUP(Table_db1_backend_Daily.accdb[[#This Row],[TradingDate]],canon!B:E,4,0)</f>
        <v>28</v>
      </c>
    </row>
    <row r="1908" spans="1:12" x14ac:dyDescent="0.2">
      <c r="A1908" s="69" t="s">
        <v>43</v>
      </c>
      <c r="B1908" s="70">
        <v>42929</v>
      </c>
      <c r="C1908" s="69">
        <v>10</v>
      </c>
      <c r="D1908" s="69">
        <v>0</v>
      </c>
      <c r="E1908" s="69">
        <v>0</v>
      </c>
      <c r="F1908" s="69">
        <v>0</v>
      </c>
      <c r="G1908" s="69" t="s">
        <v>27</v>
      </c>
      <c r="H1908" s="69" t="str">
        <f>IFERROR(VLOOKUP(Data!$G1908,canon!$I$2:$K$27,2,FALSE),"")</f>
        <v>ACCESSORY</v>
      </c>
      <c r="I1908" s="69" t="str">
        <f>IFERROR(VLOOKUP(Data!$G1908,canon!$I$2:$K$27,3,FALSE),"")</f>
        <v>N.APPAREL</v>
      </c>
      <c r="J1908" s="69">
        <f t="shared" si="58"/>
        <v>5</v>
      </c>
      <c r="K1908" s="69">
        <f t="shared" si="59"/>
        <v>43</v>
      </c>
      <c r="L1908" s="69">
        <f>VLOOKUP(Table_db1_backend_Daily.accdb[[#This Row],[TradingDate]],canon!B:E,4,0)</f>
        <v>28</v>
      </c>
    </row>
    <row r="1909" spans="1:12" x14ac:dyDescent="0.2">
      <c r="A1909" s="69" t="s">
        <v>43</v>
      </c>
      <c r="B1909" s="70">
        <v>42929</v>
      </c>
      <c r="C1909" s="69">
        <v>4</v>
      </c>
      <c r="D1909" s="69">
        <v>0</v>
      </c>
      <c r="E1909" s="69">
        <v>0</v>
      </c>
      <c r="F1909" s="69">
        <v>0</v>
      </c>
      <c r="G1909" s="69" t="s">
        <v>34</v>
      </c>
      <c r="H1909" s="69" t="str">
        <f>IFERROR(VLOOKUP(Data!$G1909,canon!$I$2:$K$27,2,FALSE),"")</f>
        <v>SHOES</v>
      </c>
      <c r="I1909" s="69" t="str">
        <f>IFERROR(VLOOKUP(Data!$G1909,canon!$I$2:$K$27,3,FALSE),"")</f>
        <v>N.APPAREL</v>
      </c>
      <c r="J1909" s="69">
        <f t="shared" si="58"/>
        <v>5</v>
      </c>
      <c r="K1909" s="69">
        <f t="shared" si="59"/>
        <v>43</v>
      </c>
      <c r="L1909" s="69">
        <f>VLOOKUP(Table_db1_backend_Daily.accdb[[#This Row],[TradingDate]],canon!B:E,4,0)</f>
        <v>28</v>
      </c>
    </row>
    <row r="1910" spans="1:12" x14ac:dyDescent="0.2">
      <c r="A1910" s="69" t="s">
        <v>43</v>
      </c>
      <c r="B1910" s="70">
        <v>42929</v>
      </c>
      <c r="C1910" s="69">
        <v>542</v>
      </c>
      <c r="D1910" s="69">
        <v>11</v>
      </c>
      <c r="E1910" s="69">
        <v>149.97</v>
      </c>
      <c r="F1910" s="69">
        <v>51.18</v>
      </c>
      <c r="G1910" s="69" t="s">
        <v>35</v>
      </c>
      <c r="H1910" s="69" t="str">
        <f>IFERROR(VLOOKUP(Data!$G1910,canon!$I$2:$K$27,2,FALSE),"")</f>
        <v>DRESS</v>
      </c>
      <c r="I1910" s="69" t="str">
        <f>IFERROR(VLOOKUP(Data!$G1910,canon!$I$2:$K$27,3,FALSE),"")</f>
        <v>APPAREL</v>
      </c>
      <c r="J1910" s="69">
        <f t="shared" si="58"/>
        <v>5</v>
      </c>
      <c r="K1910" s="69">
        <f t="shared" si="59"/>
        <v>43</v>
      </c>
      <c r="L1910" s="69">
        <f>VLOOKUP(Table_db1_backend_Daily.accdb[[#This Row],[TradingDate]],canon!B:E,4,0)</f>
        <v>28</v>
      </c>
    </row>
    <row r="1911" spans="1:12" x14ac:dyDescent="0.2">
      <c r="A1911" s="69" t="s">
        <v>43</v>
      </c>
      <c r="B1911" s="70">
        <v>42929</v>
      </c>
      <c r="C1911" s="69">
        <v>-11</v>
      </c>
      <c r="D1911" s="69">
        <v>0</v>
      </c>
      <c r="E1911" s="69">
        <v>0</v>
      </c>
      <c r="F1911" s="69">
        <v>0</v>
      </c>
      <c r="G1911" s="69" t="s">
        <v>10</v>
      </c>
      <c r="H1911" s="69" t="str">
        <f>IFERROR(VLOOKUP(Data!$G1911,canon!$I$2:$K$27,2,FALSE),"")</f>
        <v>ACCESSORY</v>
      </c>
      <c r="I1911" s="69" t="str">
        <f>IFERROR(VLOOKUP(Data!$G1911,canon!$I$2:$K$27,3,FALSE),"")</f>
        <v>N.APPAREL</v>
      </c>
      <c r="J1911" s="69">
        <f t="shared" si="58"/>
        <v>5</v>
      </c>
      <c r="K1911" s="69">
        <f t="shared" si="59"/>
        <v>43</v>
      </c>
      <c r="L1911" s="69">
        <f>VLOOKUP(Table_db1_backend_Daily.accdb[[#This Row],[TradingDate]],canon!B:E,4,0)</f>
        <v>28</v>
      </c>
    </row>
    <row r="1912" spans="1:12" x14ac:dyDescent="0.2">
      <c r="A1912" s="69" t="s">
        <v>43</v>
      </c>
      <c r="B1912" s="70">
        <v>42929</v>
      </c>
      <c r="C1912" s="69">
        <v>8</v>
      </c>
      <c r="D1912" s="69">
        <v>0</v>
      </c>
      <c r="E1912" s="69">
        <v>0</v>
      </c>
      <c r="F1912" s="69">
        <v>0</v>
      </c>
      <c r="G1912" s="69" t="s">
        <v>28</v>
      </c>
      <c r="H1912" s="69" t="str">
        <f>IFERROR(VLOOKUP(Data!$G1912,canon!$I$2:$K$27,2,FALSE),"")</f>
        <v>ACCESSORY</v>
      </c>
      <c r="I1912" s="69" t="str">
        <f>IFERROR(VLOOKUP(Data!$G1912,canon!$I$2:$K$27,3,FALSE),"")</f>
        <v>N.APPAREL</v>
      </c>
      <c r="J1912" s="69">
        <f t="shared" si="58"/>
        <v>5</v>
      </c>
      <c r="K1912" s="69">
        <f t="shared" si="59"/>
        <v>43</v>
      </c>
      <c r="L1912" s="69">
        <f>VLOOKUP(Table_db1_backend_Daily.accdb[[#This Row],[TradingDate]],canon!B:E,4,0)</f>
        <v>28</v>
      </c>
    </row>
    <row r="1913" spans="1:12" x14ac:dyDescent="0.2">
      <c r="A1913" s="69" t="s">
        <v>43</v>
      </c>
      <c r="B1913" s="70">
        <v>42929</v>
      </c>
      <c r="C1913" s="69">
        <v>1727</v>
      </c>
      <c r="D1913" s="69">
        <v>98</v>
      </c>
      <c r="E1913" s="69">
        <v>1139.1399999999999</v>
      </c>
      <c r="F1913" s="69">
        <v>365.93</v>
      </c>
      <c r="G1913" s="69" t="s">
        <v>11</v>
      </c>
      <c r="H1913" s="69" t="str">
        <f>IFERROR(VLOOKUP(Data!$G1913,canon!$I$2:$K$27,2,FALSE),"")</f>
        <v>KNIT</v>
      </c>
      <c r="I1913" s="69" t="str">
        <f>IFERROR(VLOOKUP(Data!$G1913,canon!$I$2:$K$27,3,FALSE),"")</f>
        <v>APPAREL</v>
      </c>
      <c r="J1913" s="69">
        <f t="shared" si="58"/>
        <v>5</v>
      </c>
      <c r="K1913" s="69">
        <f t="shared" si="59"/>
        <v>43</v>
      </c>
      <c r="L1913" s="69">
        <f>VLOOKUP(Table_db1_backend_Daily.accdb[[#This Row],[TradingDate]],canon!B:E,4,0)</f>
        <v>28</v>
      </c>
    </row>
    <row r="1914" spans="1:12" x14ac:dyDescent="0.2">
      <c r="A1914" s="69" t="s">
        <v>43</v>
      </c>
      <c r="B1914" s="70">
        <v>42929</v>
      </c>
      <c r="C1914" s="69">
        <v>50</v>
      </c>
      <c r="D1914" s="69">
        <v>3</v>
      </c>
      <c r="E1914" s="69">
        <v>49.92</v>
      </c>
      <c r="F1914" s="69">
        <v>29.709999999999997</v>
      </c>
      <c r="G1914" s="69" t="s">
        <v>14</v>
      </c>
      <c r="H1914" s="69" t="str">
        <f>IFERROR(VLOOKUP(Data!$G1914,canon!$I$2:$K$27,2,FALSE),"")</f>
        <v>LEGGING</v>
      </c>
      <c r="I1914" s="69" t="str">
        <f>IFERROR(VLOOKUP(Data!$G1914,canon!$I$2:$K$27,3,FALSE),"")</f>
        <v>APPAREL</v>
      </c>
      <c r="J1914" s="69">
        <f t="shared" si="58"/>
        <v>5</v>
      </c>
      <c r="K1914" s="69">
        <f t="shared" si="59"/>
        <v>43</v>
      </c>
      <c r="L1914" s="69">
        <f>VLOOKUP(Table_db1_backend_Daily.accdb[[#This Row],[TradingDate]],canon!B:E,4,0)</f>
        <v>28</v>
      </c>
    </row>
    <row r="1915" spans="1:12" x14ac:dyDescent="0.2">
      <c r="A1915" s="69" t="s">
        <v>43</v>
      </c>
      <c r="B1915" s="70">
        <v>42929</v>
      </c>
      <c r="C1915" s="69">
        <v>61</v>
      </c>
      <c r="D1915" s="69">
        <v>0</v>
      </c>
      <c r="E1915" s="69">
        <v>0</v>
      </c>
      <c r="F1915" s="69">
        <v>0</v>
      </c>
      <c r="G1915" s="69" t="s">
        <v>37</v>
      </c>
      <c r="H1915" s="69" t="str">
        <f>IFERROR(VLOOKUP(Data!$G1915,canon!$I$2:$K$27,2,FALSE),"")</f>
        <v>SHOES</v>
      </c>
      <c r="I1915" s="69" t="str">
        <f>IFERROR(VLOOKUP(Data!$G1915,canon!$I$2:$K$27,3,FALSE),"")</f>
        <v>N.APPAREL</v>
      </c>
      <c r="J1915" s="69">
        <f t="shared" si="58"/>
        <v>5</v>
      </c>
      <c r="K1915" s="69">
        <f t="shared" si="59"/>
        <v>43</v>
      </c>
      <c r="L1915" s="69">
        <f>VLOOKUP(Table_db1_backend_Daily.accdb[[#This Row],[TradingDate]],canon!B:E,4,0)</f>
        <v>28</v>
      </c>
    </row>
    <row r="1916" spans="1:12" x14ac:dyDescent="0.2">
      <c r="A1916" s="69" t="s">
        <v>43</v>
      </c>
      <c r="B1916" s="70">
        <v>42929</v>
      </c>
      <c r="C1916" s="69">
        <v>61</v>
      </c>
      <c r="D1916" s="69">
        <v>0</v>
      </c>
      <c r="E1916" s="69">
        <v>0</v>
      </c>
      <c r="F1916" s="69">
        <v>0</v>
      </c>
      <c r="G1916" s="69" t="s">
        <v>29</v>
      </c>
      <c r="H1916" s="69" t="str">
        <f>IFERROR(VLOOKUP(Data!$G1916,canon!$I$2:$K$27,2,FALSE),"")</f>
        <v>SHOES</v>
      </c>
      <c r="I1916" s="69" t="str">
        <f>IFERROR(VLOOKUP(Data!$G1916,canon!$I$2:$K$27,3,FALSE),"")</f>
        <v>N.APPAREL</v>
      </c>
      <c r="J1916" s="69">
        <f t="shared" si="58"/>
        <v>5</v>
      </c>
      <c r="K1916" s="69">
        <f t="shared" si="59"/>
        <v>43</v>
      </c>
      <c r="L1916" s="69">
        <f>VLOOKUP(Table_db1_backend_Daily.accdb[[#This Row],[TradingDate]],canon!B:E,4,0)</f>
        <v>28</v>
      </c>
    </row>
    <row r="1917" spans="1:12" x14ac:dyDescent="0.2">
      <c r="A1917" s="69" t="s">
        <v>43</v>
      </c>
      <c r="B1917" s="70">
        <v>42929</v>
      </c>
      <c r="C1917" s="69">
        <v>581</v>
      </c>
      <c r="D1917" s="69">
        <v>12</v>
      </c>
      <c r="E1917" s="69">
        <v>204.39</v>
      </c>
      <c r="F1917" s="69">
        <v>101.39</v>
      </c>
      <c r="G1917" s="69" t="s">
        <v>17</v>
      </c>
      <c r="H1917" s="69" t="str">
        <f>IFERROR(VLOOKUP(Data!$G1917,canon!$I$2:$K$27,2,FALSE),"")</f>
        <v>OUTER</v>
      </c>
      <c r="I1917" s="69" t="str">
        <f>IFERROR(VLOOKUP(Data!$G1917,canon!$I$2:$K$27,3,FALSE),"")</f>
        <v>APPAREL</v>
      </c>
      <c r="J1917" s="69">
        <f t="shared" si="58"/>
        <v>5</v>
      </c>
      <c r="K1917" s="69">
        <f t="shared" si="59"/>
        <v>43</v>
      </c>
      <c r="L1917" s="69">
        <f>VLOOKUP(Table_db1_backend_Daily.accdb[[#This Row],[TradingDate]],canon!B:E,4,0)</f>
        <v>28</v>
      </c>
    </row>
    <row r="1918" spans="1:12" x14ac:dyDescent="0.2">
      <c r="A1918" s="69" t="s">
        <v>43</v>
      </c>
      <c r="B1918" s="70">
        <v>42929</v>
      </c>
      <c r="C1918" s="69">
        <v>209</v>
      </c>
      <c r="D1918" s="69">
        <v>3</v>
      </c>
      <c r="E1918" s="69">
        <v>45.44</v>
      </c>
      <c r="F1918" s="69">
        <v>28.26</v>
      </c>
      <c r="G1918" s="69" t="s">
        <v>19</v>
      </c>
      <c r="H1918" s="69" t="str">
        <f>IFERROR(VLOOKUP(Data!$G1918,canon!$I$2:$K$27,2,FALSE),"")</f>
        <v>PANT</v>
      </c>
      <c r="I1918" s="69" t="str">
        <f>IFERROR(VLOOKUP(Data!$G1918,canon!$I$2:$K$27,3,FALSE),"")</f>
        <v>APPAREL</v>
      </c>
      <c r="J1918" s="69">
        <f t="shared" si="58"/>
        <v>5</v>
      </c>
      <c r="K1918" s="69">
        <f t="shared" si="59"/>
        <v>43</v>
      </c>
      <c r="L1918" s="69">
        <f>VLOOKUP(Table_db1_backend_Daily.accdb[[#This Row],[TradingDate]],canon!B:E,4,0)</f>
        <v>28</v>
      </c>
    </row>
    <row r="1919" spans="1:12" x14ac:dyDescent="0.2">
      <c r="A1919" s="69" t="s">
        <v>43</v>
      </c>
      <c r="B1919" s="70">
        <v>42929</v>
      </c>
      <c r="C1919" s="69">
        <v>64</v>
      </c>
      <c r="D1919" s="69">
        <v>0</v>
      </c>
      <c r="E1919" s="69">
        <v>0</v>
      </c>
      <c r="F1919" s="69">
        <v>0</v>
      </c>
      <c r="G1919" s="69" t="s">
        <v>21</v>
      </c>
      <c r="H1919" s="69" t="str">
        <f>IFERROR(VLOOKUP(Data!$G1919,canon!$I$2:$K$27,2,FALSE),"")</f>
        <v>ACCESSORY</v>
      </c>
      <c r="I1919" s="69" t="str">
        <f>IFERROR(VLOOKUP(Data!$G1919,canon!$I$2:$K$27,3,FALSE),"")</f>
        <v>N.APPAREL</v>
      </c>
      <c r="J1919" s="69">
        <f t="shared" si="58"/>
        <v>5</v>
      </c>
      <c r="K1919" s="69">
        <f t="shared" si="59"/>
        <v>43</v>
      </c>
      <c r="L1919" s="69">
        <f>VLOOKUP(Table_db1_backend_Daily.accdb[[#This Row],[TradingDate]],canon!B:E,4,0)</f>
        <v>28</v>
      </c>
    </row>
    <row r="1920" spans="1:12" x14ac:dyDescent="0.2">
      <c r="A1920" s="69" t="s">
        <v>43</v>
      </c>
      <c r="B1920" s="70">
        <v>42929</v>
      </c>
      <c r="C1920" s="69">
        <v>769</v>
      </c>
      <c r="D1920" s="69">
        <v>15</v>
      </c>
      <c r="E1920" s="69">
        <v>92.33</v>
      </c>
      <c r="F1920" s="69">
        <v>63.02</v>
      </c>
      <c r="G1920" s="69" t="s">
        <v>22</v>
      </c>
      <c r="H1920" s="69" t="str">
        <f>IFERROR(VLOOKUP(Data!$G1920,canon!$I$2:$K$27,2,FALSE),"")</f>
        <v>SCARF</v>
      </c>
      <c r="I1920" s="69" t="str">
        <f>IFERROR(VLOOKUP(Data!$G1920,canon!$I$2:$K$27,3,FALSE),"")</f>
        <v>N.APPAREL</v>
      </c>
      <c r="J1920" s="69">
        <f t="shared" si="58"/>
        <v>5</v>
      </c>
      <c r="K1920" s="69">
        <f t="shared" si="59"/>
        <v>43</v>
      </c>
      <c r="L1920" s="69">
        <f>VLOOKUP(Table_db1_backend_Daily.accdb[[#This Row],[TradingDate]],canon!B:E,4,0)</f>
        <v>28</v>
      </c>
    </row>
    <row r="1921" spans="1:12" x14ac:dyDescent="0.2">
      <c r="A1921" s="69" t="s">
        <v>43</v>
      </c>
      <c r="B1921" s="70">
        <v>42929</v>
      </c>
      <c r="C1921" s="69">
        <v>56</v>
      </c>
      <c r="D1921" s="69">
        <v>7</v>
      </c>
      <c r="E1921" s="69">
        <v>63.64</v>
      </c>
      <c r="F1921" s="69">
        <v>11.26</v>
      </c>
      <c r="G1921" s="69" t="s">
        <v>23</v>
      </c>
      <c r="H1921" s="69" t="str">
        <f>IFERROR(VLOOKUP(Data!$G1921,canon!$I$2:$K$27,2,FALSE),"")</f>
        <v>SH&amp;BL</v>
      </c>
      <c r="I1921" s="69" t="str">
        <f>IFERROR(VLOOKUP(Data!$G1921,canon!$I$2:$K$27,3,FALSE),"")</f>
        <v>APPAREL</v>
      </c>
      <c r="J1921" s="69">
        <f t="shared" si="58"/>
        <v>5</v>
      </c>
      <c r="K1921" s="69">
        <f t="shared" si="59"/>
        <v>43</v>
      </c>
      <c r="L1921" s="69">
        <f>VLOOKUP(Table_db1_backend_Daily.accdb[[#This Row],[TradingDate]],canon!B:E,4,0)</f>
        <v>28</v>
      </c>
    </row>
    <row r="1922" spans="1:12" x14ac:dyDescent="0.2">
      <c r="A1922" s="69" t="s">
        <v>43</v>
      </c>
      <c r="B1922" s="70">
        <v>42929</v>
      </c>
      <c r="C1922" s="69">
        <v>2</v>
      </c>
      <c r="D1922" s="69">
        <v>1</v>
      </c>
      <c r="E1922" s="69">
        <v>18.16</v>
      </c>
      <c r="F1922" s="69">
        <v>14.459999999999999</v>
      </c>
      <c r="G1922" s="69" t="s">
        <v>32</v>
      </c>
      <c r="H1922" s="69" t="str">
        <f>IFERROR(VLOOKUP(Data!$G1922,canon!$I$2:$K$27,2,FALSE),"")</f>
        <v>SKIRT</v>
      </c>
      <c r="I1922" s="69" t="str">
        <f>IFERROR(VLOOKUP(Data!$G1922,canon!$I$2:$K$27,3,FALSE),"")</f>
        <v>APPAREL</v>
      </c>
      <c r="J1922" s="69">
        <f t="shared" ref="J1922:J1985" si="60">WEEKDAY(B1922)</f>
        <v>5</v>
      </c>
      <c r="K1922" s="69">
        <f t="shared" ref="K1922:K1985" si="61">INT(A1922)</f>
        <v>43</v>
      </c>
      <c r="L1922" s="69">
        <f>VLOOKUP(Table_db1_backend_Daily.accdb[[#This Row],[TradingDate]],canon!B:E,4,0)</f>
        <v>28</v>
      </c>
    </row>
    <row r="1923" spans="1:12" x14ac:dyDescent="0.2">
      <c r="A1923" s="69" t="s">
        <v>43</v>
      </c>
      <c r="B1923" s="70">
        <v>42929</v>
      </c>
      <c r="C1923" s="69">
        <v>871</v>
      </c>
      <c r="D1923" s="69">
        <v>63</v>
      </c>
      <c r="E1923" s="69">
        <v>381.84999999999985</v>
      </c>
      <c r="F1923" s="69">
        <v>89.40000000000002</v>
      </c>
      <c r="G1923" s="69" t="s">
        <v>25</v>
      </c>
      <c r="H1923" s="69" t="str">
        <f>IFERROR(VLOOKUP(Data!$G1923,canon!$I$2:$K$27,2,FALSE),"")</f>
        <v>TOP</v>
      </c>
      <c r="I1923" s="69" t="str">
        <f>IFERROR(VLOOKUP(Data!$G1923,canon!$I$2:$K$27,3,FALSE),"")</f>
        <v>APPAREL</v>
      </c>
      <c r="J1923" s="69">
        <f t="shared" si="60"/>
        <v>5</v>
      </c>
      <c r="K1923" s="69">
        <f t="shared" si="61"/>
        <v>43</v>
      </c>
      <c r="L1923" s="69">
        <f>VLOOKUP(Table_db1_backend_Daily.accdb[[#This Row],[TradingDate]],canon!B:E,4,0)</f>
        <v>28</v>
      </c>
    </row>
    <row r="1924" spans="1:12" x14ac:dyDescent="0.2">
      <c r="A1924" s="69" t="s">
        <v>43</v>
      </c>
      <c r="B1924" s="70">
        <v>42930</v>
      </c>
      <c r="C1924" s="69">
        <v>10</v>
      </c>
      <c r="D1924" s="69">
        <v>0</v>
      </c>
      <c r="E1924" s="69">
        <v>0</v>
      </c>
      <c r="F1924" s="69">
        <v>0</v>
      </c>
      <c r="G1924" s="69" t="s">
        <v>27</v>
      </c>
      <c r="H1924" s="69" t="str">
        <f>IFERROR(VLOOKUP(Data!$G1924,canon!$I$2:$K$27,2,FALSE),"")</f>
        <v>ACCESSORY</v>
      </c>
      <c r="I1924" s="69" t="str">
        <f>IFERROR(VLOOKUP(Data!$G1924,canon!$I$2:$K$27,3,FALSE),"")</f>
        <v>N.APPAREL</v>
      </c>
      <c r="J1924" s="69">
        <f t="shared" si="60"/>
        <v>6</v>
      </c>
      <c r="K1924" s="69">
        <f t="shared" si="61"/>
        <v>43</v>
      </c>
      <c r="L1924" s="69">
        <f>VLOOKUP(Table_db1_backend_Daily.accdb[[#This Row],[TradingDate]],canon!B:E,4,0)</f>
        <v>28</v>
      </c>
    </row>
    <row r="1925" spans="1:12" x14ac:dyDescent="0.2">
      <c r="A1925" s="69" t="s">
        <v>43</v>
      </c>
      <c r="B1925" s="70">
        <v>42930</v>
      </c>
      <c r="C1925" s="69">
        <v>4</v>
      </c>
      <c r="D1925" s="69">
        <v>0</v>
      </c>
      <c r="E1925" s="69">
        <v>0</v>
      </c>
      <c r="F1925" s="69">
        <v>0</v>
      </c>
      <c r="G1925" s="69" t="s">
        <v>34</v>
      </c>
      <c r="H1925" s="69" t="str">
        <f>IFERROR(VLOOKUP(Data!$G1925,canon!$I$2:$K$27,2,FALSE),"")</f>
        <v>SHOES</v>
      </c>
      <c r="I1925" s="69" t="str">
        <f>IFERROR(VLOOKUP(Data!$G1925,canon!$I$2:$K$27,3,FALSE),"")</f>
        <v>N.APPAREL</v>
      </c>
      <c r="J1925" s="69">
        <f t="shared" si="60"/>
        <v>6</v>
      </c>
      <c r="K1925" s="69">
        <f t="shared" si="61"/>
        <v>43</v>
      </c>
      <c r="L1925" s="69">
        <f>VLOOKUP(Table_db1_backend_Daily.accdb[[#This Row],[TradingDate]],canon!B:E,4,0)</f>
        <v>28</v>
      </c>
    </row>
    <row r="1926" spans="1:12" x14ac:dyDescent="0.2">
      <c r="A1926" s="69" t="s">
        <v>43</v>
      </c>
      <c r="B1926" s="70">
        <v>42930</v>
      </c>
      <c r="C1926" s="69">
        <v>538</v>
      </c>
      <c r="D1926" s="69">
        <v>4</v>
      </c>
      <c r="E1926" s="69">
        <v>86.35</v>
      </c>
      <c r="F1926" s="69">
        <v>50.480000000000004</v>
      </c>
      <c r="G1926" s="69" t="s">
        <v>35</v>
      </c>
      <c r="H1926" s="69" t="str">
        <f>IFERROR(VLOOKUP(Data!$G1926,canon!$I$2:$K$27,2,FALSE),"")</f>
        <v>DRESS</v>
      </c>
      <c r="I1926" s="69" t="str">
        <f>IFERROR(VLOOKUP(Data!$G1926,canon!$I$2:$K$27,3,FALSE),"")</f>
        <v>APPAREL</v>
      </c>
      <c r="J1926" s="69">
        <f t="shared" si="60"/>
        <v>6</v>
      </c>
      <c r="K1926" s="69">
        <f t="shared" si="61"/>
        <v>43</v>
      </c>
      <c r="L1926" s="69">
        <f>VLOOKUP(Table_db1_backend_Daily.accdb[[#This Row],[TradingDate]],canon!B:E,4,0)</f>
        <v>28</v>
      </c>
    </row>
    <row r="1927" spans="1:12" x14ac:dyDescent="0.2">
      <c r="A1927" s="69" t="s">
        <v>43</v>
      </c>
      <c r="B1927" s="70">
        <v>42930</v>
      </c>
      <c r="C1927" s="69">
        <v>-11</v>
      </c>
      <c r="D1927" s="69">
        <v>0</v>
      </c>
      <c r="E1927" s="69">
        <v>0</v>
      </c>
      <c r="F1927" s="69">
        <v>0</v>
      </c>
      <c r="G1927" s="69" t="s">
        <v>10</v>
      </c>
      <c r="H1927" s="69" t="str">
        <f>IFERROR(VLOOKUP(Data!$G1927,canon!$I$2:$K$27,2,FALSE),"")</f>
        <v>ACCESSORY</v>
      </c>
      <c r="I1927" s="69" t="str">
        <f>IFERROR(VLOOKUP(Data!$G1927,canon!$I$2:$K$27,3,FALSE),"")</f>
        <v>N.APPAREL</v>
      </c>
      <c r="J1927" s="69">
        <f t="shared" si="60"/>
        <v>6</v>
      </c>
      <c r="K1927" s="69">
        <f t="shared" si="61"/>
        <v>43</v>
      </c>
      <c r="L1927" s="69">
        <f>VLOOKUP(Table_db1_backend_Daily.accdb[[#This Row],[TradingDate]],canon!B:E,4,0)</f>
        <v>28</v>
      </c>
    </row>
    <row r="1928" spans="1:12" x14ac:dyDescent="0.2">
      <c r="A1928" s="69" t="s">
        <v>43</v>
      </c>
      <c r="B1928" s="70">
        <v>42930</v>
      </c>
      <c r="C1928" s="69">
        <v>8</v>
      </c>
      <c r="D1928" s="69">
        <v>0</v>
      </c>
      <c r="E1928" s="69">
        <v>0</v>
      </c>
      <c r="F1928" s="69">
        <v>0</v>
      </c>
      <c r="G1928" s="69" t="s">
        <v>28</v>
      </c>
      <c r="H1928" s="69" t="str">
        <f>IFERROR(VLOOKUP(Data!$G1928,canon!$I$2:$K$27,2,FALSE),"")</f>
        <v>ACCESSORY</v>
      </c>
      <c r="I1928" s="69" t="str">
        <f>IFERROR(VLOOKUP(Data!$G1928,canon!$I$2:$K$27,3,FALSE),"")</f>
        <v>N.APPAREL</v>
      </c>
      <c r="J1928" s="69">
        <f t="shared" si="60"/>
        <v>6</v>
      </c>
      <c r="K1928" s="69">
        <f t="shared" si="61"/>
        <v>43</v>
      </c>
      <c r="L1928" s="69">
        <f>VLOOKUP(Table_db1_backend_Daily.accdb[[#This Row],[TradingDate]],canon!B:E,4,0)</f>
        <v>28</v>
      </c>
    </row>
    <row r="1929" spans="1:12" x14ac:dyDescent="0.2">
      <c r="A1929" s="69" t="s">
        <v>43</v>
      </c>
      <c r="B1929" s="70">
        <v>42930</v>
      </c>
      <c r="C1929" s="69">
        <v>1657</v>
      </c>
      <c r="D1929" s="69">
        <v>70</v>
      </c>
      <c r="E1929" s="69">
        <v>826.72000000000014</v>
      </c>
      <c r="F1929" s="69">
        <v>259.65999999999997</v>
      </c>
      <c r="G1929" s="69" t="s">
        <v>11</v>
      </c>
      <c r="H1929" s="69" t="str">
        <f>IFERROR(VLOOKUP(Data!$G1929,canon!$I$2:$K$27,2,FALSE),"")</f>
        <v>KNIT</v>
      </c>
      <c r="I1929" s="69" t="str">
        <f>IFERROR(VLOOKUP(Data!$G1929,canon!$I$2:$K$27,3,FALSE),"")</f>
        <v>APPAREL</v>
      </c>
      <c r="J1929" s="69">
        <f t="shared" si="60"/>
        <v>6</v>
      </c>
      <c r="K1929" s="69">
        <f t="shared" si="61"/>
        <v>43</v>
      </c>
      <c r="L1929" s="69">
        <f>VLOOKUP(Table_db1_backend_Daily.accdb[[#This Row],[TradingDate]],canon!B:E,4,0)</f>
        <v>28</v>
      </c>
    </row>
    <row r="1930" spans="1:12" x14ac:dyDescent="0.2">
      <c r="A1930" s="69" t="s">
        <v>43</v>
      </c>
      <c r="B1930" s="70">
        <v>42930</v>
      </c>
      <c r="C1930" s="69">
        <v>50</v>
      </c>
      <c r="D1930" s="69">
        <v>0</v>
      </c>
      <c r="E1930" s="69">
        <v>0</v>
      </c>
      <c r="F1930" s="69">
        <v>0</v>
      </c>
      <c r="G1930" s="69" t="s">
        <v>14</v>
      </c>
      <c r="H1930" s="69" t="str">
        <f>IFERROR(VLOOKUP(Data!$G1930,canon!$I$2:$K$27,2,FALSE),"")</f>
        <v>LEGGING</v>
      </c>
      <c r="I1930" s="69" t="str">
        <f>IFERROR(VLOOKUP(Data!$G1930,canon!$I$2:$K$27,3,FALSE),"")</f>
        <v>APPAREL</v>
      </c>
      <c r="J1930" s="69">
        <f t="shared" si="60"/>
        <v>6</v>
      </c>
      <c r="K1930" s="69">
        <f t="shared" si="61"/>
        <v>43</v>
      </c>
      <c r="L1930" s="69">
        <f>VLOOKUP(Table_db1_backend_Daily.accdb[[#This Row],[TradingDate]],canon!B:E,4,0)</f>
        <v>28</v>
      </c>
    </row>
    <row r="1931" spans="1:12" x14ac:dyDescent="0.2">
      <c r="A1931" s="69" t="s">
        <v>43</v>
      </c>
      <c r="B1931" s="70">
        <v>42930</v>
      </c>
      <c r="C1931" s="69">
        <v>61</v>
      </c>
      <c r="D1931" s="69">
        <v>0</v>
      </c>
      <c r="E1931" s="69">
        <v>0</v>
      </c>
      <c r="F1931" s="69">
        <v>0</v>
      </c>
      <c r="G1931" s="69" t="s">
        <v>37</v>
      </c>
      <c r="H1931" s="69" t="str">
        <f>IFERROR(VLOOKUP(Data!$G1931,canon!$I$2:$K$27,2,FALSE),"")</f>
        <v>SHOES</v>
      </c>
      <c r="I1931" s="69" t="str">
        <f>IFERROR(VLOOKUP(Data!$G1931,canon!$I$2:$K$27,3,FALSE),"")</f>
        <v>N.APPAREL</v>
      </c>
      <c r="J1931" s="69">
        <f t="shared" si="60"/>
        <v>6</v>
      </c>
      <c r="K1931" s="69">
        <f t="shared" si="61"/>
        <v>43</v>
      </c>
      <c r="L1931" s="69">
        <f>VLOOKUP(Table_db1_backend_Daily.accdb[[#This Row],[TradingDate]],canon!B:E,4,0)</f>
        <v>28</v>
      </c>
    </row>
    <row r="1932" spans="1:12" x14ac:dyDescent="0.2">
      <c r="A1932" s="69" t="s">
        <v>43</v>
      </c>
      <c r="B1932" s="70">
        <v>42930</v>
      </c>
      <c r="C1932" s="69">
        <v>61</v>
      </c>
      <c r="D1932" s="69">
        <v>0</v>
      </c>
      <c r="E1932" s="69">
        <v>0</v>
      </c>
      <c r="F1932" s="69">
        <v>0</v>
      </c>
      <c r="G1932" s="69" t="s">
        <v>29</v>
      </c>
      <c r="H1932" s="69" t="str">
        <f>IFERROR(VLOOKUP(Data!$G1932,canon!$I$2:$K$27,2,FALSE),"")</f>
        <v>SHOES</v>
      </c>
      <c r="I1932" s="69" t="str">
        <f>IFERROR(VLOOKUP(Data!$G1932,canon!$I$2:$K$27,3,FALSE),"")</f>
        <v>N.APPAREL</v>
      </c>
      <c r="J1932" s="69">
        <f t="shared" si="60"/>
        <v>6</v>
      </c>
      <c r="K1932" s="69">
        <f t="shared" si="61"/>
        <v>43</v>
      </c>
      <c r="L1932" s="69">
        <f>VLOOKUP(Table_db1_backend_Daily.accdb[[#This Row],[TradingDate]],canon!B:E,4,0)</f>
        <v>28</v>
      </c>
    </row>
    <row r="1933" spans="1:12" x14ac:dyDescent="0.2">
      <c r="A1933" s="69" t="s">
        <v>43</v>
      </c>
      <c r="B1933" s="70">
        <v>42930</v>
      </c>
      <c r="C1933" s="69">
        <v>560</v>
      </c>
      <c r="D1933" s="69">
        <v>21</v>
      </c>
      <c r="E1933" s="69">
        <v>267.67</v>
      </c>
      <c r="F1933" s="69">
        <v>61.089999999999996</v>
      </c>
      <c r="G1933" s="69" t="s">
        <v>17</v>
      </c>
      <c r="H1933" s="69" t="str">
        <f>IFERROR(VLOOKUP(Data!$G1933,canon!$I$2:$K$27,2,FALSE),"")</f>
        <v>OUTER</v>
      </c>
      <c r="I1933" s="69" t="str">
        <f>IFERROR(VLOOKUP(Data!$G1933,canon!$I$2:$K$27,3,FALSE),"")</f>
        <v>APPAREL</v>
      </c>
      <c r="J1933" s="69">
        <f t="shared" si="60"/>
        <v>6</v>
      </c>
      <c r="K1933" s="69">
        <f t="shared" si="61"/>
        <v>43</v>
      </c>
      <c r="L1933" s="69">
        <f>VLOOKUP(Table_db1_backend_Daily.accdb[[#This Row],[TradingDate]],canon!B:E,4,0)</f>
        <v>28</v>
      </c>
    </row>
    <row r="1934" spans="1:12" x14ac:dyDescent="0.2">
      <c r="A1934" s="69" t="s">
        <v>43</v>
      </c>
      <c r="B1934" s="70">
        <v>42930</v>
      </c>
      <c r="C1934" s="69">
        <v>206</v>
      </c>
      <c r="D1934" s="69">
        <v>3</v>
      </c>
      <c r="E1934" s="69">
        <v>27.27</v>
      </c>
      <c r="F1934" s="69">
        <v>11.73</v>
      </c>
      <c r="G1934" s="69" t="s">
        <v>19</v>
      </c>
      <c r="H1934" s="69" t="str">
        <f>IFERROR(VLOOKUP(Data!$G1934,canon!$I$2:$K$27,2,FALSE),"")</f>
        <v>PANT</v>
      </c>
      <c r="I1934" s="69" t="str">
        <f>IFERROR(VLOOKUP(Data!$G1934,canon!$I$2:$K$27,3,FALSE),"")</f>
        <v>APPAREL</v>
      </c>
      <c r="J1934" s="69">
        <f t="shared" si="60"/>
        <v>6</v>
      </c>
      <c r="K1934" s="69">
        <f t="shared" si="61"/>
        <v>43</v>
      </c>
      <c r="L1934" s="69">
        <f>VLOOKUP(Table_db1_backend_Daily.accdb[[#This Row],[TradingDate]],canon!B:E,4,0)</f>
        <v>28</v>
      </c>
    </row>
    <row r="1935" spans="1:12" x14ac:dyDescent="0.2">
      <c r="A1935" s="69" t="s">
        <v>43</v>
      </c>
      <c r="B1935" s="70">
        <v>42930</v>
      </c>
      <c r="C1935" s="69">
        <v>64</v>
      </c>
      <c r="D1935" s="69">
        <v>0</v>
      </c>
      <c r="E1935" s="69">
        <v>0</v>
      </c>
      <c r="F1935" s="69">
        <v>0</v>
      </c>
      <c r="G1935" s="69" t="s">
        <v>21</v>
      </c>
      <c r="H1935" s="69" t="str">
        <f>IFERROR(VLOOKUP(Data!$G1935,canon!$I$2:$K$27,2,FALSE),"")</f>
        <v>ACCESSORY</v>
      </c>
      <c r="I1935" s="69" t="str">
        <f>IFERROR(VLOOKUP(Data!$G1935,canon!$I$2:$K$27,3,FALSE),"")</f>
        <v>N.APPAREL</v>
      </c>
      <c r="J1935" s="69">
        <f t="shared" si="60"/>
        <v>6</v>
      </c>
      <c r="K1935" s="69">
        <f t="shared" si="61"/>
        <v>43</v>
      </c>
      <c r="L1935" s="69">
        <f>VLOOKUP(Table_db1_backend_Daily.accdb[[#This Row],[TradingDate]],canon!B:E,4,0)</f>
        <v>28</v>
      </c>
    </row>
    <row r="1936" spans="1:12" x14ac:dyDescent="0.2">
      <c r="A1936" s="69" t="s">
        <v>43</v>
      </c>
      <c r="B1936" s="70">
        <v>42930</v>
      </c>
      <c r="C1936" s="69">
        <v>760</v>
      </c>
      <c r="D1936" s="69">
        <v>9</v>
      </c>
      <c r="E1936" s="69">
        <v>54.32</v>
      </c>
      <c r="F1936" s="69">
        <v>39.659999999999997</v>
      </c>
      <c r="G1936" s="69" t="s">
        <v>22</v>
      </c>
      <c r="H1936" s="69" t="str">
        <f>IFERROR(VLOOKUP(Data!$G1936,canon!$I$2:$K$27,2,FALSE),"")</f>
        <v>SCARF</v>
      </c>
      <c r="I1936" s="69" t="str">
        <f>IFERROR(VLOOKUP(Data!$G1936,canon!$I$2:$K$27,3,FALSE),"")</f>
        <v>N.APPAREL</v>
      </c>
      <c r="J1936" s="69">
        <f t="shared" si="60"/>
        <v>6</v>
      </c>
      <c r="K1936" s="69">
        <f t="shared" si="61"/>
        <v>43</v>
      </c>
      <c r="L1936" s="69">
        <f>VLOOKUP(Table_db1_backend_Daily.accdb[[#This Row],[TradingDate]],canon!B:E,4,0)</f>
        <v>28</v>
      </c>
    </row>
    <row r="1937" spans="1:12" x14ac:dyDescent="0.2">
      <c r="A1937" s="69" t="s">
        <v>43</v>
      </c>
      <c r="B1937" s="70">
        <v>42930</v>
      </c>
      <c r="C1937" s="69">
        <v>53</v>
      </c>
      <c r="D1937" s="69">
        <v>3</v>
      </c>
      <c r="E1937" s="69">
        <v>27.27</v>
      </c>
      <c r="F1937" s="69">
        <v>0.9700000000000002</v>
      </c>
      <c r="G1937" s="69" t="s">
        <v>23</v>
      </c>
      <c r="H1937" s="69" t="str">
        <f>IFERROR(VLOOKUP(Data!$G1937,canon!$I$2:$K$27,2,FALSE),"")</f>
        <v>SH&amp;BL</v>
      </c>
      <c r="I1937" s="69" t="str">
        <f>IFERROR(VLOOKUP(Data!$G1937,canon!$I$2:$K$27,3,FALSE),"")</f>
        <v>APPAREL</v>
      </c>
      <c r="J1937" s="69">
        <f t="shared" si="60"/>
        <v>6</v>
      </c>
      <c r="K1937" s="69">
        <f t="shared" si="61"/>
        <v>43</v>
      </c>
      <c r="L1937" s="69">
        <f>VLOOKUP(Table_db1_backend_Daily.accdb[[#This Row],[TradingDate]],canon!B:E,4,0)</f>
        <v>28</v>
      </c>
    </row>
    <row r="1938" spans="1:12" x14ac:dyDescent="0.2">
      <c r="A1938" s="69" t="s">
        <v>43</v>
      </c>
      <c r="B1938" s="70">
        <v>42930</v>
      </c>
      <c r="C1938" s="69">
        <v>0</v>
      </c>
      <c r="D1938" s="69">
        <v>2</v>
      </c>
      <c r="E1938" s="69">
        <v>18.18</v>
      </c>
      <c r="F1938" s="69">
        <v>5.57</v>
      </c>
      <c r="G1938" s="69" t="s">
        <v>32</v>
      </c>
      <c r="H1938" s="69" t="str">
        <f>IFERROR(VLOOKUP(Data!$G1938,canon!$I$2:$K$27,2,FALSE),"")</f>
        <v>SKIRT</v>
      </c>
      <c r="I1938" s="69" t="str">
        <f>IFERROR(VLOOKUP(Data!$G1938,canon!$I$2:$K$27,3,FALSE),"")</f>
        <v>APPAREL</v>
      </c>
      <c r="J1938" s="69">
        <f t="shared" si="60"/>
        <v>6</v>
      </c>
      <c r="K1938" s="69">
        <f t="shared" si="61"/>
        <v>43</v>
      </c>
      <c r="L1938" s="69">
        <f>VLOOKUP(Table_db1_backend_Daily.accdb[[#This Row],[TradingDate]],canon!B:E,4,0)</f>
        <v>28</v>
      </c>
    </row>
    <row r="1939" spans="1:12" x14ac:dyDescent="0.2">
      <c r="A1939" s="69" t="s">
        <v>43</v>
      </c>
      <c r="B1939" s="70">
        <v>42930</v>
      </c>
      <c r="C1939" s="69">
        <v>836</v>
      </c>
      <c r="D1939" s="69">
        <v>35</v>
      </c>
      <c r="E1939" s="69">
        <v>281.76000000000005</v>
      </c>
      <c r="F1939" s="69">
        <v>108.32</v>
      </c>
      <c r="G1939" s="69" t="s">
        <v>25</v>
      </c>
      <c r="H1939" s="69" t="str">
        <f>IFERROR(VLOOKUP(Data!$G1939,canon!$I$2:$K$27,2,FALSE),"")</f>
        <v>TOP</v>
      </c>
      <c r="I1939" s="69" t="str">
        <f>IFERROR(VLOOKUP(Data!$G1939,canon!$I$2:$K$27,3,FALSE),"")</f>
        <v>APPAREL</v>
      </c>
      <c r="J1939" s="69">
        <f t="shared" si="60"/>
        <v>6</v>
      </c>
      <c r="K1939" s="69">
        <f t="shared" si="61"/>
        <v>43</v>
      </c>
      <c r="L1939" s="69">
        <f>VLOOKUP(Table_db1_backend_Daily.accdb[[#This Row],[TradingDate]],canon!B:E,4,0)</f>
        <v>28</v>
      </c>
    </row>
    <row r="1940" spans="1:12" x14ac:dyDescent="0.2">
      <c r="A1940" s="69" t="s">
        <v>43</v>
      </c>
      <c r="B1940" s="70">
        <v>42931</v>
      </c>
      <c r="C1940" s="69">
        <v>10</v>
      </c>
      <c r="D1940" s="69">
        <v>0</v>
      </c>
      <c r="E1940" s="69">
        <v>0</v>
      </c>
      <c r="F1940" s="69">
        <v>0</v>
      </c>
      <c r="G1940" s="69" t="s">
        <v>27</v>
      </c>
      <c r="H1940" s="69" t="str">
        <f>IFERROR(VLOOKUP(Data!$G1940,canon!$I$2:$K$27,2,FALSE),"")</f>
        <v>ACCESSORY</v>
      </c>
      <c r="I1940" s="69" t="str">
        <f>IFERROR(VLOOKUP(Data!$G1940,canon!$I$2:$K$27,3,FALSE),"")</f>
        <v>N.APPAREL</v>
      </c>
      <c r="J1940" s="69">
        <f t="shared" si="60"/>
        <v>7</v>
      </c>
      <c r="K1940" s="69">
        <f t="shared" si="61"/>
        <v>43</v>
      </c>
      <c r="L1940" s="69">
        <f>VLOOKUP(Table_db1_backend_Daily.accdb[[#This Row],[TradingDate]],canon!B:E,4,0)</f>
        <v>28</v>
      </c>
    </row>
    <row r="1941" spans="1:12" x14ac:dyDescent="0.2">
      <c r="A1941" s="69" t="s">
        <v>43</v>
      </c>
      <c r="B1941" s="70">
        <v>42931</v>
      </c>
      <c r="C1941" s="69">
        <v>4</v>
      </c>
      <c r="D1941" s="69">
        <v>0</v>
      </c>
      <c r="E1941" s="69">
        <v>0</v>
      </c>
      <c r="F1941" s="69">
        <v>0</v>
      </c>
      <c r="G1941" s="69" t="s">
        <v>34</v>
      </c>
      <c r="H1941" s="69" t="str">
        <f>IFERROR(VLOOKUP(Data!$G1941,canon!$I$2:$K$27,2,FALSE),"")</f>
        <v>SHOES</v>
      </c>
      <c r="I1941" s="69" t="str">
        <f>IFERROR(VLOOKUP(Data!$G1941,canon!$I$2:$K$27,3,FALSE),"")</f>
        <v>N.APPAREL</v>
      </c>
      <c r="J1941" s="69">
        <f t="shared" si="60"/>
        <v>7</v>
      </c>
      <c r="K1941" s="69">
        <f t="shared" si="61"/>
        <v>43</v>
      </c>
      <c r="L1941" s="69">
        <f>VLOOKUP(Table_db1_backend_Daily.accdb[[#This Row],[TradingDate]],canon!B:E,4,0)</f>
        <v>28</v>
      </c>
    </row>
    <row r="1942" spans="1:12" x14ac:dyDescent="0.2">
      <c r="A1942" s="69" t="s">
        <v>43</v>
      </c>
      <c r="B1942" s="70">
        <v>42931</v>
      </c>
      <c r="C1942" s="69">
        <v>531</v>
      </c>
      <c r="D1942" s="69">
        <v>7</v>
      </c>
      <c r="E1942" s="69">
        <v>149.88</v>
      </c>
      <c r="F1942" s="69">
        <v>88.15</v>
      </c>
      <c r="G1942" s="69" t="s">
        <v>35</v>
      </c>
      <c r="H1942" s="69" t="str">
        <f>IFERROR(VLOOKUP(Data!$G1942,canon!$I$2:$K$27,2,FALSE),"")</f>
        <v>DRESS</v>
      </c>
      <c r="I1942" s="69" t="str">
        <f>IFERROR(VLOOKUP(Data!$G1942,canon!$I$2:$K$27,3,FALSE),"")</f>
        <v>APPAREL</v>
      </c>
      <c r="J1942" s="69">
        <f t="shared" si="60"/>
        <v>7</v>
      </c>
      <c r="K1942" s="69">
        <f t="shared" si="61"/>
        <v>43</v>
      </c>
      <c r="L1942" s="69">
        <f>VLOOKUP(Table_db1_backend_Daily.accdb[[#This Row],[TradingDate]],canon!B:E,4,0)</f>
        <v>28</v>
      </c>
    </row>
    <row r="1943" spans="1:12" x14ac:dyDescent="0.2">
      <c r="A1943" s="69" t="s">
        <v>43</v>
      </c>
      <c r="B1943" s="70">
        <v>42931</v>
      </c>
      <c r="C1943" s="69">
        <v>-11</v>
      </c>
      <c r="D1943" s="69">
        <v>0</v>
      </c>
      <c r="E1943" s="69">
        <v>0</v>
      </c>
      <c r="F1943" s="69">
        <v>0</v>
      </c>
      <c r="G1943" s="69" t="s">
        <v>10</v>
      </c>
      <c r="H1943" s="69" t="str">
        <f>IFERROR(VLOOKUP(Data!$G1943,canon!$I$2:$K$27,2,FALSE),"")</f>
        <v>ACCESSORY</v>
      </c>
      <c r="I1943" s="69" t="str">
        <f>IFERROR(VLOOKUP(Data!$G1943,canon!$I$2:$K$27,3,FALSE),"")</f>
        <v>N.APPAREL</v>
      </c>
      <c r="J1943" s="69">
        <f t="shared" si="60"/>
        <v>7</v>
      </c>
      <c r="K1943" s="69">
        <f t="shared" si="61"/>
        <v>43</v>
      </c>
      <c r="L1943" s="69">
        <f>VLOOKUP(Table_db1_backend_Daily.accdb[[#This Row],[TradingDate]],canon!B:E,4,0)</f>
        <v>28</v>
      </c>
    </row>
    <row r="1944" spans="1:12" x14ac:dyDescent="0.2">
      <c r="A1944" s="69" t="s">
        <v>43</v>
      </c>
      <c r="B1944" s="70">
        <v>42931</v>
      </c>
      <c r="C1944" s="69">
        <v>8</v>
      </c>
      <c r="D1944" s="69">
        <v>0</v>
      </c>
      <c r="E1944" s="69">
        <v>0</v>
      </c>
      <c r="F1944" s="69">
        <v>0</v>
      </c>
      <c r="G1944" s="69" t="s">
        <v>28</v>
      </c>
      <c r="H1944" s="69" t="str">
        <f>IFERROR(VLOOKUP(Data!$G1944,canon!$I$2:$K$27,2,FALSE),"")</f>
        <v>ACCESSORY</v>
      </c>
      <c r="I1944" s="69" t="str">
        <f>IFERROR(VLOOKUP(Data!$G1944,canon!$I$2:$K$27,3,FALSE),"")</f>
        <v>N.APPAREL</v>
      </c>
      <c r="J1944" s="69">
        <f t="shared" si="60"/>
        <v>7</v>
      </c>
      <c r="K1944" s="69">
        <f t="shared" si="61"/>
        <v>43</v>
      </c>
      <c r="L1944" s="69">
        <f>VLOOKUP(Table_db1_backend_Daily.accdb[[#This Row],[TradingDate]],canon!B:E,4,0)</f>
        <v>28</v>
      </c>
    </row>
    <row r="1945" spans="1:12" x14ac:dyDescent="0.2">
      <c r="A1945" s="69" t="s">
        <v>43</v>
      </c>
      <c r="B1945" s="70">
        <v>42931</v>
      </c>
      <c r="C1945" s="69">
        <v>1592</v>
      </c>
      <c r="D1945" s="69">
        <v>65</v>
      </c>
      <c r="E1945" s="69">
        <v>799.49999999999989</v>
      </c>
      <c r="F1945" s="69">
        <v>281.95</v>
      </c>
      <c r="G1945" s="69" t="s">
        <v>11</v>
      </c>
      <c r="H1945" s="69" t="str">
        <f>IFERROR(VLOOKUP(Data!$G1945,canon!$I$2:$K$27,2,FALSE),"")</f>
        <v>KNIT</v>
      </c>
      <c r="I1945" s="69" t="str">
        <f>IFERROR(VLOOKUP(Data!$G1945,canon!$I$2:$K$27,3,FALSE),"")</f>
        <v>APPAREL</v>
      </c>
      <c r="J1945" s="69">
        <f t="shared" si="60"/>
        <v>7</v>
      </c>
      <c r="K1945" s="69">
        <f t="shared" si="61"/>
        <v>43</v>
      </c>
      <c r="L1945" s="69">
        <f>VLOOKUP(Table_db1_backend_Daily.accdb[[#This Row],[TradingDate]],canon!B:E,4,0)</f>
        <v>28</v>
      </c>
    </row>
    <row r="1946" spans="1:12" x14ac:dyDescent="0.2">
      <c r="A1946" s="69" t="s">
        <v>43</v>
      </c>
      <c r="B1946" s="70">
        <v>42931</v>
      </c>
      <c r="C1946" s="69">
        <v>48</v>
      </c>
      <c r="D1946" s="69">
        <v>2</v>
      </c>
      <c r="E1946" s="69">
        <v>27.18</v>
      </c>
      <c r="F1946" s="69">
        <v>11.969999999999999</v>
      </c>
      <c r="G1946" s="69" t="s">
        <v>14</v>
      </c>
      <c r="H1946" s="69" t="str">
        <f>IFERROR(VLOOKUP(Data!$G1946,canon!$I$2:$K$27,2,FALSE),"")</f>
        <v>LEGGING</v>
      </c>
      <c r="I1946" s="69" t="str">
        <f>IFERROR(VLOOKUP(Data!$G1946,canon!$I$2:$K$27,3,FALSE),"")</f>
        <v>APPAREL</v>
      </c>
      <c r="J1946" s="69">
        <f t="shared" si="60"/>
        <v>7</v>
      </c>
      <c r="K1946" s="69">
        <f t="shared" si="61"/>
        <v>43</v>
      </c>
      <c r="L1946" s="69">
        <f>VLOOKUP(Table_db1_backend_Daily.accdb[[#This Row],[TradingDate]],canon!B:E,4,0)</f>
        <v>28</v>
      </c>
    </row>
    <row r="1947" spans="1:12" x14ac:dyDescent="0.2">
      <c r="A1947" s="69" t="s">
        <v>43</v>
      </c>
      <c r="B1947" s="70">
        <v>42931</v>
      </c>
      <c r="C1947" s="69">
        <v>61</v>
      </c>
      <c r="D1947" s="69">
        <v>0</v>
      </c>
      <c r="E1947" s="69">
        <v>0</v>
      </c>
      <c r="F1947" s="69">
        <v>0</v>
      </c>
      <c r="G1947" s="69" t="s">
        <v>37</v>
      </c>
      <c r="H1947" s="69" t="str">
        <f>IFERROR(VLOOKUP(Data!$G1947,canon!$I$2:$K$27,2,FALSE),"")</f>
        <v>SHOES</v>
      </c>
      <c r="I1947" s="69" t="str">
        <f>IFERROR(VLOOKUP(Data!$G1947,canon!$I$2:$K$27,3,FALSE),"")</f>
        <v>N.APPAREL</v>
      </c>
      <c r="J1947" s="69">
        <f t="shared" si="60"/>
        <v>7</v>
      </c>
      <c r="K1947" s="69">
        <f t="shared" si="61"/>
        <v>43</v>
      </c>
      <c r="L1947" s="69">
        <f>VLOOKUP(Table_db1_backend_Daily.accdb[[#This Row],[TradingDate]],canon!B:E,4,0)</f>
        <v>28</v>
      </c>
    </row>
    <row r="1948" spans="1:12" x14ac:dyDescent="0.2">
      <c r="A1948" s="69" t="s">
        <v>43</v>
      </c>
      <c r="B1948" s="70">
        <v>42931</v>
      </c>
      <c r="C1948" s="69">
        <v>61</v>
      </c>
      <c r="D1948" s="69">
        <v>0</v>
      </c>
      <c r="E1948" s="69">
        <v>0</v>
      </c>
      <c r="F1948" s="69">
        <v>0</v>
      </c>
      <c r="G1948" s="69" t="s">
        <v>29</v>
      </c>
      <c r="H1948" s="69" t="str">
        <f>IFERROR(VLOOKUP(Data!$G1948,canon!$I$2:$K$27,2,FALSE),"")</f>
        <v>SHOES</v>
      </c>
      <c r="I1948" s="69" t="str">
        <f>IFERROR(VLOOKUP(Data!$G1948,canon!$I$2:$K$27,3,FALSE),"")</f>
        <v>N.APPAREL</v>
      </c>
      <c r="J1948" s="69">
        <f t="shared" si="60"/>
        <v>7</v>
      </c>
      <c r="K1948" s="69">
        <f t="shared" si="61"/>
        <v>43</v>
      </c>
      <c r="L1948" s="69">
        <f>VLOOKUP(Table_db1_backend_Daily.accdb[[#This Row],[TradingDate]],canon!B:E,4,0)</f>
        <v>28</v>
      </c>
    </row>
    <row r="1949" spans="1:12" x14ac:dyDescent="0.2">
      <c r="A1949" s="69" t="s">
        <v>43</v>
      </c>
      <c r="B1949" s="70">
        <v>42931</v>
      </c>
      <c r="C1949" s="69">
        <v>547</v>
      </c>
      <c r="D1949" s="69">
        <v>13</v>
      </c>
      <c r="E1949" s="69">
        <v>190.63</v>
      </c>
      <c r="F1949" s="69">
        <v>89.58</v>
      </c>
      <c r="G1949" s="69" t="s">
        <v>17</v>
      </c>
      <c r="H1949" s="69" t="str">
        <f>IFERROR(VLOOKUP(Data!$G1949,canon!$I$2:$K$27,2,FALSE),"")</f>
        <v>OUTER</v>
      </c>
      <c r="I1949" s="69" t="str">
        <f>IFERROR(VLOOKUP(Data!$G1949,canon!$I$2:$K$27,3,FALSE),"")</f>
        <v>APPAREL</v>
      </c>
      <c r="J1949" s="69">
        <f t="shared" si="60"/>
        <v>7</v>
      </c>
      <c r="K1949" s="69">
        <f t="shared" si="61"/>
        <v>43</v>
      </c>
      <c r="L1949" s="69">
        <f>VLOOKUP(Table_db1_backend_Daily.accdb[[#This Row],[TradingDate]],canon!B:E,4,0)</f>
        <v>28</v>
      </c>
    </row>
    <row r="1950" spans="1:12" x14ac:dyDescent="0.2">
      <c r="A1950" s="69" t="s">
        <v>43</v>
      </c>
      <c r="B1950" s="70">
        <v>42931</v>
      </c>
      <c r="C1950" s="69">
        <v>204</v>
      </c>
      <c r="D1950" s="69">
        <v>2</v>
      </c>
      <c r="E1950" s="69">
        <v>27.27</v>
      </c>
      <c r="F1950" s="69">
        <v>13.9</v>
      </c>
      <c r="G1950" s="69" t="s">
        <v>19</v>
      </c>
      <c r="H1950" s="69" t="str">
        <f>IFERROR(VLOOKUP(Data!$G1950,canon!$I$2:$K$27,2,FALSE),"")</f>
        <v>PANT</v>
      </c>
      <c r="I1950" s="69" t="str">
        <f>IFERROR(VLOOKUP(Data!$G1950,canon!$I$2:$K$27,3,FALSE),"")</f>
        <v>APPAREL</v>
      </c>
      <c r="J1950" s="69">
        <f t="shared" si="60"/>
        <v>7</v>
      </c>
      <c r="K1950" s="69">
        <f t="shared" si="61"/>
        <v>43</v>
      </c>
      <c r="L1950" s="69">
        <f>VLOOKUP(Table_db1_backend_Daily.accdb[[#This Row],[TradingDate]],canon!B:E,4,0)</f>
        <v>28</v>
      </c>
    </row>
    <row r="1951" spans="1:12" x14ac:dyDescent="0.2">
      <c r="A1951" s="69" t="s">
        <v>43</v>
      </c>
      <c r="B1951" s="70">
        <v>42931</v>
      </c>
      <c r="C1951" s="69">
        <v>64</v>
      </c>
      <c r="D1951" s="69">
        <v>0</v>
      </c>
      <c r="E1951" s="69">
        <v>0</v>
      </c>
      <c r="F1951" s="69">
        <v>0</v>
      </c>
      <c r="G1951" s="69" t="s">
        <v>21</v>
      </c>
      <c r="H1951" s="69" t="str">
        <f>IFERROR(VLOOKUP(Data!$G1951,canon!$I$2:$K$27,2,FALSE),"")</f>
        <v>ACCESSORY</v>
      </c>
      <c r="I1951" s="69" t="str">
        <f>IFERROR(VLOOKUP(Data!$G1951,canon!$I$2:$K$27,3,FALSE),"")</f>
        <v>N.APPAREL</v>
      </c>
      <c r="J1951" s="69">
        <f t="shared" si="60"/>
        <v>7</v>
      </c>
      <c r="K1951" s="69">
        <f t="shared" si="61"/>
        <v>43</v>
      </c>
      <c r="L1951" s="69">
        <f>VLOOKUP(Table_db1_backend_Daily.accdb[[#This Row],[TradingDate]],canon!B:E,4,0)</f>
        <v>28</v>
      </c>
    </row>
    <row r="1952" spans="1:12" x14ac:dyDescent="0.2">
      <c r="A1952" s="69" t="s">
        <v>43</v>
      </c>
      <c r="B1952" s="70">
        <v>42931</v>
      </c>
      <c r="C1952" s="69">
        <v>744</v>
      </c>
      <c r="D1952" s="69">
        <v>16</v>
      </c>
      <c r="E1952" s="69">
        <v>83.5</v>
      </c>
      <c r="F1952" s="69">
        <v>57.86</v>
      </c>
      <c r="G1952" s="69" t="s">
        <v>22</v>
      </c>
      <c r="H1952" s="69" t="str">
        <f>IFERROR(VLOOKUP(Data!$G1952,canon!$I$2:$K$27,2,FALSE),"")</f>
        <v>SCARF</v>
      </c>
      <c r="I1952" s="69" t="str">
        <f>IFERROR(VLOOKUP(Data!$G1952,canon!$I$2:$K$27,3,FALSE),"")</f>
        <v>N.APPAREL</v>
      </c>
      <c r="J1952" s="69">
        <f t="shared" si="60"/>
        <v>7</v>
      </c>
      <c r="K1952" s="69">
        <f t="shared" si="61"/>
        <v>43</v>
      </c>
      <c r="L1952" s="69">
        <f>VLOOKUP(Table_db1_backend_Daily.accdb[[#This Row],[TradingDate]],canon!B:E,4,0)</f>
        <v>28</v>
      </c>
    </row>
    <row r="1953" spans="1:12" x14ac:dyDescent="0.2">
      <c r="A1953" s="69" t="s">
        <v>43</v>
      </c>
      <c r="B1953" s="70">
        <v>42931</v>
      </c>
      <c r="C1953" s="69">
        <v>48</v>
      </c>
      <c r="D1953" s="69">
        <v>5</v>
      </c>
      <c r="E1953" s="69">
        <v>63.59</v>
      </c>
      <c r="F1953" s="69">
        <v>27.169999999999998</v>
      </c>
      <c r="G1953" s="69" t="s">
        <v>23</v>
      </c>
      <c r="H1953" s="69" t="str">
        <f>IFERROR(VLOOKUP(Data!$G1953,canon!$I$2:$K$27,2,FALSE),"")</f>
        <v>SH&amp;BL</v>
      </c>
      <c r="I1953" s="69" t="str">
        <f>IFERROR(VLOOKUP(Data!$G1953,canon!$I$2:$K$27,3,FALSE),"")</f>
        <v>APPAREL</v>
      </c>
      <c r="J1953" s="69">
        <f t="shared" si="60"/>
        <v>7</v>
      </c>
      <c r="K1953" s="69">
        <f t="shared" si="61"/>
        <v>43</v>
      </c>
      <c r="L1953" s="69">
        <f>VLOOKUP(Table_db1_backend_Daily.accdb[[#This Row],[TradingDate]],canon!B:E,4,0)</f>
        <v>28</v>
      </c>
    </row>
    <row r="1954" spans="1:12" x14ac:dyDescent="0.2">
      <c r="A1954" s="69" t="s">
        <v>43</v>
      </c>
      <c r="B1954" s="70">
        <v>42931</v>
      </c>
      <c r="C1954" s="69">
        <v>-7</v>
      </c>
      <c r="D1954" s="69">
        <v>7</v>
      </c>
      <c r="E1954" s="69">
        <v>90.8</v>
      </c>
      <c r="F1954" s="69">
        <v>52.75</v>
      </c>
      <c r="G1954" s="69" t="s">
        <v>32</v>
      </c>
      <c r="H1954" s="69" t="str">
        <f>IFERROR(VLOOKUP(Data!$G1954,canon!$I$2:$K$27,2,FALSE),"")</f>
        <v>SKIRT</v>
      </c>
      <c r="I1954" s="69" t="str">
        <f>IFERROR(VLOOKUP(Data!$G1954,canon!$I$2:$K$27,3,FALSE),"")</f>
        <v>APPAREL</v>
      </c>
      <c r="J1954" s="69">
        <f t="shared" si="60"/>
        <v>7</v>
      </c>
      <c r="K1954" s="69">
        <f t="shared" si="61"/>
        <v>43</v>
      </c>
      <c r="L1954" s="69">
        <f>VLOOKUP(Table_db1_backend_Daily.accdb[[#This Row],[TradingDate]],canon!B:E,4,0)</f>
        <v>28</v>
      </c>
    </row>
    <row r="1955" spans="1:12" x14ac:dyDescent="0.2">
      <c r="A1955" s="69" t="s">
        <v>43</v>
      </c>
      <c r="B1955" s="70">
        <v>42931</v>
      </c>
      <c r="C1955" s="69">
        <v>802</v>
      </c>
      <c r="D1955" s="69">
        <v>34</v>
      </c>
      <c r="E1955" s="69">
        <v>263.50000000000006</v>
      </c>
      <c r="F1955" s="69">
        <v>104.89</v>
      </c>
      <c r="G1955" s="69" t="s">
        <v>25</v>
      </c>
      <c r="H1955" s="69" t="str">
        <f>IFERROR(VLOOKUP(Data!$G1955,canon!$I$2:$K$27,2,FALSE),"")</f>
        <v>TOP</v>
      </c>
      <c r="I1955" s="69" t="str">
        <f>IFERROR(VLOOKUP(Data!$G1955,canon!$I$2:$K$27,3,FALSE),"")</f>
        <v>APPAREL</v>
      </c>
      <c r="J1955" s="69">
        <f t="shared" si="60"/>
        <v>7</v>
      </c>
      <c r="K1955" s="69">
        <f t="shared" si="61"/>
        <v>43</v>
      </c>
      <c r="L1955" s="69">
        <f>VLOOKUP(Table_db1_backend_Daily.accdb[[#This Row],[TradingDate]],canon!B:E,4,0)</f>
        <v>28</v>
      </c>
    </row>
    <row r="1956" spans="1:12" x14ac:dyDescent="0.2">
      <c r="A1956" s="69" t="s">
        <v>43</v>
      </c>
      <c r="B1956" s="70">
        <v>42932</v>
      </c>
      <c r="C1956" s="69">
        <v>10</v>
      </c>
      <c r="D1956" s="69">
        <v>0</v>
      </c>
      <c r="E1956" s="69">
        <v>0</v>
      </c>
      <c r="F1956" s="69">
        <v>0</v>
      </c>
      <c r="G1956" s="69" t="s">
        <v>27</v>
      </c>
      <c r="H1956" s="69" t="str">
        <f>IFERROR(VLOOKUP(Data!$G1956,canon!$I$2:$K$27,2,FALSE),"")</f>
        <v>ACCESSORY</v>
      </c>
      <c r="I1956" s="69" t="str">
        <f>IFERROR(VLOOKUP(Data!$G1956,canon!$I$2:$K$27,3,FALSE),"")</f>
        <v>N.APPAREL</v>
      </c>
      <c r="J1956" s="69">
        <f t="shared" si="60"/>
        <v>1</v>
      </c>
      <c r="K1956" s="69">
        <f t="shared" si="61"/>
        <v>43</v>
      </c>
      <c r="L1956" s="69">
        <f>VLOOKUP(Table_db1_backend_Daily.accdb[[#This Row],[TradingDate]],canon!B:E,4,0)</f>
        <v>29</v>
      </c>
    </row>
    <row r="1957" spans="1:12" x14ac:dyDescent="0.2">
      <c r="A1957" s="69" t="s">
        <v>43</v>
      </c>
      <c r="B1957" s="70">
        <v>42932</v>
      </c>
      <c r="C1957" s="69">
        <v>4</v>
      </c>
      <c r="D1957" s="69">
        <v>0</v>
      </c>
      <c r="E1957" s="69">
        <v>0</v>
      </c>
      <c r="F1957" s="69">
        <v>0</v>
      </c>
      <c r="G1957" s="69" t="s">
        <v>34</v>
      </c>
      <c r="H1957" s="69" t="str">
        <f>IFERROR(VLOOKUP(Data!$G1957,canon!$I$2:$K$27,2,FALSE),"")</f>
        <v>SHOES</v>
      </c>
      <c r="I1957" s="69" t="str">
        <f>IFERROR(VLOOKUP(Data!$G1957,canon!$I$2:$K$27,3,FALSE),"")</f>
        <v>N.APPAREL</v>
      </c>
      <c r="J1957" s="69">
        <f t="shared" si="60"/>
        <v>1</v>
      </c>
      <c r="K1957" s="69">
        <f t="shared" si="61"/>
        <v>43</v>
      </c>
      <c r="L1957" s="69">
        <f>VLOOKUP(Table_db1_backend_Daily.accdb[[#This Row],[TradingDate]],canon!B:E,4,0)</f>
        <v>29</v>
      </c>
    </row>
    <row r="1958" spans="1:12" x14ac:dyDescent="0.2">
      <c r="A1958" s="69" t="s">
        <v>43</v>
      </c>
      <c r="B1958" s="70">
        <v>42932</v>
      </c>
      <c r="C1958" s="69">
        <v>531</v>
      </c>
      <c r="D1958" s="69">
        <v>0</v>
      </c>
      <c r="E1958" s="69">
        <v>0</v>
      </c>
      <c r="F1958" s="69">
        <v>0</v>
      </c>
      <c r="G1958" s="69" t="s">
        <v>35</v>
      </c>
      <c r="H1958" s="69" t="str">
        <f>IFERROR(VLOOKUP(Data!$G1958,canon!$I$2:$K$27,2,FALSE),"")</f>
        <v>DRESS</v>
      </c>
      <c r="I1958" s="69" t="str">
        <f>IFERROR(VLOOKUP(Data!$G1958,canon!$I$2:$K$27,3,FALSE),"")</f>
        <v>APPAREL</v>
      </c>
      <c r="J1958" s="69">
        <f t="shared" si="60"/>
        <v>1</v>
      </c>
      <c r="K1958" s="69">
        <f t="shared" si="61"/>
        <v>43</v>
      </c>
      <c r="L1958" s="69">
        <f>VLOOKUP(Table_db1_backend_Daily.accdb[[#This Row],[TradingDate]],canon!B:E,4,0)</f>
        <v>29</v>
      </c>
    </row>
    <row r="1959" spans="1:12" x14ac:dyDescent="0.2">
      <c r="A1959" s="69" t="s">
        <v>43</v>
      </c>
      <c r="B1959" s="70">
        <v>42932</v>
      </c>
      <c r="C1959" s="69">
        <v>-11</v>
      </c>
      <c r="D1959" s="69">
        <v>0</v>
      </c>
      <c r="E1959" s="69">
        <v>0</v>
      </c>
      <c r="F1959" s="69">
        <v>0</v>
      </c>
      <c r="G1959" s="69" t="s">
        <v>10</v>
      </c>
      <c r="H1959" s="69" t="str">
        <f>IFERROR(VLOOKUP(Data!$G1959,canon!$I$2:$K$27,2,FALSE),"")</f>
        <v>ACCESSORY</v>
      </c>
      <c r="I1959" s="69" t="str">
        <f>IFERROR(VLOOKUP(Data!$G1959,canon!$I$2:$K$27,3,FALSE),"")</f>
        <v>N.APPAREL</v>
      </c>
      <c r="J1959" s="69">
        <f t="shared" si="60"/>
        <v>1</v>
      </c>
      <c r="K1959" s="69">
        <f t="shared" si="61"/>
        <v>43</v>
      </c>
      <c r="L1959" s="69">
        <f>VLOOKUP(Table_db1_backend_Daily.accdb[[#This Row],[TradingDate]],canon!B:E,4,0)</f>
        <v>29</v>
      </c>
    </row>
    <row r="1960" spans="1:12" x14ac:dyDescent="0.2">
      <c r="A1960" s="69" t="s">
        <v>43</v>
      </c>
      <c r="B1960" s="70">
        <v>42932</v>
      </c>
      <c r="C1960" s="69">
        <v>8</v>
      </c>
      <c r="D1960" s="69">
        <v>0</v>
      </c>
      <c r="E1960" s="69">
        <v>0</v>
      </c>
      <c r="F1960" s="69">
        <v>0</v>
      </c>
      <c r="G1960" s="69" t="s">
        <v>28</v>
      </c>
      <c r="H1960" s="69" t="str">
        <f>IFERROR(VLOOKUP(Data!$G1960,canon!$I$2:$K$27,2,FALSE),"")</f>
        <v>ACCESSORY</v>
      </c>
      <c r="I1960" s="69" t="str">
        <f>IFERROR(VLOOKUP(Data!$G1960,canon!$I$2:$K$27,3,FALSE),"")</f>
        <v>N.APPAREL</v>
      </c>
      <c r="J1960" s="69">
        <f t="shared" si="60"/>
        <v>1</v>
      </c>
      <c r="K1960" s="69">
        <f t="shared" si="61"/>
        <v>43</v>
      </c>
      <c r="L1960" s="69">
        <f>VLOOKUP(Table_db1_backend_Daily.accdb[[#This Row],[TradingDate]],canon!B:E,4,0)</f>
        <v>29</v>
      </c>
    </row>
    <row r="1961" spans="1:12" x14ac:dyDescent="0.2">
      <c r="A1961" s="69" t="s">
        <v>43</v>
      </c>
      <c r="B1961" s="70">
        <v>42932</v>
      </c>
      <c r="C1961" s="69">
        <v>1560</v>
      </c>
      <c r="D1961" s="69">
        <v>32</v>
      </c>
      <c r="E1961" s="69">
        <v>476.59999999999991</v>
      </c>
      <c r="F1961" s="69">
        <v>223.93</v>
      </c>
      <c r="G1961" s="69" t="s">
        <v>11</v>
      </c>
      <c r="H1961" s="69" t="str">
        <f>IFERROR(VLOOKUP(Data!$G1961,canon!$I$2:$K$27,2,FALSE),"")</f>
        <v>KNIT</v>
      </c>
      <c r="I1961" s="69" t="str">
        <f>IFERROR(VLOOKUP(Data!$G1961,canon!$I$2:$K$27,3,FALSE),"")</f>
        <v>APPAREL</v>
      </c>
      <c r="J1961" s="69">
        <f t="shared" si="60"/>
        <v>1</v>
      </c>
      <c r="K1961" s="69">
        <f t="shared" si="61"/>
        <v>43</v>
      </c>
      <c r="L1961" s="69">
        <f>VLOOKUP(Table_db1_backend_Daily.accdb[[#This Row],[TradingDate]],canon!B:E,4,0)</f>
        <v>29</v>
      </c>
    </row>
    <row r="1962" spans="1:12" x14ac:dyDescent="0.2">
      <c r="A1962" s="69" t="s">
        <v>43</v>
      </c>
      <c r="B1962" s="70">
        <v>42932</v>
      </c>
      <c r="C1962" s="69">
        <v>48</v>
      </c>
      <c r="D1962" s="69">
        <v>0</v>
      </c>
      <c r="E1962" s="69">
        <v>0</v>
      </c>
      <c r="F1962" s="69">
        <v>0</v>
      </c>
      <c r="G1962" s="69" t="s">
        <v>14</v>
      </c>
      <c r="H1962" s="69" t="str">
        <f>IFERROR(VLOOKUP(Data!$G1962,canon!$I$2:$K$27,2,FALSE),"")</f>
        <v>LEGGING</v>
      </c>
      <c r="I1962" s="69" t="str">
        <f>IFERROR(VLOOKUP(Data!$G1962,canon!$I$2:$K$27,3,FALSE),"")</f>
        <v>APPAREL</v>
      </c>
      <c r="J1962" s="69">
        <f t="shared" si="60"/>
        <v>1</v>
      </c>
      <c r="K1962" s="69">
        <f t="shared" si="61"/>
        <v>43</v>
      </c>
      <c r="L1962" s="69">
        <f>VLOOKUP(Table_db1_backend_Daily.accdb[[#This Row],[TradingDate]],canon!B:E,4,0)</f>
        <v>29</v>
      </c>
    </row>
    <row r="1963" spans="1:12" x14ac:dyDescent="0.2">
      <c r="A1963" s="69" t="s">
        <v>43</v>
      </c>
      <c r="B1963" s="70">
        <v>42932</v>
      </c>
      <c r="C1963" s="69">
        <v>61</v>
      </c>
      <c r="D1963" s="69">
        <v>0</v>
      </c>
      <c r="E1963" s="69">
        <v>0</v>
      </c>
      <c r="F1963" s="69">
        <v>0</v>
      </c>
      <c r="G1963" s="69" t="s">
        <v>37</v>
      </c>
      <c r="H1963" s="69" t="str">
        <f>IFERROR(VLOOKUP(Data!$G1963,canon!$I$2:$K$27,2,FALSE),"")</f>
        <v>SHOES</v>
      </c>
      <c r="I1963" s="69" t="str">
        <f>IFERROR(VLOOKUP(Data!$G1963,canon!$I$2:$K$27,3,FALSE),"")</f>
        <v>N.APPAREL</v>
      </c>
      <c r="J1963" s="69">
        <f t="shared" si="60"/>
        <v>1</v>
      </c>
      <c r="K1963" s="69">
        <f t="shared" si="61"/>
        <v>43</v>
      </c>
      <c r="L1963" s="69">
        <f>VLOOKUP(Table_db1_backend_Daily.accdb[[#This Row],[TradingDate]],canon!B:E,4,0)</f>
        <v>29</v>
      </c>
    </row>
    <row r="1964" spans="1:12" x14ac:dyDescent="0.2">
      <c r="A1964" s="69" t="s">
        <v>43</v>
      </c>
      <c r="B1964" s="70">
        <v>42932</v>
      </c>
      <c r="C1964" s="69">
        <v>61</v>
      </c>
      <c r="D1964" s="69">
        <v>0</v>
      </c>
      <c r="E1964" s="69">
        <v>0</v>
      </c>
      <c r="F1964" s="69">
        <v>0</v>
      </c>
      <c r="G1964" s="69" t="s">
        <v>29</v>
      </c>
      <c r="H1964" s="69" t="str">
        <f>IFERROR(VLOOKUP(Data!$G1964,canon!$I$2:$K$27,2,FALSE),"")</f>
        <v>SHOES</v>
      </c>
      <c r="I1964" s="69" t="str">
        <f>IFERROR(VLOOKUP(Data!$G1964,canon!$I$2:$K$27,3,FALSE),"")</f>
        <v>N.APPAREL</v>
      </c>
      <c r="J1964" s="69">
        <f t="shared" si="60"/>
        <v>1</v>
      </c>
      <c r="K1964" s="69">
        <f t="shared" si="61"/>
        <v>43</v>
      </c>
      <c r="L1964" s="69">
        <f>VLOOKUP(Table_db1_backend_Daily.accdb[[#This Row],[TradingDate]],canon!B:E,4,0)</f>
        <v>29</v>
      </c>
    </row>
    <row r="1965" spans="1:12" x14ac:dyDescent="0.2">
      <c r="A1965" s="69" t="s">
        <v>43</v>
      </c>
      <c r="B1965" s="70">
        <v>42932</v>
      </c>
      <c r="C1965" s="69">
        <v>545</v>
      </c>
      <c r="D1965" s="69">
        <v>2</v>
      </c>
      <c r="E1965" s="69">
        <v>31.7</v>
      </c>
      <c r="F1965" s="69">
        <v>17.689999999999998</v>
      </c>
      <c r="G1965" s="69" t="s">
        <v>17</v>
      </c>
      <c r="H1965" s="69" t="str">
        <f>IFERROR(VLOOKUP(Data!$G1965,canon!$I$2:$K$27,2,FALSE),"")</f>
        <v>OUTER</v>
      </c>
      <c r="I1965" s="69" t="str">
        <f>IFERROR(VLOOKUP(Data!$G1965,canon!$I$2:$K$27,3,FALSE),"")</f>
        <v>APPAREL</v>
      </c>
      <c r="J1965" s="69">
        <f t="shared" si="60"/>
        <v>1</v>
      </c>
      <c r="K1965" s="69">
        <f t="shared" si="61"/>
        <v>43</v>
      </c>
      <c r="L1965" s="69">
        <f>VLOOKUP(Table_db1_backend_Daily.accdb[[#This Row],[TradingDate]],canon!B:E,4,0)</f>
        <v>29</v>
      </c>
    </row>
    <row r="1966" spans="1:12" x14ac:dyDescent="0.2">
      <c r="A1966" s="69" t="s">
        <v>43</v>
      </c>
      <c r="B1966" s="70">
        <v>42932</v>
      </c>
      <c r="C1966" s="69">
        <v>203</v>
      </c>
      <c r="D1966" s="69">
        <v>1</v>
      </c>
      <c r="E1966" s="69">
        <v>9.09</v>
      </c>
      <c r="F1966" s="69">
        <v>3.33</v>
      </c>
      <c r="G1966" s="69" t="s">
        <v>19</v>
      </c>
      <c r="H1966" s="69" t="str">
        <f>IFERROR(VLOOKUP(Data!$G1966,canon!$I$2:$K$27,2,FALSE),"")</f>
        <v>PANT</v>
      </c>
      <c r="I1966" s="69" t="str">
        <f>IFERROR(VLOOKUP(Data!$G1966,canon!$I$2:$K$27,3,FALSE),"")</f>
        <v>APPAREL</v>
      </c>
      <c r="J1966" s="69">
        <f t="shared" si="60"/>
        <v>1</v>
      </c>
      <c r="K1966" s="69">
        <f t="shared" si="61"/>
        <v>43</v>
      </c>
      <c r="L1966" s="69">
        <f>VLOOKUP(Table_db1_backend_Daily.accdb[[#This Row],[TradingDate]],canon!B:E,4,0)</f>
        <v>29</v>
      </c>
    </row>
    <row r="1967" spans="1:12" x14ac:dyDescent="0.2">
      <c r="A1967" s="69" t="s">
        <v>43</v>
      </c>
      <c r="B1967" s="70">
        <v>42932</v>
      </c>
      <c r="C1967" s="69">
        <v>64</v>
      </c>
      <c r="D1967" s="69">
        <v>0</v>
      </c>
      <c r="E1967" s="69">
        <v>0</v>
      </c>
      <c r="F1967" s="69">
        <v>0</v>
      </c>
      <c r="G1967" s="69" t="s">
        <v>21</v>
      </c>
      <c r="H1967" s="69" t="str">
        <f>IFERROR(VLOOKUP(Data!$G1967,canon!$I$2:$K$27,2,FALSE),"")</f>
        <v>ACCESSORY</v>
      </c>
      <c r="I1967" s="69" t="str">
        <f>IFERROR(VLOOKUP(Data!$G1967,canon!$I$2:$K$27,3,FALSE),"")</f>
        <v>N.APPAREL</v>
      </c>
      <c r="J1967" s="69">
        <f t="shared" si="60"/>
        <v>1</v>
      </c>
      <c r="K1967" s="69">
        <f t="shared" si="61"/>
        <v>43</v>
      </c>
      <c r="L1967" s="69">
        <f>VLOOKUP(Table_db1_backend_Daily.accdb[[#This Row],[TradingDate]],canon!B:E,4,0)</f>
        <v>29</v>
      </c>
    </row>
    <row r="1968" spans="1:12" x14ac:dyDescent="0.2">
      <c r="A1968" s="69" t="s">
        <v>43</v>
      </c>
      <c r="B1968" s="70">
        <v>42932</v>
      </c>
      <c r="C1968" s="69">
        <v>742</v>
      </c>
      <c r="D1968" s="69">
        <v>2</v>
      </c>
      <c r="E1968" s="69">
        <v>9.1</v>
      </c>
      <c r="F1968" s="69">
        <v>6.0600000000000005</v>
      </c>
      <c r="G1968" s="69" t="s">
        <v>22</v>
      </c>
      <c r="H1968" s="69" t="str">
        <f>IFERROR(VLOOKUP(Data!$G1968,canon!$I$2:$K$27,2,FALSE),"")</f>
        <v>SCARF</v>
      </c>
      <c r="I1968" s="69" t="str">
        <f>IFERROR(VLOOKUP(Data!$G1968,canon!$I$2:$K$27,3,FALSE),"")</f>
        <v>N.APPAREL</v>
      </c>
      <c r="J1968" s="69">
        <f t="shared" si="60"/>
        <v>1</v>
      </c>
      <c r="K1968" s="69">
        <f t="shared" si="61"/>
        <v>43</v>
      </c>
      <c r="L1968" s="69">
        <f>VLOOKUP(Table_db1_backend_Daily.accdb[[#This Row],[TradingDate]],canon!B:E,4,0)</f>
        <v>29</v>
      </c>
    </row>
    <row r="1969" spans="1:12" x14ac:dyDescent="0.2">
      <c r="A1969" s="69" t="s">
        <v>43</v>
      </c>
      <c r="B1969" s="70">
        <v>42932</v>
      </c>
      <c r="C1969" s="69">
        <v>47</v>
      </c>
      <c r="D1969" s="69">
        <v>1</v>
      </c>
      <c r="E1969" s="69">
        <v>9.09</v>
      </c>
      <c r="F1969" s="69">
        <v>2.57</v>
      </c>
      <c r="G1969" s="69" t="s">
        <v>23</v>
      </c>
      <c r="H1969" s="69" t="str">
        <f>IFERROR(VLOOKUP(Data!$G1969,canon!$I$2:$K$27,2,FALSE),"")</f>
        <v>SH&amp;BL</v>
      </c>
      <c r="I1969" s="69" t="str">
        <f>IFERROR(VLOOKUP(Data!$G1969,canon!$I$2:$K$27,3,FALSE),"")</f>
        <v>APPAREL</v>
      </c>
      <c r="J1969" s="69">
        <f t="shared" si="60"/>
        <v>1</v>
      </c>
      <c r="K1969" s="69">
        <f t="shared" si="61"/>
        <v>43</v>
      </c>
      <c r="L1969" s="69">
        <f>VLOOKUP(Table_db1_backend_Daily.accdb[[#This Row],[TradingDate]],canon!B:E,4,0)</f>
        <v>29</v>
      </c>
    </row>
    <row r="1970" spans="1:12" x14ac:dyDescent="0.2">
      <c r="A1970" s="69" t="s">
        <v>43</v>
      </c>
      <c r="B1970" s="70">
        <v>42932</v>
      </c>
      <c r="C1970" s="69">
        <v>-7</v>
      </c>
      <c r="D1970" s="69">
        <v>0</v>
      </c>
      <c r="E1970" s="69">
        <v>0</v>
      </c>
      <c r="F1970" s="69">
        <v>0</v>
      </c>
      <c r="G1970" s="69" t="s">
        <v>32</v>
      </c>
      <c r="H1970" s="69" t="str">
        <f>IFERROR(VLOOKUP(Data!$G1970,canon!$I$2:$K$27,2,FALSE),"")</f>
        <v>SKIRT</v>
      </c>
      <c r="I1970" s="69" t="str">
        <f>IFERROR(VLOOKUP(Data!$G1970,canon!$I$2:$K$27,3,FALSE),"")</f>
        <v>APPAREL</v>
      </c>
      <c r="J1970" s="69">
        <f t="shared" si="60"/>
        <v>1</v>
      </c>
      <c r="K1970" s="69">
        <f t="shared" si="61"/>
        <v>43</v>
      </c>
      <c r="L1970" s="69">
        <f>VLOOKUP(Table_db1_backend_Daily.accdb[[#This Row],[TradingDate]],canon!B:E,4,0)</f>
        <v>29</v>
      </c>
    </row>
    <row r="1971" spans="1:12" x14ac:dyDescent="0.2">
      <c r="A1971" s="69" t="s">
        <v>43</v>
      </c>
      <c r="B1971" s="70">
        <v>42932</v>
      </c>
      <c r="C1971" s="69">
        <v>789</v>
      </c>
      <c r="D1971" s="69">
        <v>13</v>
      </c>
      <c r="E1971" s="69">
        <v>90.890000000000015</v>
      </c>
      <c r="F1971" s="69">
        <v>23.72</v>
      </c>
      <c r="G1971" s="69" t="s">
        <v>25</v>
      </c>
      <c r="H1971" s="69" t="str">
        <f>IFERROR(VLOOKUP(Data!$G1971,canon!$I$2:$K$27,2,FALSE),"")</f>
        <v>TOP</v>
      </c>
      <c r="I1971" s="69" t="str">
        <f>IFERROR(VLOOKUP(Data!$G1971,canon!$I$2:$K$27,3,FALSE),"")</f>
        <v>APPAREL</v>
      </c>
      <c r="J1971" s="69">
        <f t="shared" si="60"/>
        <v>1</v>
      </c>
      <c r="K1971" s="69">
        <f t="shared" si="61"/>
        <v>43</v>
      </c>
      <c r="L1971" s="69">
        <f>VLOOKUP(Table_db1_backend_Daily.accdb[[#This Row],[TradingDate]],canon!B:E,4,0)</f>
        <v>29</v>
      </c>
    </row>
    <row r="1972" spans="1:12" x14ac:dyDescent="0.2">
      <c r="A1972" s="69" t="s">
        <v>43</v>
      </c>
      <c r="B1972" s="70">
        <v>42933</v>
      </c>
      <c r="C1972" s="69">
        <v>10</v>
      </c>
      <c r="D1972" s="69">
        <v>0</v>
      </c>
      <c r="E1972" s="69">
        <v>0</v>
      </c>
      <c r="F1972" s="69">
        <v>0</v>
      </c>
      <c r="G1972" s="69" t="s">
        <v>27</v>
      </c>
      <c r="H1972" s="69" t="str">
        <f>IFERROR(VLOOKUP(Data!$G1972,canon!$I$2:$K$27,2,FALSE),"")</f>
        <v>ACCESSORY</v>
      </c>
      <c r="I1972" s="69" t="str">
        <f>IFERROR(VLOOKUP(Data!$G1972,canon!$I$2:$K$27,3,FALSE),"")</f>
        <v>N.APPAREL</v>
      </c>
      <c r="J1972" s="69">
        <f t="shared" si="60"/>
        <v>2</v>
      </c>
      <c r="K1972" s="69">
        <f t="shared" si="61"/>
        <v>43</v>
      </c>
      <c r="L1972" s="69">
        <f>VLOOKUP(Table_db1_backend_Daily.accdb[[#This Row],[TradingDate]],canon!B:E,4,0)</f>
        <v>29</v>
      </c>
    </row>
    <row r="1973" spans="1:12" x14ac:dyDescent="0.2">
      <c r="A1973" s="69" t="s">
        <v>43</v>
      </c>
      <c r="B1973" s="70">
        <v>42933</v>
      </c>
      <c r="C1973" s="69">
        <v>4</v>
      </c>
      <c r="D1973" s="69">
        <v>0</v>
      </c>
      <c r="E1973" s="69">
        <v>0</v>
      </c>
      <c r="F1973" s="69">
        <v>0</v>
      </c>
      <c r="G1973" s="69" t="s">
        <v>34</v>
      </c>
      <c r="H1973" s="69" t="str">
        <f>IFERROR(VLOOKUP(Data!$G1973,canon!$I$2:$K$27,2,FALSE),"")</f>
        <v>SHOES</v>
      </c>
      <c r="I1973" s="69" t="str">
        <f>IFERROR(VLOOKUP(Data!$G1973,canon!$I$2:$K$27,3,FALSE),"")</f>
        <v>N.APPAREL</v>
      </c>
      <c r="J1973" s="69">
        <f t="shared" si="60"/>
        <v>2</v>
      </c>
      <c r="K1973" s="69">
        <f t="shared" si="61"/>
        <v>43</v>
      </c>
      <c r="L1973" s="69">
        <f>VLOOKUP(Table_db1_backend_Daily.accdb[[#This Row],[TradingDate]],canon!B:E,4,0)</f>
        <v>29</v>
      </c>
    </row>
    <row r="1974" spans="1:12" x14ac:dyDescent="0.2">
      <c r="A1974" s="69" t="s">
        <v>43</v>
      </c>
      <c r="B1974" s="70">
        <v>42933</v>
      </c>
      <c r="C1974" s="69">
        <v>526</v>
      </c>
      <c r="D1974" s="69">
        <v>5</v>
      </c>
      <c r="E1974" s="69">
        <v>99.94</v>
      </c>
      <c r="F1974" s="69">
        <v>58.86</v>
      </c>
      <c r="G1974" s="69" t="s">
        <v>35</v>
      </c>
      <c r="H1974" s="69" t="str">
        <f>IFERROR(VLOOKUP(Data!$G1974,canon!$I$2:$K$27,2,FALSE),"")</f>
        <v>DRESS</v>
      </c>
      <c r="I1974" s="69" t="str">
        <f>IFERROR(VLOOKUP(Data!$G1974,canon!$I$2:$K$27,3,FALSE),"")</f>
        <v>APPAREL</v>
      </c>
      <c r="J1974" s="69">
        <f t="shared" si="60"/>
        <v>2</v>
      </c>
      <c r="K1974" s="69">
        <f t="shared" si="61"/>
        <v>43</v>
      </c>
      <c r="L1974" s="69">
        <f>VLOOKUP(Table_db1_backend_Daily.accdb[[#This Row],[TradingDate]],canon!B:E,4,0)</f>
        <v>29</v>
      </c>
    </row>
    <row r="1975" spans="1:12" x14ac:dyDescent="0.2">
      <c r="A1975" s="69" t="s">
        <v>43</v>
      </c>
      <c r="B1975" s="70">
        <v>42933</v>
      </c>
      <c r="C1975" s="69">
        <v>-11</v>
      </c>
      <c r="D1975" s="69">
        <v>0</v>
      </c>
      <c r="E1975" s="69">
        <v>0</v>
      </c>
      <c r="F1975" s="69">
        <v>0</v>
      </c>
      <c r="G1975" s="69" t="s">
        <v>10</v>
      </c>
      <c r="H1975" s="69" t="str">
        <f>IFERROR(VLOOKUP(Data!$G1975,canon!$I$2:$K$27,2,FALSE),"")</f>
        <v>ACCESSORY</v>
      </c>
      <c r="I1975" s="69" t="str">
        <f>IFERROR(VLOOKUP(Data!$G1975,canon!$I$2:$K$27,3,FALSE),"")</f>
        <v>N.APPAREL</v>
      </c>
      <c r="J1975" s="69">
        <f t="shared" si="60"/>
        <v>2</v>
      </c>
      <c r="K1975" s="69">
        <f t="shared" si="61"/>
        <v>43</v>
      </c>
      <c r="L1975" s="69">
        <f>VLOOKUP(Table_db1_backend_Daily.accdb[[#This Row],[TradingDate]],canon!B:E,4,0)</f>
        <v>29</v>
      </c>
    </row>
    <row r="1976" spans="1:12" x14ac:dyDescent="0.2">
      <c r="A1976" s="69" t="s">
        <v>43</v>
      </c>
      <c r="B1976" s="70">
        <v>42933</v>
      </c>
      <c r="C1976" s="69">
        <v>8</v>
      </c>
      <c r="D1976" s="69">
        <v>0</v>
      </c>
      <c r="E1976" s="69">
        <v>0</v>
      </c>
      <c r="F1976" s="69">
        <v>0</v>
      </c>
      <c r="G1976" s="69" t="s">
        <v>28</v>
      </c>
      <c r="H1976" s="69" t="str">
        <f>IFERROR(VLOOKUP(Data!$G1976,canon!$I$2:$K$27,2,FALSE),"")</f>
        <v>ACCESSORY</v>
      </c>
      <c r="I1976" s="69" t="str">
        <f>IFERROR(VLOOKUP(Data!$G1976,canon!$I$2:$K$27,3,FALSE),"")</f>
        <v>N.APPAREL</v>
      </c>
      <c r="J1976" s="69">
        <f t="shared" si="60"/>
        <v>2</v>
      </c>
      <c r="K1976" s="69">
        <f t="shared" si="61"/>
        <v>43</v>
      </c>
      <c r="L1976" s="69">
        <f>VLOOKUP(Table_db1_backend_Daily.accdb[[#This Row],[TradingDate]],canon!B:E,4,0)</f>
        <v>29</v>
      </c>
    </row>
    <row r="1977" spans="1:12" x14ac:dyDescent="0.2">
      <c r="A1977" s="69" t="s">
        <v>43</v>
      </c>
      <c r="B1977" s="70">
        <v>42933</v>
      </c>
      <c r="C1977" s="69">
        <v>1491</v>
      </c>
      <c r="D1977" s="69">
        <v>69</v>
      </c>
      <c r="E1977" s="69">
        <v>790.18999999999983</v>
      </c>
      <c r="F1977" s="69">
        <v>247.02999999999997</v>
      </c>
      <c r="G1977" s="69" t="s">
        <v>11</v>
      </c>
      <c r="H1977" s="69" t="str">
        <f>IFERROR(VLOOKUP(Data!$G1977,canon!$I$2:$K$27,2,FALSE),"")</f>
        <v>KNIT</v>
      </c>
      <c r="I1977" s="69" t="str">
        <f>IFERROR(VLOOKUP(Data!$G1977,canon!$I$2:$K$27,3,FALSE),"")</f>
        <v>APPAREL</v>
      </c>
      <c r="J1977" s="69">
        <f t="shared" si="60"/>
        <v>2</v>
      </c>
      <c r="K1977" s="69">
        <f t="shared" si="61"/>
        <v>43</v>
      </c>
      <c r="L1977" s="69">
        <f>VLOOKUP(Table_db1_backend_Daily.accdb[[#This Row],[TradingDate]],canon!B:E,4,0)</f>
        <v>29</v>
      </c>
    </row>
    <row r="1978" spans="1:12" x14ac:dyDescent="0.2">
      <c r="A1978" s="69" t="s">
        <v>43</v>
      </c>
      <c r="B1978" s="70">
        <v>42933</v>
      </c>
      <c r="C1978" s="69">
        <v>44</v>
      </c>
      <c r="D1978" s="69">
        <v>4</v>
      </c>
      <c r="E1978" s="69">
        <v>40.870000000000005</v>
      </c>
      <c r="F1978" s="69">
        <v>13.38</v>
      </c>
      <c r="G1978" s="69" t="s">
        <v>14</v>
      </c>
      <c r="H1978" s="69" t="str">
        <f>IFERROR(VLOOKUP(Data!$G1978,canon!$I$2:$K$27,2,FALSE),"")</f>
        <v>LEGGING</v>
      </c>
      <c r="I1978" s="69" t="str">
        <f>IFERROR(VLOOKUP(Data!$G1978,canon!$I$2:$K$27,3,FALSE),"")</f>
        <v>APPAREL</v>
      </c>
      <c r="J1978" s="69">
        <f t="shared" si="60"/>
        <v>2</v>
      </c>
      <c r="K1978" s="69">
        <f t="shared" si="61"/>
        <v>43</v>
      </c>
      <c r="L1978" s="69">
        <f>VLOOKUP(Table_db1_backend_Daily.accdb[[#This Row],[TradingDate]],canon!B:E,4,0)</f>
        <v>29</v>
      </c>
    </row>
    <row r="1979" spans="1:12" x14ac:dyDescent="0.2">
      <c r="A1979" s="69" t="s">
        <v>43</v>
      </c>
      <c r="B1979" s="70">
        <v>42933</v>
      </c>
      <c r="C1979" s="69">
        <v>61</v>
      </c>
      <c r="D1979" s="69">
        <v>0</v>
      </c>
      <c r="E1979" s="69">
        <v>0</v>
      </c>
      <c r="F1979" s="69">
        <v>0</v>
      </c>
      <c r="G1979" s="69" t="s">
        <v>37</v>
      </c>
      <c r="H1979" s="69" t="str">
        <f>IFERROR(VLOOKUP(Data!$G1979,canon!$I$2:$K$27,2,FALSE),"")</f>
        <v>SHOES</v>
      </c>
      <c r="I1979" s="69" t="str">
        <f>IFERROR(VLOOKUP(Data!$G1979,canon!$I$2:$K$27,3,FALSE),"")</f>
        <v>N.APPAREL</v>
      </c>
      <c r="J1979" s="69">
        <f t="shared" si="60"/>
        <v>2</v>
      </c>
      <c r="K1979" s="69">
        <f t="shared" si="61"/>
        <v>43</v>
      </c>
      <c r="L1979" s="69">
        <f>VLOOKUP(Table_db1_backend_Daily.accdb[[#This Row],[TradingDate]],canon!B:E,4,0)</f>
        <v>29</v>
      </c>
    </row>
    <row r="1980" spans="1:12" x14ac:dyDescent="0.2">
      <c r="A1980" s="69" t="s">
        <v>43</v>
      </c>
      <c r="B1980" s="70">
        <v>42933</v>
      </c>
      <c r="C1980" s="69">
        <v>61</v>
      </c>
      <c r="D1980" s="69">
        <v>0</v>
      </c>
      <c r="E1980" s="69">
        <v>0</v>
      </c>
      <c r="F1980" s="69">
        <v>0</v>
      </c>
      <c r="G1980" s="69" t="s">
        <v>29</v>
      </c>
      <c r="H1980" s="69" t="str">
        <f>IFERROR(VLOOKUP(Data!$G1980,canon!$I$2:$K$27,2,FALSE),"")</f>
        <v>SHOES</v>
      </c>
      <c r="I1980" s="69" t="str">
        <f>IFERROR(VLOOKUP(Data!$G1980,canon!$I$2:$K$27,3,FALSE),"")</f>
        <v>N.APPAREL</v>
      </c>
      <c r="J1980" s="69">
        <f t="shared" si="60"/>
        <v>2</v>
      </c>
      <c r="K1980" s="69">
        <f t="shared" si="61"/>
        <v>43</v>
      </c>
      <c r="L1980" s="69">
        <f>VLOOKUP(Table_db1_backend_Daily.accdb[[#This Row],[TradingDate]],canon!B:E,4,0)</f>
        <v>29</v>
      </c>
    </row>
    <row r="1981" spans="1:12" x14ac:dyDescent="0.2">
      <c r="A1981" s="69" t="s">
        <v>43</v>
      </c>
      <c r="B1981" s="70">
        <v>42933</v>
      </c>
      <c r="C1981" s="69">
        <v>534</v>
      </c>
      <c r="D1981" s="69">
        <v>11</v>
      </c>
      <c r="E1981" s="69">
        <v>158.75</v>
      </c>
      <c r="F1981" s="69">
        <v>57.650000000000006</v>
      </c>
      <c r="G1981" s="69" t="s">
        <v>17</v>
      </c>
      <c r="H1981" s="69" t="str">
        <f>IFERROR(VLOOKUP(Data!$G1981,canon!$I$2:$K$27,2,FALSE),"")</f>
        <v>OUTER</v>
      </c>
      <c r="I1981" s="69" t="str">
        <f>IFERROR(VLOOKUP(Data!$G1981,canon!$I$2:$K$27,3,FALSE),"")</f>
        <v>APPAREL</v>
      </c>
      <c r="J1981" s="69">
        <f t="shared" si="60"/>
        <v>2</v>
      </c>
      <c r="K1981" s="69">
        <f t="shared" si="61"/>
        <v>43</v>
      </c>
      <c r="L1981" s="69">
        <f>VLOOKUP(Table_db1_backend_Daily.accdb[[#This Row],[TradingDate]],canon!B:E,4,0)</f>
        <v>29</v>
      </c>
    </row>
    <row r="1982" spans="1:12" x14ac:dyDescent="0.2">
      <c r="A1982" s="69" t="s">
        <v>43</v>
      </c>
      <c r="B1982" s="70">
        <v>42933</v>
      </c>
      <c r="C1982" s="69">
        <v>201</v>
      </c>
      <c r="D1982" s="69">
        <v>2</v>
      </c>
      <c r="E1982" s="69">
        <v>9.0500000000000007</v>
      </c>
      <c r="F1982" s="69">
        <v>-0.1899999999999995</v>
      </c>
      <c r="G1982" s="69" t="s">
        <v>19</v>
      </c>
      <c r="H1982" s="69" t="str">
        <f>IFERROR(VLOOKUP(Data!$G1982,canon!$I$2:$K$27,2,FALSE),"")</f>
        <v>PANT</v>
      </c>
      <c r="I1982" s="69" t="str">
        <f>IFERROR(VLOOKUP(Data!$G1982,canon!$I$2:$K$27,3,FALSE),"")</f>
        <v>APPAREL</v>
      </c>
      <c r="J1982" s="69">
        <f t="shared" si="60"/>
        <v>2</v>
      </c>
      <c r="K1982" s="69">
        <f t="shared" si="61"/>
        <v>43</v>
      </c>
      <c r="L1982" s="69">
        <f>VLOOKUP(Table_db1_backend_Daily.accdb[[#This Row],[TradingDate]],canon!B:E,4,0)</f>
        <v>29</v>
      </c>
    </row>
    <row r="1983" spans="1:12" x14ac:dyDescent="0.2">
      <c r="A1983" s="69" t="s">
        <v>43</v>
      </c>
      <c r="B1983" s="70">
        <v>42933</v>
      </c>
      <c r="C1983" s="69">
        <v>64</v>
      </c>
      <c r="D1983" s="69">
        <v>0</v>
      </c>
      <c r="E1983" s="69">
        <v>0</v>
      </c>
      <c r="F1983" s="69">
        <v>0</v>
      </c>
      <c r="G1983" s="69" t="s">
        <v>21</v>
      </c>
      <c r="H1983" s="69" t="str">
        <f>IFERROR(VLOOKUP(Data!$G1983,canon!$I$2:$K$27,2,FALSE),"")</f>
        <v>ACCESSORY</v>
      </c>
      <c r="I1983" s="69" t="str">
        <f>IFERROR(VLOOKUP(Data!$G1983,canon!$I$2:$K$27,3,FALSE),"")</f>
        <v>N.APPAREL</v>
      </c>
      <c r="J1983" s="69">
        <f t="shared" si="60"/>
        <v>2</v>
      </c>
      <c r="K1983" s="69">
        <f t="shared" si="61"/>
        <v>43</v>
      </c>
      <c r="L1983" s="69">
        <f>VLOOKUP(Table_db1_backend_Daily.accdb[[#This Row],[TradingDate]],canon!B:E,4,0)</f>
        <v>29</v>
      </c>
    </row>
    <row r="1984" spans="1:12" x14ac:dyDescent="0.2">
      <c r="A1984" s="69" t="s">
        <v>43</v>
      </c>
      <c r="B1984" s="70">
        <v>42933</v>
      </c>
      <c r="C1984" s="69">
        <v>728</v>
      </c>
      <c r="D1984" s="69">
        <v>14</v>
      </c>
      <c r="E1984" s="69">
        <v>69.02</v>
      </c>
      <c r="F1984" s="69">
        <v>46.089999999999996</v>
      </c>
      <c r="G1984" s="69" t="s">
        <v>22</v>
      </c>
      <c r="H1984" s="69" t="str">
        <f>IFERROR(VLOOKUP(Data!$G1984,canon!$I$2:$K$27,2,FALSE),"")</f>
        <v>SCARF</v>
      </c>
      <c r="I1984" s="69" t="str">
        <f>IFERROR(VLOOKUP(Data!$G1984,canon!$I$2:$K$27,3,FALSE),"")</f>
        <v>N.APPAREL</v>
      </c>
      <c r="J1984" s="69">
        <f t="shared" si="60"/>
        <v>2</v>
      </c>
      <c r="K1984" s="69">
        <f t="shared" si="61"/>
        <v>43</v>
      </c>
      <c r="L1984" s="69">
        <f>VLOOKUP(Table_db1_backend_Daily.accdb[[#This Row],[TradingDate]],canon!B:E,4,0)</f>
        <v>29</v>
      </c>
    </row>
    <row r="1985" spans="1:12" x14ac:dyDescent="0.2">
      <c r="A1985" s="69" t="s">
        <v>43</v>
      </c>
      <c r="B1985" s="70">
        <v>42933</v>
      </c>
      <c r="C1985" s="69">
        <v>46</v>
      </c>
      <c r="D1985" s="69">
        <v>1</v>
      </c>
      <c r="E1985" s="69">
        <v>9.09</v>
      </c>
      <c r="F1985" s="69">
        <v>2.57</v>
      </c>
      <c r="G1985" s="69" t="s">
        <v>23</v>
      </c>
      <c r="H1985" s="69" t="str">
        <f>IFERROR(VLOOKUP(Data!$G1985,canon!$I$2:$K$27,2,FALSE),"")</f>
        <v>SH&amp;BL</v>
      </c>
      <c r="I1985" s="69" t="str">
        <f>IFERROR(VLOOKUP(Data!$G1985,canon!$I$2:$K$27,3,FALSE),"")</f>
        <v>APPAREL</v>
      </c>
      <c r="J1985" s="69">
        <f t="shared" si="60"/>
        <v>2</v>
      </c>
      <c r="K1985" s="69">
        <f t="shared" si="61"/>
        <v>43</v>
      </c>
      <c r="L1985" s="69">
        <f>VLOOKUP(Table_db1_backend_Daily.accdb[[#This Row],[TradingDate]],canon!B:E,4,0)</f>
        <v>29</v>
      </c>
    </row>
    <row r="1986" spans="1:12" x14ac:dyDescent="0.2">
      <c r="A1986" s="69" t="s">
        <v>43</v>
      </c>
      <c r="B1986" s="70">
        <v>42933</v>
      </c>
      <c r="C1986" s="69">
        <v>-9</v>
      </c>
      <c r="D1986" s="69">
        <v>2</v>
      </c>
      <c r="E1986" s="69">
        <v>27.25</v>
      </c>
      <c r="F1986" s="69">
        <v>14.85</v>
      </c>
      <c r="G1986" s="69" t="s">
        <v>32</v>
      </c>
      <c r="H1986" s="69" t="str">
        <f>IFERROR(VLOOKUP(Data!$G1986,canon!$I$2:$K$27,2,FALSE),"")</f>
        <v>SKIRT</v>
      </c>
      <c r="I1986" s="69" t="str">
        <f>IFERROR(VLOOKUP(Data!$G1986,canon!$I$2:$K$27,3,FALSE),"")</f>
        <v>APPAREL</v>
      </c>
      <c r="J1986" s="69">
        <f t="shared" ref="J1986:J2049" si="62">WEEKDAY(B1986)</f>
        <v>2</v>
      </c>
      <c r="K1986" s="69">
        <f t="shared" ref="K1986:K2049" si="63">INT(A1986)</f>
        <v>43</v>
      </c>
      <c r="L1986" s="69">
        <f>VLOOKUP(Table_db1_backend_Daily.accdb[[#This Row],[TradingDate]],canon!B:E,4,0)</f>
        <v>29</v>
      </c>
    </row>
    <row r="1987" spans="1:12" x14ac:dyDescent="0.2">
      <c r="A1987" s="69" t="s">
        <v>43</v>
      </c>
      <c r="B1987" s="70">
        <v>42933</v>
      </c>
      <c r="C1987" s="69">
        <v>774</v>
      </c>
      <c r="D1987" s="69">
        <v>15</v>
      </c>
      <c r="E1987" s="69">
        <v>118.14</v>
      </c>
      <c r="F1987" s="69">
        <v>39.75</v>
      </c>
      <c r="G1987" s="69" t="s">
        <v>25</v>
      </c>
      <c r="H1987" s="69" t="str">
        <f>IFERROR(VLOOKUP(Data!$G1987,canon!$I$2:$K$27,2,FALSE),"")</f>
        <v>TOP</v>
      </c>
      <c r="I1987" s="69" t="str">
        <f>IFERROR(VLOOKUP(Data!$G1987,canon!$I$2:$K$27,3,FALSE),"")</f>
        <v>APPAREL</v>
      </c>
      <c r="J1987" s="69">
        <f t="shared" si="62"/>
        <v>2</v>
      </c>
      <c r="K1987" s="69">
        <f t="shared" si="63"/>
        <v>43</v>
      </c>
      <c r="L1987" s="69">
        <f>VLOOKUP(Table_db1_backend_Daily.accdb[[#This Row],[TradingDate]],canon!B:E,4,0)</f>
        <v>29</v>
      </c>
    </row>
    <row r="1988" spans="1:12" x14ac:dyDescent="0.2">
      <c r="A1988" s="69" t="s">
        <v>43</v>
      </c>
      <c r="B1988" s="70">
        <v>42934</v>
      </c>
      <c r="C1988" s="69">
        <v>10</v>
      </c>
      <c r="D1988" s="69">
        <v>0</v>
      </c>
      <c r="E1988" s="69">
        <v>0</v>
      </c>
      <c r="F1988" s="69">
        <v>0</v>
      </c>
      <c r="G1988" s="69" t="s">
        <v>27</v>
      </c>
      <c r="H1988" s="69" t="str">
        <f>IFERROR(VLOOKUP(Data!$G1988,canon!$I$2:$K$27,2,FALSE),"")</f>
        <v>ACCESSORY</v>
      </c>
      <c r="I1988" s="69" t="str">
        <f>IFERROR(VLOOKUP(Data!$G1988,canon!$I$2:$K$27,3,FALSE),"")</f>
        <v>N.APPAREL</v>
      </c>
      <c r="J1988" s="69">
        <f t="shared" si="62"/>
        <v>3</v>
      </c>
      <c r="K1988" s="69">
        <f t="shared" si="63"/>
        <v>43</v>
      </c>
      <c r="L1988" s="69">
        <f>VLOOKUP(Table_db1_backend_Daily.accdb[[#This Row],[TradingDate]],canon!B:E,4,0)</f>
        <v>29</v>
      </c>
    </row>
    <row r="1989" spans="1:12" x14ac:dyDescent="0.2">
      <c r="A1989" s="69" t="s">
        <v>43</v>
      </c>
      <c r="B1989" s="70">
        <v>42934</v>
      </c>
      <c r="C1989" s="69">
        <v>4</v>
      </c>
      <c r="D1989" s="69">
        <v>0</v>
      </c>
      <c r="E1989" s="69">
        <v>0</v>
      </c>
      <c r="F1989" s="69">
        <v>0</v>
      </c>
      <c r="G1989" s="69" t="s">
        <v>34</v>
      </c>
      <c r="H1989" s="69" t="str">
        <f>IFERROR(VLOOKUP(Data!$G1989,canon!$I$2:$K$27,2,FALSE),"")</f>
        <v>SHOES</v>
      </c>
      <c r="I1989" s="69" t="str">
        <f>IFERROR(VLOOKUP(Data!$G1989,canon!$I$2:$K$27,3,FALSE),"")</f>
        <v>N.APPAREL</v>
      </c>
      <c r="J1989" s="69">
        <f t="shared" si="62"/>
        <v>3</v>
      </c>
      <c r="K1989" s="69">
        <f t="shared" si="63"/>
        <v>43</v>
      </c>
      <c r="L1989" s="69">
        <f>VLOOKUP(Table_db1_backend_Daily.accdb[[#This Row],[TradingDate]],canon!B:E,4,0)</f>
        <v>29</v>
      </c>
    </row>
    <row r="1990" spans="1:12" x14ac:dyDescent="0.2">
      <c r="A1990" s="69" t="s">
        <v>43</v>
      </c>
      <c r="B1990" s="70">
        <v>42934</v>
      </c>
      <c r="C1990" s="69">
        <v>525</v>
      </c>
      <c r="D1990" s="69">
        <v>1</v>
      </c>
      <c r="E1990" s="69">
        <v>18.18</v>
      </c>
      <c r="F1990" s="69">
        <v>12.96</v>
      </c>
      <c r="G1990" s="69" t="s">
        <v>35</v>
      </c>
      <c r="H1990" s="69" t="str">
        <f>IFERROR(VLOOKUP(Data!$G1990,canon!$I$2:$K$27,2,FALSE),"")</f>
        <v>DRESS</v>
      </c>
      <c r="I1990" s="69" t="str">
        <f>IFERROR(VLOOKUP(Data!$G1990,canon!$I$2:$K$27,3,FALSE),"")</f>
        <v>APPAREL</v>
      </c>
      <c r="J1990" s="69">
        <f t="shared" si="62"/>
        <v>3</v>
      </c>
      <c r="K1990" s="69">
        <f t="shared" si="63"/>
        <v>43</v>
      </c>
      <c r="L1990" s="69">
        <f>VLOOKUP(Table_db1_backend_Daily.accdb[[#This Row],[TradingDate]],canon!B:E,4,0)</f>
        <v>29</v>
      </c>
    </row>
    <row r="1991" spans="1:12" x14ac:dyDescent="0.2">
      <c r="A1991" s="69" t="s">
        <v>43</v>
      </c>
      <c r="B1991" s="70">
        <v>42934</v>
      </c>
      <c r="C1991" s="69">
        <v>-11</v>
      </c>
      <c r="D1991" s="69">
        <v>0</v>
      </c>
      <c r="E1991" s="69">
        <v>0</v>
      </c>
      <c r="F1991" s="69">
        <v>0</v>
      </c>
      <c r="G1991" s="69" t="s">
        <v>10</v>
      </c>
      <c r="H1991" s="69" t="str">
        <f>IFERROR(VLOOKUP(Data!$G1991,canon!$I$2:$K$27,2,FALSE),"")</f>
        <v>ACCESSORY</v>
      </c>
      <c r="I1991" s="69" t="str">
        <f>IFERROR(VLOOKUP(Data!$G1991,canon!$I$2:$K$27,3,FALSE),"")</f>
        <v>N.APPAREL</v>
      </c>
      <c r="J1991" s="69">
        <f t="shared" si="62"/>
        <v>3</v>
      </c>
      <c r="K1991" s="69">
        <f t="shared" si="63"/>
        <v>43</v>
      </c>
      <c r="L1991" s="69">
        <f>VLOOKUP(Table_db1_backend_Daily.accdb[[#This Row],[TradingDate]],canon!B:E,4,0)</f>
        <v>29</v>
      </c>
    </row>
    <row r="1992" spans="1:12" x14ac:dyDescent="0.2">
      <c r="A1992" s="69" t="s">
        <v>43</v>
      </c>
      <c r="B1992" s="70">
        <v>42934</v>
      </c>
      <c r="C1992" s="69">
        <v>8</v>
      </c>
      <c r="D1992" s="69">
        <v>0</v>
      </c>
      <c r="E1992" s="69">
        <v>0</v>
      </c>
      <c r="F1992" s="69">
        <v>0</v>
      </c>
      <c r="G1992" s="69" t="s">
        <v>28</v>
      </c>
      <c r="H1992" s="69" t="str">
        <f>IFERROR(VLOOKUP(Data!$G1992,canon!$I$2:$K$27,2,FALSE),"")</f>
        <v>ACCESSORY</v>
      </c>
      <c r="I1992" s="69" t="str">
        <f>IFERROR(VLOOKUP(Data!$G1992,canon!$I$2:$K$27,3,FALSE),"")</f>
        <v>N.APPAREL</v>
      </c>
      <c r="J1992" s="69">
        <f t="shared" si="62"/>
        <v>3</v>
      </c>
      <c r="K1992" s="69">
        <f t="shared" si="63"/>
        <v>43</v>
      </c>
      <c r="L1992" s="69">
        <f>VLOOKUP(Table_db1_backend_Daily.accdb[[#This Row],[TradingDate]],canon!B:E,4,0)</f>
        <v>29</v>
      </c>
    </row>
    <row r="1993" spans="1:12" x14ac:dyDescent="0.2">
      <c r="A1993" s="69" t="s">
        <v>43</v>
      </c>
      <c r="B1993" s="70">
        <v>42934</v>
      </c>
      <c r="C1993" s="69">
        <v>1775</v>
      </c>
      <c r="D1993" s="69">
        <v>43</v>
      </c>
      <c r="E1993" s="69">
        <v>467.82999999999987</v>
      </c>
      <c r="F1993" s="69">
        <v>123.69000000000001</v>
      </c>
      <c r="G1993" s="69" t="s">
        <v>11</v>
      </c>
      <c r="H1993" s="69" t="str">
        <f>IFERROR(VLOOKUP(Data!$G1993,canon!$I$2:$K$27,2,FALSE),"")</f>
        <v>KNIT</v>
      </c>
      <c r="I1993" s="69" t="str">
        <f>IFERROR(VLOOKUP(Data!$G1993,canon!$I$2:$K$27,3,FALSE),"")</f>
        <v>APPAREL</v>
      </c>
      <c r="J1993" s="69">
        <f t="shared" si="62"/>
        <v>3</v>
      </c>
      <c r="K1993" s="69">
        <f t="shared" si="63"/>
        <v>43</v>
      </c>
      <c r="L1993" s="69">
        <f>VLOOKUP(Table_db1_backend_Daily.accdb[[#This Row],[TradingDate]],canon!B:E,4,0)</f>
        <v>29</v>
      </c>
    </row>
    <row r="1994" spans="1:12" x14ac:dyDescent="0.2">
      <c r="A1994" s="69" t="s">
        <v>43</v>
      </c>
      <c r="B1994" s="70">
        <v>42934</v>
      </c>
      <c r="C1994" s="69">
        <v>50</v>
      </c>
      <c r="D1994" s="69">
        <v>0</v>
      </c>
      <c r="E1994" s="69">
        <v>0</v>
      </c>
      <c r="F1994" s="69">
        <v>0</v>
      </c>
      <c r="G1994" s="69" t="s">
        <v>14</v>
      </c>
      <c r="H1994" s="69" t="str">
        <f>IFERROR(VLOOKUP(Data!$G1994,canon!$I$2:$K$27,2,FALSE),"")</f>
        <v>LEGGING</v>
      </c>
      <c r="I1994" s="69" t="str">
        <f>IFERROR(VLOOKUP(Data!$G1994,canon!$I$2:$K$27,3,FALSE),"")</f>
        <v>APPAREL</v>
      </c>
      <c r="J1994" s="69">
        <f t="shared" si="62"/>
        <v>3</v>
      </c>
      <c r="K1994" s="69">
        <f t="shared" si="63"/>
        <v>43</v>
      </c>
      <c r="L1994" s="69">
        <f>VLOOKUP(Table_db1_backend_Daily.accdb[[#This Row],[TradingDate]],canon!B:E,4,0)</f>
        <v>29</v>
      </c>
    </row>
    <row r="1995" spans="1:12" x14ac:dyDescent="0.2">
      <c r="A1995" s="69" t="s">
        <v>43</v>
      </c>
      <c r="B1995" s="70">
        <v>42934</v>
      </c>
      <c r="C1995" s="69">
        <v>61</v>
      </c>
      <c r="D1995" s="69">
        <v>0</v>
      </c>
      <c r="E1995" s="69">
        <v>0</v>
      </c>
      <c r="F1995" s="69">
        <v>0</v>
      </c>
      <c r="G1995" s="69" t="s">
        <v>37</v>
      </c>
      <c r="H1995" s="69" t="str">
        <f>IFERROR(VLOOKUP(Data!$G1995,canon!$I$2:$K$27,2,FALSE),"")</f>
        <v>SHOES</v>
      </c>
      <c r="I1995" s="69" t="str">
        <f>IFERROR(VLOOKUP(Data!$G1995,canon!$I$2:$K$27,3,FALSE),"")</f>
        <v>N.APPAREL</v>
      </c>
      <c r="J1995" s="69">
        <f t="shared" si="62"/>
        <v>3</v>
      </c>
      <c r="K1995" s="69">
        <f t="shared" si="63"/>
        <v>43</v>
      </c>
      <c r="L1995" s="69">
        <f>VLOOKUP(Table_db1_backend_Daily.accdb[[#This Row],[TradingDate]],canon!B:E,4,0)</f>
        <v>29</v>
      </c>
    </row>
    <row r="1996" spans="1:12" x14ac:dyDescent="0.2">
      <c r="A1996" s="69" t="s">
        <v>43</v>
      </c>
      <c r="B1996" s="70">
        <v>42934</v>
      </c>
      <c r="C1996" s="69">
        <v>61</v>
      </c>
      <c r="D1996" s="69">
        <v>0</v>
      </c>
      <c r="E1996" s="69">
        <v>0</v>
      </c>
      <c r="F1996" s="69">
        <v>0</v>
      </c>
      <c r="G1996" s="69" t="s">
        <v>29</v>
      </c>
      <c r="H1996" s="69" t="str">
        <f>IFERROR(VLOOKUP(Data!$G1996,canon!$I$2:$K$27,2,FALSE),"")</f>
        <v>SHOES</v>
      </c>
      <c r="I1996" s="69" t="str">
        <f>IFERROR(VLOOKUP(Data!$G1996,canon!$I$2:$K$27,3,FALSE),"")</f>
        <v>N.APPAREL</v>
      </c>
      <c r="J1996" s="69">
        <f t="shared" si="62"/>
        <v>3</v>
      </c>
      <c r="K1996" s="69">
        <f t="shared" si="63"/>
        <v>43</v>
      </c>
      <c r="L1996" s="69">
        <f>VLOOKUP(Table_db1_backend_Daily.accdb[[#This Row],[TradingDate]],canon!B:E,4,0)</f>
        <v>29</v>
      </c>
    </row>
    <row r="1997" spans="1:12" x14ac:dyDescent="0.2">
      <c r="A1997" s="69" t="s">
        <v>43</v>
      </c>
      <c r="B1997" s="70">
        <v>42934</v>
      </c>
      <c r="C1997" s="69">
        <v>540</v>
      </c>
      <c r="D1997" s="69">
        <v>12</v>
      </c>
      <c r="E1997" s="69">
        <v>222.54</v>
      </c>
      <c r="F1997" s="69">
        <v>103.72000000000001</v>
      </c>
      <c r="G1997" s="69" t="s">
        <v>17</v>
      </c>
      <c r="H1997" s="69" t="str">
        <f>IFERROR(VLOOKUP(Data!$G1997,canon!$I$2:$K$27,2,FALSE),"")</f>
        <v>OUTER</v>
      </c>
      <c r="I1997" s="69" t="str">
        <f>IFERROR(VLOOKUP(Data!$G1997,canon!$I$2:$K$27,3,FALSE),"")</f>
        <v>APPAREL</v>
      </c>
      <c r="J1997" s="69">
        <f t="shared" si="62"/>
        <v>3</v>
      </c>
      <c r="K1997" s="69">
        <f t="shared" si="63"/>
        <v>43</v>
      </c>
      <c r="L1997" s="69">
        <f>VLOOKUP(Table_db1_backend_Daily.accdb[[#This Row],[TradingDate]],canon!B:E,4,0)</f>
        <v>29</v>
      </c>
    </row>
    <row r="1998" spans="1:12" x14ac:dyDescent="0.2">
      <c r="A1998" s="69" t="s">
        <v>43</v>
      </c>
      <c r="B1998" s="70">
        <v>42934</v>
      </c>
      <c r="C1998" s="69">
        <v>201</v>
      </c>
      <c r="D1998" s="69">
        <v>0</v>
      </c>
      <c r="E1998" s="69">
        <v>0</v>
      </c>
      <c r="F1998" s="69">
        <v>0</v>
      </c>
      <c r="G1998" s="69" t="s">
        <v>19</v>
      </c>
      <c r="H1998" s="69" t="str">
        <f>IFERROR(VLOOKUP(Data!$G1998,canon!$I$2:$K$27,2,FALSE),"")</f>
        <v>PANT</v>
      </c>
      <c r="I1998" s="69" t="str">
        <f>IFERROR(VLOOKUP(Data!$G1998,canon!$I$2:$K$27,3,FALSE),"")</f>
        <v>APPAREL</v>
      </c>
      <c r="J1998" s="69">
        <f t="shared" si="62"/>
        <v>3</v>
      </c>
      <c r="K1998" s="69">
        <f t="shared" si="63"/>
        <v>43</v>
      </c>
      <c r="L1998" s="69">
        <f>VLOOKUP(Table_db1_backend_Daily.accdb[[#This Row],[TradingDate]],canon!B:E,4,0)</f>
        <v>29</v>
      </c>
    </row>
    <row r="1999" spans="1:12" x14ac:dyDescent="0.2">
      <c r="A1999" s="69" t="s">
        <v>43</v>
      </c>
      <c r="B1999" s="70">
        <v>42934</v>
      </c>
      <c r="C1999" s="69">
        <v>64</v>
      </c>
      <c r="D1999" s="69">
        <v>0</v>
      </c>
      <c r="E1999" s="69">
        <v>0</v>
      </c>
      <c r="F1999" s="69">
        <v>0</v>
      </c>
      <c r="G1999" s="69" t="s">
        <v>21</v>
      </c>
      <c r="H1999" s="69" t="str">
        <f>IFERROR(VLOOKUP(Data!$G1999,canon!$I$2:$K$27,2,FALSE),"")</f>
        <v>ACCESSORY</v>
      </c>
      <c r="I1999" s="69" t="str">
        <f>IFERROR(VLOOKUP(Data!$G1999,canon!$I$2:$K$27,3,FALSE),"")</f>
        <v>N.APPAREL</v>
      </c>
      <c r="J1999" s="69">
        <f t="shared" si="62"/>
        <v>3</v>
      </c>
      <c r="K1999" s="69">
        <f t="shared" si="63"/>
        <v>43</v>
      </c>
      <c r="L1999" s="69">
        <f>VLOOKUP(Table_db1_backend_Daily.accdb[[#This Row],[TradingDate]],canon!B:E,4,0)</f>
        <v>29</v>
      </c>
    </row>
    <row r="2000" spans="1:12" x14ac:dyDescent="0.2">
      <c r="A2000" s="69" t="s">
        <v>43</v>
      </c>
      <c r="B2000" s="70">
        <v>42934</v>
      </c>
      <c r="C2000" s="69">
        <v>724</v>
      </c>
      <c r="D2000" s="69">
        <v>4</v>
      </c>
      <c r="E2000" s="69">
        <v>23.549999999999997</v>
      </c>
      <c r="F2000" s="69">
        <v>17.14</v>
      </c>
      <c r="G2000" s="69" t="s">
        <v>22</v>
      </c>
      <c r="H2000" s="69" t="str">
        <f>IFERROR(VLOOKUP(Data!$G2000,canon!$I$2:$K$27,2,FALSE),"")</f>
        <v>SCARF</v>
      </c>
      <c r="I2000" s="69" t="str">
        <f>IFERROR(VLOOKUP(Data!$G2000,canon!$I$2:$K$27,3,FALSE),"")</f>
        <v>N.APPAREL</v>
      </c>
      <c r="J2000" s="69">
        <f t="shared" si="62"/>
        <v>3</v>
      </c>
      <c r="K2000" s="69">
        <f t="shared" si="63"/>
        <v>43</v>
      </c>
      <c r="L2000" s="69">
        <f>VLOOKUP(Table_db1_backend_Daily.accdb[[#This Row],[TradingDate]],canon!B:E,4,0)</f>
        <v>29</v>
      </c>
    </row>
    <row r="2001" spans="1:12" x14ac:dyDescent="0.2">
      <c r="A2001" s="69" t="s">
        <v>43</v>
      </c>
      <c r="B2001" s="70">
        <v>42934</v>
      </c>
      <c r="C2001" s="69">
        <v>46</v>
      </c>
      <c r="D2001" s="69">
        <v>0</v>
      </c>
      <c r="E2001" s="69">
        <v>0</v>
      </c>
      <c r="F2001" s="69">
        <v>0</v>
      </c>
      <c r="G2001" s="69" t="s">
        <v>23</v>
      </c>
      <c r="H2001" s="69" t="str">
        <f>IFERROR(VLOOKUP(Data!$G2001,canon!$I$2:$K$27,2,FALSE),"")</f>
        <v>SH&amp;BL</v>
      </c>
      <c r="I2001" s="69" t="str">
        <f>IFERROR(VLOOKUP(Data!$G2001,canon!$I$2:$K$27,3,FALSE),"")</f>
        <v>APPAREL</v>
      </c>
      <c r="J2001" s="69">
        <f t="shared" si="62"/>
        <v>3</v>
      </c>
      <c r="K2001" s="69">
        <f t="shared" si="63"/>
        <v>43</v>
      </c>
      <c r="L2001" s="69">
        <f>VLOOKUP(Table_db1_backend_Daily.accdb[[#This Row],[TradingDate]],canon!B:E,4,0)</f>
        <v>29</v>
      </c>
    </row>
    <row r="2002" spans="1:12" x14ac:dyDescent="0.2">
      <c r="A2002" s="69" t="s">
        <v>43</v>
      </c>
      <c r="B2002" s="70">
        <v>42934</v>
      </c>
      <c r="C2002" s="69">
        <v>-11</v>
      </c>
      <c r="D2002" s="69">
        <v>2</v>
      </c>
      <c r="E2002" s="69">
        <v>27.27</v>
      </c>
      <c r="F2002" s="69">
        <v>14.23</v>
      </c>
      <c r="G2002" s="69" t="s">
        <v>32</v>
      </c>
      <c r="H2002" s="69" t="str">
        <f>IFERROR(VLOOKUP(Data!$G2002,canon!$I$2:$K$27,2,FALSE),"")</f>
        <v>SKIRT</v>
      </c>
      <c r="I2002" s="69" t="str">
        <f>IFERROR(VLOOKUP(Data!$G2002,canon!$I$2:$K$27,3,FALSE),"")</f>
        <v>APPAREL</v>
      </c>
      <c r="J2002" s="69">
        <f t="shared" si="62"/>
        <v>3</v>
      </c>
      <c r="K2002" s="69">
        <f t="shared" si="63"/>
        <v>43</v>
      </c>
      <c r="L2002" s="69">
        <f>VLOOKUP(Table_db1_backend_Daily.accdb[[#This Row],[TradingDate]],canon!B:E,4,0)</f>
        <v>29</v>
      </c>
    </row>
    <row r="2003" spans="1:12" x14ac:dyDescent="0.2">
      <c r="A2003" s="69" t="s">
        <v>43</v>
      </c>
      <c r="B2003" s="70">
        <v>42934</v>
      </c>
      <c r="C2003" s="69">
        <v>783</v>
      </c>
      <c r="D2003" s="69">
        <v>15</v>
      </c>
      <c r="E2003" s="69">
        <v>149.81000000000003</v>
      </c>
      <c r="F2003" s="69">
        <v>74.090000000000018</v>
      </c>
      <c r="G2003" s="69" t="s">
        <v>25</v>
      </c>
      <c r="H2003" s="69" t="str">
        <f>IFERROR(VLOOKUP(Data!$G2003,canon!$I$2:$K$27,2,FALSE),"")</f>
        <v>TOP</v>
      </c>
      <c r="I2003" s="69" t="str">
        <f>IFERROR(VLOOKUP(Data!$G2003,canon!$I$2:$K$27,3,FALSE),"")</f>
        <v>APPAREL</v>
      </c>
      <c r="J2003" s="69">
        <f t="shared" si="62"/>
        <v>3</v>
      </c>
      <c r="K2003" s="69">
        <f t="shared" si="63"/>
        <v>43</v>
      </c>
      <c r="L2003" s="69">
        <f>VLOOKUP(Table_db1_backend_Daily.accdb[[#This Row],[TradingDate]],canon!B:E,4,0)</f>
        <v>29</v>
      </c>
    </row>
    <row r="2004" spans="1:12" x14ac:dyDescent="0.2">
      <c r="A2004" s="69" t="s">
        <v>43</v>
      </c>
      <c r="B2004" s="70">
        <v>42935</v>
      </c>
      <c r="C2004" s="69">
        <v>10</v>
      </c>
      <c r="D2004" s="69">
        <v>0</v>
      </c>
      <c r="E2004" s="69">
        <v>0</v>
      </c>
      <c r="F2004" s="69">
        <v>0</v>
      </c>
      <c r="G2004" s="69" t="s">
        <v>27</v>
      </c>
      <c r="H2004" s="69" t="str">
        <f>IFERROR(VLOOKUP(Data!$G2004,canon!$I$2:$K$27,2,FALSE),"")</f>
        <v>ACCESSORY</v>
      </c>
      <c r="I2004" s="69" t="str">
        <f>IFERROR(VLOOKUP(Data!$G2004,canon!$I$2:$K$27,3,FALSE),"")</f>
        <v>N.APPAREL</v>
      </c>
      <c r="J2004" s="69">
        <f t="shared" si="62"/>
        <v>4</v>
      </c>
      <c r="K2004" s="69">
        <f t="shared" si="63"/>
        <v>43</v>
      </c>
      <c r="L2004" s="69">
        <f>VLOOKUP(Table_db1_backend_Daily.accdb[[#This Row],[TradingDate]],canon!B:E,4,0)</f>
        <v>29</v>
      </c>
    </row>
    <row r="2005" spans="1:12" x14ac:dyDescent="0.2">
      <c r="A2005" s="69" t="s">
        <v>43</v>
      </c>
      <c r="B2005" s="70">
        <v>42935</v>
      </c>
      <c r="C2005" s="69">
        <v>4</v>
      </c>
      <c r="D2005" s="69">
        <v>0</v>
      </c>
      <c r="E2005" s="69">
        <v>0</v>
      </c>
      <c r="F2005" s="69">
        <v>0</v>
      </c>
      <c r="G2005" s="69" t="s">
        <v>34</v>
      </c>
      <c r="H2005" s="69" t="str">
        <f>IFERROR(VLOOKUP(Data!$G2005,canon!$I$2:$K$27,2,FALSE),"")</f>
        <v>SHOES</v>
      </c>
      <c r="I2005" s="69" t="str">
        <f>IFERROR(VLOOKUP(Data!$G2005,canon!$I$2:$K$27,3,FALSE),"")</f>
        <v>N.APPAREL</v>
      </c>
      <c r="J2005" s="69">
        <f t="shared" si="62"/>
        <v>4</v>
      </c>
      <c r="K2005" s="69">
        <f t="shared" si="63"/>
        <v>43</v>
      </c>
      <c r="L2005" s="69">
        <f>VLOOKUP(Table_db1_backend_Daily.accdb[[#This Row],[TradingDate]],canon!B:E,4,0)</f>
        <v>29</v>
      </c>
    </row>
    <row r="2006" spans="1:12" x14ac:dyDescent="0.2">
      <c r="A2006" s="69" t="s">
        <v>43</v>
      </c>
      <c r="B2006" s="70">
        <v>42935</v>
      </c>
      <c r="C2006" s="69">
        <v>525</v>
      </c>
      <c r="D2006" s="69">
        <v>0</v>
      </c>
      <c r="E2006" s="69">
        <v>0</v>
      </c>
      <c r="F2006" s="69">
        <v>0</v>
      </c>
      <c r="G2006" s="69" t="s">
        <v>35</v>
      </c>
      <c r="H2006" s="69" t="str">
        <f>IFERROR(VLOOKUP(Data!$G2006,canon!$I$2:$K$27,2,FALSE),"")</f>
        <v>DRESS</v>
      </c>
      <c r="I2006" s="69" t="str">
        <f>IFERROR(VLOOKUP(Data!$G2006,canon!$I$2:$K$27,3,FALSE),"")</f>
        <v>APPAREL</v>
      </c>
      <c r="J2006" s="69">
        <f t="shared" si="62"/>
        <v>4</v>
      </c>
      <c r="K2006" s="69">
        <f t="shared" si="63"/>
        <v>43</v>
      </c>
      <c r="L2006" s="69">
        <f>VLOOKUP(Table_db1_backend_Daily.accdb[[#This Row],[TradingDate]],canon!B:E,4,0)</f>
        <v>29</v>
      </c>
    </row>
    <row r="2007" spans="1:12" x14ac:dyDescent="0.2">
      <c r="A2007" s="69" t="s">
        <v>43</v>
      </c>
      <c r="B2007" s="70">
        <v>42935</v>
      </c>
      <c r="C2007" s="69">
        <v>-11</v>
      </c>
      <c r="D2007" s="69">
        <v>0</v>
      </c>
      <c r="E2007" s="69">
        <v>0</v>
      </c>
      <c r="F2007" s="69">
        <v>0</v>
      </c>
      <c r="G2007" s="69" t="s">
        <v>10</v>
      </c>
      <c r="H2007" s="69" t="str">
        <f>IFERROR(VLOOKUP(Data!$G2007,canon!$I$2:$K$27,2,FALSE),"")</f>
        <v>ACCESSORY</v>
      </c>
      <c r="I2007" s="69" t="str">
        <f>IFERROR(VLOOKUP(Data!$G2007,canon!$I$2:$K$27,3,FALSE),"")</f>
        <v>N.APPAREL</v>
      </c>
      <c r="J2007" s="69">
        <f t="shared" si="62"/>
        <v>4</v>
      </c>
      <c r="K2007" s="69">
        <f t="shared" si="63"/>
        <v>43</v>
      </c>
      <c r="L2007" s="69">
        <f>VLOOKUP(Table_db1_backend_Daily.accdb[[#This Row],[TradingDate]],canon!B:E,4,0)</f>
        <v>29</v>
      </c>
    </row>
    <row r="2008" spans="1:12" x14ac:dyDescent="0.2">
      <c r="A2008" s="69" t="s">
        <v>43</v>
      </c>
      <c r="B2008" s="70">
        <v>42935</v>
      </c>
      <c r="C2008" s="69">
        <v>8</v>
      </c>
      <c r="D2008" s="69">
        <v>0</v>
      </c>
      <c r="E2008" s="69">
        <v>0</v>
      </c>
      <c r="F2008" s="69">
        <v>0</v>
      </c>
      <c r="G2008" s="69" t="s">
        <v>28</v>
      </c>
      <c r="H2008" s="69" t="str">
        <f>IFERROR(VLOOKUP(Data!$G2008,canon!$I$2:$K$27,2,FALSE),"")</f>
        <v>ACCESSORY</v>
      </c>
      <c r="I2008" s="69" t="str">
        <f>IFERROR(VLOOKUP(Data!$G2008,canon!$I$2:$K$27,3,FALSE),"")</f>
        <v>N.APPAREL</v>
      </c>
      <c r="J2008" s="69">
        <f t="shared" si="62"/>
        <v>4</v>
      </c>
      <c r="K2008" s="69">
        <f t="shared" si="63"/>
        <v>43</v>
      </c>
      <c r="L2008" s="69">
        <f>VLOOKUP(Table_db1_backend_Daily.accdb[[#This Row],[TradingDate]],canon!B:E,4,0)</f>
        <v>29</v>
      </c>
    </row>
    <row r="2009" spans="1:12" x14ac:dyDescent="0.2">
      <c r="A2009" s="69" t="s">
        <v>43</v>
      </c>
      <c r="B2009" s="70">
        <v>42935</v>
      </c>
      <c r="C2009" s="69">
        <v>1706</v>
      </c>
      <c r="D2009" s="69">
        <v>68</v>
      </c>
      <c r="E2009" s="69">
        <v>676.8</v>
      </c>
      <c r="F2009" s="69">
        <v>150.74</v>
      </c>
      <c r="G2009" s="69" t="s">
        <v>11</v>
      </c>
      <c r="H2009" s="69" t="str">
        <f>IFERROR(VLOOKUP(Data!$G2009,canon!$I$2:$K$27,2,FALSE),"")</f>
        <v>KNIT</v>
      </c>
      <c r="I2009" s="69" t="str">
        <f>IFERROR(VLOOKUP(Data!$G2009,canon!$I$2:$K$27,3,FALSE),"")</f>
        <v>APPAREL</v>
      </c>
      <c r="J2009" s="69">
        <f t="shared" si="62"/>
        <v>4</v>
      </c>
      <c r="K2009" s="69">
        <f t="shared" si="63"/>
        <v>43</v>
      </c>
      <c r="L2009" s="69">
        <f>VLOOKUP(Table_db1_backend_Daily.accdb[[#This Row],[TradingDate]],canon!B:E,4,0)</f>
        <v>29</v>
      </c>
    </row>
    <row r="2010" spans="1:12" x14ac:dyDescent="0.2">
      <c r="A2010" s="69" t="s">
        <v>43</v>
      </c>
      <c r="B2010" s="70">
        <v>42935</v>
      </c>
      <c r="C2010" s="69">
        <v>48</v>
      </c>
      <c r="D2010" s="69">
        <v>2</v>
      </c>
      <c r="E2010" s="69">
        <v>18.18</v>
      </c>
      <c r="F2010" s="69">
        <v>4.49</v>
      </c>
      <c r="G2010" s="69" t="s">
        <v>14</v>
      </c>
      <c r="H2010" s="69" t="str">
        <f>IFERROR(VLOOKUP(Data!$G2010,canon!$I$2:$K$27,2,FALSE),"")</f>
        <v>LEGGING</v>
      </c>
      <c r="I2010" s="69" t="str">
        <f>IFERROR(VLOOKUP(Data!$G2010,canon!$I$2:$K$27,3,FALSE),"")</f>
        <v>APPAREL</v>
      </c>
      <c r="J2010" s="69">
        <f t="shared" si="62"/>
        <v>4</v>
      </c>
      <c r="K2010" s="69">
        <f t="shared" si="63"/>
        <v>43</v>
      </c>
      <c r="L2010" s="69">
        <f>VLOOKUP(Table_db1_backend_Daily.accdb[[#This Row],[TradingDate]],canon!B:E,4,0)</f>
        <v>29</v>
      </c>
    </row>
    <row r="2011" spans="1:12" x14ac:dyDescent="0.2">
      <c r="A2011" s="69" t="s">
        <v>43</v>
      </c>
      <c r="B2011" s="70">
        <v>42935</v>
      </c>
      <c r="C2011" s="69">
        <v>61</v>
      </c>
      <c r="D2011" s="69">
        <v>0</v>
      </c>
      <c r="E2011" s="69">
        <v>0</v>
      </c>
      <c r="F2011" s="69">
        <v>0</v>
      </c>
      <c r="G2011" s="69" t="s">
        <v>37</v>
      </c>
      <c r="H2011" s="69" t="str">
        <f>IFERROR(VLOOKUP(Data!$G2011,canon!$I$2:$K$27,2,FALSE),"")</f>
        <v>SHOES</v>
      </c>
      <c r="I2011" s="69" t="str">
        <f>IFERROR(VLOOKUP(Data!$G2011,canon!$I$2:$K$27,3,FALSE),"")</f>
        <v>N.APPAREL</v>
      </c>
      <c r="J2011" s="69">
        <f t="shared" si="62"/>
        <v>4</v>
      </c>
      <c r="K2011" s="69">
        <f t="shared" si="63"/>
        <v>43</v>
      </c>
      <c r="L2011" s="69">
        <f>VLOOKUP(Table_db1_backend_Daily.accdb[[#This Row],[TradingDate]],canon!B:E,4,0)</f>
        <v>29</v>
      </c>
    </row>
    <row r="2012" spans="1:12" x14ac:dyDescent="0.2">
      <c r="A2012" s="69" t="s">
        <v>43</v>
      </c>
      <c r="B2012" s="70">
        <v>42935</v>
      </c>
      <c r="C2012" s="69">
        <v>61</v>
      </c>
      <c r="D2012" s="69">
        <v>0</v>
      </c>
      <c r="E2012" s="69">
        <v>0</v>
      </c>
      <c r="F2012" s="69">
        <v>0</v>
      </c>
      <c r="G2012" s="69" t="s">
        <v>29</v>
      </c>
      <c r="H2012" s="69" t="str">
        <f>IFERROR(VLOOKUP(Data!$G2012,canon!$I$2:$K$27,2,FALSE),"")</f>
        <v>SHOES</v>
      </c>
      <c r="I2012" s="69" t="str">
        <f>IFERROR(VLOOKUP(Data!$G2012,canon!$I$2:$K$27,3,FALSE),"")</f>
        <v>N.APPAREL</v>
      </c>
      <c r="J2012" s="69">
        <f t="shared" si="62"/>
        <v>4</v>
      </c>
      <c r="K2012" s="69">
        <f t="shared" si="63"/>
        <v>43</v>
      </c>
      <c r="L2012" s="69">
        <f>VLOOKUP(Table_db1_backend_Daily.accdb[[#This Row],[TradingDate]],canon!B:E,4,0)</f>
        <v>29</v>
      </c>
    </row>
    <row r="2013" spans="1:12" x14ac:dyDescent="0.2">
      <c r="A2013" s="69" t="s">
        <v>43</v>
      </c>
      <c r="B2013" s="70">
        <v>42935</v>
      </c>
      <c r="C2013" s="69">
        <v>536</v>
      </c>
      <c r="D2013" s="69">
        <v>4</v>
      </c>
      <c r="E2013" s="69">
        <v>59</v>
      </c>
      <c r="F2013" s="69">
        <v>19.559999999999999</v>
      </c>
      <c r="G2013" s="69" t="s">
        <v>17</v>
      </c>
      <c r="H2013" s="69" t="str">
        <f>IFERROR(VLOOKUP(Data!$G2013,canon!$I$2:$K$27,2,FALSE),"")</f>
        <v>OUTER</v>
      </c>
      <c r="I2013" s="69" t="str">
        <f>IFERROR(VLOOKUP(Data!$G2013,canon!$I$2:$K$27,3,FALSE),"")</f>
        <v>APPAREL</v>
      </c>
      <c r="J2013" s="69">
        <f t="shared" si="62"/>
        <v>4</v>
      </c>
      <c r="K2013" s="69">
        <f t="shared" si="63"/>
        <v>43</v>
      </c>
      <c r="L2013" s="69">
        <f>VLOOKUP(Table_db1_backend_Daily.accdb[[#This Row],[TradingDate]],canon!B:E,4,0)</f>
        <v>29</v>
      </c>
    </row>
    <row r="2014" spans="1:12" x14ac:dyDescent="0.2">
      <c r="A2014" s="69" t="s">
        <v>43</v>
      </c>
      <c r="B2014" s="70">
        <v>42935</v>
      </c>
      <c r="C2014" s="69">
        <v>199</v>
      </c>
      <c r="D2014" s="69">
        <v>2</v>
      </c>
      <c r="E2014" s="69">
        <v>27.27</v>
      </c>
      <c r="F2014" s="69">
        <v>13.9</v>
      </c>
      <c r="G2014" s="69" t="s">
        <v>19</v>
      </c>
      <c r="H2014" s="69" t="str">
        <f>IFERROR(VLOOKUP(Data!$G2014,canon!$I$2:$K$27,2,FALSE),"")</f>
        <v>PANT</v>
      </c>
      <c r="I2014" s="69" t="str">
        <f>IFERROR(VLOOKUP(Data!$G2014,canon!$I$2:$K$27,3,FALSE),"")</f>
        <v>APPAREL</v>
      </c>
      <c r="J2014" s="69">
        <f t="shared" si="62"/>
        <v>4</v>
      </c>
      <c r="K2014" s="69">
        <f t="shared" si="63"/>
        <v>43</v>
      </c>
      <c r="L2014" s="69">
        <f>VLOOKUP(Table_db1_backend_Daily.accdb[[#This Row],[TradingDate]],canon!B:E,4,0)</f>
        <v>29</v>
      </c>
    </row>
    <row r="2015" spans="1:12" x14ac:dyDescent="0.2">
      <c r="A2015" s="69" t="s">
        <v>43</v>
      </c>
      <c r="B2015" s="70">
        <v>42935</v>
      </c>
      <c r="C2015" s="69">
        <v>64</v>
      </c>
      <c r="D2015" s="69">
        <v>0</v>
      </c>
      <c r="E2015" s="69">
        <v>0</v>
      </c>
      <c r="F2015" s="69">
        <v>0</v>
      </c>
      <c r="G2015" s="69" t="s">
        <v>21</v>
      </c>
      <c r="H2015" s="69" t="str">
        <f>IFERROR(VLOOKUP(Data!$G2015,canon!$I$2:$K$27,2,FALSE),"")</f>
        <v>ACCESSORY</v>
      </c>
      <c r="I2015" s="69" t="str">
        <f>IFERROR(VLOOKUP(Data!$G2015,canon!$I$2:$K$27,3,FALSE),"")</f>
        <v>N.APPAREL</v>
      </c>
      <c r="J2015" s="69">
        <f t="shared" si="62"/>
        <v>4</v>
      </c>
      <c r="K2015" s="69">
        <f t="shared" si="63"/>
        <v>43</v>
      </c>
      <c r="L2015" s="69">
        <f>VLOOKUP(Table_db1_backend_Daily.accdb[[#This Row],[TradingDate]],canon!B:E,4,0)</f>
        <v>29</v>
      </c>
    </row>
    <row r="2016" spans="1:12" x14ac:dyDescent="0.2">
      <c r="A2016" s="69" t="s">
        <v>43</v>
      </c>
      <c r="B2016" s="70">
        <v>42935</v>
      </c>
      <c r="C2016" s="69">
        <v>721</v>
      </c>
      <c r="D2016" s="69">
        <v>3</v>
      </c>
      <c r="E2016" s="69">
        <v>21.69</v>
      </c>
      <c r="F2016" s="69">
        <v>17.02</v>
      </c>
      <c r="G2016" s="69" t="s">
        <v>22</v>
      </c>
      <c r="H2016" s="69" t="str">
        <f>IFERROR(VLOOKUP(Data!$G2016,canon!$I$2:$K$27,2,FALSE),"")</f>
        <v>SCARF</v>
      </c>
      <c r="I2016" s="69" t="str">
        <f>IFERROR(VLOOKUP(Data!$G2016,canon!$I$2:$K$27,3,FALSE),"")</f>
        <v>N.APPAREL</v>
      </c>
      <c r="J2016" s="69">
        <f t="shared" si="62"/>
        <v>4</v>
      </c>
      <c r="K2016" s="69">
        <f t="shared" si="63"/>
        <v>43</v>
      </c>
      <c r="L2016" s="69">
        <f>VLOOKUP(Table_db1_backend_Daily.accdb[[#This Row],[TradingDate]],canon!B:E,4,0)</f>
        <v>29</v>
      </c>
    </row>
    <row r="2017" spans="1:12" x14ac:dyDescent="0.2">
      <c r="A2017" s="69" t="s">
        <v>43</v>
      </c>
      <c r="B2017" s="70">
        <v>42935</v>
      </c>
      <c r="C2017" s="69">
        <v>44</v>
      </c>
      <c r="D2017" s="69">
        <v>2</v>
      </c>
      <c r="E2017" s="69">
        <v>18.18</v>
      </c>
      <c r="F2017" s="69">
        <v>5.14</v>
      </c>
      <c r="G2017" s="69" t="s">
        <v>23</v>
      </c>
      <c r="H2017" s="69" t="str">
        <f>IFERROR(VLOOKUP(Data!$G2017,canon!$I$2:$K$27,2,FALSE),"")</f>
        <v>SH&amp;BL</v>
      </c>
      <c r="I2017" s="69" t="str">
        <f>IFERROR(VLOOKUP(Data!$G2017,canon!$I$2:$K$27,3,FALSE),"")</f>
        <v>APPAREL</v>
      </c>
      <c r="J2017" s="69">
        <f t="shared" si="62"/>
        <v>4</v>
      </c>
      <c r="K2017" s="69">
        <f t="shared" si="63"/>
        <v>43</v>
      </c>
      <c r="L2017" s="69">
        <f>VLOOKUP(Table_db1_backend_Daily.accdb[[#This Row],[TradingDate]],canon!B:E,4,0)</f>
        <v>29</v>
      </c>
    </row>
    <row r="2018" spans="1:12" x14ac:dyDescent="0.2">
      <c r="A2018" s="69" t="s">
        <v>43</v>
      </c>
      <c r="B2018" s="70">
        <v>42935</v>
      </c>
      <c r="C2018" s="69">
        <v>-11</v>
      </c>
      <c r="D2018" s="69">
        <v>0</v>
      </c>
      <c r="E2018" s="69">
        <v>0</v>
      </c>
      <c r="F2018" s="69">
        <v>0</v>
      </c>
      <c r="G2018" s="69" t="s">
        <v>32</v>
      </c>
      <c r="H2018" s="69" t="str">
        <f>IFERROR(VLOOKUP(Data!$G2018,canon!$I$2:$K$27,2,FALSE),"")</f>
        <v>SKIRT</v>
      </c>
      <c r="I2018" s="69" t="str">
        <f>IFERROR(VLOOKUP(Data!$G2018,canon!$I$2:$K$27,3,FALSE),"")</f>
        <v>APPAREL</v>
      </c>
      <c r="J2018" s="69">
        <f t="shared" si="62"/>
        <v>4</v>
      </c>
      <c r="K2018" s="69">
        <f t="shared" si="63"/>
        <v>43</v>
      </c>
      <c r="L2018" s="69">
        <f>VLOOKUP(Table_db1_backend_Daily.accdb[[#This Row],[TradingDate]],canon!B:E,4,0)</f>
        <v>29</v>
      </c>
    </row>
    <row r="2019" spans="1:12" x14ac:dyDescent="0.2">
      <c r="A2019" s="69" t="s">
        <v>43</v>
      </c>
      <c r="B2019" s="70">
        <v>42935</v>
      </c>
      <c r="C2019" s="69">
        <v>765</v>
      </c>
      <c r="D2019" s="69">
        <v>18</v>
      </c>
      <c r="E2019" s="69">
        <v>231.50000000000003</v>
      </c>
      <c r="F2019" s="69">
        <v>137.98999999999998</v>
      </c>
      <c r="G2019" s="69" t="s">
        <v>25</v>
      </c>
      <c r="H2019" s="69" t="str">
        <f>IFERROR(VLOOKUP(Data!$G2019,canon!$I$2:$K$27,2,FALSE),"")</f>
        <v>TOP</v>
      </c>
      <c r="I2019" s="69" t="str">
        <f>IFERROR(VLOOKUP(Data!$G2019,canon!$I$2:$K$27,3,FALSE),"")</f>
        <v>APPAREL</v>
      </c>
      <c r="J2019" s="69">
        <f t="shared" si="62"/>
        <v>4</v>
      </c>
      <c r="K2019" s="69">
        <f t="shared" si="63"/>
        <v>43</v>
      </c>
      <c r="L2019" s="69">
        <f>VLOOKUP(Table_db1_backend_Daily.accdb[[#This Row],[TradingDate]],canon!B:E,4,0)</f>
        <v>29</v>
      </c>
    </row>
    <row r="2020" spans="1:12" x14ac:dyDescent="0.2">
      <c r="A2020" s="69" t="s">
        <v>43</v>
      </c>
      <c r="B2020" s="70">
        <v>42936</v>
      </c>
      <c r="C2020" s="69">
        <v>10</v>
      </c>
      <c r="D2020" s="69">
        <v>0</v>
      </c>
      <c r="E2020" s="69">
        <v>0</v>
      </c>
      <c r="F2020" s="69">
        <v>0</v>
      </c>
      <c r="G2020" s="69" t="s">
        <v>27</v>
      </c>
      <c r="H2020" s="69" t="str">
        <f>IFERROR(VLOOKUP(Data!$G2020,canon!$I$2:$K$27,2,FALSE),"")</f>
        <v>ACCESSORY</v>
      </c>
      <c r="I2020" s="69" t="str">
        <f>IFERROR(VLOOKUP(Data!$G2020,canon!$I$2:$K$27,3,FALSE),"")</f>
        <v>N.APPAREL</v>
      </c>
      <c r="J2020" s="69">
        <f t="shared" si="62"/>
        <v>5</v>
      </c>
      <c r="K2020" s="69">
        <f t="shared" si="63"/>
        <v>43</v>
      </c>
      <c r="L2020" s="69">
        <f>VLOOKUP(Table_db1_backend_Daily.accdb[[#This Row],[TradingDate]],canon!B:E,4,0)</f>
        <v>29</v>
      </c>
    </row>
    <row r="2021" spans="1:12" x14ac:dyDescent="0.2">
      <c r="A2021" s="69" t="s">
        <v>43</v>
      </c>
      <c r="B2021" s="70">
        <v>42936</v>
      </c>
      <c r="C2021" s="69">
        <v>4</v>
      </c>
      <c r="D2021" s="69">
        <v>0</v>
      </c>
      <c r="E2021" s="69">
        <v>0</v>
      </c>
      <c r="F2021" s="69">
        <v>0</v>
      </c>
      <c r="G2021" s="69" t="s">
        <v>34</v>
      </c>
      <c r="H2021" s="69" t="str">
        <f>IFERROR(VLOOKUP(Data!$G2021,canon!$I$2:$K$27,2,FALSE),"")</f>
        <v>SHOES</v>
      </c>
      <c r="I2021" s="69" t="str">
        <f>IFERROR(VLOOKUP(Data!$G2021,canon!$I$2:$K$27,3,FALSE),"")</f>
        <v>N.APPAREL</v>
      </c>
      <c r="J2021" s="69">
        <f t="shared" si="62"/>
        <v>5</v>
      </c>
      <c r="K2021" s="69">
        <f t="shared" si="63"/>
        <v>43</v>
      </c>
      <c r="L2021" s="69">
        <f>VLOOKUP(Table_db1_backend_Daily.accdb[[#This Row],[TradingDate]],canon!B:E,4,0)</f>
        <v>29</v>
      </c>
    </row>
    <row r="2022" spans="1:12" x14ac:dyDescent="0.2">
      <c r="A2022" s="69" t="s">
        <v>43</v>
      </c>
      <c r="B2022" s="70">
        <v>42936</v>
      </c>
      <c r="C2022" s="69">
        <v>517</v>
      </c>
      <c r="D2022" s="69">
        <v>8</v>
      </c>
      <c r="E2022" s="69">
        <v>145.44</v>
      </c>
      <c r="F2022" s="69">
        <v>87.71</v>
      </c>
      <c r="G2022" s="69" t="s">
        <v>35</v>
      </c>
      <c r="H2022" s="69" t="str">
        <f>IFERROR(VLOOKUP(Data!$G2022,canon!$I$2:$K$27,2,FALSE),"")</f>
        <v>DRESS</v>
      </c>
      <c r="I2022" s="69" t="str">
        <f>IFERROR(VLOOKUP(Data!$G2022,canon!$I$2:$K$27,3,FALSE),"")</f>
        <v>APPAREL</v>
      </c>
      <c r="J2022" s="69">
        <f t="shared" si="62"/>
        <v>5</v>
      </c>
      <c r="K2022" s="69">
        <f t="shared" si="63"/>
        <v>43</v>
      </c>
      <c r="L2022" s="69">
        <f>VLOOKUP(Table_db1_backend_Daily.accdb[[#This Row],[TradingDate]],canon!B:E,4,0)</f>
        <v>29</v>
      </c>
    </row>
    <row r="2023" spans="1:12" x14ac:dyDescent="0.2">
      <c r="A2023" s="69" t="s">
        <v>43</v>
      </c>
      <c r="B2023" s="70">
        <v>42936</v>
      </c>
      <c r="C2023" s="69">
        <v>-11</v>
      </c>
      <c r="D2023" s="69">
        <v>0</v>
      </c>
      <c r="E2023" s="69">
        <v>0</v>
      </c>
      <c r="F2023" s="69">
        <v>0</v>
      </c>
      <c r="G2023" s="69" t="s">
        <v>10</v>
      </c>
      <c r="H2023" s="69" t="str">
        <f>IFERROR(VLOOKUP(Data!$G2023,canon!$I$2:$K$27,2,FALSE),"")</f>
        <v>ACCESSORY</v>
      </c>
      <c r="I2023" s="69" t="str">
        <f>IFERROR(VLOOKUP(Data!$G2023,canon!$I$2:$K$27,3,FALSE),"")</f>
        <v>N.APPAREL</v>
      </c>
      <c r="J2023" s="69">
        <f t="shared" si="62"/>
        <v>5</v>
      </c>
      <c r="K2023" s="69">
        <f t="shared" si="63"/>
        <v>43</v>
      </c>
      <c r="L2023" s="69">
        <f>VLOOKUP(Table_db1_backend_Daily.accdb[[#This Row],[TradingDate]],canon!B:E,4,0)</f>
        <v>29</v>
      </c>
    </row>
    <row r="2024" spans="1:12" x14ac:dyDescent="0.2">
      <c r="A2024" s="69" t="s">
        <v>43</v>
      </c>
      <c r="B2024" s="70">
        <v>42936</v>
      </c>
      <c r="C2024" s="69">
        <v>8</v>
      </c>
      <c r="D2024" s="69">
        <v>0</v>
      </c>
      <c r="E2024" s="69">
        <v>0</v>
      </c>
      <c r="F2024" s="69">
        <v>0</v>
      </c>
      <c r="G2024" s="69" t="s">
        <v>28</v>
      </c>
      <c r="H2024" s="69" t="str">
        <f>IFERROR(VLOOKUP(Data!$G2024,canon!$I$2:$K$27,2,FALSE),"")</f>
        <v>ACCESSORY</v>
      </c>
      <c r="I2024" s="69" t="str">
        <f>IFERROR(VLOOKUP(Data!$G2024,canon!$I$2:$K$27,3,FALSE),"")</f>
        <v>N.APPAREL</v>
      </c>
      <c r="J2024" s="69">
        <f t="shared" si="62"/>
        <v>5</v>
      </c>
      <c r="K2024" s="69">
        <f t="shared" si="63"/>
        <v>43</v>
      </c>
      <c r="L2024" s="69">
        <f>VLOOKUP(Table_db1_backend_Daily.accdb[[#This Row],[TradingDate]],canon!B:E,4,0)</f>
        <v>29</v>
      </c>
    </row>
    <row r="2025" spans="1:12" x14ac:dyDescent="0.2">
      <c r="A2025" s="69" t="s">
        <v>43</v>
      </c>
      <c r="B2025" s="70">
        <v>42936</v>
      </c>
      <c r="C2025" s="69">
        <v>1582</v>
      </c>
      <c r="D2025" s="69">
        <v>124</v>
      </c>
      <c r="E2025" s="69">
        <v>1072.3699999999999</v>
      </c>
      <c r="F2025" s="69">
        <v>81.430000000000007</v>
      </c>
      <c r="G2025" s="69" t="s">
        <v>11</v>
      </c>
      <c r="H2025" s="69" t="str">
        <f>IFERROR(VLOOKUP(Data!$G2025,canon!$I$2:$K$27,2,FALSE),"")</f>
        <v>KNIT</v>
      </c>
      <c r="I2025" s="69" t="str">
        <f>IFERROR(VLOOKUP(Data!$G2025,canon!$I$2:$K$27,3,FALSE),"")</f>
        <v>APPAREL</v>
      </c>
      <c r="J2025" s="69">
        <f t="shared" si="62"/>
        <v>5</v>
      </c>
      <c r="K2025" s="69">
        <f t="shared" si="63"/>
        <v>43</v>
      </c>
      <c r="L2025" s="69">
        <f>VLOOKUP(Table_db1_backend_Daily.accdb[[#This Row],[TradingDate]],canon!B:E,4,0)</f>
        <v>29</v>
      </c>
    </row>
    <row r="2026" spans="1:12" x14ac:dyDescent="0.2">
      <c r="A2026" s="69" t="s">
        <v>43</v>
      </c>
      <c r="B2026" s="70">
        <v>42936</v>
      </c>
      <c r="C2026" s="69">
        <v>45</v>
      </c>
      <c r="D2026" s="69">
        <v>3</v>
      </c>
      <c r="E2026" s="69">
        <v>36.36</v>
      </c>
      <c r="F2026" s="69">
        <v>15.93</v>
      </c>
      <c r="G2026" s="69" t="s">
        <v>14</v>
      </c>
      <c r="H2026" s="69" t="str">
        <f>IFERROR(VLOOKUP(Data!$G2026,canon!$I$2:$K$27,2,FALSE),"")</f>
        <v>LEGGING</v>
      </c>
      <c r="I2026" s="69" t="str">
        <f>IFERROR(VLOOKUP(Data!$G2026,canon!$I$2:$K$27,3,FALSE),"")</f>
        <v>APPAREL</v>
      </c>
      <c r="J2026" s="69">
        <f t="shared" si="62"/>
        <v>5</v>
      </c>
      <c r="K2026" s="69">
        <f t="shared" si="63"/>
        <v>43</v>
      </c>
      <c r="L2026" s="69">
        <f>VLOOKUP(Table_db1_backend_Daily.accdb[[#This Row],[TradingDate]],canon!B:E,4,0)</f>
        <v>29</v>
      </c>
    </row>
    <row r="2027" spans="1:12" x14ac:dyDescent="0.2">
      <c r="A2027" s="69" t="s">
        <v>43</v>
      </c>
      <c r="B2027" s="70">
        <v>42936</v>
      </c>
      <c r="C2027" s="69">
        <v>61</v>
      </c>
      <c r="D2027" s="69">
        <v>0</v>
      </c>
      <c r="E2027" s="69">
        <v>0</v>
      </c>
      <c r="F2027" s="69">
        <v>0</v>
      </c>
      <c r="G2027" s="69" t="s">
        <v>37</v>
      </c>
      <c r="H2027" s="69" t="str">
        <f>IFERROR(VLOOKUP(Data!$G2027,canon!$I$2:$K$27,2,FALSE),"")</f>
        <v>SHOES</v>
      </c>
      <c r="I2027" s="69" t="str">
        <f>IFERROR(VLOOKUP(Data!$G2027,canon!$I$2:$K$27,3,FALSE),"")</f>
        <v>N.APPAREL</v>
      </c>
      <c r="J2027" s="69">
        <f t="shared" si="62"/>
        <v>5</v>
      </c>
      <c r="K2027" s="69">
        <f t="shared" si="63"/>
        <v>43</v>
      </c>
      <c r="L2027" s="69">
        <f>VLOOKUP(Table_db1_backend_Daily.accdb[[#This Row],[TradingDate]],canon!B:E,4,0)</f>
        <v>29</v>
      </c>
    </row>
    <row r="2028" spans="1:12" x14ac:dyDescent="0.2">
      <c r="A2028" s="69" t="s">
        <v>43</v>
      </c>
      <c r="B2028" s="70">
        <v>42936</v>
      </c>
      <c r="C2028" s="69">
        <v>61</v>
      </c>
      <c r="D2028" s="69">
        <v>0</v>
      </c>
      <c r="E2028" s="69">
        <v>0</v>
      </c>
      <c r="F2028" s="69">
        <v>0</v>
      </c>
      <c r="G2028" s="69" t="s">
        <v>29</v>
      </c>
      <c r="H2028" s="69" t="str">
        <f>IFERROR(VLOOKUP(Data!$G2028,canon!$I$2:$K$27,2,FALSE),"")</f>
        <v>SHOES</v>
      </c>
      <c r="I2028" s="69" t="str">
        <f>IFERROR(VLOOKUP(Data!$G2028,canon!$I$2:$K$27,3,FALSE),"")</f>
        <v>N.APPAREL</v>
      </c>
      <c r="J2028" s="69">
        <f t="shared" si="62"/>
        <v>5</v>
      </c>
      <c r="K2028" s="69">
        <f t="shared" si="63"/>
        <v>43</v>
      </c>
      <c r="L2028" s="69">
        <f>VLOOKUP(Table_db1_backend_Daily.accdb[[#This Row],[TradingDate]],canon!B:E,4,0)</f>
        <v>29</v>
      </c>
    </row>
    <row r="2029" spans="1:12" x14ac:dyDescent="0.2">
      <c r="A2029" s="69" t="s">
        <v>43</v>
      </c>
      <c r="B2029" s="70">
        <v>42936</v>
      </c>
      <c r="C2029" s="69">
        <v>522</v>
      </c>
      <c r="D2029" s="69">
        <v>14</v>
      </c>
      <c r="E2029" s="69">
        <v>208.86</v>
      </c>
      <c r="F2029" s="69">
        <v>94.98</v>
      </c>
      <c r="G2029" s="69" t="s">
        <v>17</v>
      </c>
      <c r="H2029" s="69" t="str">
        <f>IFERROR(VLOOKUP(Data!$G2029,canon!$I$2:$K$27,2,FALSE),"")</f>
        <v>OUTER</v>
      </c>
      <c r="I2029" s="69" t="str">
        <f>IFERROR(VLOOKUP(Data!$G2029,canon!$I$2:$K$27,3,FALSE),"")</f>
        <v>APPAREL</v>
      </c>
      <c r="J2029" s="69">
        <f t="shared" si="62"/>
        <v>5</v>
      </c>
      <c r="K2029" s="69">
        <f t="shared" si="63"/>
        <v>43</v>
      </c>
      <c r="L2029" s="69">
        <f>VLOOKUP(Table_db1_backend_Daily.accdb[[#This Row],[TradingDate]],canon!B:E,4,0)</f>
        <v>29</v>
      </c>
    </row>
    <row r="2030" spans="1:12" x14ac:dyDescent="0.2">
      <c r="A2030" s="69" t="s">
        <v>43</v>
      </c>
      <c r="B2030" s="70">
        <v>42936</v>
      </c>
      <c r="C2030" s="69">
        <v>196</v>
      </c>
      <c r="D2030" s="69">
        <v>3</v>
      </c>
      <c r="E2030" s="69">
        <v>27.27</v>
      </c>
      <c r="F2030" s="69">
        <v>11.29</v>
      </c>
      <c r="G2030" s="69" t="s">
        <v>19</v>
      </c>
      <c r="H2030" s="69" t="str">
        <f>IFERROR(VLOOKUP(Data!$G2030,canon!$I$2:$K$27,2,FALSE),"")</f>
        <v>PANT</v>
      </c>
      <c r="I2030" s="69" t="str">
        <f>IFERROR(VLOOKUP(Data!$G2030,canon!$I$2:$K$27,3,FALSE),"")</f>
        <v>APPAREL</v>
      </c>
      <c r="J2030" s="69">
        <f t="shared" si="62"/>
        <v>5</v>
      </c>
      <c r="K2030" s="69">
        <f t="shared" si="63"/>
        <v>43</v>
      </c>
      <c r="L2030" s="69">
        <f>VLOOKUP(Table_db1_backend_Daily.accdb[[#This Row],[TradingDate]],canon!B:E,4,0)</f>
        <v>29</v>
      </c>
    </row>
    <row r="2031" spans="1:12" x14ac:dyDescent="0.2">
      <c r="A2031" s="69" t="s">
        <v>43</v>
      </c>
      <c r="B2031" s="70">
        <v>42936</v>
      </c>
      <c r="C2031" s="69">
        <v>64</v>
      </c>
      <c r="D2031" s="69">
        <v>0</v>
      </c>
      <c r="E2031" s="69">
        <v>0</v>
      </c>
      <c r="F2031" s="69">
        <v>0</v>
      </c>
      <c r="G2031" s="69" t="s">
        <v>21</v>
      </c>
      <c r="H2031" s="69" t="str">
        <f>IFERROR(VLOOKUP(Data!$G2031,canon!$I$2:$K$27,2,FALSE),"")</f>
        <v>ACCESSORY</v>
      </c>
      <c r="I2031" s="69" t="str">
        <f>IFERROR(VLOOKUP(Data!$G2031,canon!$I$2:$K$27,3,FALSE),"")</f>
        <v>N.APPAREL</v>
      </c>
      <c r="J2031" s="69">
        <f t="shared" si="62"/>
        <v>5</v>
      </c>
      <c r="K2031" s="69">
        <f t="shared" si="63"/>
        <v>43</v>
      </c>
      <c r="L2031" s="69">
        <f>VLOOKUP(Table_db1_backend_Daily.accdb[[#This Row],[TradingDate]],canon!B:E,4,0)</f>
        <v>29</v>
      </c>
    </row>
    <row r="2032" spans="1:12" x14ac:dyDescent="0.2">
      <c r="A2032" s="69" t="s">
        <v>43</v>
      </c>
      <c r="B2032" s="70">
        <v>42936</v>
      </c>
      <c r="C2032" s="69">
        <v>707</v>
      </c>
      <c r="D2032" s="69">
        <v>14</v>
      </c>
      <c r="E2032" s="69">
        <v>71.710000000000008</v>
      </c>
      <c r="F2032" s="69">
        <v>49.66</v>
      </c>
      <c r="G2032" s="69" t="s">
        <v>22</v>
      </c>
      <c r="H2032" s="69" t="str">
        <f>IFERROR(VLOOKUP(Data!$G2032,canon!$I$2:$K$27,2,FALSE),"")</f>
        <v>SCARF</v>
      </c>
      <c r="I2032" s="69" t="str">
        <f>IFERROR(VLOOKUP(Data!$G2032,canon!$I$2:$K$27,3,FALSE),"")</f>
        <v>N.APPAREL</v>
      </c>
      <c r="J2032" s="69">
        <f t="shared" si="62"/>
        <v>5</v>
      </c>
      <c r="K2032" s="69">
        <f t="shared" si="63"/>
        <v>43</v>
      </c>
      <c r="L2032" s="69">
        <f>VLOOKUP(Table_db1_backend_Daily.accdb[[#This Row],[TradingDate]],canon!B:E,4,0)</f>
        <v>29</v>
      </c>
    </row>
    <row r="2033" spans="1:12" x14ac:dyDescent="0.2">
      <c r="A2033" s="69" t="s">
        <v>43</v>
      </c>
      <c r="B2033" s="70">
        <v>42936</v>
      </c>
      <c r="C2033" s="69">
        <v>42</v>
      </c>
      <c r="D2033" s="69">
        <v>2</v>
      </c>
      <c r="E2033" s="69">
        <v>36.35</v>
      </c>
      <c r="F2033" s="69">
        <v>17.66</v>
      </c>
      <c r="G2033" s="69" t="s">
        <v>23</v>
      </c>
      <c r="H2033" s="69" t="str">
        <f>IFERROR(VLOOKUP(Data!$G2033,canon!$I$2:$K$27,2,FALSE),"")</f>
        <v>SH&amp;BL</v>
      </c>
      <c r="I2033" s="69" t="str">
        <f>IFERROR(VLOOKUP(Data!$G2033,canon!$I$2:$K$27,3,FALSE),"")</f>
        <v>APPAREL</v>
      </c>
      <c r="J2033" s="69">
        <f t="shared" si="62"/>
        <v>5</v>
      </c>
      <c r="K2033" s="69">
        <f t="shared" si="63"/>
        <v>43</v>
      </c>
      <c r="L2033" s="69">
        <f>VLOOKUP(Table_db1_backend_Daily.accdb[[#This Row],[TradingDate]],canon!B:E,4,0)</f>
        <v>29</v>
      </c>
    </row>
    <row r="2034" spans="1:12" x14ac:dyDescent="0.2">
      <c r="A2034" s="69" t="s">
        <v>43</v>
      </c>
      <c r="B2034" s="70">
        <v>42936</v>
      </c>
      <c r="C2034" s="69">
        <v>-13</v>
      </c>
      <c r="D2034" s="69">
        <v>2</v>
      </c>
      <c r="E2034" s="69">
        <v>27.28</v>
      </c>
      <c r="F2034" s="69">
        <v>19.45</v>
      </c>
      <c r="G2034" s="69" t="s">
        <v>32</v>
      </c>
      <c r="H2034" s="69" t="str">
        <f>IFERROR(VLOOKUP(Data!$G2034,canon!$I$2:$K$27,2,FALSE),"")</f>
        <v>SKIRT</v>
      </c>
      <c r="I2034" s="69" t="str">
        <f>IFERROR(VLOOKUP(Data!$G2034,canon!$I$2:$K$27,3,FALSE),"")</f>
        <v>APPAREL</v>
      </c>
      <c r="J2034" s="69">
        <f t="shared" si="62"/>
        <v>5</v>
      </c>
      <c r="K2034" s="69">
        <f t="shared" si="63"/>
        <v>43</v>
      </c>
      <c r="L2034" s="69">
        <f>VLOOKUP(Table_db1_backend_Daily.accdb[[#This Row],[TradingDate]],canon!B:E,4,0)</f>
        <v>29</v>
      </c>
    </row>
    <row r="2035" spans="1:12" x14ac:dyDescent="0.2">
      <c r="A2035" s="69" t="s">
        <v>43</v>
      </c>
      <c r="B2035" s="70">
        <v>42936</v>
      </c>
      <c r="C2035" s="69">
        <v>740</v>
      </c>
      <c r="D2035" s="69">
        <v>25</v>
      </c>
      <c r="E2035" s="69">
        <v>245.11000000000004</v>
      </c>
      <c r="F2035" s="69">
        <v>121.38</v>
      </c>
      <c r="G2035" s="69" t="s">
        <v>25</v>
      </c>
      <c r="H2035" s="69" t="str">
        <f>IFERROR(VLOOKUP(Data!$G2035,canon!$I$2:$K$27,2,FALSE),"")</f>
        <v>TOP</v>
      </c>
      <c r="I2035" s="69" t="str">
        <f>IFERROR(VLOOKUP(Data!$G2035,canon!$I$2:$K$27,3,FALSE),"")</f>
        <v>APPAREL</v>
      </c>
      <c r="J2035" s="69">
        <f t="shared" si="62"/>
        <v>5</v>
      </c>
      <c r="K2035" s="69">
        <f t="shared" si="63"/>
        <v>43</v>
      </c>
      <c r="L2035" s="69">
        <f>VLOOKUP(Table_db1_backend_Daily.accdb[[#This Row],[TradingDate]],canon!B:E,4,0)</f>
        <v>29</v>
      </c>
    </row>
    <row r="2036" spans="1:12" x14ac:dyDescent="0.2">
      <c r="A2036" s="69" t="s">
        <v>43</v>
      </c>
      <c r="B2036" s="70">
        <v>42937</v>
      </c>
      <c r="C2036" s="69">
        <v>10</v>
      </c>
      <c r="D2036" s="69">
        <v>0</v>
      </c>
      <c r="E2036" s="69">
        <v>0</v>
      </c>
      <c r="F2036" s="69">
        <v>0</v>
      </c>
      <c r="G2036" s="69" t="s">
        <v>27</v>
      </c>
      <c r="H2036" s="69" t="str">
        <f>IFERROR(VLOOKUP(Data!$G2036,canon!$I$2:$K$27,2,FALSE),"")</f>
        <v>ACCESSORY</v>
      </c>
      <c r="I2036" s="69" t="str">
        <f>IFERROR(VLOOKUP(Data!$G2036,canon!$I$2:$K$27,3,FALSE),"")</f>
        <v>N.APPAREL</v>
      </c>
      <c r="J2036" s="69">
        <f t="shared" si="62"/>
        <v>6</v>
      </c>
      <c r="K2036" s="69">
        <f t="shared" si="63"/>
        <v>43</v>
      </c>
      <c r="L2036" s="69">
        <f>VLOOKUP(Table_db1_backend_Daily.accdb[[#This Row],[TradingDate]],canon!B:E,4,0)</f>
        <v>29</v>
      </c>
    </row>
    <row r="2037" spans="1:12" x14ac:dyDescent="0.2">
      <c r="A2037" s="69" t="s">
        <v>43</v>
      </c>
      <c r="B2037" s="70">
        <v>42937</v>
      </c>
      <c r="C2037" s="69">
        <v>4</v>
      </c>
      <c r="D2037" s="69">
        <v>0</v>
      </c>
      <c r="E2037" s="69">
        <v>0</v>
      </c>
      <c r="F2037" s="69">
        <v>0</v>
      </c>
      <c r="G2037" s="69" t="s">
        <v>34</v>
      </c>
      <c r="H2037" s="69" t="str">
        <f>IFERROR(VLOOKUP(Data!$G2037,canon!$I$2:$K$27,2,FALSE),"")</f>
        <v>SHOES</v>
      </c>
      <c r="I2037" s="69" t="str">
        <f>IFERROR(VLOOKUP(Data!$G2037,canon!$I$2:$K$27,3,FALSE),"")</f>
        <v>N.APPAREL</v>
      </c>
      <c r="J2037" s="69">
        <f t="shared" si="62"/>
        <v>6</v>
      </c>
      <c r="K2037" s="69">
        <f t="shared" si="63"/>
        <v>43</v>
      </c>
      <c r="L2037" s="69">
        <f>VLOOKUP(Table_db1_backend_Daily.accdb[[#This Row],[TradingDate]],canon!B:E,4,0)</f>
        <v>29</v>
      </c>
    </row>
    <row r="2038" spans="1:12" x14ac:dyDescent="0.2">
      <c r="A2038" s="69" t="s">
        <v>43</v>
      </c>
      <c r="B2038" s="70">
        <v>42937</v>
      </c>
      <c r="C2038" s="69">
        <v>506</v>
      </c>
      <c r="D2038" s="69">
        <v>11</v>
      </c>
      <c r="E2038" s="69">
        <v>200.00000000000003</v>
      </c>
      <c r="F2038" s="69">
        <v>112.38</v>
      </c>
      <c r="G2038" s="69" t="s">
        <v>35</v>
      </c>
      <c r="H2038" s="69" t="str">
        <f>IFERROR(VLOOKUP(Data!$G2038,canon!$I$2:$K$27,2,FALSE),"")</f>
        <v>DRESS</v>
      </c>
      <c r="I2038" s="69" t="str">
        <f>IFERROR(VLOOKUP(Data!$G2038,canon!$I$2:$K$27,3,FALSE),"")</f>
        <v>APPAREL</v>
      </c>
      <c r="J2038" s="69">
        <f t="shared" si="62"/>
        <v>6</v>
      </c>
      <c r="K2038" s="69">
        <f t="shared" si="63"/>
        <v>43</v>
      </c>
      <c r="L2038" s="69">
        <f>VLOOKUP(Table_db1_backend_Daily.accdb[[#This Row],[TradingDate]],canon!B:E,4,0)</f>
        <v>29</v>
      </c>
    </row>
    <row r="2039" spans="1:12" x14ac:dyDescent="0.2">
      <c r="A2039" s="69" t="s">
        <v>43</v>
      </c>
      <c r="B2039" s="70">
        <v>42937</v>
      </c>
      <c r="C2039" s="69">
        <v>-11</v>
      </c>
      <c r="D2039" s="69">
        <v>0</v>
      </c>
      <c r="E2039" s="69">
        <v>0</v>
      </c>
      <c r="F2039" s="69">
        <v>0</v>
      </c>
      <c r="G2039" s="69" t="s">
        <v>10</v>
      </c>
      <c r="H2039" s="69" t="str">
        <f>IFERROR(VLOOKUP(Data!$G2039,canon!$I$2:$K$27,2,FALSE),"")</f>
        <v>ACCESSORY</v>
      </c>
      <c r="I2039" s="69" t="str">
        <f>IFERROR(VLOOKUP(Data!$G2039,canon!$I$2:$K$27,3,FALSE),"")</f>
        <v>N.APPAREL</v>
      </c>
      <c r="J2039" s="69">
        <f t="shared" si="62"/>
        <v>6</v>
      </c>
      <c r="K2039" s="69">
        <f t="shared" si="63"/>
        <v>43</v>
      </c>
      <c r="L2039" s="69">
        <f>VLOOKUP(Table_db1_backend_Daily.accdb[[#This Row],[TradingDate]],canon!B:E,4,0)</f>
        <v>29</v>
      </c>
    </row>
    <row r="2040" spans="1:12" x14ac:dyDescent="0.2">
      <c r="A2040" s="69" t="s">
        <v>43</v>
      </c>
      <c r="B2040" s="70">
        <v>42937</v>
      </c>
      <c r="C2040" s="69">
        <v>8</v>
      </c>
      <c r="D2040" s="69">
        <v>0</v>
      </c>
      <c r="E2040" s="69">
        <v>0</v>
      </c>
      <c r="F2040" s="69">
        <v>0</v>
      </c>
      <c r="G2040" s="69" t="s">
        <v>28</v>
      </c>
      <c r="H2040" s="69" t="str">
        <f>IFERROR(VLOOKUP(Data!$G2040,canon!$I$2:$K$27,2,FALSE),"")</f>
        <v>ACCESSORY</v>
      </c>
      <c r="I2040" s="69" t="str">
        <f>IFERROR(VLOOKUP(Data!$G2040,canon!$I$2:$K$27,3,FALSE),"")</f>
        <v>N.APPAREL</v>
      </c>
      <c r="J2040" s="69">
        <f t="shared" si="62"/>
        <v>6</v>
      </c>
      <c r="K2040" s="69">
        <f t="shared" si="63"/>
        <v>43</v>
      </c>
      <c r="L2040" s="69">
        <f>VLOOKUP(Table_db1_backend_Daily.accdb[[#This Row],[TradingDate]],canon!B:E,4,0)</f>
        <v>29</v>
      </c>
    </row>
    <row r="2041" spans="1:12" x14ac:dyDescent="0.2">
      <c r="A2041" s="69" t="s">
        <v>43</v>
      </c>
      <c r="B2041" s="70">
        <v>42937</v>
      </c>
      <c r="C2041" s="69">
        <v>1531</v>
      </c>
      <c r="D2041" s="69">
        <v>51</v>
      </c>
      <c r="E2041" s="69">
        <v>704.51999999999987</v>
      </c>
      <c r="F2041" s="69">
        <v>290.09000000000003</v>
      </c>
      <c r="G2041" s="69" t="s">
        <v>11</v>
      </c>
      <c r="H2041" s="69" t="str">
        <f>IFERROR(VLOOKUP(Data!$G2041,canon!$I$2:$K$27,2,FALSE),"")</f>
        <v>KNIT</v>
      </c>
      <c r="I2041" s="69" t="str">
        <f>IFERROR(VLOOKUP(Data!$G2041,canon!$I$2:$K$27,3,FALSE),"")</f>
        <v>APPAREL</v>
      </c>
      <c r="J2041" s="69">
        <f t="shared" si="62"/>
        <v>6</v>
      </c>
      <c r="K2041" s="69">
        <f t="shared" si="63"/>
        <v>43</v>
      </c>
      <c r="L2041" s="69">
        <f>VLOOKUP(Table_db1_backend_Daily.accdb[[#This Row],[TradingDate]],canon!B:E,4,0)</f>
        <v>29</v>
      </c>
    </row>
    <row r="2042" spans="1:12" x14ac:dyDescent="0.2">
      <c r="A2042" s="69" t="s">
        <v>43</v>
      </c>
      <c r="B2042" s="70">
        <v>42937</v>
      </c>
      <c r="C2042" s="69">
        <v>43</v>
      </c>
      <c r="D2042" s="69">
        <v>2</v>
      </c>
      <c r="E2042" s="69">
        <v>36.36</v>
      </c>
      <c r="F2042" s="69">
        <v>22.88</v>
      </c>
      <c r="G2042" s="69" t="s">
        <v>14</v>
      </c>
      <c r="H2042" s="69" t="str">
        <f>IFERROR(VLOOKUP(Data!$G2042,canon!$I$2:$K$27,2,FALSE),"")</f>
        <v>LEGGING</v>
      </c>
      <c r="I2042" s="69" t="str">
        <f>IFERROR(VLOOKUP(Data!$G2042,canon!$I$2:$K$27,3,FALSE),"")</f>
        <v>APPAREL</v>
      </c>
      <c r="J2042" s="69">
        <f t="shared" si="62"/>
        <v>6</v>
      </c>
      <c r="K2042" s="69">
        <f t="shared" si="63"/>
        <v>43</v>
      </c>
      <c r="L2042" s="69">
        <f>VLOOKUP(Table_db1_backend_Daily.accdb[[#This Row],[TradingDate]],canon!B:E,4,0)</f>
        <v>29</v>
      </c>
    </row>
    <row r="2043" spans="1:12" x14ac:dyDescent="0.2">
      <c r="A2043" s="69" t="s">
        <v>43</v>
      </c>
      <c r="B2043" s="70">
        <v>42937</v>
      </c>
      <c r="C2043" s="69">
        <v>61</v>
      </c>
      <c r="D2043" s="69">
        <v>0</v>
      </c>
      <c r="E2043" s="69">
        <v>0</v>
      </c>
      <c r="F2043" s="69">
        <v>0</v>
      </c>
      <c r="G2043" s="69" t="s">
        <v>37</v>
      </c>
      <c r="H2043" s="69" t="str">
        <f>IFERROR(VLOOKUP(Data!$G2043,canon!$I$2:$K$27,2,FALSE),"")</f>
        <v>SHOES</v>
      </c>
      <c r="I2043" s="69" t="str">
        <f>IFERROR(VLOOKUP(Data!$G2043,canon!$I$2:$K$27,3,FALSE),"")</f>
        <v>N.APPAREL</v>
      </c>
      <c r="J2043" s="69">
        <f t="shared" si="62"/>
        <v>6</v>
      </c>
      <c r="K2043" s="69">
        <f t="shared" si="63"/>
        <v>43</v>
      </c>
      <c r="L2043" s="69">
        <f>VLOOKUP(Table_db1_backend_Daily.accdb[[#This Row],[TradingDate]],canon!B:E,4,0)</f>
        <v>29</v>
      </c>
    </row>
    <row r="2044" spans="1:12" x14ac:dyDescent="0.2">
      <c r="A2044" s="69" t="s">
        <v>43</v>
      </c>
      <c r="B2044" s="70">
        <v>42937</v>
      </c>
      <c r="C2044" s="69">
        <v>61</v>
      </c>
      <c r="D2044" s="69">
        <v>0</v>
      </c>
      <c r="E2044" s="69">
        <v>0</v>
      </c>
      <c r="F2044" s="69">
        <v>0</v>
      </c>
      <c r="G2044" s="69" t="s">
        <v>29</v>
      </c>
      <c r="H2044" s="69" t="str">
        <f>IFERROR(VLOOKUP(Data!$G2044,canon!$I$2:$K$27,2,FALSE),"")</f>
        <v>SHOES</v>
      </c>
      <c r="I2044" s="69" t="str">
        <f>IFERROR(VLOOKUP(Data!$G2044,canon!$I$2:$K$27,3,FALSE),"")</f>
        <v>N.APPAREL</v>
      </c>
      <c r="J2044" s="69">
        <f t="shared" si="62"/>
        <v>6</v>
      </c>
      <c r="K2044" s="69">
        <f t="shared" si="63"/>
        <v>43</v>
      </c>
      <c r="L2044" s="69">
        <f>VLOOKUP(Table_db1_backend_Daily.accdb[[#This Row],[TradingDate]],canon!B:E,4,0)</f>
        <v>29</v>
      </c>
    </row>
    <row r="2045" spans="1:12" x14ac:dyDescent="0.2">
      <c r="A2045" s="69" t="s">
        <v>43</v>
      </c>
      <c r="B2045" s="70">
        <v>42937</v>
      </c>
      <c r="C2045" s="69">
        <v>497</v>
      </c>
      <c r="D2045" s="69">
        <v>25</v>
      </c>
      <c r="E2045" s="69">
        <v>477.19</v>
      </c>
      <c r="F2045" s="69">
        <v>229.40999999999997</v>
      </c>
      <c r="G2045" s="69" t="s">
        <v>17</v>
      </c>
      <c r="H2045" s="69" t="str">
        <f>IFERROR(VLOOKUP(Data!$G2045,canon!$I$2:$K$27,2,FALSE),"")</f>
        <v>OUTER</v>
      </c>
      <c r="I2045" s="69" t="str">
        <f>IFERROR(VLOOKUP(Data!$G2045,canon!$I$2:$K$27,3,FALSE),"")</f>
        <v>APPAREL</v>
      </c>
      <c r="J2045" s="69">
        <f t="shared" si="62"/>
        <v>6</v>
      </c>
      <c r="K2045" s="69">
        <f t="shared" si="63"/>
        <v>43</v>
      </c>
      <c r="L2045" s="69">
        <f>VLOOKUP(Table_db1_backend_Daily.accdb[[#This Row],[TradingDate]],canon!B:E,4,0)</f>
        <v>29</v>
      </c>
    </row>
    <row r="2046" spans="1:12" x14ac:dyDescent="0.2">
      <c r="A2046" s="69" t="s">
        <v>43</v>
      </c>
      <c r="B2046" s="70">
        <v>42937</v>
      </c>
      <c r="C2046" s="69">
        <v>195</v>
      </c>
      <c r="D2046" s="69">
        <v>1</v>
      </c>
      <c r="E2046" s="69">
        <v>18.18</v>
      </c>
      <c r="F2046" s="69">
        <v>11.98</v>
      </c>
      <c r="G2046" s="69" t="s">
        <v>19</v>
      </c>
      <c r="H2046" s="69" t="str">
        <f>IFERROR(VLOOKUP(Data!$G2046,canon!$I$2:$K$27,2,FALSE),"")</f>
        <v>PANT</v>
      </c>
      <c r="I2046" s="69" t="str">
        <f>IFERROR(VLOOKUP(Data!$G2046,canon!$I$2:$K$27,3,FALSE),"")</f>
        <v>APPAREL</v>
      </c>
      <c r="J2046" s="69">
        <f t="shared" si="62"/>
        <v>6</v>
      </c>
      <c r="K2046" s="69">
        <f t="shared" si="63"/>
        <v>43</v>
      </c>
      <c r="L2046" s="69">
        <f>VLOOKUP(Table_db1_backend_Daily.accdb[[#This Row],[TradingDate]],canon!B:E,4,0)</f>
        <v>29</v>
      </c>
    </row>
    <row r="2047" spans="1:12" x14ac:dyDescent="0.2">
      <c r="A2047" s="69" t="s">
        <v>43</v>
      </c>
      <c r="B2047" s="70">
        <v>42937</v>
      </c>
      <c r="C2047" s="69">
        <v>64</v>
      </c>
      <c r="D2047" s="69">
        <v>0</v>
      </c>
      <c r="E2047" s="69">
        <v>0</v>
      </c>
      <c r="F2047" s="69">
        <v>0</v>
      </c>
      <c r="G2047" s="69" t="s">
        <v>21</v>
      </c>
      <c r="H2047" s="69" t="str">
        <f>IFERROR(VLOOKUP(Data!$G2047,canon!$I$2:$K$27,2,FALSE),"")</f>
        <v>ACCESSORY</v>
      </c>
      <c r="I2047" s="69" t="str">
        <f>IFERROR(VLOOKUP(Data!$G2047,canon!$I$2:$K$27,3,FALSE),"")</f>
        <v>N.APPAREL</v>
      </c>
      <c r="J2047" s="69">
        <f t="shared" si="62"/>
        <v>6</v>
      </c>
      <c r="K2047" s="69">
        <f t="shared" si="63"/>
        <v>43</v>
      </c>
      <c r="L2047" s="69">
        <f>VLOOKUP(Table_db1_backend_Daily.accdb[[#This Row],[TradingDate]],canon!B:E,4,0)</f>
        <v>29</v>
      </c>
    </row>
    <row r="2048" spans="1:12" x14ac:dyDescent="0.2">
      <c r="A2048" s="69" t="s">
        <v>43</v>
      </c>
      <c r="B2048" s="70">
        <v>42937</v>
      </c>
      <c r="C2048" s="69">
        <v>698</v>
      </c>
      <c r="D2048" s="69">
        <v>9</v>
      </c>
      <c r="E2048" s="69">
        <v>54.35</v>
      </c>
      <c r="F2048" s="69">
        <v>36.57</v>
      </c>
      <c r="G2048" s="69" t="s">
        <v>22</v>
      </c>
      <c r="H2048" s="69" t="str">
        <f>IFERROR(VLOOKUP(Data!$G2048,canon!$I$2:$K$27,2,FALSE),"")</f>
        <v>SCARF</v>
      </c>
      <c r="I2048" s="69" t="str">
        <f>IFERROR(VLOOKUP(Data!$G2048,canon!$I$2:$K$27,3,FALSE),"")</f>
        <v>N.APPAREL</v>
      </c>
      <c r="J2048" s="69">
        <f t="shared" si="62"/>
        <v>6</v>
      </c>
      <c r="K2048" s="69">
        <f t="shared" si="63"/>
        <v>43</v>
      </c>
      <c r="L2048" s="69">
        <f>VLOOKUP(Table_db1_backend_Daily.accdb[[#This Row],[TradingDate]],canon!B:E,4,0)</f>
        <v>29</v>
      </c>
    </row>
    <row r="2049" spans="1:12" x14ac:dyDescent="0.2">
      <c r="A2049" s="69" t="s">
        <v>43</v>
      </c>
      <c r="B2049" s="70">
        <v>42937</v>
      </c>
      <c r="C2049" s="69">
        <v>39</v>
      </c>
      <c r="D2049" s="69">
        <v>3</v>
      </c>
      <c r="E2049" s="69">
        <v>63.620000000000005</v>
      </c>
      <c r="F2049" s="69">
        <v>39.049999999999997</v>
      </c>
      <c r="G2049" s="69" t="s">
        <v>23</v>
      </c>
      <c r="H2049" s="69" t="str">
        <f>IFERROR(VLOOKUP(Data!$G2049,canon!$I$2:$K$27,2,FALSE),"")</f>
        <v>SH&amp;BL</v>
      </c>
      <c r="I2049" s="69" t="str">
        <f>IFERROR(VLOOKUP(Data!$G2049,canon!$I$2:$K$27,3,FALSE),"")</f>
        <v>APPAREL</v>
      </c>
      <c r="J2049" s="69">
        <f t="shared" si="62"/>
        <v>6</v>
      </c>
      <c r="K2049" s="69">
        <f t="shared" si="63"/>
        <v>43</v>
      </c>
      <c r="L2049" s="69">
        <f>VLOOKUP(Table_db1_backend_Daily.accdb[[#This Row],[TradingDate]],canon!B:E,4,0)</f>
        <v>29</v>
      </c>
    </row>
    <row r="2050" spans="1:12" x14ac:dyDescent="0.2">
      <c r="A2050" s="69" t="s">
        <v>43</v>
      </c>
      <c r="B2050" s="70">
        <v>42937</v>
      </c>
      <c r="C2050" s="69">
        <v>-15</v>
      </c>
      <c r="D2050" s="69">
        <v>2</v>
      </c>
      <c r="E2050" s="69">
        <v>36.36</v>
      </c>
      <c r="F2050" s="69">
        <v>26.79</v>
      </c>
      <c r="G2050" s="69" t="s">
        <v>32</v>
      </c>
      <c r="H2050" s="69" t="str">
        <f>IFERROR(VLOOKUP(Data!$G2050,canon!$I$2:$K$27,2,FALSE),"")</f>
        <v>SKIRT</v>
      </c>
      <c r="I2050" s="69" t="str">
        <f>IFERROR(VLOOKUP(Data!$G2050,canon!$I$2:$K$27,3,FALSE),"")</f>
        <v>APPAREL</v>
      </c>
      <c r="J2050" s="69">
        <f t="shared" ref="J2050:J2113" si="64">WEEKDAY(B2050)</f>
        <v>6</v>
      </c>
      <c r="K2050" s="69">
        <f t="shared" ref="K2050:K2113" si="65">INT(A2050)</f>
        <v>43</v>
      </c>
      <c r="L2050" s="69">
        <f>VLOOKUP(Table_db1_backend_Daily.accdb[[#This Row],[TradingDate]],canon!B:E,4,0)</f>
        <v>29</v>
      </c>
    </row>
    <row r="2051" spans="1:12" x14ac:dyDescent="0.2">
      <c r="A2051" s="69" t="s">
        <v>43</v>
      </c>
      <c r="B2051" s="70">
        <v>42937</v>
      </c>
      <c r="C2051" s="69">
        <v>720</v>
      </c>
      <c r="D2051" s="69">
        <v>20</v>
      </c>
      <c r="E2051" s="69">
        <v>231.75000000000003</v>
      </c>
      <c r="F2051" s="69">
        <v>124.21999999999998</v>
      </c>
      <c r="G2051" s="69" t="s">
        <v>25</v>
      </c>
      <c r="H2051" s="69" t="str">
        <f>IFERROR(VLOOKUP(Data!$G2051,canon!$I$2:$K$27,2,FALSE),"")</f>
        <v>TOP</v>
      </c>
      <c r="I2051" s="69" t="str">
        <f>IFERROR(VLOOKUP(Data!$G2051,canon!$I$2:$K$27,3,FALSE),"")</f>
        <v>APPAREL</v>
      </c>
      <c r="J2051" s="69">
        <f t="shared" si="64"/>
        <v>6</v>
      </c>
      <c r="K2051" s="69">
        <f t="shared" si="65"/>
        <v>43</v>
      </c>
      <c r="L2051" s="69">
        <f>VLOOKUP(Table_db1_backend_Daily.accdb[[#This Row],[TradingDate]],canon!B:E,4,0)</f>
        <v>29</v>
      </c>
    </row>
    <row r="2052" spans="1:12" x14ac:dyDescent="0.2">
      <c r="A2052" s="69" t="s">
        <v>43</v>
      </c>
      <c r="B2052" s="70">
        <v>42938</v>
      </c>
      <c r="C2052" s="69">
        <v>10</v>
      </c>
      <c r="D2052" s="69">
        <v>0</v>
      </c>
      <c r="E2052" s="69">
        <v>0</v>
      </c>
      <c r="F2052" s="69">
        <v>0</v>
      </c>
      <c r="G2052" s="69" t="s">
        <v>27</v>
      </c>
      <c r="H2052" s="69" t="str">
        <f>IFERROR(VLOOKUP(Data!$G2052,canon!$I$2:$K$27,2,FALSE),"")</f>
        <v>ACCESSORY</v>
      </c>
      <c r="I2052" s="69" t="str">
        <f>IFERROR(VLOOKUP(Data!$G2052,canon!$I$2:$K$27,3,FALSE),"")</f>
        <v>N.APPAREL</v>
      </c>
      <c r="J2052" s="69">
        <f t="shared" si="64"/>
        <v>7</v>
      </c>
      <c r="K2052" s="69">
        <f t="shared" si="65"/>
        <v>43</v>
      </c>
      <c r="L2052" s="69">
        <f>VLOOKUP(Table_db1_backend_Daily.accdb[[#This Row],[TradingDate]],canon!B:E,4,0)</f>
        <v>29</v>
      </c>
    </row>
    <row r="2053" spans="1:12" x14ac:dyDescent="0.2">
      <c r="A2053" s="69" t="s">
        <v>43</v>
      </c>
      <c r="B2053" s="70">
        <v>42938</v>
      </c>
      <c r="C2053" s="69">
        <v>4</v>
      </c>
      <c r="D2053" s="69">
        <v>0</v>
      </c>
      <c r="E2053" s="69">
        <v>0</v>
      </c>
      <c r="F2053" s="69">
        <v>0</v>
      </c>
      <c r="G2053" s="69" t="s">
        <v>34</v>
      </c>
      <c r="H2053" s="69" t="str">
        <f>IFERROR(VLOOKUP(Data!$G2053,canon!$I$2:$K$27,2,FALSE),"")</f>
        <v>SHOES</v>
      </c>
      <c r="I2053" s="69" t="str">
        <f>IFERROR(VLOOKUP(Data!$G2053,canon!$I$2:$K$27,3,FALSE),"")</f>
        <v>N.APPAREL</v>
      </c>
      <c r="J2053" s="69">
        <f t="shared" si="64"/>
        <v>7</v>
      </c>
      <c r="K2053" s="69">
        <f t="shared" si="65"/>
        <v>43</v>
      </c>
      <c r="L2053" s="69">
        <f>VLOOKUP(Table_db1_backend_Daily.accdb[[#This Row],[TradingDate]],canon!B:E,4,0)</f>
        <v>29</v>
      </c>
    </row>
    <row r="2054" spans="1:12" x14ac:dyDescent="0.2">
      <c r="A2054" s="69" t="s">
        <v>43</v>
      </c>
      <c r="B2054" s="70">
        <v>42938</v>
      </c>
      <c r="C2054" s="69">
        <v>500</v>
      </c>
      <c r="D2054" s="69">
        <v>6</v>
      </c>
      <c r="E2054" s="69">
        <v>109.08</v>
      </c>
      <c r="F2054" s="69">
        <v>66.900000000000006</v>
      </c>
      <c r="G2054" s="69" t="s">
        <v>35</v>
      </c>
      <c r="H2054" s="69" t="str">
        <f>IFERROR(VLOOKUP(Data!$G2054,canon!$I$2:$K$27,2,FALSE),"")</f>
        <v>DRESS</v>
      </c>
      <c r="I2054" s="69" t="str">
        <f>IFERROR(VLOOKUP(Data!$G2054,canon!$I$2:$K$27,3,FALSE),"")</f>
        <v>APPAREL</v>
      </c>
      <c r="J2054" s="69">
        <f t="shared" si="64"/>
        <v>7</v>
      </c>
      <c r="K2054" s="69">
        <f t="shared" si="65"/>
        <v>43</v>
      </c>
      <c r="L2054" s="69">
        <f>VLOOKUP(Table_db1_backend_Daily.accdb[[#This Row],[TradingDate]],canon!B:E,4,0)</f>
        <v>29</v>
      </c>
    </row>
    <row r="2055" spans="1:12" x14ac:dyDescent="0.2">
      <c r="A2055" s="69" t="s">
        <v>43</v>
      </c>
      <c r="B2055" s="70">
        <v>42938</v>
      </c>
      <c r="C2055" s="69">
        <v>-11</v>
      </c>
      <c r="D2055" s="69">
        <v>0</v>
      </c>
      <c r="E2055" s="69">
        <v>0</v>
      </c>
      <c r="F2055" s="69">
        <v>0</v>
      </c>
      <c r="G2055" s="69" t="s">
        <v>10</v>
      </c>
      <c r="H2055" s="69" t="str">
        <f>IFERROR(VLOOKUP(Data!$G2055,canon!$I$2:$K$27,2,FALSE),"")</f>
        <v>ACCESSORY</v>
      </c>
      <c r="I2055" s="69" t="str">
        <f>IFERROR(VLOOKUP(Data!$G2055,canon!$I$2:$K$27,3,FALSE),"")</f>
        <v>N.APPAREL</v>
      </c>
      <c r="J2055" s="69">
        <f t="shared" si="64"/>
        <v>7</v>
      </c>
      <c r="K2055" s="69">
        <f t="shared" si="65"/>
        <v>43</v>
      </c>
      <c r="L2055" s="69">
        <f>VLOOKUP(Table_db1_backend_Daily.accdb[[#This Row],[TradingDate]],canon!B:E,4,0)</f>
        <v>29</v>
      </c>
    </row>
    <row r="2056" spans="1:12" x14ac:dyDescent="0.2">
      <c r="A2056" s="69" t="s">
        <v>43</v>
      </c>
      <c r="B2056" s="70">
        <v>42938</v>
      </c>
      <c r="C2056" s="69">
        <v>8</v>
      </c>
      <c r="D2056" s="69">
        <v>0</v>
      </c>
      <c r="E2056" s="69">
        <v>0</v>
      </c>
      <c r="F2056" s="69">
        <v>0</v>
      </c>
      <c r="G2056" s="69" t="s">
        <v>28</v>
      </c>
      <c r="H2056" s="69" t="str">
        <f>IFERROR(VLOOKUP(Data!$G2056,canon!$I$2:$K$27,2,FALSE),"")</f>
        <v>ACCESSORY</v>
      </c>
      <c r="I2056" s="69" t="str">
        <f>IFERROR(VLOOKUP(Data!$G2056,canon!$I$2:$K$27,3,FALSE),"")</f>
        <v>N.APPAREL</v>
      </c>
      <c r="J2056" s="69">
        <f t="shared" si="64"/>
        <v>7</v>
      </c>
      <c r="K2056" s="69">
        <f t="shared" si="65"/>
        <v>43</v>
      </c>
      <c r="L2056" s="69">
        <f>VLOOKUP(Table_db1_backend_Daily.accdb[[#This Row],[TradingDate]],canon!B:E,4,0)</f>
        <v>29</v>
      </c>
    </row>
    <row r="2057" spans="1:12" x14ac:dyDescent="0.2">
      <c r="A2057" s="69" t="s">
        <v>43</v>
      </c>
      <c r="B2057" s="70">
        <v>42938</v>
      </c>
      <c r="C2057" s="69">
        <v>1472</v>
      </c>
      <c r="D2057" s="69">
        <v>59</v>
      </c>
      <c r="E2057" s="69">
        <v>809.00999999999988</v>
      </c>
      <c r="F2057" s="69">
        <v>326.20999999999998</v>
      </c>
      <c r="G2057" s="69" t="s">
        <v>11</v>
      </c>
      <c r="H2057" s="69" t="str">
        <f>IFERROR(VLOOKUP(Data!$G2057,canon!$I$2:$K$27,2,FALSE),"")</f>
        <v>KNIT</v>
      </c>
      <c r="I2057" s="69" t="str">
        <f>IFERROR(VLOOKUP(Data!$G2057,canon!$I$2:$K$27,3,FALSE),"")</f>
        <v>APPAREL</v>
      </c>
      <c r="J2057" s="69">
        <f t="shared" si="64"/>
        <v>7</v>
      </c>
      <c r="K2057" s="69">
        <f t="shared" si="65"/>
        <v>43</v>
      </c>
      <c r="L2057" s="69">
        <f>VLOOKUP(Table_db1_backend_Daily.accdb[[#This Row],[TradingDate]],canon!B:E,4,0)</f>
        <v>29</v>
      </c>
    </row>
    <row r="2058" spans="1:12" x14ac:dyDescent="0.2">
      <c r="A2058" s="69" t="s">
        <v>43</v>
      </c>
      <c r="B2058" s="70">
        <v>42938</v>
      </c>
      <c r="C2058" s="69">
        <v>40</v>
      </c>
      <c r="D2058" s="69">
        <v>3</v>
      </c>
      <c r="E2058" s="69">
        <v>63.61</v>
      </c>
      <c r="F2058" s="69">
        <v>42.96</v>
      </c>
      <c r="G2058" s="69" t="s">
        <v>14</v>
      </c>
      <c r="H2058" s="69" t="str">
        <f>IFERROR(VLOOKUP(Data!$G2058,canon!$I$2:$K$27,2,FALSE),"")</f>
        <v>LEGGING</v>
      </c>
      <c r="I2058" s="69" t="str">
        <f>IFERROR(VLOOKUP(Data!$G2058,canon!$I$2:$K$27,3,FALSE),"")</f>
        <v>APPAREL</v>
      </c>
      <c r="J2058" s="69">
        <f t="shared" si="64"/>
        <v>7</v>
      </c>
      <c r="K2058" s="69">
        <f t="shared" si="65"/>
        <v>43</v>
      </c>
      <c r="L2058" s="69">
        <f>VLOOKUP(Table_db1_backend_Daily.accdb[[#This Row],[TradingDate]],canon!B:E,4,0)</f>
        <v>29</v>
      </c>
    </row>
    <row r="2059" spans="1:12" x14ac:dyDescent="0.2">
      <c r="A2059" s="69" t="s">
        <v>43</v>
      </c>
      <c r="B2059" s="70">
        <v>42938</v>
      </c>
      <c r="C2059" s="69">
        <v>61</v>
      </c>
      <c r="D2059" s="69">
        <v>0</v>
      </c>
      <c r="E2059" s="69">
        <v>0</v>
      </c>
      <c r="F2059" s="69">
        <v>0</v>
      </c>
      <c r="G2059" s="69" t="s">
        <v>37</v>
      </c>
      <c r="H2059" s="69" t="str">
        <f>IFERROR(VLOOKUP(Data!$G2059,canon!$I$2:$K$27,2,FALSE),"")</f>
        <v>SHOES</v>
      </c>
      <c r="I2059" s="69" t="str">
        <f>IFERROR(VLOOKUP(Data!$G2059,canon!$I$2:$K$27,3,FALSE),"")</f>
        <v>N.APPAREL</v>
      </c>
      <c r="J2059" s="69">
        <f t="shared" si="64"/>
        <v>7</v>
      </c>
      <c r="K2059" s="69">
        <f t="shared" si="65"/>
        <v>43</v>
      </c>
      <c r="L2059" s="69">
        <f>VLOOKUP(Table_db1_backend_Daily.accdb[[#This Row],[TradingDate]],canon!B:E,4,0)</f>
        <v>29</v>
      </c>
    </row>
    <row r="2060" spans="1:12" x14ac:dyDescent="0.2">
      <c r="A2060" s="69" t="s">
        <v>43</v>
      </c>
      <c r="B2060" s="70">
        <v>42938</v>
      </c>
      <c r="C2060" s="69">
        <v>61</v>
      </c>
      <c r="D2060" s="69">
        <v>0</v>
      </c>
      <c r="E2060" s="69">
        <v>0</v>
      </c>
      <c r="F2060" s="69">
        <v>0</v>
      </c>
      <c r="G2060" s="69" t="s">
        <v>29</v>
      </c>
      <c r="H2060" s="69" t="str">
        <f>IFERROR(VLOOKUP(Data!$G2060,canon!$I$2:$K$27,2,FALSE),"")</f>
        <v>SHOES</v>
      </c>
      <c r="I2060" s="69" t="str">
        <f>IFERROR(VLOOKUP(Data!$G2060,canon!$I$2:$K$27,3,FALSE),"")</f>
        <v>N.APPAREL</v>
      </c>
      <c r="J2060" s="69">
        <f t="shared" si="64"/>
        <v>7</v>
      </c>
      <c r="K2060" s="69">
        <f t="shared" si="65"/>
        <v>43</v>
      </c>
      <c r="L2060" s="69">
        <f>VLOOKUP(Table_db1_backend_Daily.accdb[[#This Row],[TradingDate]],canon!B:E,4,0)</f>
        <v>29</v>
      </c>
    </row>
    <row r="2061" spans="1:12" x14ac:dyDescent="0.2">
      <c r="A2061" s="69" t="s">
        <v>43</v>
      </c>
      <c r="B2061" s="70">
        <v>42938</v>
      </c>
      <c r="C2061" s="69">
        <v>493</v>
      </c>
      <c r="D2061" s="69">
        <v>4</v>
      </c>
      <c r="E2061" s="69">
        <v>72.72</v>
      </c>
      <c r="F2061" s="69">
        <v>36.64</v>
      </c>
      <c r="G2061" s="69" t="s">
        <v>17</v>
      </c>
      <c r="H2061" s="69" t="str">
        <f>IFERROR(VLOOKUP(Data!$G2061,canon!$I$2:$K$27,2,FALSE),"")</f>
        <v>OUTER</v>
      </c>
      <c r="I2061" s="69" t="str">
        <f>IFERROR(VLOOKUP(Data!$G2061,canon!$I$2:$K$27,3,FALSE),"")</f>
        <v>APPAREL</v>
      </c>
      <c r="J2061" s="69">
        <f t="shared" si="64"/>
        <v>7</v>
      </c>
      <c r="K2061" s="69">
        <f t="shared" si="65"/>
        <v>43</v>
      </c>
      <c r="L2061" s="69">
        <f>VLOOKUP(Table_db1_backend_Daily.accdb[[#This Row],[TradingDate]],canon!B:E,4,0)</f>
        <v>29</v>
      </c>
    </row>
    <row r="2062" spans="1:12" x14ac:dyDescent="0.2">
      <c r="A2062" s="69" t="s">
        <v>43</v>
      </c>
      <c r="B2062" s="70">
        <v>42938</v>
      </c>
      <c r="C2062" s="69">
        <v>195</v>
      </c>
      <c r="D2062" s="69">
        <v>0</v>
      </c>
      <c r="E2062" s="69">
        <v>0</v>
      </c>
      <c r="F2062" s="69">
        <v>0</v>
      </c>
      <c r="G2062" s="69" t="s">
        <v>19</v>
      </c>
      <c r="H2062" s="69" t="str">
        <f>IFERROR(VLOOKUP(Data!$G2062,canon!$I$2:$K$27,2,FALSE),"")</f>
        <v>PANT</v>
      </c>
      <c r="I2062" s="69" t="str">
        <f>IFERROR(VLOOKUP(Data!$G2062,canon!$I$2:$K$27,3,FALSE),"")</f>
        <v>APPAREL</v>
      </c>
      <c r="J2062" s="69">
        <f t="shared" si="64"/>
        <v>7</v>
      </c>
      <c r="K2062" s="69">
        <f t="shared" si="65"/>
        <v>43</v>
      </c>
      <c r="L2062" s="69">
        <f>VLOOKUP(Table_db1_backend_Daily.accdb[[#This Row],[TradingDate]],canon!B:E,4,0)</f>
        <v>29</v>
      </c>
    </row>
    <row r="2063" spans="1:12" x14ac:dyDescent="0.2">
      <c r="A2063" s="69" t="s">
        <v>43</v>
      </c>
      <c r="B2063" s="70">
        <v>42938</v>
      </c>
      <c r="C2063" s="69">
        <v>64</v>
      </c>
      <c r="D2063" s="69">
        <v>0</v>
      </c>
      <c r="E2063" s="69">
        <v>0</v>
      </c>
      <c r="F2063" s="69">
        <v>0</v>
      </c>
      <c r="G2063" s="69" t="s">
        <v>21</v>
      </c>
      <c r="H2063" s="69" t="str">
        <f>IFERROR(VLOOKUP(Data!$G2063,canon!$I$2:$K$27,2,FALSE),"")</f>
        <v>ACCESSORY</v>
      </c>
      <c r="I2063" s="69" t="str">
        <f>IFERROR(VLOOKUP(Data!$G2063,canon!$I$2:$K$27,3,FALSE),"")</f>
        <v>N.APPAREL</v>
      </c>
      <c r="J2063" s="69">
        <f t="shared" si="64"/>
        <v>7</v>
      </c>
      <c r="K2063" s="69">
        <f t="shared" si="65"/>
        <v>43</v>
      </c>
      <c r="L2063" s="69">
        <f>VLOOKUP(Table_db1_backend_Daily.accdb[[#This Row],[TradingDate]],canon!B:E,4,0)</f>
        <v>29</v>
      </c>
    </row>
    <row r="2064" spans="1:12" x14ac:dyDescent="0.2">
      <c r="A2064" s="69" t="s">
        <v>43</v>
      </c>
      <c r="B2064" s="70">
        <v>42938</v>
      </c>
      <c r="C2064" s="69">
        <v>686</v>
      </c>
      <c r="D2064" s="69">
        <v>12</v>
      </c>
      <c r="E2064" s="69">
        <v>70.67</v>
      </c>
      <c r="F2064" s="69">
        <v>49.94</v>
      </c>
      <c r="G2064" s="69" t="s">
        <v>22</v>
      </c>
      <c r="H2064" s="69" t="str">
        <f>IFERROR(VLOOKUP(Data!$G2064,canon!$I$2:$K$27,2,FALSE),"")</f>
        <v>SCARF</v>
      </c>
      <c r="I2064" s="69" t="str">
        <f>IFERROR(VLOOKUP(Data!$G2064,canon!$I$2:$K$27,3,FALSE),"")</f>
        <v>N.APPAREL</v>
      </c>
      <c r="J2064" s="69">
        <f t="shared" si="64"/>
        <v>7</v>
      </c>
      <c r="K2064" s="69">
        <f t="shared" si="65"/>
        <v>43</v>
      </c>
      <c r="L2064" s="69">
        <f>VLOOKUP(Table_db1_backend_Daily.accdb[[#This Row],[TradingDate]],canon!B:E,4,0)</f>
        <v>29</v>
      </c>
    </row>
    <row r="2065" spans="1:12" x14ac:dyDescent="0.2">
      <c r="A2065" s="69" t="s">
        <v>43</v>
      </c>
      <c r="B2065" s="70">
        <v>42938</v>
      </c>
      <c r="C2065" s="69">
        <v>37</v>
      </c>
      <c r="D2065" s="69">
        <v>2</v>
      </c>
      <c r="E2065" s="69">
        <v>18.18</v>
      </c>
      <c r="F2065" s="69">
        <v>5.14</v>
      </c>
      <c r="G2065" s="69" t="s">
        <v>23</v>
      </c>
      <c r="H2065" s="69" t="str">
        <f>IFERROR(VLOOKUP(Data!$G2065,canon!$I$2:$K$27,2,FALSE),"")</f>
        <v>SH&amp;BL</v>
      </c>
      <c r="I2065" s="69" t="str">
        <f>IFERROR(VLOOKUP(Data!$G2065,canon!$I$2:$K$27,3,FALSE),"")</f>
        <v>APPAREL</v>
      </c>
      <c r="J2065" s="69">
        <f t="shared" si="64"/>
        <v>7</v>
      </c>
      <c r="K2065" s="69">
        <f t="shared" si="65"/>
        <v>43</v>
      </c>
      <c r="L2065" s="69">
        <f>VLOOKUP(Table_db1_backend_Daily.accdb[[#This Row],[TradingDate]],canon!B:E,4,0)</f>
        <v>29</v>
      </c>
    </row>
    <row r="2066" spans="1:12" x14ac:dyDescent="0.2">
      <c r="A2066" s="69" t="s">
        <v>43</v>
      </c>
      <c r="B2066" s="70">
        <v>42938</v>
      </c>
      <c r="C2066" s="69">
        <v>-20</v>
      </c>
      <c r="D2066" s="69">
        <v>5</v>
      </c>
      <c r="E2066" s="69">
        <v>90.81</v>
      </c>
      <c r="F2066" s="69">
        <v>65.81</v>
      </c>
      <c r="G2066" s="69" t="s">
        <v>32</v>
      </c>
      <c r="H2066" s="69" t="str">
        <f>IFERROR(VLOOKUP(Data!$G2066,canon!$I$2:$K$27,2,FALSE),"")</f>
        <v>SKIRT</v>
      </c>
      <c r="I2066" s="69" t="str">
        <f>IFERROR(VLOOKUP(Data!$G2066,canon!$I$2:$K$27,3,FALSE),"")</f>
        <v>APPAREL</v>
      </c>
      <c r="J2066" s="69">
        <f t="shared" si="64"/>
        <v>7</v>
      </c>
      <c r="K2066" s="69">
        <f t="shared" si="65"/>
        <v>43</v>
      </c>
      <c r="L2066" s="69">
        <f>VLOOKUP(Table_db1_backend_Daily.accdb[[#This Row],[TradingDate]],canon!B:E,4,0)</f>
        <v>29</v>
      </c>
    </row>
    <row r="2067" spans="1:12" x14ac:dyDescent="0.2">
      <c r="A2067" s="69" t="s">
        <v>43</v>
      </c>
      <c r="B2067" s="70">
        <v>42938</v>
      </c>
      <c r="C2067" s="69">
        <v>710</v>
      </c>
      <c r="D2067" s="69">
        <v>10</v>
      </c>
      <c r="E2067" s="69">
        <v>117.99000000000001</v>
      </c>
      <c r="F2067" s="69">
        <v>69.7</v>
      </c>
      <c r="G2067" s="69" t="s">
        <v>25</v>
      </c>
      <c r="H2067" s="69" t="str">
        <f>IFERROR(VLOOKUP(Data!$G2067,canon!$I$2:$K$27,2,FALSE),"")</f>
        <v>TOP</v>
      </c>
      <c r="I2067" s="69" t="str">
        <f>IFERROR(VLOOKUP(Data!$G2067,canon!$I$2:$K$27,3,FALSE),"")</f>
        <v>APPAREL</v>
      </c>
      <c r="J2067" s="69">
        <f t="shared" si="64"/>
        <v>7</v>
      </c>
      <c r="K2067" s="69">
        <f t="shared" si="65"/>
        <v>43</v>
      </c>
      <c r="L2067" s="69">
        <f>VLOOKUP(Table_db1_backend_Daily.accdb[[#This Row],[TradingDate]],canon!B:E,4,0)</f>
        <v>29</v>
      </c>
    </row>
    <row r="2068" spans="1:12" x14ac:dyDescent="0.2">
      <c r="A2068" s="69" t="s">
        <v>43</v>
      </c>
      <c r="B2068" s="70">
        <v>42939</v>
      </c>
      <c r="C2068" s="69">
        <v>10</v>
      </c>
      <c r="D2068" s="69">
        <v>0</v>
      </c>
      <c r="E2068" s="69">
        <v>0</v>
      </c>
      <c r="F2068" s="69">
        <v>0</v>
      </c>
      <c r="G2068" s="69" t="s">
        <v>27</v>
      </c>
      <c r="H2068" s="69" t="str">
        <f>IFERROR(VLOOKUP(Data!$G2068,canon!$I$2:$K$27,2,FALSE),"")</f>
        <v>ACCESSORY</v>
      </c>
      <c r="I2068" s="69" t="str">
        <f>IFERROR(VLOOKUP(Data!$G2068,canon!$I$2:$K$27,3,FALSE),"")</f>
        <v>N.APPAREL</v>
      </c>
      <c r="J2068" s="69">
        <f t="shared" si="64"/>
        <v>1</v>
      </c>
      <c r="K2068" s="69">
        <f t="shared" si="65"/>
        <v>43</v>
      </c>
      <c r="L2068" s="69">
        <f>VLOOKUP(Table_db1_backend_Daily.accdb[[#This Row],[TradingDate]],canon!B:E,4,0)</f>
        <v>30</v>
      </c>
    </row>
    <row r="2069" spans="1:12" x14ac:dyDescent="0.2">
      <c r="A2069" s="69" t="s">
        <v>43</v>
      </c>
      <c r="B2069" s="70">
        <v>42939</v>
      </c>
      <c r="C2069" s="69">
        <v>4</v>
      </c>
      <c r="D2069" s="69">
        <v>0</v>
      </c>
      <c r="E2069" s="69">
        <v>0</v>
      </c>
      <c r="F2069" s="69">
        <v>0</v>
      </c>
      <c r="G2069" s="69" t="s">
        <v>34</v>
      </c>
      <c r="H2069" s="69" t="str">
        <f>IFERROR(VLOOKUP(Data!$G2069,canon!$I$2:$K$27,2,FALSE),"")</f>
        <v>SHOES</v>
      </c>
      <c r="I2069" s="69" t="str">
        <f>IFERROR(VLOOKUP(Data!$G2069,canon!$I$2:$K$27,3,FALSE),"")</f>
        <v>N.APPAREL</v>
      </c>
      <c r="J2069" s="69">
        <f t="shared" si="64"/>
        <v>1</v>
      </c>
      <c r="K2069" s="69">
        <f t="shared" si="65"/>
        <v>43</v>
      </c>
      <c r="L2069" s="69">
        <f>VLOOKUP(Table_db1_backend_Daily.accdb[[#This Row],[TradingDate]],canon!B:E,4,0)</f>
        <v>30</v>
      </c>
    </row>
    <row r="2070" spans="1:12" x14ac:dyDescent="0.2">
      <c r="A2070" s="69" t="s">
        <v>43</v>
      </c>
      <c r="B2070" s="70">
        <v>42939</v>
      </c>
      <c r="C2070" s="69">
        <v>496</v>
      </c>
      <c r="D2070" s="69">
        <v>4</v>
      </c>
      <c r="E2070" s="69">
        <v>72.72</v>
      </c>
      <c r="F2070" s="69">
        <v>42.28</v>
      </c>
      <c r="G2070" s="69" t="s">
        <v>35</v>
      </c>
      <c r="H2070" s="69" t="str">
        <f>IFERROR(VLOOKUP(Data!$G2070,canon!$I$2:$K$27,2,FALSE),"")</f>
        <v>DRESS</v>
      </c>
      <c r="I2070" s="69" t="str">
        <f>IFERROR(VLOOKUP(Data!$G2070,canon!$I$2:$K$27,3,FALSE),"")</f>
        <v>APPAREL</v>
      </c>
      <c r="J2070" s="69">
        <f t="shared" si="64"/>
        <v>1</v>
      </c>
      <c r="K2070" s="69">
        <f t="shared" si="65"/>
        <v>43</v>
      </c>
      <c r="L2070" s="69">
        <f>VLOOKUP(Table_db1_backend_Daily.accdb[[#This Row],[TradingDate]],canon!B:E,4,0)</f>
        <v>30</v>
      </c>
    </row>
    <row r="2071" spans="1:12" x14ac:dyDescent="0.2">
      <c r="A2071" s="69" t="s">
        <v>43</v>
      </c>
      <c r="B2071" s="70">
        <v>42939</v>
      </c>
      <c r="C2071" s="69">
        <v>-11</v>
      </c>
      <c r="D2071" s="69">
        <v>0</v>
      </c>
      <c r="E2071" s="69">
        <v>0</v>
      </c>
      <c r="F2071" s="69">
        <v>0</v>
      </c>
      <c r="G2071" s="69" t="s">
        <v>10</v>
      </c>
      <c r="H2071" s="69" t="str">
        <f>IFERROR(VLOOKUP(Data!$G2071,canon!$I$2:$K$27,2,FALSE),"")</f>
        <v>ACCESSORY</v>
      </c>
      <c r="I2071" s="69" t="str">
        <f>IFERROR(VLOOKUP(Data!$G2071,canon!$I$2:$K$27,3,FALSE),"")</f>
        <v>N.APPAREL</v>
      </c>
      <c r="J2071" s="69">
        <f t="shared" si="64"/>
        <v>1</v>
      </c>
      <c r="K2071" s="69">
        <f t="shared" si="65"/>
        <v>43</v>
      </c>
      <c r="L2071" s="69">
        <f>VLOOKUP(Table_db1_backend_Daily.accdb[[#This Row],[TradingDate]],canon!B:E,4,0)</f>
        <v>30</v>
      </c>
    </row>
    <row r="2072" spans="1:12" x14ac:dyDescent="0.2">
      <c r="A2072" s="69" t="s">
        <v>43</v>
      </c>
      <c r="B2072" s="70">
        <v>42939</v>
      </c>
      <c r="C2072" s="69">
        <v>8</v>
      </c>
      <c r="D2072" s="69">
        <v>0</v>
      </c>
      <c r="E2072" s="69">
        <v>0</v>
      </c>
      <c r="F2072" s="69">
        <v>0</v>
      </c>
      <c r="G2072" s="69" t="s">
        <v>28</v>
      </c>
      <c r="H2072" s="69" t="str">
        <f>IFERROR(VLOOKUP(Data!$G2072,canon!$I$2:$K$27,2,FALSE),"")</f>
        <v>ACCESSORY</v>
      </c>
      <c r="I2072" s="69" t="str">
        <f>IFERROR(VLOOKUP(Data!$G2072,canon!$I$2:$K$27,3,FALSE),"")</f>
        <v>N.APPAREL</v>
      </c>
      <c r="J2072" s="69">
        <f t="shared" si="64"/>
        <v>1</v>
      </c>
      <c r="K2072" s="69">
        <f t="shared" si="65"/>
        <v>43</v>
      </c>
      <c r="L2072" s="69">
        <f>VLOOKUP(Table_db1_backend_Daily.accdb[[#This Row],[TradingDate]],canon!B:E,4,0)</f>
        <v>30</v>
      </c>
    </row>
    <row r="2073" spans="1:12" x14ac:dyDescent="0.2">
      <c r="A2073" s="69" t="s">
        <v>43</v>
      </c>
      <c r="B2073" s="70">
        <v>42939</v>
      </c>
      <c r="C2073" s="69">
        <v>1452</v>
      </c>
      <c r="D2073" s="69">
        <v>20</v>
      </c>
      <c r="E2073" s="69">
        <v>263.62000000000006</v>
      </c>
      <c r="F2073" s="69">
        <v>100.49000000000001</v>
      </c>
      <c r="G2073" s="69" t="s">
        <v>11</v>
      </c>
      <c r="H2073" s="69" t="str">
        <f>IFERROR(VLOOKUP(Data!$G2073,canon!$I$2:$K$27,2,FALSE),"")</f>
        <v>KNIT</v>
      </c>
      <c r="I2073" s="69" t="str">
        <f>IFERROR(VLOOKUP(Data!$G2073,canon!$I$2:$K$27,3,FALSE),"")</f>
        <v>APPAREL</v>
      </c>
      <c r="J2073" s="69">
        <f t="shared" si="64"/>
        <v>1</v>
      </c>
      <c r="K2073" s="69">
        <f t="shared" si="65"/>
        <v>43</v>
      </c>
      <c r="L2073" s="69">
        <f>VLOOKUP(Table_db1_backend_Daily.accdb[[#This Row],[TradingDate]],canon!B:E,4,0)</f>
        <v>30</v>
      </c>
    </row>
    <row r="2074" spans="1:12" x14ac:dyDescent="0.2">
      <c r="A2074" s="69" t="s">
        <v>43</v>
      </c>
      <c r="B2074" s="70">
        <v>42939</v>
      </c>
      <c r="C2074" s="69">
        <v>40</v>
      </c>
      <c r="D2074" s="69">
        <v>0</v>
      </c>
      <c r="E2074" s="69">
        <v>0</v>
      </c>
      <c r="F2074" s="69">
        <v>0</v>
      </c>
      <c r="G2074" s="69" t="s">
        <v>14</v>
      </c>
      <c r="H2074" s="69" t="str">
        <f>IFERROR(VLOOKUP(Data!$G2074,canon!$I$2:$K$27,2,FALSE),"")</f>
        <v>LEGGING</v>
      </c>
      <c r="I2074" s="69" t="str">
        <f>IFERROR(VLOOKUP(Data!$G2074,canon!$I$2:$K$27,3,FALSE),"")</f>
        <v>APPAREL</v>
      </c>
      <c r="J2074" s="69">
        <f t="shared" si="64"/>
        <v>1</v>
      </c>
      <c r="K2074" s="69">
        <f t="shared" si="65"/>
        <v>43</v>
      </c>
      <c r="L2074" s="69">
        <f>VLOOKUP(Table_db1_backend_Daily.accdb[[#This Row],[TradingDate]],canon!B:E,4,0)</f>
        <v>30</v>
      </c>
    </row>
    <row r="2075" spans="1:12" x14ac:dyDescent="0.2">
      <c r="A2075" s="69" t="s">
        <v>43</v>
      </c>
      <c r="B2075" s="70">
        <v>42939</v>
      </c>
      <c r="C2075" s="69">
        <v>61</v>
      </c>
      <c r="D2075" s="69">
        <v>0</v>
      </c>
      <c r="E2075" s="69">
        <v>0</v>
      </c>
      <c r="F2075" s="69">
        <v>0</v>
      </c>
      <c r="G2075" s="69" t="s">
        <v>37</v>
      </c>
      <c r="H2075" s="69" t="str">
        <f>IFERROR(VLOOKUP(Data!$G2075,canon!$I$2:$K$27,2,FALSE),"")</f>
        <v>SHOES</v>
      </c>
      <c r="I2075" s="69" t="str">
        <f>IFERROR(VLOOKUP(Data!$G2075,canon!$I$2:$K$27,3,FALSE),"")</f>
        <v>N.APPAREL</v>
      </c>
      <c r="J2075" s="69">
        <f t="shared" si="64"/>
        <v>1</v>
      </c>
      <c r="K2075" s="69">
        <f t="shared" si="65"/>
        <v>43</v>
      </c>
      <c r="L2075" s="69">
        <f>VLOOKUP(Table_db1_backend_Daily.accdb[[#This Row],[TradingDate]],canon!B:E,4,0)</f>
        <v>30</v>
      </c>
    </row>
    <row r="2076" spans="1:12" x14ac:dyDescent="0.2">
      <c r="A2076" s="69" t="s">
        <v>43</v>
      </c>
      <c r="B2076" s="70">
        <v>42939</v>
      </c>
      <c r="C2076" s="69">
        <v>61</v>
      </c>
      <c r="D2076" s="69">
        <v>0</v>
      </c>
      <c r="E2076" s="69">
        <v>0</v>
      </c>
      <c r="F2076" s="69">
        <v>0</v>
      </c>
      <c r="G2076" s="69" t="s">
        <v>29</v>
      </c>
      <c r="H2076" s="69" t="str">
        <f>IFERROR(VLOOKUP(Data!$G2076,canon!$I$2:$K$27,2,FALSE),"")</f>
        <v>SHOES</v>
      </c>
      <c r="I2076" s="69" t="str">
        <f>IFERROR(VLOOKUP(Data!$G2076,canon!$I$2:$K$27,3,FALSE),"")</f>
        <v>N.APPAREL</v>
      </c>
      <c r="J2076" s="69">
        <f t="shared" si="64"/>
        <v>1</v>
      </c>
      <c r="K2076" s="69">
        <f t="shared" si="65"/>
        <v>43</v>
      </c>
      <c r="L2076" s="69">
        <f>VLOOKUP(Table_db1_backend_Daily.accdb[[#This Row],[TradingDate]],canon!B:E,4,0)</f>
        <v>30</v>
      </c>
    </row>
    <row r="2077" spans="1:12" x14ac:dyDescent="0.2">
      <c r="A2077" s="69" t="s">
        <v>43</v>
      </c>
      <c r="B2077" s="70">
        <v>42939</v>
      </c>
      <c r="C2077" s="69">
        <v>491</v>
      </c>
      <c r="D2077" s="69">
        <v>2</v>
      </c>
      <c r="E2077" s="69">
        <v>36.36</v>
      </c>
      <c r="F2077" s="69">
        <v>18.32</v>
      </c>
      <c r="G2077" s="69" t="s">
        <v>17</v>
      </c>
      <c r="H2077" s="69" t="str">
        <f>IFERROR(VLOOKUP(Data!$G2077,canon!$I$2:$K$27,2,FALSE),"")</f>
        <v>OUTER</v>
      </c>
      <c r="I2077" s="69" t="str">
        <f>IFERROR(VLOOKUP(Data!$G2077,canon!$I$2:$K$27,3,FALSE),"")</f>
        <v>APPAREL</v>
      </c>
      <c r="J2077" s="69">
        <f t="shared" si="64"/>
        <v>1</v>
      </c>
      <c r="K2077" s="69">
        <f t="shared" si="65"/>
        <v>43</v>
      </c>
      <c r="L2077" s="69">
        <f>VLOOKUP(Table_db1_backend_Daily.accdb[[#This Row],[TradingDate]],canon!B:E,4,0)</f>
        <v>30</v>
      </c>
    </row>
    <row r="2078" spans="1:12" x14ac:dyDescent="0.2">
      <c r="A2078" s="69" t="s">
        <v>43</v>
      </c>
      <c r="B2078" s="70">
        <v>42939</v>
      </c>
      <c r="C2078" s="69">
        <v>194</v>
      </c>
      <c r="D2078" s="69">
        <v>1</v>
      </c>
      <c r="E2078" s="69">
        <v>18.18</v>
      </c>
      <c r="F2078" s="69">
        <v>9.48</v>
      </c>
      <c r="G2078" s="69" t="s">
        <v>19</v>
      </c>
      <c r="H2078" s="69" t="str">
        <f>IFERROR(VLOOKUP(Data!$G2078,canon!$I$2:$K$27,2,FALSE),"")</f>
        <v>PANT</v>
      </c>
      <c r="I2078" s="69" t="str">
        <f>IFERROR(VLOOKUP(Data!$G2078,canon!$I$2:$K$27,3,FALSE),"")</f>
        <v>APPAREL</v>
      </c>
      <c r="J2078" s="69">
        <f t="shared" si="64"/>
        <v>1</v>
      </c>
      <c r="K2078" s="69">
        <f t="shared" si="65"/>
        <v>43</v>
      </c>
      <c r="L2078" s="69">
        <f>VLOOKUP(Table_db1_backend_Daily.accdb[[#This Row],[TradingDate]],canon!B:E,4,0)</f>
        <v>30</v>
      </c>
    </row>
    <row r="2079" spans="1:12" x14ac:dyDescent="0.2">
      <c r="A2079" s="69" t="s">
        <v>43</v>
      </c>
      <c r="B2079" s="70">
        <v>42939</v>
      </c>
      <c r="C2079" s="69">
        <v>64</v>
      </c>
      <c r="D2079" s="69">
        <v>0</v>
      </c>
      <c r="E2079" s="69">
        <v>0</v>
      </c>
      <c r="F2079" s="69">
        <v>0</v>
      </c>
      <c r="G2079" s="69" t="s">
        <v>21</v>
      </c>
      <c r="H2079" s="69" t="str">
        <f>IFERROR(VLOOKUP(Data!$G2079,canon!$I$2:$K$27,2,FALSE),"")</f>
        <v>ACCESSORY</v>
      </c>
      <c r="I2079" s="69" t="str">
        <f>IFERROR(VLOOKUP(Data!$G2079,canon!$I$2:$K$27,3,FALSE),"")</f>
        <v>N.APPAREL</v>
      </c>
      <c r="J2079" s="69">
        <f t="shared" si="64"/>
        <v>1</v>
      </c>
      <c r="K2079" s="69">
        <f t="shared" si="65"/>
        <v>43</v>
      </c>
      <c r="L2079" s="69">
        <f>VLOOKUP(Table_db1_backend_Daily.accdb[[#This Row],[TradingDate]],canon!B:E,4,0)</f>
        <v>30</v>
      </c>
    </row>
    <row r="2080" spans="1:12" x14ac:dyDescent="0.2">
      <c r="A2080" s="69" t="s">
        <v>43</v>
      </c>
      <c r="B2080" s="70">
        <v>42939</v>
      </c>
      <c r="C2080" s="69">
        <v>683</v>
      </c>
      <c r="D2080" s="69">
        <v>3</v>
      </c>
      <c r="E2080" s="69">
        <v>13.649999999999999</v>
      </c>
      <c r="F2080" s="69">
        <v>8.870000000000001</v>
      </c>
      <c r="G2080" s="69" t="s">
        <v>22</v>
      </c>
      <c r="H2080" s="69" t="str">
        <f>IFERROR(VLOOKUP(Data!$G2080,canon!$I$2:$K$27,2,FALSE),"")</f>
        <v>SCARF</v>
      </c>
      <c r="I2080" s="69" t="str">
        <f>IFERROR(VLOOKUP(Data!$G2080,canon!$I$2:$K$27,3,FALSE),"")</f>
        <v>N.APPAREL</v>
      </c>
      <c r="J2080" s="69">
        <f t="shared" si="64"/>
        <v>1</v>
      </c>
      <c r="K2080" s="69">
        <f t="shared" si="65"/>
        <v>43</v>
      </c>
      <c r="L2080" s="69">
        <f>VLOOKUP(Table_db1_backend_Daily.accdb[[#This Row],[TradingDate]],canon!B:E,4,0)</f>
        <v>30</v>
      </c>
    </row>
    <row r="2081" spans="1:12" x14ac:dyDescent="0.2">
      <c r="A2081" s="69" t="s">
        <v>43</v>
      </c>
      <c r="B2081" s="70">
        <v>42939</v>
      </c>
      <c r="C2081" s="69">
        <v>37</v>
      </c>
      <c r="D2081" s="69">
        <v>0</v>
      </c>
      <c r="E2081" s="69">
        <v>0</v>
      </c>
      <c r="F2081" s="69">
        <v>0</v>
      </c>
      <c r="G2081" s="69" t="s">
        <v>23</v>
      </c>
      <c r="H2081" s="69" t="str">
        <f>IFERROR(VLOOKUP(Data!$G2081,canon!$I$2:$K$27,2,FALSE),"")</f>
        <v>SH&amp;BL</v>
      </c>
      <c r="I2081" s="69" t="str">
        <f>IFERROR(VLOOKUP(Data!$G2081,canon!$I$2:$K$27,3,FALSE),"")</f>
        <v>APPAREL</v>
      </c>
      <c r="J2081" s="69">
        <f t="shared" si="64"/>
        <v>1</v>
      </c>
      <c r="K2081" s="69">
        <f t="shared" si="65"/>
        <v>43</v>
      </c>
      <c r="L2081" s="69">
        <f>VLOOKUP(Table_db1_backend_Daily.accdb[[#This Row],[TradingDate]],canon!B:E,4,0)</f>
        <v>30</v>
      </c>
    </row>
    <row r="2082" spans="1:12" x14ac:dyDescent="0.2">
      <c r="A2082" s="69" t="s">
        <v>43</v>
      </c>
      <c r="B2082" s="70">
        <v>42939</v>
      </c>
      <c r="C2082" s="69">
        <v>-20</v>
      </c>
      <c r="D2082" s="69">
        <v>0</v>
      </c>
      <c r="E2082" s="69">
        <v>0</v>
      </c>
      <c r="F2082" s="69">
        <v>0</v>
      </c>
      <c r="G2082" s="69" t="s">
        <v>32</v>
      </c>
      <c r="H2082" s="69" t="str">
        <f>IFERROR(VLOOKUP(Data!$G2082,canon!$I$2:$K$27,2,FALSE),"")</f>
        <v>SKIRT</v>
      </c>
      <c r="I2082" s="69" t="str">
        <f>IFERROR(VLOOKUP(Data!$G2082,canon!$I$2:$K$27,3,FALSE),"")</f>
        <v>APPAREL</v>
      </c>
      <c r="J2082" s="69">
        <f t="shared" si="64"/>
        <v>1</v>
      </c>
      <c r="K2082" s="69">
        <f t="shared" si="65"/>
        <v>43</v>
      </c>
      <c r="L2082" s="69">
        <f>VLOOKUP(Table_db1_backend_Daily.accdb[[#This Row],[TradingDate]],canon!B:E,4,0)</f>
        <v>30</v>
      </c>
    </row>
    <row r="2083" spans="1:12" x14ac:dyDescent="0.2">
      <c r="A2083" s="69" t="s">
        <v>43</v>
      </c>
      <c r="B2083" s="70">
        <v>42939</v>
      </c>
      <c r="C2083" s="69">
        <v>698</v>
      </c>
      <c r="D2083" s="69">
        <v>12</v>
      </c>
      <c r="E2083" s="69">
        <v>140.77000000000001</v>
      </c>
      <c r="F2083" s="69">
        <v>77.179999999999993</v>
      </c>
      <c r="G2083" s="69" t="s">
        <v>25</v>
      </c>
      <c r="H2083" s="69" t="str">
        <f>IFERROR(VLOOKUP(Data!$G2083,canon!$I$2:$K$27,2,FALSE),"")</f>
        <v>TOP</v>
      </c>
      <c r="I2083" s="69" t="str">
        <f>IFERROR(VLOOKUP(Data!$G2083,canon!$I$2:$K$27,3,FALSE),"")</f>
        <v>APPAREL</v>
      </c>
      <c r="J2083" s="69">
        <f t="shared" si="64"/>
        <v>1</v>
      </c>
      <c r="K2083" s="69">
        <f t="shared" si="65"/>
        <v>43</v>
      </c>
      <c r="L2083" s="69">
        <f>VLOOKUP(Table_db1_backend_Daily.accdb[[#This Row],[TradingDate]],canon!B:E,4,0)</f>
        <v>30</v>
      </c>
    </row>
    <row r="2084" spans="1:12" x14ac:dyDescent="0.2">
      <c r="A2084" s="69" t="s">
        <v>43</v>
      </c>
      <c r="B2084" s="70">
        <v>42940</v>
      </c>
      <c r="C2084" s="69">
        <v>10</v>
      </c>
      <c r="D2084" s="69">
        <v>0</v>
      </c>
      <c r="E2084" s="69">
        <v>0</v>
      </c>
      <c r="F2084" s="69">
        <v>0</v>
      </c>
      <c r="G2084" s="69" t="s">
        <v>27</v>
      </c>
      <c r="H2084" s="69" t="str">
        <f>IFERROR(VLOOKUP(Data!$G2084,canon!$I$2:$K$27,2,FALSE),"")</f>
        <v>ACCESSORY</v>
      </c>
      <c r="I2084" s="69" t="str">
        <f>IFERROR(VLOOKUP(Data!$G2084,canon!$I$2:$K$27,3,FALSE),"")</f>
        <v>N.APPAREL</v>
      </c>
      <c r="J2084" s="69">
        <f t="shared" si="64"/>
        <v>2</v>
      </c>
      <c r="K2084" s="69">
        <f t="shared" si="65"/>
        <v>43</v>
      </c>
      <c r="L2084" s="69">
        <f>VLOOKUP(Table_db1_backend_Daily.accdb[[#This Row],[TradingDate]],canon!B:E,4,0)</f>
        <v>30</v>
      </c>
    </row>
    <row r="2085" spans="1:12" x14ac:dyDescent="0.2">
      <c r="A2085" s="69" t="s">
        <v>43</v>
      </c>
      <c r="B2085" s="70">
        <v>42940</v>
      </c>
      <c r="C2085" s="69">
        <v>4</v>
      </c>
      <c r="D2085" s="69">
        <v>0</v>
      </c>
      <c r="E2085" s="69">
        <v>0</v>
      </c>
      <c r="F2085" s="69">
        <v>0</v>
      </c>
      <c r="G2085" s="69" t="s">
        <v>34</v>
      </c>
      <c r="H2085" s="69" t="str">
        <f>IFERROR(VLOOKUP(Data!$G2085,canon!$I$2:$K$27,2,FALSE),"")</f>
        <v>SHOES</v>
      </c>
      <c r="I2085" s="69" t="str">
        <f>IFERROR(VLOOKUP(Data!$G2085,canon!$I$2:$K$27,3,FALSE),"")</f>
        <v>N.APPAREL</v>
      </c>
      <c r="J2085" s="69">
        <f t="shared" si="64"/>
        <v>2</v>
      </c>
      <c r="K2085" s="69">
        <f t="shared" si="65"/>
        <v>43</v>
      </c>
      <c r="L2085" s="69">
        <f>VLOOKUP(Table_db1_backend_Daily.accdb[[#This Row],[TradingDate]],canon!B:E,4,0)</f>
        <v>30</v>
      </c>
    </row>
    <row r="2086" spans="1:12" x14ac:dyDescent="0.2">
      <c r="A2086" s="69" t="s">
        <v>43</v>
      </c>
      <c r="B2086" s="70">
        <v>42940</v>
      </c>
      <c r="C2086" s="69">
        <v>647</v>
      </c>
      <c r="D2086" s="69">
        <v>5</v>
      </c>
      <c r="E2086" s="69">
        <v>81.81</v>
      </c>
      <c r="F2086" s="69">
        <v>42.459999999999994</v>
      </c>
      <c r="G2086" s="69" t="s">
        <v>35</v>
      </c>
      <c r="H2086" s="69" t="str">
        <f>IFERROR(VLOOKUP(Data!$G2086,canon!$I$2:$K$27,2,FALSE),"")</f>
        <v>DRESS</v>
      </c>
      <c r="I2086" s="69" t="str">
        <f>IFERROR(VLOOKUP(Data!$G2086,canon!$I$2:$K$27,3,FALSE),"")</f>
        <v>APPAREL</v>
      </c>
      <c r="J2086" s="69">
        <f t="shared" si="64"/>
        <v>2</v>
      </c>
      <c r="K2086" s="69">
        <f t="shared" si="65"/>
        <v>43</v>
      </c>
      <c r="L2086" s="69">
        <f>VLOOKUP(Table_db1_backend_Daily.accdb[[#This Row],[TradingDate]],canon!B:E,4,0)</f>
        <v>30</v>
      </c>
    </row>
    <row r="2087" spans="1:12" x14ac:dyDescent="0.2">
      <c r="A2087" s="69" t="s">
        <v>43</v>
      </c>
      <c r="B2087" s="70">
        <v>42940</v>
      </c>
      <c r="C2087" s="69">
        <v>-11</v>
      </c>
      <c r="D2087" s="69">
        <v>0</v>
      </c>
      <c r="E2087" s="69">
        <v>0</v>
      </c>
      <c r="F2087" s="69">
        <v>0</v>
      </c>
      <c r="G2087" s="69" t="s">
        <v>10</v>
      </c>
      <c r="H2087" s="69" t="str">
        <f>IFERROR(VLOOKUP(Data!$G2087,canon!$I$2:$K$27,2,FALSE),"")</f>
        <v>ACCESSORY</v>
      </c>
      <c r="I2087" s="69" t="str">
        <f>IFERROR(VLOOKUP(Data!$G2087,canon!$I$2:$K$27,3,FALSE),"")</f>
        <v>N.APPAREL</v>
      </c>
      <c r="J2087" s="69">
        <f t="shared" si="64"/>
        <v>2</v>
      </c>
      <c r="K2087" s="69">
        <f t="shared" si="65"/>
        <v>43</v>
      </c>
      <c r="L2087" s="69">
        <f>VLOOKUP(Table_db1_backend_Daily.accdb[[#This Row],[TradingDate]],canon!B:E,4,0)</f>
        <v>30</v>
      </c>
    </row>
    <row r="2088" spans="1:12" x14ac:dyDescent="0.2">
      <c r="A2088" s="69" t="s">
        <v>43</v>
      </c>
      <c r="B2088" s="70">
        <v>42940</v>
      </c>
      <c r="C2088" s="69">
        <v>8</v>
      </c>
      <c r="D2088" s="69">
        <v>0</v>
      </c>
      <c r="E2088" s="69">
        <v>0</v>
      </c>
      <c r="F2088" s="69">
        <v>0</v>
      </c>
      <c r="G2088" s="69" t="s">
        <v>28</v>
      </c>
      <c r="H2088" s="69" t="str">
        <f>IFERROR(VLOOKUP(Data!$G2088,canon!$I$2:$K$27,2,FALSE),"")</f>
        <v>ACCESSORY</v>
      </c>
      <c r="I2088" s="69" t="str">
        <f>IFERROR(VLOOKUP(Data!$G2088,canon!$I$2:$K$27,3,FALSE),"")</f>
        <v>N.APPAREL</v>
      </c>
      <c r="J2088" s="69">
        <f t="shared" si="64"/>
        <v>2</v>
      </c>
      <c r="K2088" s="69">
        <f t="shared" si="65"/>
        <v>43</v>
      </c>
      <c r="L2088" s="69">
        <f>VLOOKUP(Table_db1_backend_Daily.accdb[[#This Row],[TradingDate]],canon!B:E,4,0)</f>
        <v>30</v>
      </c>
    </row>
    <row r="2089" spans="1:12" x14ac:dyDescent="0.2">
      <c r="A2089" s="69" t="s">
        <v>43</v>
      </c>
      <c r="B2089" s="70">
        <v>42940</v>
      </c>
      <c r="C2089" s="69">
        <v>1513</v>
      </c>
      <c r="D2089" s="69">
        <v>27</v>
      </c>
      <c r="E2089" s="69">
        <v>318.12000000000006</v>
      </c>
      <c r="F2089" s="69">
        <v>119.62</v>
      </c>
      <c r="G2089" s="69" t="s">
        <v>11</v>
      </c>
      <c r="H2089" s="69" t="str">
        <f>IFERROR(VLOOKUP(Data!$G2089,canon!$I$2:$K$27,2,FALSE),"")</f>
        <v>KNIT</v>
      </c>
      <c r="I2089" s="69" t="str">
        <f>IFERROR(VLOOKUP(Data!$G2089,canon!$I$2:$K$27,3,FALSE),"")</f>
        <v>APPAREL</v>
      </c>
      <c r="J2089" s="69">
        <f t="shared" si="64"/>
        <v>2</v>
      </c>
      <c r="K2089" s="69">
        <f t="shared" si="65"/>
        <v>43</v>
      </c>
      <c r="L2089" s="69">
        <f>VLOOKUP(Table_db1_backend_Daily.accdb[[#This Row],[TradingDate]],canon!B:E,4,0)</f>
        <v>30</v>
      </c>
    </row>
    <row r="2090" spans="1:12" x14ac:dyDescent="0.2">
      <c r="A2090" s="69" t="s">
        <v>43</v>
      </c>
      <c r="B2090" s="70">
        <v>42940</v>
      </c>
      <c r="C2090" s="69">
        <v>130</v>
      </c>
      <c r="D2090" s="69">
        <v>0</v>
      </c>
      <c r="E2090" s="69">
        <v>0</v>
      </c>
      <c r="F2090" s="69">
        <v>0</v>
      </c>
      <c r="G2090" s="69" t="s">
        <v>14</v>
      </c>
      <c r="H2090" s="69" t="str">
        <f>IFERROR(VLOOKUP(Data!$G2090,canon!$I$2:$K$27,2,FALSE),"")</f>
        <v>LEGGING</v>
      </c>
      <c r="I2090" s="69" t="str">
        <f>IFERROR(VLOOKUP(Data!$G2090,canon!$I$2:$K$27,3,FALSE),"")</f>
        <v>APPAREL</v>
      </c>
      <c r="J2090" s="69">
        <f t="shared" si="64"/>
        <v>2</v>
      </c>
      <c r="K2090" s="69">
        <f t="shared" si="65"/>
        <v>43</v>
      </c>
      <c r="L2090" s="69">
        <f>VLOOKUP(Table_db1_backend_Daily.accdb[[#This Row],[TradingDate]],canon!B:E,4,0)</f>
        <v>30</v>
      </c>
    </row>
    <row r="2091" spans="1:12" x14ac:dyDescent="0.2">
      <c r="A2091" s="69" t="s">
        <v>43</v>
      </c>
      <c r="B2091" s="70">
        <v>42940</v>
      </c>
      <c r="C2091" s="69">
        <v>61</v>
      </c>
      <c r="D2091" s="69">
        <v>0</v>
      </c>
      <c r="E2091" s="69">
        <v>0</v>
      </c>
      <c r="F2091" s="69">
        <v>0</v>
      </c>
      <c r="G2091" s="69" t="s">
        <v>37</v>
      </c>
      <c r="H2091" s="69" t="str">
        <f>IFERROR(VLOOKUP(Data!$G2091,canon!$I$2:$K$27,2,FALSE),"")</f>
        <v>SHOES</v>
      </c>
      <c r="I2091" s="69" t="str">
        <f>IFERROR(VLOOKUP(Data!$G2091,canon!$I$2:$K$27,3,FALSE),"")</f>
        <v>N.APPAREL</v>
      </c>
      <c r="J2091" s="69">
        <f t="shared" si="64"/>
        <v>2</v>
      </c>
      <c r="K2091" s="69">
        <f t="shared" si="65"/>
        <v>43</v>
      </c>
      <c r="L2091" s="69">
        <f>VLOOKUP(Table_db1_backend_Daily.accdb[[#This Row],[TradingDate]],canon!B:E,4,0)</f>
        <v>30</v>
      </c>
    </row>
    <row r="2092" spans="1:12" x14ac:dyDescent="0.2">
      <c r="A2092" s="69" t="s">
        <v>43</v>
      </c>
      <c r="B2092" s="70">
        <v>42940</v>
      </c>
      <c r="C2092" s="69">
        <v>61</v>
      </c>
      <c r="D2092" s="69">
        <v>0</v>
      </c>
      <c r="E2092" s="69">
        <v>0</v>
      </c>
      <c r="F2092" s="69">
        <v>0</v>
      </c>
      <c r="G2092" s="69" t="s">
        <v>29</v>
      </c>
      <c r="H2092" s="69" t="str">
        <f>IFERROR(VLOOKUP(Data!$G2092,canon!$I$2:$K$27,2,FALSE),"")</f>
        <v>SHOES</v>
      </c>
      <c r="I2092" s="69" t="str">
        <f>IFERROR(VLOOKUP(Data!$G2092,canon!$I$2:$K$27,3,FALSE),"")</f>
        <v>N.APPAREL</v>
      </c>
      <c r="J2092" s="69">
        <f t="shared" si="64"/>
        <v>2</v>
      </c>
      <c r="K2092" s="69">
        <f t="shared" si="65"/>
        <v>43</v>
      </c>
      <c r="L2092" s="69">
        <f>VLOOKUP(Table_db1_backend_Daily.accdb[[#This Row],[TradingDate]],canon!B:E,4,0)</f>
        <v>30</v>
      </c>
    </row>
    <row r="2093" spans="1:12" x14ac:dyDescent="0.2">
      <c r="A2093" s="69" t="s">
        <v>43</v>
      </c>
      <c r="B2093" s="70">
        <v>42940</v>
      </c>
      <c r="C2093" s="69">
        <v>554</v>
      </c>
      <c r="D2093" s="69">
        <v>3</v>
      </c>
      <c r="E2093" s="69">
        <v>54.54</v>
      </c>
      <c r="F2093" s="69">
        <v>21.45</v>
      </c>
      <c r="G2093" s="69" t="s">
        <v>17</v>
      </c>
      <c r="H2093" s="69" t="str">
        <f>IFERROR(VLOOKUP(Data!$G2093,canon!$I$2:$K$27,2,FALSE),"")</f>
        <v>OUTER</v>
      </c>
      <c r="I2093" s="69" t="str">
        <f>IFERROR(VLOOKUP(Data!$G2093,canon!$I$2:$K$27,3,FALSE),"")</f>
        <v>APPAREL</v>
      </c>
      <c r="J2093" s="69">
        <f t="shared" si="64"/>
        <v>2</v>
      </c>
      <c r="K2093" s="69">
        <f t="shared" si="65"/>
        <v>43</v>
      </c>
      <c r="L2093" s="69">
        <f>VLOOKUP(Table_db1_backend_Daily.accdb[[#This Row],[TradingDate]],canon!B:E,4,0)</f>
        <v>30</v>
      </c>
    </row>
    <row r="2094" spans="1:12" x14ac:dyDescent="0.2">
      <c r="A2094" s="69" t="s">
        <v>43</v>
      </c>
      <c r="B2094" s="70">
        <v>42940</v>
      </c>
      <c r="C2094" s="69">
        <v>218</v>
      </c>
      <c r="D2094" s="69">
        <v>0</v>
      </c>
      <c r="E2094" s="69">
        <v>0</v>
      </c>
      <c r="F2094" s="69">
        <v>0</v>
      </c>
      <c r="G2094" s="69" t="s">
        <v>19</v>
      </c>
      <c r="H2094" s="69" t="str">
        <f>IFERROR(VLOOKUP(Data!$G2094,canon!$I$2:$K$27,2,FALSE),"")</f>
        <v>PANT</v>
      </c>
      <c r="I2094" s="69" t="str">
        <f>IFERROR(VLOOKUP(Data!$G2094,canon!$I$2:$K$27,3,FALSE),"")</f>
        <v>APPAREL</v>
      </c>
      <c r="J2094" s="69">
        <f t="shared" si="64"/>
        <v>2</v>
      </c>
      <c r="K2094" s="69">
        <f t="shared" si="65"/>
        <v>43</v>
      </c>
      <c r="L2094" s="69">
        <f>VLOOKUP(Table_db1_backend_Daily.accdb[[#This Row],[TradingDate]],canon!B:E,4,0)</f>
        <v>30</v>
      </c>
    </row>
    <row r="2095" spans="1:12" x14ac:dyDescent="0.2">
      <c r="A2095" s="69" t="s">
        <v>43</v>
      </c>
      <c r="B2095" s="70">
        <v>42940</v>
      </c>
      <c r="C2095" s="69">
        <v>64</v>
      </c>
      <c r="D2095" s="69">
        <v>0</v>
      </c>
      <c r="E2095" s="69">
        <v>0</v>
      </c>
      <c r="F2095" s="69">
        <v>0</v>
      </c>
      <c r="G2095" s="69" t="s">
        <v>21</v>
      </c>
      <c r="H2095" s="69" t="str">
        <f>IFERROR(VLOOKUP(Data!$G2095,canon!$I$2:$K$27,2,FALSE),"")</f>
        <v>ACCESSORY</v>
      </c>
      <c r="I2095" s="69" t="str">
        <f>IFERROR(VLOOKUP(Data!$G2095,canon!$I$2:$K$27,3,FALSE),"")</f>
        <v>N.APPAREL</v>
      </c>
      <c r="J2095" s="69">
        <f t="shared" si="64"/>
        <v>2</v>
      </c>
      <c r="K2095" s="69">
        <f t="shared" si="65"/>
        <v>43</v>
      </c>
      <c r="L2095" s="69">
        <f>VLOOKUP(Table_db1_backend_Daily.accdb[[#This Row],[TradingDate]],canon!B:E,4,0)</f>
        <v>30</v>
      </c>
    </row>
    <row r="2096" spans="1:12" x14ac:dyDescent="0.2">
      <c r="A2096" s="69" t="s">
        <v>43</v>
      </c>
      <c r="B2096" s="70">
        <v>42940</v>
      </c>
      <c r="C2096" s="69">
        <v>675</v>
      </c>
      <c r="D2096" s="69">
        <v>8</v>
      </c>
      <c r="E2096" s="69">
        <v>41.75</v>
      </c>
      <c r="F2096" s="69">
        <v>29.55</v>
      </c>
      <c r="G2096" s="69" t="s">
        <v>22</v>
      </c>
      <c r="H2096" s="69" t="str">
        <f>IFERROR(VLOOKUP(Data!$G2096,canon!$I$2:$K$27,2,FALSE),"")</f>
        <v>SCARF</v>
      </c>
      <c r="I2096" s="69" t="str">
        <f>IFERROR(VLOOKUP(Data!$G2096,canon!$I$2:$K$27,3,FALSE),"")</f>
        <v>N.APPAREL</v>
      </c>
      <c r="J2096" s="69">
        <f t="shared" si="64"/>
        <v>2</v>
      </c>
      <c r="K2096" s="69">
        <f t="shared" si="65"/>
        <v>43</v>
      </c>
      <c r="L2096" s="69">
        <f>VLOOKUP(Table_db1_backend_Daily.accdb[[#This Row],[TradingDate]],canon!B:E,4,0)</f>
        <v>30</v>
      </c>
    </row>
    <row r="2097" spans="1:12" x14ac:dyDescent="0.2">
      <c r="A2097" s="69" t="s">
        <v>43</v>
      </c>
      <c r="B2097" s="70">
        <v>42940</v>
      </c>
      <c r="C2097" s="69">
        <v>73</v>
      </c>
      <c r="D2097" s="69">
        <v>0</v>
      </c>
      <c r="E2097" s="69">
        <v>0</v>
      </c>
      <c r="F2097" s="69">
        <v>0</v>
      </c>
      <c r="G2097" s="69" t="s">
        <v>23</v>
      </c>
      <c r="H2097" s="69" t="str">
        <f>IFERROR(VLOOKUP(Data!$G2097,canon!$I$2:$K$27,2,FALSE),"")</f>
        <v>SH&amp;BL</v>
      </c>
      <c r="I2097" s="69" t="str">
        <f>IFERROR(VLOOKUP(Data!$G2097,canon!$I$2:$K$27,3,FALSE),"")</f>
        <v>APPAREL</v>
      </c>
      <c r="J2097" s="69">
        <f t="shared" si="64"/>
        <v>2</v>
      </c>
      <c r="K2097" s="69">
        <f t="shared" si="65"/>
        <v>43</v>
      </c>
      <c r="L2097" s="69">
        <f>VLOOKUP(Table_db1_backend_Daily.accdb[[#This Row],[TradingDate]],canon!B:E,4,0)</f>
        <v>30</v>
      </c>
    </row>
    <row r="2098" spans="1:12" x14ac:dyDescent="0.2">
      <c r="A2098" s="69" t="s">
        <v>43</v>
      </c>
      <c r="B2098" s="70">
        <v>42940</v>
      </c>
      <c r="C2098" s="69">
        <v>7</v>
      </c>
      <c r="D2098" s="69">
        <v>3</v>
      </c>
      <c r="E2098" s="69">
        <v>54.54</v>
      </c>
      <c r="F2098" s="69">
        <v>39.869999999999997</v>
      </c>
      <c r="G2098" s="69" t="s">
        <v>32</v>
      </c>
      <c r="H2098" s="69" t="str">
        <f>IFERROR(VLOOKUP(Data!$G2098,canon!$I$2:$K$27,2,FALSE),"")</f>
        <v>SKIRT</v>
      </c>
      <c r="I2098" s="69" t="str">
        <f>IFERROR(VLOOKUP(Data!$G2098,canon!$I$2:$K$27,3,FALSE),"")</f>
        <v>APPAREL</v>
      </c>
      <c r="J2098" s="69">
        <f t="shared" si="64"/>
        <v>2</v>
      </c>
      <c r="K2098" s="69">
        <f t="shared" si="65"/>
        <v>43</v>
      </c>
      <c r="L2098" s="69">
        <f>VLOOKUP(Table_db1_backend_Daily.accdb[[#This Row],[TradingDate]],canon!B:E,4,0)</f>
        <v>30</v>
      </c>
    </row>
    <row r="2099" spans="1:12" x14ac:dyDescent="0.2">
      <c r="A2099" s="69" t="s">
        <v>43</v>
      </c>
      <c r="B2099" s="70">
        <v>42940</v>
      </c>
      <c r="C2099" s="69">
        <v>752</v>
      </c>
      <c r="D2099" s="69">
        <v>36</v>
      </c>
      <c r="E2099" s="69">
        <v>199.97000000000003</v>
      </c>
      <c r="F2099" s="69">
        <v>-13.98</v>
      </c>
      <c r="G2099" s="69" t="s">
        <v>25</v>
      </c>
      <c r="H2099" s="69" t="str">
        <f>IFERROR(VLOOKUP(Data!$G2099,canon!$I$2:$K$27,2,FALSE),"")</f>
        <v>TOP</v>
      </c>
      <c r="I2099" s="69" t="str">
        <f>IFERROR(VLOOKUP(Data!$G2099,canon!$I$2:$K$27,3,FALSE),"")</f>
        <v>APPAREL</v>
      </c>
      <c r="J2099" s="69">
        <f t="shared" si="64"/>
        <v>2</v>
      </c>
      <c r="K2099" s="69">
        <f t="shared" si="65"/>
        <v>43</v>
      </c>
      <c r="L2099" s="69">
        <f>VLOOKUP(Table_db1_backend_Daily.accdb[[#This Row],[TradingDate]],canon!B:E,4,0)</f>
        <v>30</v>
      </c>
    </row>
    <row r="2100" spans="1:12" x14ac:dyDescent="0.2">
      <c r="A2100" s="69" t="s">
        <v>43</v>
      </c>
      <c r="B2100" s="70">
        <v>42941</v>
      </c>
      <c r="C2100" s="69">
        <v>10</v>
      </c>
      <c r="D2100" s="69">
        <v>0</v>
      </c>
      <c r="E2100" s="69">
        <v>0</v>
      </c>
      <c r="F2100" s="69">
        <v>0</v>
      </c>
      <c r="G2100" s="69" t="s">
        <v>27</v>
      </c>
      <c r="H2100" s="69" t="str">
        <f>IFERROR(VLOOKUP(Data!$G2100,canon!$I$2:$K$27,2,FALSE),"")</f>
        <v>ACCESSORY</v>
      </c>
      <c r="I2100" s="69" t="str">
        <f>IFERROR(VLOOKUP(Data!$G2100,canon!$I$2:$K$27,3,FALSE),"")</f>
        <v>N.APPAREL</v>
      </c>
      <c r="J2100" s="69">
        <f t="shared" si="64"/>
        <v>3</v>
      </c>
      <c r="K2100" s="69">
        <f t="shared" si="65"/>
        <v>43</v>
      </c>
      <c r="L2100" s="69">
        <f>VLOOKUP(Table_db1_backend_Daily.accdb[[#This Row],[TradingDate]],canon!B:E,4,0)</f>
        <v>30</v>
      </c>
    </row>
    <row r="2101" spans="1:12" x14ac:dyDescent="0.2">
      <c r="A2101" s="69" t="s">
        <v>43</v>
      </c>
      <c r="B2101" s="70">
        <v>42941</v>
      </c>
      <c r="C2101" s="69">
        <v>4</v>
      </c>
      <c r="D2101" s="69">
        <v>0</v>
      </c>
      <c r="E2101" s="69">
        <v>0</v>
      </c>
      <c r="F2101" s="69">
        <v>0</v>
      </c>
      <c r="G2101" s="69" t="s">
        <v>34</v>
      </c>
      <c r="H2101" s="69" t="str">
        <f>IFERROR(VLOOKUP(Data!$G2101,canon!$I$2:$K$27,2,FALSE),"")</f>
        <v>SHOES</v>
      </c>
      <c r="I2101" s="69" t="str">
        <f>IFERROR(VLOOKUP(Data!$G2101,canon!$I$2:$K$27,3,FALSE),"")</f>
        <v>N.APPAREL</v>
      </c>
      <c r="J2101" s="69">
        <f t="shared" si="64"/>
        <v>3</v>
      </c>
      <c r="K2101" s="69">
        <f t="shared" si="65"/>
        <v>43</v>
      </c>
      <c r="L2101" s="69">
        <f>VLOOKUP(Table_db1_backend_Daily.accdb[[#This Row],[TradingDate]],canon!B:E,4,0)</f>
        <v>30</v>
      </c>
    </row>
    <row r="2102" spans="1:12" x14ac:dyDescent="0.2">
      <c r="A2102" s="69" t="s">
        <v>43</v>
      </c>
      <c r="B2102" s="70">
        <v>42941</v>
      </c>
      <c r="C2102" s="69">
        <v>641</v>
      </c>
      <c r="D2102" s="69">
        <v>6</v>
      </c>
      <c r="E2102" s="69">
        <v>86.31</v>
      </c>
      <c r="F2102" s="69">
        <v>41.31</v>
      </c>
      <c r="G2102" s="69" t="s">
        <v>35</v>
      </c>
      <c r="H2102" s="69" t="str">
        <f>IFERROR(VLOOKUP(Data!$G2102,canon!$I$2:$K$27,2,FALSE),"")</f>
        <v>DRESS</v>
      </c>
      <c r="I2102" s="69" t="str">
        <f>IFERROR(VLOOKUP(Data!$G2102,canon!$I$2:$K$27,3,FALSE),"")</f>
        <v>APPAREL</v>
      </c>
      <c r="J2102" s="69">
        <f t="shared" si="64"/>
        <v>3</v>
      </c>
      <c r="K2102" s="69">
        <f t="shared" si="65"/>
        <v>43</v>
      </c>
      <c r="L2102" s="69">
        <f>VLOOKUP(Table_db1_backend_Daily.accdb[[#This Row],[TradingDate]],canon!B:E,4,0)</f>
        <v>30</v>
      </c>
    </row>
    <row r="2103" spans="1:12" x14ac:dyDescent="0.2">
      <c r="A2103" s="69" t="s">
        <v>43</v>
      </c>
      <c r="B2103" s="70">
        <v>42941</v>
      </c>
      <c r="C2103" s="69">
        <v>-11</v>
      </c>
      <c r="D2103" s="69">
        <v>0</v>
      </c>
      <c r="E2103" s="69">
        <v>0</v>
      </c>
      <c r="F2103" s="69">
        <v>0</v>
      </c>
      <c r="G2103" s="69" t="s">
        <v>10</v>
      </c>
      <c r="H2103" s="69" t="str">
        <f>IFERROR(VLOOKUP(Data!$G2103,canon!$I$2:$K$27,2,FALSE),"")</f>
        <v>ACCESSORY</v>
      </c>
      <c r="I2103" s="69" t="str">
        <f>IFERROR(VLOOKUP(Data!$G2103,canon!$I$2:$K$27,3,FALSE),"")</f>
        <v>N.APPAREL</v>
      </c>
      <c r="J2103" s="69">
        <f t="shared" si="64"/>
        <v>3</v>
      </c>
      <c r="K2103" s="69">
        <f t="shared" si="65"/>
        <v>43</v>
      </c>
      <c r="L2103" s="69">
        <f>VLOOKUP(Table_db1_backend_Daily.accdb[[#This Row],[TradingDate]],canon!B:E,4,0)</f>
        <v>30</v>
      </c>
    </row>
    <row r="2104" spans="1:12" x14ac:dyDescent="0.2">
      <c r="A2104" s="69" t="s">
        <v>43</v>
      </c>
      <c r="B2104" s="70">
        <v>42941</v>
      </c>
      <c r="C2104" s="69">
        <v>8</v>
      </c>
      <c r="D2104" s="69">
        <v>0</v>
      </c>
      <c r="E2104" s="69">
        <v>0</v>
      </c>
      <c r="F2104" s="69">
        <v>0</v>
      </c>
      <c r="G2104" s="69" t="s">
        <v>28</v>
      </c>
      <c r="H2104" s="69" t="str">
        <f>IFERROR(VLOOKUP(Data!$G2104,canon!$I$2:$K$27,2,FALSE),"")</f>
        <v>ACCESSORY</v>
      </c>
      <c r="I2104" s="69" t="str">
        <f>IFERROR(VLOOKUP(Data!$G2104,canon!$I$2:$K$27,3,FALSE),"")</f>
        <v>N.APPAREL</v>
      </c>
      <c r="J2104" s="69">
        <f t="shared" si="64"/>
        <v>3</v>
      </c>
      <c r="K2104" s="69">
        <f t="shared" si="65"/>
        <v>43</v>
      </c>
      <c r="L2104" s="69">
        <f>VLOOKUP(Table_db1_backend_Daily.accdb[[#This Row],[TradingDate]],canon!B:E,4,0)</f>
        <v>30</v>
      </c>
    </row>
    <row r="2105" spans="1:12" x14ac:dyDescent="0.2">
      <c r="A2105" s="69" t="s">
        <v>43</v>
      </c>
      <c r="B2105" s="70">
        <v>42941</v>
      </c>
      <c r="C2105" s="69">
        <v>1542</v>
      </c>
      <c r="D2105" s="69">
        <v>59</v>
      </c>
      <c r="E2105" s="69">
        <v>663.18000000000006</v>
      </c>
      <c r="F2105" s="69">
        <v>228.30999999999992</v>
      </c>
      <c r="G2105" s="69" t="s">
        <v>11</v>
      </c>
      <c r="H2105" s="69" t="str">
        <f>IFERROR(VLOOKUP(Data!$G2105,canon!$I$2:$K$27,2,FALSE),"")</f>
        <v>KNIT</v>
      </c>
      <c r="I2105" s="69" t="str">
        <f>IFERROR(VLOOKUP(Data!$G2105,canon!$I$2:$K$27,3,FALSE),"")</f>
        <v>APPAREL</v>
      </c>
      <c r="J2105" s="69">
        <f t="shared" si="64"/>
        <v>3</v>
      </c>
      <c r="K2105" s="69">
        <f t="shared" si="65"/>
        <v>43</v>
      </c>
      <c r="L2105" s="69">
        <f>VLOOKUP(Table_db1_backend_Daily.accdb[[#This Row],[TradingDate]],canon!B:E,4,0)</f>
        <v>30</v>
      </c>
    </row>
    <row r="2106" spans="1:12" x14ac:dyDescent="0.2">
      <c r="A2106" s="69" t="s">
        <v>43</v>
      </c>
      <c r="B2106" s="70">
        <v>42941</v>
      </c>
      <c r="C2106" s="69">
        <v>130</v>
      </c>
      <c r="D2106" s="69">
        <v>0</v>
      </c>
      <c r="E2106" s="69">
        <v>0</v>
      </c>
      <c r="F2106" s="69">
        <v>0</v>
      </c>
      <c r="G2106" s="69" t="s">
        <v>14</v>
      </c>
      <c r="H2106" s="69" t="str">
        <f>IFERROR(VLOOKUP(Data!$G2106,canon!$I$2:$K$27,2,FALSE),"")</f>
        <v>LEGGING</v>
      </c>
      <c r="I2106" s="69" t="str">
        <f>IFERROR(VLOOKUP(Data!$G2106,canon!$I$2:$K$27,3,FALSE),"")</f>
        <v>APPAREL</v>
      </c>
      <c r="J2106" s="69">
        <f t="shared" si="64"/>
        <v>3</v>
      </c>
      <c r="K2106" s="69">
        <f t="shared" si="65"/>
        <v>43</v>
      </c>
      <c r="L2106" s="69">
        <f>VLOOKUP(Table_db1_backend_Daily.accdb[[#This Row],[TradingDate]],canon!B:E,4,0)</f>
        <v>30</v>
      </c>
    </row>
    <row r="2107" spans="1:12" x14ac:dyDescent="0.2">
      <c r="A2107" s="69" t="s">
        <v>43</v>
      </c>
      <c r="B2107" s="70">
        <v>42941</v>
      </c>
      <c r="C2107" s="69">
        <v>61</v>
      </c>
      <c r="D2107" s="69">
        <v>0</v>
      </c>
      <c r="E2107" s="69">
        <v>0</v>
      </c>
      <c r="F2107" s="69">
        <v>0</v>
      </c>
      <c r="G2107" s="69" t="s">
        <v>37</v>
      </c>
      <c r="H2107" s="69" t="str">
        <f>IFERROR(VLOOKUP(Data!$G2107,canon!$I$2:$K$27,2,FALSE),"")</f>
        <v>SHOES</v>
      </c>
      <c r="I2107" s="69" t="str">
        <f>IFERROR(VLOOKUP(Data!$G2107,canon!$I$2:$K$27,3,FALSE),"")</f>
        <v>N.APPAREL</v>
      </c>
      <c r="J2107" s="69">
        <f t="shared" si="64"/>
        <v>3</v>
      </c>
      <c r="K2107" s="69">
        <f t="shared" si="65"/>
        <v>43</v>
      </c>
      <c r="L2107" s="69">
        <f>VLOOKUP(Table_db1_backend_Daily.accdb[[#This Row],[TradingDate]],canon!B:E,4,0)</f>
        <v>30</v>
      </c>
    </row>
    <row r="2108" spans="1:12" x14ac:dyDescent="0.2">
      <c r="A2108" s="69" t="s">
        <v>43</v>
      </c>
      <c r="B2108" s="70">
        <v>42941</v>
      </c>
      <c r="C2108" s="69">
        <v>61</v>
      </c>
      <c r="D2108" s="69">
        <v>0</v>
      </c>
      <c r="E2108" s="69">
        <v>0</v>
      </c>
      <c r="F2108" s="69">
        <v>0</v>
      </c>
      <c r="G2108" s="69" t="s">
        <v>29</v>
      </c>
      <c r="H2108" s="69" t="str">
        <f>IFERROR(VLOOKUP(Data!$G2108,canon!$I$2:$K$27,2,FALSE),"")</f>
        <v>SHOES</v>
      </c>
      <c r="I2108" s="69" t="str">
        <f>IFERROR(VLOOKUP(Data!$G2108,canon!$I$2:$K$27,3,FALSE),"")</f>
        <v>N.APPAREL</v>
      </c>
      <c r="J2108" s="69">
        <f t="shared" si="64"/>
        <v>3</v>
      </c>
      <c r="K2108" s="69">
        <f t="shared" si="65"/>
        <v>43</v>
      </c>
      <c r="L2108" s="69">
        <f>VLOOKUP(Table_db1_backend_Daily.accdb[[#This Row],[TradingDate]],canon!B:E,4,0)</f>
        <v>30</v>
      </c>
    </row>
    <row r="2109" spans="1:12" x14ac:dyDescent="0.2">
      <c r="A2109" s="69" t="s">
        <v>43</v>
      </c>
      <c r="B2109" s="70">
        <v>42941</v>
      </c>
      <c r="C2109" s="69">
        <v>566</v>
      </c>
      <c r="D2109" s="69">
        <v>12</v>
      </c>
      <c r="E2109" s="69">
        <v>177.25</v>
      </c>
      <c r="F2109" s="69">
        <v>63.72</v>
      </c>
      <c r="G2109" s="69" t="s">
        <v>17</v>
      </c>
      <c r="H2109" s="69" t="str">
        <f>IFERROR(VLOOKUP(Data!$G2109,canon!$I$2:$K$27,2,FALSE),"")</f>
        <v>OUTER</v>
      </c>
      <c r="I2109" s="69" t="str">
        <f>IFERROR(VLOOKUP(Data!$G2109,canon!$I$2:$K$27,3,FALSE),"")</f>
        <v>APPAREL</v>
      </c>
      <c r="J2109" s="69">
        <f t="shared" si="64"/>
        <v>3</v>
      </c>
      <c r="K2109" s="69">
        <f t="shared" si="65"/>
        <v>43</v>
      </c>
      <c r="L2109" s="69">
        <f>VLOOKUP(Table_db1_backend_Daily.accdb[[#This Row],[TradingDate]],canon!B:E,4,0)</f>
        <v>30</v>
      </c>
    </row>
    <row r="2110" spans="1:12" x14ac:dyDescent="0.2">
      <c r="A2110" s="69" t="s">
        <v>43</v>
      </c>
      <c r="B2110" s="70">
        <v>42941</v>
      </c>
      <c r="C2110" s="69">
        <v>217</v>
      </c>
      <c r="D2110" s="69">
        <v>1</v>
      </c>
      <c r="E2110" s="69">
        <v>27.26</v>
      </c>
      <c r="F2110" s="69">
        <v>19.48</v>
      </c>
      <c r="G2110" s="69" t="s">
        <v>19</v>
      </c>
      <c r="H2110" s="69" t="str">
        <f>IFERROR(VLOOKUP(Data!$G2110,canon!$I$2:$K$27,2,FALSE),"")</f>
        <v>PANT</v>
      </c>
      <c r="I2110" s="69" t="str">
        <f>IFERROR(VLOOKUP(Data!$G2110,canon!$I$2:$K$27,3,FALSE),"")</f>
        <v>APPAREL</v>
      </c>
      <c r="J2110" s="69">
        <f t="shared" si="64"/>
        <v>3</v>
      </c>
      <c r="K2110" s="69">
        <f t="shared" si="65"/>
        <v>43</v>
      </c>
      <c r="L2110" s="69">
        <f>VLOOKUP(Table_db1_backend_Daily.accdb[[#This Row],[TradingDate]],canon!B:E,4,0)</f>
        <v>30</v>
      </c>
    </row>
    <row r="2111" spans="1:12" x14ac:dyDescent="0.2">
      <c r="A2111" s="69" t="s">
        <v>43</v>
      </c>
      <c r="B2111" s="70">
        <v>42941</v>
      </c>
      <c r="C2111" s="69">
        <v>64</v>
      </c>
      <c r="D2111" s="69">
        <v>0</v>
      </c>
      <c r="E2111" s="69">
        <v>0</v>
      </c>
      <c r="F2111" s="69">
        <v>0</v>
      </c>
      <c r="G2111" s="69" t="s">
        <v>21</v>
      </c>
      <c r="H2111" s="69" t="str">
        <f>IFERROR(VLOOKUP(Data!$G2111,canon!$I$2:$K$27,2,FALSE),"")</f>
        <v>ACCESSORY</v>
      </c>
      <c r="I2111" s="69" t="str">
        <f>IFERROR(VLOOKUP(Data!$G2111,canon!$I$2:$K$27,3,FALSE),"")</f>
        <v>N.APPAREL</v>
      </c>
      <c r="J2111" s="69">
        <f t="shared" si="64"/>
        <v>3</v>
      </c>
      <c r="K2111" s="69">
        <f t="shared" si="65"/>
        <v>43</v>
      </c>
      <c r="L2111" s="69">
        <f>VLOOKUP(Table_db1_backend_Daily.accdb[[#This Row],[TradingDate]],canon!B:E,4,0)</f>
        <v>30</v>
      </c>
    </row>
    <row r="2112" spans="1:12" x14ac:dyDescent="0.2">
      <c r="A2112" s="69" t="s">
        <v>43</v>
      </c>
      <c r="B2112" s="70">
        <v>42941</v>
      </c>
      <c r="C2112" s="69">
        <v>670</v>
      </c>
      <c r="D2112" s="69">
        <v>5</v>
      </c>
      <c r="E2112" s="69">
        <v>30.790000000000003</v>
      </c>
      <c r="F2112" s="69">
        <v>21.89</v>
      </c>
      <c r="G2112" s="69" t="s">
        <v>22</v>
      </c>
      <c r="H2112" s="69" t="str">
        <f>IFERROR(VLOOKUP(Data!$G2112,canon!$I$2:$K$27,2,FALSE),"")</f>
        <v>SCARF</v>
      </c>
      <c r="I2112" s="69" t="str">
        <f>IFERROR(VLOOKUP(Data!$G2112,canon!$I$2:$K$27,3,FALSE),"")</f>
        <v>N.APPAREL</v>
      </c>
      <c r="J2112" s="69">
        <f t="shared" si="64"/>
        <v>3</v>
      </c>
      <c r="K2112" s="69">
        <f t="shared" si="65"/>
        <v>43</v>
      </c>
      <c r="L2112" s="69">
        <f>VLOOKUP(Table_db1_backend_Daily.accdb[[#This Row],[TradingDate]],canon!B:E,4,0)</f>
        <v>30</v>
      </c>
    </row>
    <row r="2113" spans="1:12" x14ac:dyDescent="0.2">
      <c r="A2113" s="69" t="s">
        <v>43</v>
      </c>
      <c r="B2113" s="70">
        <v>42941</v>
      </c>
      <c r="C2113" s="69">
        <v>73</v>
      </c>
      <c r="D2113" s="69">
        <v>0</v>
      </c>
      <c r="E2113" s="69">
        <v>0</v>
      </c>
      <c r="F2113" s="69">
        <v>0</v>
      </c>
      <c r="G2113" s="69" t="s">
        <v>23</v>
      </c>
      <c r="H2113" s="69" t="str">
        <f>IFERROR(VLOOKUP(Data!$G2113,canon!$I$2:$K$27,2,FALSE),"")</f>
        <v>SH&amp;BL</v>
      </c>
      <c r="I2113" s="69" t="str">
        <f>IFERROR(VLOOKUP(Data!$G2113,canon!$I$2:$K$27,3,FALSE),"")</f>
        <v>APPAREL</v>
      </c>
      <c r="J2113" s="69">
        <f t="shared" si="64"/>
        <v>3</v>
      </c>
      <c r="K2113" s="69">
        <f t="shared" si="65"/>
        <v>43</v>
      </c>
      <c r="L2113" s="69">
        <f>VLOOKUP(Table_db1_backend_Daily.accdb[[#This Row],[TradingDate]],canon!B:E,4,0)</f>
        <v>30</v>
      </c>
    </row>
    <row r="2114" spans="1:12" x14ac:dyDescent="0.2">
      <c r="A2114" s="69" t="s">
        <v>43</v>
      </c>
      <c r="B2114" s="70">
        <v>42941</v>
      </c>
      <c r="C2114" s="69">
        <v>6</v>
      </c>
      <c r="D2114" s="69">
        <v>1</v>
      </c>
      <c r="E2114" s="69">
        <v>18.14</v>
      </c>
      <c r="F2114" s="69">
        <v>13.14</v>
      </c>
      <c r="G2114" s="69" t="s">
        <v>32</v>
      </c>
      <c r="H2114" s="69" t="str">
        <f>IFERROR(VLOOKUP(Data!$G2114,canon!$I$2:$K$27,2,FALSE),"")</f>
        <v>SKIRT</v>
      </c>
      <c r="I2114" s="69" t="str">
        <f>IFERROR(VLOOKUP(Data!$G2114,canon!$I$2:$K$27,3,FALSE),"")</f>
        <v>APPAREL</v>
      </c>
      <c r="J2114" s="69">
        <f t="shared" ref="J2114:J2177" si="66">WEEKDAY(B2114)</f>
        <v>3</v>
      </c>
      <c r="K2114" s="69">
        <f t="shared" ref="K2114:K2177" si="67">INT(A2114)</f>
        <v>43</v>
      </c>
      <c r="L2114" s="69">
        <f>VLOOKUP(Table_db1_backend_Daily.accdb[[#This Row],[TradingDate]],canon!B:E,4,0)</f>
        <v>30</v>
      </c>
    </row>
    <row r="2115" spans="1:12" x14ac:dyDescent="0.2">
      <c r="A2115" s="69" t="s">
        <v>43</v>
      </c>
      <c r="B2115" s="70">
        <v>42941</v>
      </c>
      <c r="C2115" s="69">
        <v>685</v>
      </c>
      <c r="D2115" s="69">
        <v>67</v>
      </c>
      <c r="E2115" s="69">
        <v>390.83</v>
      </c>
      <c r="F2115" s="69">
        <v>37.499999999999979</v>
      </c>
      <c r="G2115" s="69" t="s">
        <v>25</v>
      </c>
      <c r="H2115" s="69" t="str">
        <f>IFERROR(VLOOKUP(Data!$G2115,canon!$I$2:$K$27,2,FALSE),"")</f>
        <v>TOP</v>
      </c>
      <c r="I2115" s="69" t="str">
        <f>IFERROR(VLOOKUP(Data!$G2115,canon!$I$2:$K$27,3,FALSE),"")</f>
        <v>APPAREL</v>
      </c>
      <c r="J2115" s="69">
        <f t="shared" si="66"/>
        <v>3</v>
      </c>
      <c r="K2115" s="69">
        <f t="shared" si="67"/>
        <v>43</v>
      </c>
      <c r="L2115" s="69">
        <f>VLOOKUP(Table_db1_backend_Daily.accdb[[#This Row],[TradingDate]],canon!B:E,4,0)</f>
        <v>30</v>
      </c>
    </row>
    <row r="2116" spans="1:12" x14ac:dyDescent="0.2">
      <c r="A2116" s="69" t="s">
        <v>43</v>
      </c>
      <c r="B2116" s="70">
        <v>42942</v>
      </c>
      <c r="C2116" s="69">
        <v>10</v>
      </c>
      <c r="D2116" s="69">
        <v>0</v>
      </c>
      <c r="E2116" s="69">
        <v>0</v>
      </c>
      <c r="F2116" s="69">
        <v>0</v>
      </c>
      <c r="G2116" s="69" t="s">
        <v>27</v>
      </c>
      <c r="H2116" s="69" t="str">
        <f>IFERROR(VLOOKUP(Data!$G2116,canon!$I$2:$K$27,2,FALSE),"")</f>
        <v>ACCESSORY</v>
      </c>
      <c r="I2116" s="69" t="str">
        <f>IFERROR(VLOOKUP(Data!$G2116,canon!$I$2:$K$27,3,FALSE),"")</f>
        <v>N.APPAREL</v>
      </c>
      <c r="J2116" s="69">
        <f t="shared" si="66"/>
        <v>4</v>
      </c>
      <c r="K2116" s="69">
        <f t="shared" si="67"/>
        <v>43</v>
      </c>
      <c r="L2116" s="69">
        <f>VLOOKUP(Table_db1_backend_Daily.accdb[[#This Row],[TradingDate]],canon!B:E,4,0)</f>
        <v>30</v>
      </c>
    </row>
    <row r="2117" spans="1:12" x14ac:dyDescent="0.2">
      <c r="A2117" s="69" t="s">
        <v>43</v>
      </c>
      <c r="B2117" s="70">
        <v>42942</v>
      </c>
      <c r="C2117" s="69">
        <v>4</v>
      </c>
      <c r="D2117" s="69">
        <v>0</v>
      </c>
      <c r="E2117" s="69">
        <v>0</v>
      </c>
      <c r="F2117" s="69">
        <v>0</v>
      </c>
      <c r="G2117" s="69" t="s">
        <v>34</v>
      </c>
      <c r="H2117" s="69" t="str">
        <f>IFERROR(VLOOKUP(Data!$G2117,canon!$I$2:$K$27,2,FALSE),"")</f>
        <v>SHOES</v>
      </c>
      <c r="I2117" s="69" t="str">
        <f>IFERROR(VLOOKUP(Data!$G2117,canon!$I$2:$K$27,3,FALSE),"")</f>
        <v>N.APPAREL</v>
      </c>
      <c r="J2117" s="69">
        <f t="shared" si="66"/>
        <v>4</v>
      </c>
      <c r="K2117" s="69">
        <f t="shared" si="67"/>
        <v>43</v>
      </c>
      <c r="L2117" s="69">
        <f>VLOOKUP(Table_db1_backend_Daily.accdb[[#This Row],[TradingDate]],canon!B:E,4,0)</f>
        <v>30</v>
      </c>
    </row>
    <row r="2118" spans="1:12" x14ac:dyDescent="0.2">
      <c r="A2118" s="69" t="s">
        <v>43</v>
      </c>
      <c r="B2118" s="70">
        <v>42942</v>
      </c>
      <c r="C2118" s="69">
        <v>637</v>
      </c>
      <c r="D2118" s="69">
        <v>4</v>
      </c>
      <c r="E2118" s="69">
        <v>54.36</v>
      </c>
      <c r="F2118" s="69">
        <v>20.990000000000002</v>
      </c>
      <c r="G2118" s="69" t="s">
        <v>35</v>
      </c>
      <c r="H2118" s="69" t="str">
        <f>IFERROR(VLOOKUP(Data!$G2118,canon!$I$2:$K$27,2,FALSE),"")</f>
        <v>DRESS</v>
      </c>
      <c r="I2118" s="69" t="str">
        <f>IFERROR(VLOOKUP(Data!$G2118,canon!$I$2:$K$27,3,FALSE),"")</f>
        <v>APPAREL</v>
      </c>
      <c r="J2118" s="69">
        <f t="shared" si="66"/>
        <v>4</v>
      </c>
      <c r="K2118" s="69">
        <f t="shared" si="67"/>
        <v>43</v>
      </c>
      <c r="L2118" s="69">
        <f>VLOOKUP(Table_db1_backend_Daily.accdb[[#This Row],[TradingDate]],canon!B:E,4,0)</f>
        <v>30</v>
      </c>
    </row>
    <row r="2119" spans="1:12" x14ac:dyDescent="0.2">
      <c r="A2119" s="69" t="s">
        <v>43</v>
      </c>
      <c r="B2119" s="70">
        <v>42942</v>
      </c>
      <c r="C2119" s="69">
        <v>-11</v>
      </c>
      <c r="D2119" s="69">
        <v>0</v>
      </c>
      <c r="E2119" s="69">
        <v>0</v>
      </c>
      <c r="F2119" s="69">
        <v>0</v>
      </c>
      <c r="G2119" s="69" t="s">
        <v>10</v>
      </c>
      <c r="H2119" s="69" t="str">
        <f>IFERROR(VLOOKUP(Data!$G2119,canon!$I$2:$K$27,2,FALSE),"")</f>
        <v>ACCESSORY</v>
      </c>
      <c r="I2119" s="69" t="str">
        <f>IFERROR(VLOOKUP(Data!$G2119,canon!$I$2:$K$27,3,FALSE),"")</f>
        <v>N.APPAREL</v>
      </c>
      <c r="J2119" s="69">
        <f t="shared" si="66"/>
        <v>4</v>
      </c>
      <c r="K2119" s="69">
        <f t="shared" si="67"/>
        <v>43</v>
      </c>
      <c r="L2119" s="69">
        <f>VLOOKUP(Table_db1_backend_Daily.accdb[[#This Row],[TradingDate]],canon!B:E,4,0)</f>
        <v>30</v>
      </c>
    </row>
    <row r="2120" spans="1:12" x14ac:dyDescent="0.2">
      <c r="A2120" s="69" t="s">
        <v>43</v>
      </c>
      <c r="B2120" s="70">
        <v>42942</v>
      </c>
      <c r="C2120" s="69">
        <v>8</v>
      </c>
      <c r="D2120" s="69">
        <v>0</v>
      </c>
      <c r="E2120" s="69">
        <v>0</v>
      </c>
      <c r="F2120" s="69">
        <v>0</v>
      </c>
      <c r="G2120" s="69" t="s">
        <v>28</v>
      </c>
      <c r="H2120" s="69" t="str">
        <f>IFERROR(VLOOKUP(Data!$G2120,canon!$I$2:$K$27,2,FALSE),"")</f>
        <v>ACCESSORY</v>
      </c>
      <c r="I2120" s="69" t="str">
        <f>IFERROR(VLOOKUP(Data!$G2120,canon!$I$2:$K$27,3,FALSE),"")</f>
        <v>N.APPAREL</v>
      </c>
      <c r="J2120" s="69">
        <f t="shared" si="66"/>
        <v>4</v>
      </c>
      <c r="K2120" s="69">
        <f t="shared" si="67"/>
        <v>43</v>
      </c>
      <c r="L2120" s="69">
        <f>VLOOKUP(Table_db1_backend_Daily.accdb[[#This Row],[TradingDate]],canon!B:E,4,0)</f>
        <v>30</v>
      </c>
    </row>
    <row r="2121" spans="1:12" x14ac:dyDescent="0.2">
      <c r="A2121" s="69" t="s">
        <v>43</v>
      </c>
      <c r="B2121" s="70">
        <v>42942</v>
      </c>
      <c r="C2121" s="69">
        <v>1508</v>
      </c>
      <c r="D2121" s="69">
        <v>34</v>
      </c>
      <c r="E2121" s="69">
        <v>399.40999999999991</v>
      </c>
      <c r="F2121" s="69">
        <v>141.66</v>
      </c>
      <c r="G2121" s="69" t="s">
        <v>11</v>
      </c>
      <c r="H2121" s="69" t="str">
        <f>IFERROR(VLOOKUP(Data!$G2121,canon!$I$2:$K$27,2,FALSE),"")</f>
        <v>KNIT</v>
      </c>
      <c r="I2121" s="69" t="str">
        <f>IFERROR(VLOOKUP(Data!$G2121,canon!$I$2:$K$27,3,FALSE),"")</f>
        <v>APPAREL</v>
      </c>
      <c r="J2121" s="69">
        <f t="shared" si="66"/>
        <v>4</v>
      </c>
      <c r="K2121" s="69">
        <f t="shared" si="67"/>
        <v>43</v>
      </c>
      <c r="L2121" s="69">
        <f>VLOOKUP(Table_db1_backend_Daily.accdb[[#This Row],[TradingDate]],canon!B:E,4,0)</f>
        <v>30</v>
      </c>
    </row>
    <row r="2122" spans="1:12" x14ac:dyDescent="0.2">
      <c r="A2122" s="69" t="s">
        <v>43</v>
      </c>
      <c r="B2122" s="70">
        <v>42942</v>
      </c>
      <c r="C2122" s="69">
        <v>130</v>
      </c>
      <c r="D2122" s="69">
        <v>0</v>
      </c>
      <c r="E2122" s="69">
        <v>0</v>
      </c>
      <c r="F2122" s="69">
        <v>0</v>
      </c>
      <c r="G2122" s="69" t="s">
        <v>14</v>
      </c>
      <c r="H2122" s="69" t="str">
        <f>IFERROR(VLOOKUP(Data!$G2122,canon!$I$2:$K$27,2,FALSE),"")</f>
        <v>LEGGING</v>
      </c>
      <c r="I2122" s="69" t="str">
        <f>IFERROR(VLOOKUP(Data!$G2122,canon!$I$2:$K$27,3,FALSE),"")</f>
        <v>APPAREL</v>
      </c>
      <c r="J2122" s="69">
        <f t="shared" si="66"/>
        <v>4</v>
      </c>
      <c r="K2122" s="69">
        <f t="shared" si="67"/>
        <v>43</v>
      </c>
      <c r="L2122" s="69">
        <f>VLOOKUP(Table_db1_backend_Daily.accdb[[#This Row],[TradingDate]],canon!B:E,4,0)</f>
        <v>30</v>
      </c>
    </row>
    <row r="2123" spans="1:12" x14ac:dyDescent="0.2">
      <c r="A2123" s="69" t="s">
        <v>43</v>
      </c>
      <c r="B2123" s="70">
        <v>42942</v>
      </c>
      <c r="C2123" s="69">
        <v>61</v>
      </c>
      <c r="D2123" s="69">
        <v>0</v>
      </c>
      <c r="E2123" s="69">
        <v>0</v>
      </c>
      <c r="F2123" s="69">
        <v>0</v>
      </c>
      <c r="G2123" s="69" t="s">
        <v>37</v>
      </c>
      <c r="H2123" s="69" t="str">
        <f>IFERROR(VLOOKUP(Data!$G2123,canon!$I$2:$K$27,2,FALSE),"")</f>
        <v>SHOES</v>
      </c>
      <c r="I2123" s="69" t="str">
        <f>IFERROR(VLOOKUP(Data!$G2123,canon!$I$2:$K$27,3,FALSE),"")</f>
        <v>N.APPAREL</v>
      </c>
      <c r="J2123" s="69">
        <f t="shared" si="66"/>
        <v>4</v>
      </c>
      <c r="K2123" s="69">
        <f t="shared" si="67"/>
        <v>43</v>
      </c>
      <c r="L2123" s="69">
        <f>VLOOKUP(Table_db1_backend_Daily.accdb[[#This Row],[TradingDate]],canon!B:E,4,0)</f>
        <v>30</v>
      </c>
    </row>
    <row r="2124" spans="1:12" x14ac:dyDescent="0.2">
      <c r="A2124" s="69" t="s">
        <v>43</v>
      </c>
      <c r="B2124" s="70">
        <v>42942</v>
      </c>
      <c r="C2124" s="69">
        <v>61</v>
      </c>
      <c r="D2124" s="69">
        <v>0</v>
      </c>
      <c r="E2124" s="69">
        <v>0</v>
      </c>
      <c r="F2124" s="69">
        <v>0</v>
      </c>
      <c r="G2124" s="69" t="s">
        <v>29</v>
      </c>
      <c r="H2124" s="69" t="str">
        <f>IFERROR(VLOOKUP(Data!$G2124,canon!$I$2:$K$27,2,FALSE),"")</f>
        <v>SHOES</v>
      </c>
      <c r="I2124" s="69" t="str">
        <f>IFERROR(VLOOKUP(Data!$G2124,canon!$I$2:$K$27,3,FALSE),"")</f>
        <v>N.APPAREL</v>
      </c>
      <c r="J2124" s="69">
        <f t="shared" si="66"/>
        <v>4</v>
      </c>
      <c r="K2124" s="69">
        <f t="shared" si="67"/>
        <v>43</v>
      </c>
      <c r="L2124" s="69">
        <f>VLOOKUP(Table_db1_backend_Daily.accdb[[#This Row],[TradingDate]],canon!B:E,4,0)</f>
        <v>30</v>
      </c>
    </row>
    <row r="2125" spans="1:12" x14ac:dyDescent="0.2">
      <c r="A2125" s="69" t="s">
        <v>43</v>
      </c>
      <c r="B2125" s="70">
        <v>42942</v>
      </c>
      <c r="C2125" s="69">
        <v>563</v>
      </c>
      <c r="D2125" s="69">
        <v>3</v>
      </c>
      <c r="E2125" s="69">
        <v>45.45</v>
      </c>
      <c r="F2125" s="69">
        <v>19.97</v>
      </c>
      <c r="G2125" s="69" t="s">
        <v>17</v>
      </c>
      <c r="H2125" s="69" t="str">
        <f>IFERROR(VLOOKUP(Data!$G2125,canon!$I$2:$K$27,2,FALSE),"")</f>
        <v>OUTER</v>
      </c>
      <c r="I2125" s="69" t="str">
        <f>IFERROR(VLOOKUP(Data!$G2125,canon!$I$2:$K$27,3,FALSE),"")</f>
        <v>APPAREL</v>
      </c>
      <c r="J2125" s="69">
        <f t="shared" si="66"/>
        <v>4</v>
      </c>
      <c r="K2125" s="69">
        <f t="shared" si="67"/>
        <v>43</v>
      </c>
      <c r="L2125" s="69">
        <f>VLOOKUP(Table_db1_backend_Daily.accdb[[#This Row],[TradingDate]],canon!B:E,4,0)</f>
        <v>30</v>
      </c>
    </row>
    <row r="2126" spans="1:12" x14ac:dyDescent="0.2">
      <c r="A2126" s="69" t="s">
        <v>43</v>
      </c>
      <c r="B2126" s="70">
        <v>42942</v>
      </c>
      <c r="C2126" s="69">
        <v>216</v>
      </c>
      <c r="D2126" s="69">
        <v>1</v>
      </c>
      <c r="E2126" s="69">
        <v>18.18</v>
      </c>
      <c r="F2126" s="69">
        <v>10.14</v>
      </c>
      <c r="G2126" s="69" t="s">
        <v>19</v>
      </c>
      <c r="H2126" s="69" t="str">
        <f>IFERROR(VLOOKUP(Data!$G2126,canon!$I$2:$K$27,2,FALSE),"")</f>
        <v>PANT</v>
      </c>
      <c r="I2126" s="69" t="str">
        <f>IFERROR(VLOOKUP(Data!$G2126,canon!$I$2:$K$27,3,FALSE),"")</f>
        <v>APPAREL</v>
      </c>
      <c r="J2126" s="69">
        <f t="shared" si="66"/>
        <v>4</v>
      </c>
      <c r="K2126" s="69">
        <f t="shared" si="67"/>
        <v>43</v>
      </c>
      <c r="L2126" s="69">
        <f>VLOOKUP(Table_db1_backend_Daily.accdb[[#This Row],[TradingDate]],canon!B:E,4,0)</f>
        <v>30</v>
      </c>
    </row>
    <row r="2127" spans="1:12" x14ac:dyDescent="0.2">
      <c r="A2127" s="69" t="s">
        <v>43</v>
      </c>
      <c r="B2127" s="70">
        <v>42942</v>
      </c>
      <c r="C2127" s="69">
        <v>64</v>
      </c>
      <c r="D2127" s="69">
        <v>0</v>
      </c>
      <c r="E2127" s="69">
        <v>0</v>
      </c>
      <c r="F2127" s="69">
        <v>0</v>
      </c>
      <c r="G2127" s="69" t="s">
        <v>21</v>
      </c>
      <c r="H2127" s="69" t="str">
        <f>IFERROR(VLOOKUP(Data!$G2127,canon!$I$2:$K$27,2,FALSE),"")</f>
        <v>ACCESSORY</v>
      </c>
      <c r="I2127" s="69" t="str">
        <f>IFERROR(VLOOKUP(Data!$G2127,canon!$I$2:$K$27,3,FALSE),"")</f>
        <v>N.APPAREL</v>
      </c>
      <c r="J2127" s="69">
        <f t="shared" si="66"/>
        <v>4</v>
      </c>
      <c r="K2127" s="69">
        <f t="shared" si="67"/>
        <v>43</v>
      </c>
      <c r="L2127" s="69">
        <f>VLOOKUP(Table_db1_backend_Daily.accdb[[#This Row],[TradingDate]],canon!B:E,4,0)</f>
        <v>30</v>
      </c>
    </row>
    <row r="2128" spans="1:12" x14ac:dyDescent="0.2">
      <c r="A2128" s="69" t="s">
        <v>43</v>
      </c>
      <c r="B2128" s="70">
        <v>42942</v>
      </c>
      <c r="C2128" s="69">
        <v>663</v>
      </c>
      <c r="D2128" s="69">
        <v>7</v>
      </c>
      <c r="E2128" s="69">
        <v>39.89</v>
      </c>
      <c r="F2128" s="69">
        <v>29.259999999999998</v>
      </c>
      <c r="G2128" s="69" t="s">
        <v>22</v>
      </c>
      <c r="H2128" s="69" t="str">
        <f>IFERROR(VLOOKUP(Data!$G2128,canon!$I$2:$K$27,2,FALSE),"")</f>
        <v>SCARF</v>
      </c>
      <c r="I2128" s="69" t="str">
        <f>IFERROR(VLOOKUP(Data!$G2128,canon!$I$2:$K$27,3,FALSE),"")</f>
        <v>N.APPAREL</v>
      </c>
      <c r="J2128" s="69">
        <f t="shared" si="66"/>
        <v>4</v>
      </c>
      <c r="K2128" s="69">
        <f t="shared" si="67"/>
        <v>43</v>
      </c>
      <c r="L2128" s="69">
        <f>VLOOKUP(Table_db1_backend_Daily.accdb[[#This Row],[TradingDate]],canon!B:E,4,0)</f>
        <v>30</v>
      </c>
    </row>
    <row r="2129" spans="1:12" x14ac:dyDescent="0.2">
      <c r="A2129" s="69" t="s">
        <v>43</v>
      </c>
      <c r="B2129" s="70">
        <v>42942</v>
      </c>
      <c r="C2129" s="69">
        <v>72</v>
      </c>
      <c r="D2129" s="69">
        <v>1</v>
      </c>
      <c r="E2129" s="69">
        <v>9.09</v>
      </c>
      <c r="F2129" s="69">
        <v>2.57</v>
      </c>
      <c r="G2129" s="69" t="s">
        <v>23</v>
      </c>
      <c r="H2129" s="69" t="str">
        <f>IFERROR(VLOOKUP(Data!$G2129,canon!$I$2:$K$27,2,FALSE),"")</f>
        <v>SH&amp;BL</v>
      </c>
      <c r="I2129" s="69" t="str">
        <f>IFERROR(VLOOKUP(Data!$G2129,canon!$I$2:$K$27,3,FALSE),"")</f>
        <v>APPAREL</v>
      </c>
      <c r="J2129" s="69">
        <f t="shared" si="66"/>
        <v>4</v>
      </c>
      <c r="K2129" s="69">
        <f t="shared" si="67"/>
        <v>43</v>
      </c>
      <c r="L2129" s="69">
        <f>VLOOKUP(Table_db1_backend_Daily.accdb[[#This Row],[TradingDate]],canon!B:E,4,0)</f>
        <v>30</v>
      </c>
    </row>
    <row r="2130" spans="1:12" x14ac:dyDescent="0.2">
      <c r="A2130" s="69" t="s">
        <v>43</v>
      </c>
      <c r="B2130" s="70">
        <v>42942</v>
      </c>
      <c r="C2130" s="69">
        <v>6</v>
      </c>
      <c r="D2130" s="69">
        <v>0</v>
      </c>
      <c r="E2130" s="69">
        <v>0</v>
      </c>
      <c r="F2130" s="69">
        <v>0</v>
      </c>
      <c r="G2130" s="69" t="s">
        <v>32</v>
      </c>
      <c r="H2130" s="69" t="str">
        <f>IFERROR(VLOOKUP(Data!$G2130,canon!$I$2:$K$27,2,FALSE),"")</f>
        <v>SKIRT</v>
      </c>
      <c r="I2130" s="69" t="str">
        <f>IFERROR(VLOOKUP(Data!$G2130,canon!$I$2:$K$27,3,FALSE),"")</f>
        <v>APPAREL</v>
      </c>
      <c r="J2130" s="69">
        <f t="shared" si="66"/>
        <v>4</v>
      </c>
      <c r="K2130" s="69">
        <f t="shared" si="67"/>
        <v>43</v>
      </c>
      <c r="L2130" s="69">
        <f>VLOOKUP(Table_db1_backend_Daily.accdb[[#This Row],[TradingDate]],canon!B:E,4,0)</f>
        <v>30</v>
      </c>
    </row>
    <row r="2131" spans="1:12" x14ac:dyDescent="0.2">
      <c r="A2131" s="69" t="s">
        <v>43</v>
      </c>
      <c r="B2131" s="70">
        <v>42942</v>
      </c>
      <c r="C2131" s="69">
        <v>644</v>
      </c>
      <c r="D2131" s="69">
        <v>41</v>
      </c>
      <c r="E2131" s="69">
        <v>272.80000000000007</v>
      </c>
      <c r="F2131" s="69">
        <v>42.33</v>
      </c>
      <c r="G2131" s="69" t="s">
        <v>25</v>
      </c>
      <c r="H2131" s="69" t="str">
        <f>IFERROR(VLOOKUP(Data!$G2131,canon!$I$2:$K$27,2,FALSE),"")</f>
        <v>TOP</v>
      </c>
      <c r="I2131" s="69" t="str">
        <f>IFERROR(VLOOKUP(Data!$G2131,canon!$I$2:$K$27,3,FALSE),"")</f>
        <v>APPAREL</v>
      </c>
      <c r="J2131" s="69">
        <f t="shared" si="66"/>
        <v>4</v>
      </c>
      <c r="K2131" s="69">
        <f t="shared" si="67"/>
        <v>43</v>
      </c>
      <c r="L2131" s="69">
        <f>VLOOKUP(Table_db1_backend_Daily.accdb[[#This Row],[TradingDate]],canon!B:E,4,0)</f>
        <v>30</v>
      </c>
    </row>
    <row r="2132" spans="1:12" x14ac:dyDescent="0.2">
      <c r="A2132" s="69" t="s">
        <v>43</v>
      </c>
      <c r="B2132" s="70">
        <v>42943</v>
      </c>
      <c r="C2132" s="69">
        <v>10</v>
      </c>
      <c r="D2132" s="69">
        <v>0</v>
      </c>
      <c r="E2132" s="69">
        <v>0</v>
      </c>
      <c r="F2132" s="69">
        <v>0</v>
      </c>
      <c r="G2132" s="69" t="s">
        <v>27</v>
      </c>
      <c r="H2132" s="69" t="str">
        <f>IFERROR(VLOOKUP(Data!$G2132,canon!$I$2:$K$27,2,FALSE),"")</f>
        <v>ACCESSORY</v>
      </c>
      <c r="I2132" s="69" t="str">
        <f>IFERROR(VLOOKUP(Data!$G2132,canon!$I$2:$K$27,3,FALSE),"")</f>
        <v>N.APPAREL</v>
      </c>
      <c r="J2132" s="69">
        <f t="shared" si="66"/>
        <v>5</v>
      </c>
      <c r="K2132" s="69">
        <f t="shared" si="67"/>
        <v>43</v>
      </c>
      <c r="L2132" s="69">
        <f>VLOOKUP(Table_db1_backend_Daily.accdb[[#This Row],[TradingDate]],canon!B:E,4,0)</f>
        <v>30</v>
      </c>
    </row>
    <row r="2133" spans="1:12" x14ac:dyDescent="0.2">
      <c r="A2133" s="69" t="s">
        <v>43</v>
      </c>
      <c r="B2133" s="70">
        <v>42943</v>
      </c>
      <c r="C2133" s="69">
        <v>4</v>
      </c>
      <c r="D2133" s="69">
        <v>0</v>
      </c>
      <c r="E2133" s="69">
        <v>0</v>
      </c>
      <c r="F2133" s="69">
        <v>0</v>
      </c>
      <c r="G2133" s="69" t="s">
        <v>34</v>
      </c>
      <c r="H2133" s="69" t="str">
        <f>IFERROR(VLOOKUP(Data!$G2133,canon!$I$2:$K$27,2,FALSE),"")</f>
        <v>SHOES</v>
      </c>
      <c r="I2133" s="69" t="str">
        <f>IFERROR(VLOOKUP(Data!$G2133,canon!$I$2:$K$27,3,FALSE),"")</f>
        <v>N.APPAREL</v>
      </c>
      <c r="J2133" s="69">
        <f t="shared" si="66"/>
        <v>5</v>
      </c>
      <c r="K2133" s="69">
        <f t="shared" si="67"/>
        <v>43</v>
      </c>
      <c r="L2133" s="69">
        <f>VLOOKUP(Table_db1_backend_Daily.accdb[[#This Row],[TradingDate]],canon!B:E,4,0)</f>
        <v>30</v>
      </c>
    </row>
    <row r="2134" spans="1:12" x14ac:dyDescent="0.2">
      <c r="A2134" s="69" t="s">
        <v>43</v>
      </c>
      <c r="B2134" s="70">
        <v>42943</v>
      </c>
      <c r="C2134" s="69">
        <v>632</v>
      </c>
      <c r="D2134" s="69">
        <v>5</v>
      </c>
      <c r="E2134" s="69">
        <v>72.63000000000001</v>
      </c>
      <c r="F2134" s="69">
        <v>34.799999999999997</v>
      </c>
      <c r="G2134" s="69" t="s">
        <v>35</v>
      </c>
      <c r="H2134" s="69" t="str">
        <f>IFERROR(VLOOKUP(Data!$G2134,canon!$I$2:$K$27,2,FALSE),"")</f>
        <v>DRESS</v>
      </c>
      <c r="I2134" s="69" t="str">
        <f>IFERROR(VLOOKUP(Data!$G2134,canon!$I$2:$K$27,3,FALSE),"")</f>
        <v>APPAREL</v>
      </c>
      <c r="J2134" s="69">
        <f t="shared" si="66"/>
        <v>5</v>
      </c>
      <c r="K2134" s="69">
        <f t="shared" si="67"/>
        <v>43</v>
      </c>
      <c r="L2134" s="69">
        <f>VLOOKUP(Table_db1_backend_Daily.accdb[[#This Row],[TradingDate]],canon!B:E,4,0)</f>
        <v>30</v>
      </c>
    </row>
    <row r="2135" spans="1:12" x14ac:dyDescent="0.2">
      <c r="A2135" s="69" t="s">
        <v>43</v>
      </c>
      <c r="B2135" s="70">
        <v>42943</v>
      </c>
      <c r="C2135" s="69">
        <v>-11</v>
      </c>
      <c r="D2135" s="69">
        <v>0</v>
      </c>
      <c r="E2135" s="69">
        <v>0</v>
      </c>
      <c r="F2135" s="69">
        <v>0</v>
      </c>
      <c r="G2135" s="69" t="s">
        <v>10</v>
      </c>
      <c r="H2135" s="69" t="str">
        <f>IFERROR(VLOOKUP(Data!$G2135,canon!$I$2:$K$27,2,FALSE),"")</f>
        <v>ACCESSORY</v>
      </c>
      <c r="I2135" s="69" t="str">
        <f>IFERROR(VLOOKUP(Data!$G2135,canon!$I$2:$K$27,3,FALSE),"")</f>
        <v>N.APPAREL</v>
      </c>
      <c r="J2135" s="69">
        <f t="shared" si="66"/>
        <v>5</v>
      </c>
      <c r="K2135" s="69">
        <f t="shared" si="67"/>
        <v>43</v>
      </c>
      <c r="L2135" s="69">
        <f>VLOOKUP(Table_db1_backend_Daily.accdb[[#This Row],[TradingDate]],canon!B:E,4,0)</f>
        <v>30</v>
      </c>
    </row>
    <row r="2136" spans="1:12" x14ac:dyDescent="0.2">
      <c r="A2136" s="69" t="s">
        <v>43</v>
      </c>
      <c r="B2136" s="70">
        <v>42943</v>
      </c>
      <c r="C2136" s="69">
        <v>8</v>
      </c>
      <c r="D2136" s="69">
        <v>0</v>
      </c>
      <c r="E2136" s="69">
        <v>0</v>
      </c>
      <c r="F2136" s="69">
        <v>0</v>
      </c>
      <c r="G2136" s="69" t="s">
        <v>28</v>
      </c>
      <c r="H2136" s="69" t="str">
        <f>IFERROR(VLOOKUP(Data!$G2136,canon!$I$2:$K$27,2,FALSE),"")</f>
        <v>ACCESSORY</v>
      </c>
      <c r="I2136" s="69" t="str">
        <f>IFERROR(VLOOKUP(Data!$G2136,canon!$I$2:$K$27,3,FALSE),"")</f>
        <v>N.APPAREL</v>
      </c>
      <c r="J2136" s="69">
        <f t="shared" si="66"/>
        <v>5</v>
      </c>
      <c r="K2136" s="69">
        <f t="shared" si="67"/>
        <v>43</v>
      </c>
      <c r="L2136" s="69">
        <f>VLOOKUP(Table_db1_backend_Daily.accdb[[#This Row],[TradingDate]],canon!B:E,4,0)</f>
        <v>30</v>
      </c>
    </row>
    <row r="2137" spans="1:12" x14ac:dyDescent="0.2">
      <c r="A2137" s="69" t="s">
        <v>43</v>
      </c>
      <c r="B2137" s="70">
        <v>42943</v>
      </c>
      <c r="C2137" s="69">
        <v>1422</v>
      </c>
      <c r="D2137" s="69">
        <v>86</v>
      </c>
      <c r="E2137" s="69">
        <v>908.12999999999988</v>
      </c>
      <c r="F2137" s="69">
        <v>244.8599999999999</v>
      </c>
      <c r="G2137" s="69" t="s">
        <v>11</v>
      </c>
      <c r="H2137" s="69" t="str">
        <f>IFERROR(VLOOKUP(Data!$G2137,canon!$I$2:$K$27,2,FALSE),"")</f>
        <v>KNIT</v>
      </c>
      <c r="I2137" s="69" t="str">
        <f>IFERROR(VLOOKUP(Data!$G2137,canon!$I$2:$K$27,3,FALSE),"")</f>
        <v>APPAREL</v>
      </c>
      <c r="J2137" s="69">
        <f t="shared" si="66"/>
        <v>5</v>
      </c>
      <c r="K2137" s="69">
        <f t="shared" si="67"/>
        <v>43</v>
      </c>
      <c r="L2137" s="69">
        <f>VLOOKUP(Table_db1_backend_Daily.accdb[[#This Row],[TradingDate]],canon!B:E,4,0)</f>
        <v>30</v>
      </c>
    </row>
    <row r="2138" spans="1:12" x14ac:dyDescent="0.2">
      <c r="A2138" s="69" t="s">
        <v>43</v>
      </c>
      <c r="B2138" s="70">
        <v>42943</v>
      </c>
      <c r="C2138" s="69">
        <v>129</v>
      </c>
      <c r="D2138" s="69">
        <v>1</v>
      </c>
      <c r="E2138" s="69">
        <v>18.18</v>
      </c>
      <c r="F2138" s="69">
        <v>11.11</v>
      </c>
      <c r="G2138" s="69" t="s">
        <v>14</v>
      </c>
      <c r="H2138" s="69" t="str">
        <f>IFERROR(VLOOKUP(Data!$G2138,canon!$I$2:$K$27,2,FALSE),"")</f>
        <v>LEGGING</v>
      </c>
      <c r="I2138" s="69" t="str">
        <f>IFERROR(VLOOKUP(Data!$G2138,canon!$I$2:$K$27,3,FALSE),"")</f>
        <v>APPAREL</v>
      </c>
      <c r="J2138" s="69">
        <f t="shared" si="66"/>
        <v>5</v>
      </c>
      <c r="K2138" s="69">
        <f t="shared" si="67"/>
        <v>43</v>
      </c>
      <c r="L2138" s="69">
        <f>VLOOKUP(Table_db1_backend_Daily.accdb[[#This Row],[TradingDate]],canon!B:E,4,0)</f>
        <v>30</v>
      </c>
    </row>
    <row r="2139" spans="1:12" x14ac:dyDescent="0.2">
      <c r="A2139" s="69" t="s">
        <v>43</v>
      </c>
      <c r="B2139" s="70">
        <v>42943</v>
      </c>
      <c r="C2139" s="69">
        <v>61</v>
      </c>
      <c r="D2139" s="69">
        <v>0</v>
      </c>
      <c r="E2139" s="69">
        <v>0</v>
      </c>
      <c r="F2139" s="69">
        <v>0</v>
      </c>
      <c r="G2139" s="69" t="s">
        <v>37</v>
      </c>
      <c r="H2139" s="69" t="str">
        <f>IFERROR(VLOOKUP(Data!$G2139,canon!$I$2:$K$27,2,FALSE),"")</f>
        <v>SHOES</v>
      </c>
      <c r="I2139" s="69" t="str">
        <f>IFERROR(VLOOKUP(Data!$G2139,canon!$I$2:$K$27,3,FALSE),"")</f>
        <v>N.APPAREL</v>
      </c>
      <c r="J2139" s="69">
        <f t="shared" si="66"/>
        <v>5</v>
      </c>
      <c r="K2139" s="69">
        <f t="shared" si="67"/>
        <v>43</v>
      </c>
      <c r="L2139" s="69">
        <f>VLOOKUP(Table_db1_backend_Daily.accdb[[#This Row],[TradingDate]],canon!B:E,4,0)</f>
        <v>30</v>
      </c>
    </row>
    <row r="2140" spans="1:12" x14ac:dyDescent="0.2">
      <c r="A2140" s="69" t="s">
        <v>43</v>
      </c>
      <c r="B2140" s="70">
        <v>42943</v>
      </c>
      <c r="C2140" s="69">
        <v>61</v>
      </c>
      <c r="D2140" s="69">
        <v>0</v>
      </c>
      <c r="E2140" s="69">
        <v>0</v>
      </c>
      <c r="F2140" s="69">
        <v>0</v>
      </c>
      <c r="G2140" s="69" t="s">
        <v>29</v>
      </c>
      <c r="H2140" s="69" t="str">
        <f>IFERROR(VLOOKUP(Data!$G2140,canon!$I$2:$K$27,2,FALSE),"")</f>
        <v>SHOES</v>
      </c>
      <c r="I2140" s="69" t="str">
        <f>IFERROR(VLOOKUP(Data!$G2140,canon!$I$2:$K$27,3,FALSE),"")</f>
        <v>N.APPAREL</v>
      </c>
      <c r="J2140" s="69">
        <f t="shared" si="66"/>
        <v>5</v>
      </c>
      <c r="K2140" s="69">
        <f t="shared" si="67"/>
        <v>43</v>
      </c>
      <c r="L2140" s="69">
        <f>VLOOKUP(Table_db1_backend_Daily.accdb[[#This Row],[TradingDate]],canon!B:E,4,0)</f>
        <v>30</v>
      </c>
    </row>
    <row r="2141" spans="1:12" x14ac:dyDescent="0.2">
      <c r="A2141" s="69" t="s">
        <v>43</v>
      </c>
      <c r="B2141" s="70">
        <v>42943</v>
      </c>
      <c r="C2141" s="69">
        <v>554</v>
      </c>
      <c r="D2141" s="69">
        <v>9</v>
      </c>
      <c r="E2141" s="69">
        <v>154.54000000000002</v>
      </c>
      <c r="F2141" s="69">
        <v>79.27</v>
      </c>
      <c r="G2141" s="69" t="s">
        <v>17</v>
      </c>
      <c r="H2141" s="69" t="str">
        <f>IFERROR(VLOOKUP(Data!$G2141,canon!$I$2:$K$27,2,FALSE),"")</f>
        <v>OUTER</v>
      </c>
      <c r="I2141" s="69" t="str">
        <f>IFERROR(VLOOKUP(Data!$G2141,canon!$I$2:$K$27,3,FALSE),"")</f>
        <v>APPAREL</v>
      </c>
      <c r="J2141" s="69">
        <f t="shared" si="66"/>
        <v>5</v>
      </c>
      <c r="K2141" s="69">
        <f t="shared" si="67"/>
        <v>43</v>
      </c>
      <c r="L2141" s="69">
        <f>VLOOKUP(Table_db1_backend_Daily.accdb[[#This Row],[TradingDate]],canon!B:E,4,0)</f>
        <v>30</v>
      </c>
    </row>
    <row r="2142" spans="1:12" x14ac:dyDescent="0.2">
      <c r="A2142" s="69" t="s">
        <v>43</v>
      </c>
      <c r="B2142" s="70">
        <v>42943</v>
      </c>
      <c r="C2142" s="69">
        <v>210</v>
      </c>
      <c r="D2142" s="69">
        <v>6</v>
      </c>
      <c r="E2142" s="69">
        <v>63.63</v>
      </c>
      <c r="F2142" s="69">
        <v>30.04</v>
      </c>
      <c r="G2142" s="69" t="s">
        <v>19</v>
      </c>
      <c r="H2142" s="69" t="str">
        <f>IFERROR(VLOOKUP(Data!$G2142,canon!$I$2:$K$27,2,FALSE),"")</f>
        <v>PANT</v>
      </c>
      <c r="I2142" s="69" t="str">
        <f>IFERROR(VLOOKUP(Data!$G2142,canon!$I$2:$K$27,3,FALSE),"")</f>
        <v>APPAREL</v>
      </c>
      <c r="J2142" s="69">
        <f t="shared" si="66"/>
        <v>5</v>
      </c>
      <c r="K2142" s="69">
        <f t="shared" si="67"/>
        <v>43</v>
      </c>
      <c r="L2142" s="69">
        <f>VLOOKUP(Table_db1_backend_Daily.accdb[[#This Row],[TradingDate]],canon!B:E,4,0)</f>
        <v>30</v>
      </c>
    </row>
    <row r="2143" spans="1:12" x14ac:dyDescent="0.2">
      <c r="A2143" s="69" t="s">
        <v>43</v>
      </c>
      <c r="B2143" s="70">
        <v>42943</v>
      </c>
      <c r="C2143" s="69">
        <v>64</v>
      </c>
      <c r="D2143" s="69">
        <v>0</v>
      </c>
      <c r="E2143" s="69">
        <v>0</v>
      </c>
      <c r="F2143" s="69">
        <v>0</v>
      </c>
      <c r="G2143" s="69" t="s">
        <v>21</v>
      </c>
      <c r="H2143" s="69" t="str">
        <f>IFERROR(VLOOKUP(Data!$G2143,canon!$I$2:$K$27,2,FALSE),"")</f>
        <v>ACCESSORY</v>
      </c>
      <c r="I2143" s="69" t="str">
        <f>IFERROR(VLOOKUP(Data!$G2143,canon!$I$2:$K$27,3,FALSE),"")</f>
        <v>N.APPAREL</v>
      </c>
      <c r="J2143" s="69">
        <f t="shared" si="66"/>
        <v>5</v>
      </c>
      <c r="K2143" s="69">
        <f t="shared" si="67"/>
        <v>43</v>
      </c>
      <c r="L2143" s="69">
        <f>VLOOKUP(Table_db1_backend_Daily.accdb[[#This Row],[TradingDate]],canon!B:E,4,0)</f>
        <v>30</v>
      </c>
    </row>
    <row r="2144" spans="1:12" x14ac:dyDescent="0.2">
      <c r="A2144" s="69" t="s">
        <v>43</v>
      </c>
      <c r="B2144" s="70">
        <v>42943</v>
      </c>
      <c r="C2144" s="69">
        <v>648</v>
      </c>
      <c r="D2144" s="69">
        <v>15</v>
      </c>
      <c r="E2144" s="69">
        <v>84.33</v>
      </c>
      <c r="F2144" s="69">
        <v>60.650000000000006</v>
      </c>
      <c r="G2144" s="69" t="s">
        <v>22</v>
      </c>
      <c r="H2144" s="69" t="str">
        <f>IFERROR(VLOOKUP(Data!$G2144,canon!$I$2:$K$27,2,FALSE),"")</f>
        <v>SCARF</v>
      </c>
      <c r="I2144" s="69" t="str">
        <f>IFERROR(VLOOKUP(Data!$G2144,canon!$I$2:$K$27,3,FALSE),"")</f>
        <v>N.APPAREL</v>
      </c>
      <c r="J2144" s="69">
        <f t="shared" si="66"/>
        <v>5</v>
      </c>
      <c r="K2144" s="69">
        <f t="shared" si="67"/>
        <v>43</v>
      </c>
      <c r="L2144" s="69">
        <f>VLOOKUP(Table_db1_backend_Daily.accdb[[#This Row],[TradingDate]],canon!B:E,4,0)</f>
        <v>30</v>
      </c>
    </row>
    <row r="2145" spans="1:12" x14ac:dyDescent="0.2">
      <c r="A2145" s="69" t="s">
        <v>43</v>
      </c>
      <c r="B2145" s="70">
        <v>42943</v>
      </c>
      <c r="C2145" s="69">
        <v>70</v>
      </c>
      <c r="D2145" s="69">
        <v>2</v>
      </c>
      <c r="E2145" s="69">
        <v>27.27</v>
      </c>
      <c r="F2145" s="69">
        <v>14.23</v>
      </c>
      <c r="G2145" s="69" t="s">
        <v>23</v>
      </c>
      <c r="H2145" s="69" t="str">
        <f>IFERROR(VLOOKUP(Data!$G2145,canon!$I$2:$K$27,2,FALSE),"")</f>
        <v>SH&amp;BL</v>
      </c>
      <c r="I2145" s="69" t="str">
        <f>IFERROR(VLOOKUP(Data!$G2145,canon!$I$2:$K$27,3,FALSE),"")</f>
        <v>APPAREL</v>
      </c>
      <c r="J2145" s="69">
        <f t="shared" si="66"/>
        <v>5</v>
      </c>
      <c r="K2145" s="69">
        <f t="shared" si="67"/>
        <v>43</v>
      </c>
      <c r="L2145" s="69">
        <f>VLOOKUP(Table_db1_backend_Daily.accdb[[#This Row],[TradingDate]],canon!B:E,4,0)</f>
        <v>30</v>
      </c>
    </row>
    <row r="2146" spans="1:12" x14ac:dyDescent="0.2">
      <c r="A2146" s="69" t="s">
        <v>43</v>
      </c>
      <c r="B2146" s="70">
        <v>42943</v>
      </c>
      <c r="C2146" s="69">
        <v>1</v>
      </c>
      <c r="D2146" s="69">
        <v>5</v>
      </c>
      <c r="E2146" s="69">
        <v>81.69</v>
      </c>
      <c r="F2146" s="69">
        <v>56.25</v>
      </c>
      <c r="G2146" s="69" t="s">
        <v>32</v>
      </c>
      <c r="H2146" s="69" t="str">
        <f>IFERROR(VLOOKUP(Data!$G2146,canon!$I$2:$K$27,2,FALSE),"")</f>
        <v>SKIRT</v>
      </c>
      <c r="I2146" s="69" t="str">
        <f>IFERROR(VLOOKUP(Data!$G2146,canon!$I$2:$K$27,3,FALSE),"")</f>
        <v>APPAREL</v>
      </c>
      <c r="J2146" s="69">
        <f t="shared" si="66"/>
        <v>5</v>
      </c>
      <c r="K2146" s="69">
        <f t="shared" si="67"/>
        <v>43</v>
      </c>
      <c r="L2146" s="69">
        <f>VLOOKUP(Table_db1_backend_Daily.accdb[[#This Row],[TradingDate]],canon!B:E,4,0)</f>
        <v>30</v>
      </c>
    </row>
    <row r="2147" spans="1:12" x14ac:dyDescent="0.2">
      <c r="A2147" s="69" t="s">
        <v>43</v>
      </c>
      <c r="B2147" s="70">
        <v>42943</v>
      </c>
      <c r="C2147" s="69">
        <v>538</v>
      </c>
      <c r="D2147" s="69">
        <v>106</v>
      </c>
      <c r="E2147" s="69">
        <v>604.29999999999995</v>
      </c>
      <c r="F2147" s="69">
        <v>24.619999999999997</v>
      </c>
      <c r="G2147" s="69" t="s">
        <v>25</v>
      </c>
      <c r="H2147" s="69" t="str">
        <f>IFERROR(VLOOKUP(Data!$G2147,canon!$I$2:$K$27,2,FALSE),"")</f>
        <v>TOP</v>
      </c>
      <c r="I2147" s="69" t="str">
        <f>IFERROR(VLOOKUP(Data!$G2147,canon!$I$2:$K$27,3,FALSE),"")</f>
        <v>APPAREL</v>
      </c>
      <c r="J2147" s="69">
        <f t="shared" si="66"/>
        <v>5</v>
      </c>
      <c r="K2147" s="69">
        <f t="shared" si="67"/>
        <v>43</v>
      </c>
      <c r="L2147" s="69">
        <f>VLOOKUP(Table_db1_backend_Daily.accdb[[#This Row],[TradingDate]],canon!B:E,4,0)</f>
        <v>30</v>
      </c>
    </row>
    <row r="2148" spans="1:12" x14ac:dyDescent="0.2">
      <c r="A2148" s="69" t="s">
        <v>43</v>
      </c>
      <c r="B2148" s="70">
        <v>42944</v>
      </c>
      <c r="C2148" s="69">
        <v>10</v>
      </c>
      <c r="D2148" s="69">
        <v>0</v>
      </c>
      <c r="E2148" s="69">
        <v>0</v>
      </c>
      <c r="F2148" s="69">
        <v>0</v>
      </c>
      <c r="G2148" s="69" t="s">
        <v>27</v>
      </c>
      <c r="H2148" s="69" t="str">
        <f>IFERROR(VLOOKUP(Data!$G2148,canon!$I$2:$K$27,2,FALSE),"")</f>
        <v>ACCESSORY</v>
      </c>
      <c r="I2148" s="69" t="str">
        <f>IFERROR(VLOOKUP(Data!$G2148,canon!$I$2:$K$27,3,FALSE),"")</f>
        <v>N.APPAREL</v>
      </c>
      <c r="J2148" s="69">
        <f t="shared" si="66"/>
        <v>6</v>
      </c>
      <c r="K2148" s="69">
        <f t="shared" si="67"/>
        <v>43</v>
      </c>
      <c r="L2148" s="69">
        <f>VLOOKUP(Table_db1_backend_Daily.accdb[[#This Row],[TradingDate]],canon!B:E,4,0)</f>
        <v>30</v>
      </c>
    </row>
    <row r="2149" spans="1:12" x14ac:dyDescent="0.2">
      <c r="A2149" s="69" t="s">
        <v>43</v>
      </c>
      <c r="B2149" s="70">
        <v>42944</v>
      </c>
      <c r="C2149" s="69">
        <v>4</v>
      </c>
      <c r="D2149" s="69">
        <v>0</v>
      </c>
      <c r="E2149" s="69">
        <v>0</v>
      </c>
      <c r="F2149" s="69">
        <v>0</v>
      </c>
      <c r="G2149" s="69" t="s">
        <v>34</v>
      </c>
      <c r="H2149" s="69" t="str">
        <f>IFERROR(VLOOKUP(Data!$G2149,canon!$I$2:$K$27,2,FALSE),"")</f>
        <v>SHOES</v>
      </c>
      <c r="I2149" s="69" t="str">
        <f>IFERROR(VLOOKUP(Data!$G2149,canon!$I$2:$K$27,3,FALSE),"")</f>
        <v>N.APPAREL</v>
      </c>
      <c r="J2149" s="69">
        <f t="shared" si="66"/>
        <v>6</v>
      </c>
      <c r="K2149" s="69">
        <f t="shared" si="67"/>
        <v>43</v>
      </c>
      <c r="L2149" s="69">
        <f>VLOOKUP(Table_db1_backend_Daily.accdb[[#This Row],[TradingDate]],canon!B:E,4,0)</f>
        <v>30</v>
      </c>
    </row>
    <row r="2150" spans="1:12" x14ac:dyDescent="0.2">
      <c r="A2150" s="69" t="s">
        <v>43</v>
      </c>
      <c r="B2150" s="70">
        <v>42944</v>
      </c>
      <c r="C2150" s="69">
        <v>620</v>
      </c>
      <c r="D2150" s="69">
        <v>12</v>
      </c>
      <c r="E2150" s="69">
        <v>190.60000000000002</v>
      </c>
      <c r="F2150" s="69">
        <v>93.51</v>
      </c>
      <c r="G2150" s="69" t="s">
        <v>35</v>
      </c>
      <c r="H2150" s="69" t="str">
        <f>IFERROR(VLOOKUP(Data!$G2150,canon!$I$2:$K$27,2,FALSE),"")</f>
        <v>DRESS</v>
      </c>
      <c r="I2150" s="69" t="str">
        <f>IFERROR(VLOOKUP(Data!$G2150,canon!$I$2:$K$27,3,FALSE),"")</f>
        <v>APPAREL</v>
      </c>
      <c r="J2150" s="69">
        <f t="shared" si="66"/>
        <v>6</v>
      </c>
      <c r="K2150" s="69">
        <f t="shared" si="67"/>
        <v>43</v>
      </c>
      <c r="L2150" s="69">
        <f>VLOOKUP(Table_db1_backend_Daily.accdb[[#This Row],[TradingDate]],canon!B:E,4,0)</f>
        <v>30</v>
      </c>
    </row>
    <row r="2151" spans="1:12" x14ac:dyDescent="0.2">
      <c r="A2151" s="69" t="s">
        <v>43</v>
      </c>
      <c r="B2151" s="70">
        <v>42944</v>
      </c>
      <c r="C2151" s="69">
        <v>-11</v>
      </c>
      <c r="D2151" s="69">
        <v>0</v>
      </c>
      <c r="E2151" s="69">
        <v>0</v>
      </c>
      <c r="F2151" s="69">
        <v>0</v>
      </c>
      <c r="G2151" s="69" t="s">
        <v>10</v>
      </c>
      <c r="H2151" s="69" t="str">
        <f>IFERROR(VLOOKUP(Data!$G2151,canon!$I$2:$K$27,2,FALSE),"")</f>
        <v>ACCESSORY</v>
      </c>
      <c r="I2151" s="69" t="str">
        <f>IFERROR(VLOOKUP(Data!$G2151,canon!$I$2:$K$27,3,FALSE),"")</f>
        <v>N.APPAREL</v>
      </c>
      <c r="J2151" s="69">
        <f t="shared" si="66"/>
        <v>6</v>
      </c>
      <c r="K2151" s="69">
        <f t="shared" si="67"/>
        <v>43</v>
      </c>
      <c r="L2151" s="69">
        <f>VLOOKUP(Table_db1_backend_Daily.accdb[[#This Row],[TradingDate]],canon!B:E,4,0)</f>
        <v>30</v>
      </c>
    </row>
    <row r="2152" spans="1:12" x14ac:dyDescent="0.2">
      <c r="A2152" s="69" t="s">
        <v>43</v>
      </c>
      <c r="B2152" s="70">
        <v>42944</v>
      </c>
      <c r="C2152" s="69">
        <v>8</v>
      </c>
      <c r="D2152" s="69">
        <v>0</v>
      </c>
      <c r="E2152" s="69">
        <v>0</v>
      </c>
      <c r="F2152" s="69">
        <v>0</v>
      </c>
      <c r="G2152" s="69" t="s">
        <v>28</v>
      </c>
      <c r="H2152" s="69" t="str">
        <f>IFERROR(VLOOKUP(Data!$G2152,canon!$I$2:$K$27,2,FALSE),"")</f>
        <v>ACCESSORY</v>
      </c>
      <c r="I2152" s="69" t="str">
        <f>IFERROR(VLOOKUP(Data!$G2152,canon!$I$2:$K$27,3,FALSE),"")</f>
        <v>N.APPAREL</v>
      </c>
      <c r="J2152" s="69">
        <f t="shared" si="66"/>
        <v>6</v>
      </c>
      <c r="K2152" s="69">
        <f t="shared" si="67"/>
        <v>43</v>
      </c>
      <c r="L2152" s="69">
        <f>VLOOKUP(Table_db1_backend_Daily.accdb[[#This Row],[TradingDate]],canon!B:E,4,0)</f>
        <v>30</v>
      </c>
    </row>
    <row r="2153" spans="1:12" x14ac:dyDescent="0.2">
      <c r="A2153" s="69" t="s">
        <v>43</v>
      </c>
      <c r="B2153" s="70">
        <v>42944</v>
      </c>
      <c r="C2153" s="69">
        <v>1329</v>
      </c>
      <c r="D2153" s="69">
        <v>93</v>
      </c>
      <c r="E2153" s="69">
        <v>890.13</v>
      </c>
      <c r="F2153" s="69">
        <v>151.52999999999997</v>
      </c>
      <c r="G2153" s="69" t="s">
        <v>11</v>
      </c>
      <c r="H2153" s="69" t="str">
        <f>IFERROR(VLOOKUP(Data!$G2153,canon!$I$2:$K$27,2,FALSE),"")</f>
        <v>KNIT</v>
      </c>
      <c r="I2153" s="69" t="str">
        <f>IFERROR(VLOOKUP(Data!$G2153,canon!$I$2:$K$27,3,FALSE),"")</f>
        <v>APPAREL</v>
      </c>
      <c r="J2153" s="69">
        <f t="shared" si="66"/>
        <v>6</v>
      </c>
      <c r="K2153" s="69">
        <f t="shared" si="67"/>
        <v>43</v>
      </c>
      <c r="L2153" s="69">
        <f>VLOOKUP(Table_db1_backend_Daily.accdb[[#This Row],[TradingDate]],canon!B:E,4,0)</f>
        <v>30</v>
      </c>
    </row>
    <row r="2154" spans="1:12" x14ac:dyDescent="0.2">
      <c r="A2154" s="69" t="s">
        <v>43</v>
      </c>
      <c r="B2154" s="70">
        <v>42944</v>
      </c>
      <c r="C2154" s="69">
        <v>125</v>
      </c>
      <c r="D2154" s="69">
        <v>4</v>
      </c>
      <c r="E2154" s="69">
        <v>81.78</v>
      </c>
      <c r="F2154" s="69">
        <v>55.92</v>
      </c>
      <c r="G2154" s="69" t="s">
        <v>14</v>
      </c>
      <c r="H2154" s="69" t="str">
        <f>IFERROR(VLOOKUP(Data!$G2154,canon!$I$2:$K$27,2,FALSE),"")</f>
        <v>LEGGING</v>
      </c>
      <c r="I2154" s="69" t="str">
        <f>IFERROR(VLOOKUP(Data!$G2154,canon!$I$2:$K$27,3,FALSE),"")</f>
        <v>APPAREL</v>
      </c>
      <c r="J2154" s="69">
        <f t="shared" si="66"/>
        <v>6</v>
      </c>
      <c r="K2154" s="69">
        <f t="shared" si="67"/>
        <v>43</v>
      </c>
      <c r="L2154" s="69">
        <f>VLOOKUP(Table_db1_backend_Daily.accdb[[#This Row],[TradingDate]],canon!B:E,4,0)</f>
        <v>30</v>
      </c>
    </row>
    <row r="2155" spans="1:12" x14ac:dyDescent="0.2">
      <c r="A2155" s="69" t="s">
        <v>43</v>
      </c>
      <c r="B2155" s="70">
        <v>42944</v>
      </c>
      <c r="C2155" s="69">
        <v>61</v>
      </c>
      <c r="D2155" s="69">
        <v>0</v>
      </c>
      <c r="E2155" s="69">
        <v>0</v>
      </c>
      <c r="F2155" s="69">
        <v>0</v>
      </c>
      <c r="G2155" s="69" t="s">
        <v>37</v>
      </c>
      <c r="H2155" s="69" t="str">
        <f>IFERROR(VLOOKUP(Data!$G2155,canon!$I$2:$K$27,2,FALSE),"")</f>
        <v>SHOES</v>
      </c>
      <c r="I2155" s="69" t="str">
        <f>IFERROR(VLOOKUP(Data!$G2155,canon!$I$2:$K$27,3,FALSE),"")</f>
        <v>N.APPAREL</v>
      </c>
      <c r="J2155" s="69">
        <f t="shared" si="66"/>
        <v>6</v>
      </c>
      <c r="K2155" s="69">
        <f t="shared" si="67"/>
        <v>43</v>
      </c>
      <c r="L2155" s="69">
        <f>VLOOKUP(Table_db1_backend_Daily.accdb[[#This Row],[TradingDate]],canon!B:E,4,0)</f>
        <v>30</v>
      </c>
    </row>
    <row r="2156" spans="1:12" x14ac:dyDescent="0.2">
      <c r="A2156" s="69" t="s">
        <v>43</v>
      </c>
      <c r="B2156" s="70">
        <v>42944</v>
      </c>
      <c r="C2156" s="69">
        <v>61</v>
      </c>
      <c r="D2156" s="69">
        <v>0</v>
      </c>
      <c r="E2156" s="69">
        <v>0</v>
      </c>
      <c r="F2156" s="69">
        <v>0</v>
      </c>
      <c r="G2156" s="69" t="s">
        <v>29</v>
      </c>
      <c r="H2156" s="69" t="str">
        <f>IFERROR(VLOOKUP(Data!$G2156,canon!$I$2:$K$27,2,FALSE),"")</f>
        <v>SHOES</v>
      </c>
      <c r="I2156" s="69" t="str">
        <f>IFERROR(VLOOKUP(Data!$G2156,canon!$I$2:$K$27,3,FALSE),"")</f>
        <v>N.APPAREL</v>
      </c>
      <c r="J2156" s="69">
        <f t="shared" si="66"/>
        <v>6</v>
      </c>
      <c r="K2156" s="69">
        <f t="shared" si="67"/>
        <v>43</v>
      </c>
      <c r="L2156" s="69">
        <f>VLOOKUP(Table_db1_backend_Daily.accdb[[#This Row],[TradingDate]],canon!B:E,4,0)</f>
        <v>30</v>
      </c>
    </row>
    <row r="2157" spans="1:12" x14ac:dyDescent="0.2">
      <c r="A2157" s="69" t="s">
        <v>43</v>
      </c>
      <c r="B2157" s="70">
        <v>42944</v>
      </c>
      <c r="C2157" s="69">
        <v>544</v>
      </c>
      <c r="D2157" s="69">
        <v>10</v>
      </c>
      <c r="E2157" s="69">
        <v>181.8</v>
      </c>
      <c r="F2157" s="69">
        <v>102.91999999999999</v>
      </c>
      <c r="G2157" s="69" t="s">
        <v>17</v>
      </c>
      <c r="H2157" s="69" t="str">
        <f>IFERROR(VLOOKUP(Data!$G2157,canon!$I$2:$K$27,2,FALSE),"")</f>
        <v>OUTER</v>
      </c>
      <c r="I2157" s="69" t="str">
        <f>IFERROR(VLOOKUP(Data!$G2157,canon!$I$2:$K$27,3,FALSE),"")</f>
        <v>APPAREL</v>
      </c>
      <c r="J2157" s="69">
        <f t="shared" si="66"/>
        <v>6</v>
      </c>
      <c r="K2157" s="69">
        <f t="shared" si="67"/>
        <v>43</v>
      </c>
      <c r="L2157" s="69">
        <f>VLOOKUP(Table_db1_backend_Daily.accdb[[#This Row],[TradingDate]],canon!B:E,4,0)</f>
        <v>30</v>
      </c>
    </row>
    <row r="2158" spans="1:12" x14ac:dyDescent="0.2">
      <c r="A2158" s="69" t="s">
        <v>43</v>
      </c>
      <c r="B2158" s="70">
        <v>42944</v>
      </c>
      <c r="C2158" s="69">
        <v>208</v>
      </c>
      <c r="D2158" s="69">
        <v>2</v>
      </c>
      <c r="E2158" s="69">
        <v>22.73</v>
      </c>
      <c r="F2158" s="69">
        <v>8.16</v>
      </c>
      <c r="G2158" s="69" t="s">
        <v>19</v>
      </c>
      <c r="H2158" s="69" t="str">
        <f>IFERROR(VLOOKUP(Data!$G2158,canon!$I$2:$K$27,2,FALSE),"")</f>
        <v>PANT</v>
      </c>
      <c r="I2158" s="69" t="str">
        <f>IFERROR(VLOOKUP(Data!$G2158,canon!$I$2:$K$27,3,FALSE),"")</f>
        <v>APPAREL</v>
      </c>
      <c r="J2158" s="69">
        <f t="shared" si="66"/>
        <v>6</v>
      </c>
      <c r="K2158" s="69">
        <f t="shared" si="67"/>
        <v>43</v>
      </c>
      <c r="L2158" s="69">
        <f>VLOOKUP(Table_db1_backend_Daily.accdb[[#This Row],[TradingDate]],canon!B:E,4,0)</f>
        <v>30</v>
      </c>
    </row>
    <row r="2159" spans="1:12" x14ac:dyDescent="0.2">
      <c r="A2159" s="69" t="s">
        <v>43</v>
      </c>
      <c r="B2159" s="70">
        <v>42944</v>
      </c>
      <c r="C2159" s="69">
        <v>64</v>
      </c>
      <c r="D2159" s="69">
        <v>0</v>
      </c>
      <c r="E2159" s="69">
        <v>0</v>
      </c>
      <c r="F2159" s="69">
        <v>0</v>
      </c>
      <c r="G2159" s="69" t="s">
        <v>21</v>
      </c>
      <c r="H2159" s="69" t="str">
        <f>IFERROR(VLOOKUP(Data!$G2159,canon!$I$2:$K$27,2,FALSE),"")</f>
        <v>ACCESSORY</v>
      </c>
      <c r="I2159" s="69" t="str">
        <f>IFERROR(VLOOKUP(Data!$G2159,canon!$I$2:$K$27,3,FALSE),"")</f>
        <v>N.APPAREL</v>
      </c>
      <c r="J2159" s="69">
        <f t="shared" si="66"/>
        <v>6</v>
      </c>
      <c r="K2159" s="69">
        <f t="shared" si="67"/>
        <v>43</v>
      </c>
      <c r="L2159" s="69">
        <f>VLOOKUP(Table_db1_backend_Daily.accdb[[#This Row],[TradingDate]],canon!B:E,4,0)</f>
        <v>30</v>
      </c>
    </row>
    <row r="2160" spans="1:12" x14ac:dyDescent="0.2">
      <c r="A2160" s="69" t="s">
        <v>43</v>
      </c>
      <c r="B2160" s="70">
        <v>42944</v>
      </c>
      <c r="C2160" s="69">
        <v>640</v>
      </c>
      <c r="D2160" s="69">
        <v>8</v>
      </c>
      <c r="E2160" s="69">
        <v>47.11</v>
      </c>
      <c r="F2160" s="69">
        <v>33.599999999999994</v>
      </c>
      <c r="G2160" s="69" t="s">
        <v>22</v>
      </c>
      <c r="H2160" s="69" t="str">
        <f>IFERROR(VLOOKUP(Data!$G2160,canon!$I$2:$K$27,2,FALSE),"")</f>
        <v>SCARF</v>
      </c>
      <c r="I2160" s="69" t="str">
        <f>IFERROR(VLOOKUP(Data!$G2160,canon!$I$2:$K$27,3,FALSE),"")</f>
        <v>N.APPAREL</v>
      </c>
      <c r="J2160" s="69">
        <f t="shared" si="66"/>
        <v>6</v>
      </c>
      <c r="K2160" s="69">
        <f t="shared" si="67"/>
        <v>43</v>
      </c>
      <c r="L2160" s="69">
        <f>VLOOKUP(Table_db1_backend_Daily.accdb[[#This Row],[TradingDate]],canon!B:E,4,0)</f>
        <v>30</v>
      </c>
    </row>
    <row r="2161" spans="1:12" x14ac:dyDescent="0.2">
      <c r="A2161" s="69" t="s">
        <v>43</v>
      </c>
      <c r="B2161" s="70">
        <v>42944</v>
      </c>
      <c r="C2161" s="69">
        <v>68</v>
      </c>
      <c r="D2161" s="69">
        <v>2</v>
      </c>
      <c r="E2161" s="69">
        <v>36.36</v>
      </c>
      <c r="F2161" s="69">
        <v>20.049999999999997</v>
      </c>
      <c r="G2161" s="69" t="s">
        <v>23</v>
      </c>
      <c r="H2161" s="69" t="str">
        <f>IFERROR(VLOOKUP(Data!$G2161,canon!$I$2:$K$27,2,FALSE),"")</f>
        <v>SH&amp;BL</v>
      </c>
      <c r="I2161" s="69" t="str">
        <f>IFERROR(VLOOKUP(Data!$G2161,canon!$I$2:$K$27,3,FALSE),"")</f>
        <v>APPAREL</v>
      </c>
      <c r="J2161" s="69">
        <f t="shared" si="66"/>
        <v>6</v>
      </c>
      <c r="K2161" s="69">
        <f t="shared" si="67"/>
        <v>43</v>
      </c>
      <c r="L2161" s="69">
        <f>VLOOKUP(Table_db1_backend_Daily.accdb[[#This Row],[TradingDate]],canon!B:E,4,0)</f>
        <v>30</v>
      </c>
    </row>
    <row r="2162" spans="1:12" x14ac:dyDescent="0.2">
      <c r="A2162" s="69" t="s">
        <v>43</v>
      </c>
      <c r="B2162" s="70">
        <v>42944</v>
      </c>
      <c r="C2162" s="69">
        <v>0</v>
      </c>
      <c r="D2162" s="69">
        <v>1</v>
      </c>
      <c r="E2162" s="69">
        <v>-4.5299999999999985</v>
      </c>
      <c r="F2162" s="69">
        <v>-6.27</v>
      </c>
      <c r="G2162" s="69" t="s">
        <v>32</v>
      </c>
      <c r="H2162" s="69" t="str">
        <f>IFERROR(VLOOKUP(Data!$G2162,canon!$I$2:$K$27,2,FALSE),"")</f>
        <v>SKIRT</v>
      </c>
      <c r="I2162" s="69" t="str">
        <f>IFERROR(VLOOKUP(Data!$G2162,canon!$I$2:$K$27,3,FALSE),"")</f>
        <v>APPAREL</v>
      </c>
      <c r="J2162" s="69">
        <f t="shared" si="66"/>
        <v>6</v>
      </c>
      <c r="K2162" s="69">
        <f t="shared" si="67"/>
        <v>43</v>
      </c>
      <c r="L2162" s="69">
        <f>VLOOKUP(Table_db1_backend_Daily.accdb[[#This Row],[TradingDate]],canon!B:E,4,0)</f>
        <v>30</v>
      </c>
    </row>
    <row r="2163" spans="1:12" x14ac:dyDescent="0.2">
      <c r="A2163" s="69" t="s">
        <v>43</v>
      </c>
      <c r="B2163" s="70">
        <v>42944</v>
      </c>
      <c r="C2163" s="69">
        <v>505</v>
      </c>
      <c r="D2163" s="69">
        <v>33</v>
      </c>
      <c r="E2163" s="69">
        <v>199.87</v>
      </c>
      <c r="F2163" s="69">
        <v>32.060000000000009</v>
      </c>
      <c r="G2163" s="69" t="s">
        <v>25</v>
      </c>
      <c r="H2163" s="69" t="str">
        <f>IFERROR(VLOOKUP(Data!$G2163,canon!$I$2:$K$27,2,FALSE),"")</f>
        <v>TOP</v>
      </c>
      <c r="I2163" s="69" t="str">
        <f>IFERROR(VLOOKUP(Data!$G2163,canon!$I$2:$K$27,3,FALSE),"")</f>
        <v>APPAREL</v>
      </c>
      <c r="J2163" s="69">
        <f t="shared" si="66"/>
        <v>6</v>
      </c>
      <c r="K2163" s="69">
        <f t="shared" si="67"/>
        <v>43</v>
      </c>
      <c r="L2163" s="69">
        <f>VLOOKUP(Table_db1_backend_Daily.accdb[[#This Row],[TradingDate]],canon!B:E,4,0)</f>
        <v>30</v>
      </c>
    </row>
    <row r="2164" spans="1:12" x14ac:dyDescent="0.2">
      <c r="A2164" s="69" t="s">
        <v>43</v>
      </c>
      <c r="B2164" s="70">
        <v>42945</v>
      </c>
      <c r="C2164" s="69">
        <v>10</v>
      </c>
      <c r="D2164" s="69">
        <v>0</v>
      </c>
      <c r="E2164" s="69">
        <v>0</v>
      </c>
      <c r="F2164" s="69">
        <v>0</v>
      </c>
      <c r="G2164" s="69" t="s">
        <v>27</v>
      </c>
      <c r="H2164" s="69" t="str">
        <f>IFERROR(VLOOKUP(Data!$G2164,canon!$I$2:$K$27,2,FALSE),"")</f>
        <v>ACCESSORY</v>
      </c>
      <c r="I2164" s="69" t="str">
        <f>IFERROR(VLOOKUP(Data!$G2164,canon!$I$2:$K$27,3,FALSE),"")</f>
        <v>N.APPAREL</v>
      </c>
      <c r="J2164" s="69">
        <f t="shared" si="66"/>
        <v>7</v>
      </c>
      <c r="K2164" s="69">
        <f t="shared" si="67"/>
        <v>43</v>
      </c>
      <c r="L2164" s="69">
        <f>VLOOKUP(Table_db1_backend_Daily.accdb[[#This Row],[TradingDate]],canon!B:E,4,0)</f>
        <v>30</v>
      </c>
    </row>
    <row r="2165" spans="1:12" x14ac:dyDescent="0.2">
      <c r="A2165" s="69" t="s">
        <v>43</v>
      </c>
      <c r="B2165" s="70">
        <v>42945</v>
      </c>
      <c r="C2165" s="69">
        <v>4</v>
      </c>
      <c r="D2165" s="69">
        <v>0</v>
      </c>
      <c r="E2165" s="69">
        <v>0</v>
      </c>
      <c r="F2165" s="69">
        <v>0</v>
      </c>
      <c r="G2165" s="69" t="s">
        <v>34</v>
      </c>
      <c r="H2165" s="69" t="str">
        <f>IFERROR(VLOOKUP(Data!$G2165,canon!$I$2:$K$27,2,FALSE),"")</f>
        <v>SHOES</v>
      </c>
      <c r="I2165" s="69" t="str">
        <f>IFERROR(VLOOKUP(Data!$G2165,canon!$I$2:$K$27,3,FALSE),"")</f>
        <v>N.APPAREL</v>
      </c>
      <c r="J2165" s="69">
        <f t="shared" si="66"/>
        <v>7</v>
      </c>
      <c r="K2165" s="69">
        <f t="shared" si="67"/>
        <v>43</v>
      </c>
      <c r="L2165" s="69">
        <f>VLOOKUP(Table_db1_backend_Daily.accdb[[#This Row],[TradingDate]],canon!B:E,4,0)</f>
        <v>30</v>
      </c>
    </row>
    <row r="2166" spans="1:12" x14ac:dyDescent="0.2">
      <c r="A2166" s="69" t="s">
        <v>43</v>
      </c>
      <c r="B2166" s="70">
        <v>42945</v>
      </c>
      <c r="C2166" s="69">
        <v>613</v>
      </c>
      <c r="D2166" s="69">
        <v>7</v>
      </c>
      <c r="E2166" s="69">
        <v>108.88</v>
      </c>
      <c r="F2166" s="69">
        <v>49.970000000000006</v>
      </c>
      <c r="G2166" s="69" t="s">
        <v>35</v>
      </c>
      <c r="H2166" s="69" t="str">
        <f>IFERROR(VLOOKUP(Data!$G2166,canon!$I$2:$K$27,2,FALSE),"")</f>
        <v>DRESS</v>
      </c>
      <c r="I2166" s="69" t="str">
        <f>IFERROR(VLOOKUP(Data!$G2166,canon!$I$2:$K$27,3,FALSE),"")</f>
        <v>APPAREL</v>
      </c>
      <c r="J2166" s="69">
        <f t="shared" si="66"/>
        <v>7</v>
      </c>
      <c r="K2166" s="69">
        <f t="shared" si="67"/>
        <v>43</v>
      </c>
      <c r="L2166" s="69">
        <f>VLOOKUP(Table_db1_backend_Daily.accdb[[#This Row],[TradingDate]],canon!B:E,4,0)</f>
        <v>30</v>
      </c>
    </row>
    <row r="2167" spans="1:12" x14ac:dyDescent="0.2">
      <c r="A2167" s="69" t="s">
        <v>43</v>
      </c>
      <c r="B2167" s="70">
        <v>42945</v>
      </c>
      <c r="C2167" s="69">
        <v>-11</v>
      </c>
      <c r="D2167" s="69">
        <v>0</v>
      </c>
      <c r="E2167" s="69">
        <v>0</v>
      </c>
      <c r="F2167" s="69">
        <v>0</v>
      </c>
      <c r="G2167" s="69" t="s">
        <v>10</v>
      </c>
      <c r="H2167" s="69" t="str">
        <f>IFERROR(VLOOKUP(Data!$G2167,canon!$I$2:$K$27,2,FALSE),"")</f>
        <v>ACCESSORY</v>
      </c>
      <c r="I2167" s="69" t="str">
        <f>IFERROR(VLOOKUP(Data!$G2167,canon!$I$2:$K$27,3,FALSE),"")</f>
        <v>N.APPAREL</v>
      </c>
      <c r="J2167" s="69">
        <f t="shared" si="66"/>
        <v>7</v>
      </c>
      <c r="K2167" s="69">
        <f t="shared" si="67"/>
        <v>43</v>
      </c>
      <c r="L2167" s="69">
        <f>VLOOKUP(Table_db1_backend_Daily.accdb[[#This Row],[TradingDate]],canon!B:E,4,0)</f>
        <v>30</v>
      </c>
    </row>
    <row r="2168" spans="1:12" x14ac:dyDescent="0.2">
      <c r="A2168" s="69" t="s">
        <v>43</v>
      </c>
      <c r="B2168" s="70">
        <v>42945</v>
      </c>
      <c r="C2168" s="69">
        <v>8</v>
      </c>
      <c r="D2168" s="69">
        <v>0</v>
      </c>
      <c r="E2168" s="69">
        <v>0</v>
      </c>
      <c r="F2168" s="69">
        <v>0</v>
      </c>
      <c r="G2168" s="69" t="s">
        <v>28</v>
      </c>
      <c r="H2168" s="69" t="str">
        <f>IFERROR(VLOOKUP(Data!$G2168,canon!$I$2:$K$27,2,FALSE),"")</f>
        <v>ACCESSORY</v>
      </c>
      <c r="I2168" s="69" t="str">
        <f>IFERROR(VLOOKUP(Data!$G2168,canon!$I$2:$K$27,3,FALSE),"")</f>
        <v>N.APPAREL</v>
      </c>
      <c r="J2168" s="69">
        <f t="shared" si="66"/>
        <v>7</v>
      </c>
      <c r="K2168" s="69">
        <f t="shared" si="67"/>
        <v>43</v>
      </c>
      <c r="L2168" s="69">
        <f>VLOOKUP(Table_db1_backend_Daily.accdb[[#This Row],[TradingDate]],canon!B:E,4,0)</f>
        <v>30</v>
      </c>
    </row>
    <row r="2169" spans="1:12" x14ac:dyDescent="0.2">
      <c r="A2169" s="69" t="s">
        <v>43</v>
      </c>
      <c r="B2169" s="70">
        <v>42945</v>
      </c>
      <c r="C2169" s="69">
        <v>1230</v>
      </c>
      <c r="D2169" s="69">
        <v>99</v>
      </c>
      <c r="E2169" s="69">
        <v>826.64999999999964</v>
      </c>
      <c r="F2169" s="69">
        <v>72.83</v>
      </c>
      <c r="G2169" s="69" t="s">
        <v>11</v>
      </c>
      <c r="H2169" s="69" t="str">
        <f>IFERROR(VLOOKUP(Data!$G2169,canon!$I$2:$K$27,2,FALSE),"")</f>
        <v>KNIT</v>
      </c>
      <c r="I2169" s="69" t="str">
        <f>IFERROR(VLOOKUP(Data!$G2169,canon!$I$2:$K$27,3,FALSE),"")</f>
        <v>APPAREL</v>
      </c>
      <c r="J2169" s="69">
        <f t="shared" si="66"/>
        <v>7</v>
      </c>
      <c r="K2169" s="69">
        <f t="shared" si="67"/>
        <v>43</v>
      </c>
      <c r="L2169" s="69">
        <f>VLOOKUP(Table_db1_backend_Daily.accdb[[#This Row],[TradingDate]],canon!B:E,4,0)</f>
        <v>30</v>
      </c>
    </row>
    <row r="2170" spans="1:12" x14ac:dyDescent="0.2">
      <c r="A2170" s="69" t="s">
        <v>43</v>
      </c>
      <c r="B2170" s="70">
        <v>42945</v>
      </c>
      <c r="C2170" s="69">
        <v>125</v>
      </c>
      <c r="D2170" s="69">
        <v>0</v>
      </c>
      <c r="E2170" s="69">
        <v>0</v>
      </c>
      <c r="F2170" s="69">
        <v>0</v>
      </c>
      <c r="G2170" s="69" t="s">
        <v>14</v>
      </c>
      <c r="H2170" s="69" t="str">
        <f>IFERROR(VLOOKUP(Data!$G2170,canon!$I$2:$K$27,2,FALSE),"")</f>
        <v>LEGGING</v>
      </c>
      <c r="I2170" s="69" t="str">
        <f>IFERROR(VLOOKUP(Data!$G2170,canon!$I$2:$K$27,3,FALSE),"")</f>
        <v>APPAREL</v>
      </c>
      <c r="J2170" s="69">
        <f t="shared" si="66"/>
        <v>7</v>
      </c>
      <c r="K2170" s="69">
        <f t="shared" si="67"/>
        <v>43</v>
      </c>
      <c r="L2170" s="69">
        <f>VLOOKUP(Table_db1_backend_Daily.accdb[[#This Row],[TradingDate]],canon!B:E,4,0)</f>
        <v>30</v>
      </c>
    </row>
    <row r="2171" spans="1:12" x14ac:dyDescent="0.2">
      <c r="A2171" s="69" t="s">
        <v>43</v>
      </c>
      <c r="B2171" s="70">
        <v>42945</v>
      </c>
      <c r="C2171" s="69">
        <v>61</v>
      </c>
      <c r="D2171" s="69">
        <v>0</v>
      </c>
      <c r="E2171" s="69">
        <v>0</v>
      </c>
      <c r="F2171" s="69">
        <v>0</v>
      </c>
      <c r="G2171" s="69" t="s">
        <v>37</v>
      </c>
      <c r="H2171" s="69" t="str">
        <f>IFERROR(VLOOKUP(Data!$G2171,canon!$I$2:$K$27,2,FALSE),"")</f>
        <v>SHOES</v>
      </c>
      <c r="I2171" s="69" t="str">
        <f>IFERROR(VLOOKUP(Data!$G2171,canon!$I$2:$K$27,3,FALSE),"")</f>
        <v>N.APPAREL</v>
      </c>
      <c r="J2171" s="69">
        <f t="shared" si="66"/>
        <v>7</v>
      </c>
      <c r="K2171" s="69">
        <f t="shared" si="67"/>
        <v>43</v>
      </c>
      <c r="L2171" s="69">
        <f>VLOOKUP(Table_db1_backend_Daily.accdb[[#This Row],[TradingDate]],canon!B:E,4,0)</f>
        <v>30</v>
      </c>
    </row>
    <row r="2172" spans="1:12" x14ac:dyDescent="0.2">
      <c r="A2172" s="69" t="s">
        <v>43</v>
      </c>
      <c r="B2172" s="70">
        <v>42945</v>
      </c>
      <c r="C2172" s="69">
        <v>61</v>
      </c>
      <c r="D2172" s="69">
        <v>0</v>
      </c>
      <c r="E2172" s="69">
        <v>0</v>
      </c>
      <c r="F2172" s="69">
        <v>0</v>
      </c>
      <c r="G2172" s="69" t="s">
        <v>29</v>
      </c>
      <c r="H2172" s="69" t="str">
        <f>IFERROR(VLOOKUP(Data!$G2172,canon!$I$2:$K$27,2,FALSE),"")</f>
        <v>SHOES</v>
      </c>
      <c r="I2172" s="69" t="str">
        <f>IFERROR(VLOOKUP(Data!$G2172,canon!$I$2:$K$27,3,FALSE),"")</f>
        <v>N.APPAREL</v>
      </c>
      <c r="J2172" s="69">
        <f t="shared" si="66"/>
        <v>7</v>
      </c>
      <c r="K2172" s="69">
        <f t="shared" si="67"/>
        <v>43</v>
      </c>
      <c r="L2172" s="69">
        <f>VLOOKUP(Table_db1_backend_Daily.accdb[[#This Row],[TradingDate]],canon!B:E,4,0)</f>
        <v>30</v>
      </c>
    </row>
    <row r="2173" spans="1:12" x14ac:dyDescent="0.2">
      <c r="A2173" s="69" t="s">
        <v>43</v>
      </c>
      <c r="B2173" s="70">
        <v>42945</v>
      </c>
      <c r="C2173" s="69">
        <v>535</v>
      </c>
      <c r="D2173" s="69">
        <v>9</v>
      </c>
      <c r="E2173" s="69">
        <v>163.62</v>
      </c>
      <c r="F2173" s="69">
        <v>96.15</v>
      </c>
      <c r="G2173" s="69" t="s">
        <v>17</v>
      </c>
      <c r="H2173" s="69" t="str">
        <f>IFERROR(VLOOKUP(Data!$G2173,canon!$I$2:$K$27,2,FALSE),"")</f>
        <v>OUTER</v>
      </c>
      <c r="I2173" s="69" t="str">
        <f>IFERROR(VLOOKUP(Data!$G2173,canon!$I$2:$K$27,3,FALSE),"")</f>
        <v>APPAREL</v>
      </c>
      <c r="J2173" s="69">
        <f t="shared" si="66"/>
        <v>7</v>
      </c>
      <c r="K2173" s="69">
        <f t="shared" si="67"/>
        <v>43</v>
      </c>
      <c r="L2173" s="69">
        <f>VLOOKUP(Table_db1_backend_Daily.accdb[[#This Row],[TradingDate]],canon!B:E,4,0)</f>
        <v>30</v>
      </c>
    </row>
    <row r="2174" spans="1:12" x14ac:dyDescent="0.2">
      <c r="A2174" s="69" t="s">
        <v>43</v>
      </c>
      <c r="B2174" s="70">
        <v>42945</v>
      </c>
      <c r="C2174" s="69">
        <v>205</v>
      </c>
      <c r="D2174" s="69">
        <v>3</v>
      </c>
      <c r="E2174" s="69">
        <v>40.86</v>
      </c>
      <c r="F2174" s="69">
        <v>19.440000000000001</v>
      </c>
      <c r="G2174" s="69" t="s">
        <v>19</v>
      </c>
      <c r="H2174" s="69" t="str">
        <f>IFERROR(VLOOKUP(Data!$G2174,canon!$I$2:$K$27,2,FALSE),"")</f>
        <v>PANT</v>
      </c>
      <c r="I2174" s="69" t="str">
        <f>IFERROR(VLOOKUP(Data!$G2174,canon!$I$2:$K$27,3,FALSE),"")</f>
        <v>APPAREL</v>
      </c>
      <c r="J2174" s="69">
        <f t="shared" si="66"/>
        <v>7</v>
      </c>
      <c r="K2174" s="69">
        <f t="shared" si="67"/>
        <v>43</v>
      </c>
      <c r="L2174" s="69">
        <f>VLOOKUP(Table_db1_backend_Daily.accdb[[#This Row],[TradingDate]],canon!B:E,4,0)</f>
        <v>30</v>
      </c>
    </row>
    <row r="2175" spans="1:12" x14ac:dyDescent="0.2">
      <c r="A2175" s="69" t="s">
        <v>43</v>
      </c>
      <c r="B2175" s="70">
        <v>42945</v>
      </c>
      <c r="C2175" s="69">
        <v>64</v>
      </c>
      <c r="D2175" s="69">
        <v>0</v>
      </c>
      <c r="E2175" s="69">
        <v>0</v>
      </c>
      <c r="F2175" s="69">
        <v>0</v>
      </c>
      <c r="G2175" s="69" t="s">
        <v>21</v>
      </c>
      <c r="H2175" s="69" t="str">
        <f>IFERROR(VLOOKUP(Data!$G2175,canon!$I$2:$K$27,2,FALSE),"")</f>
        <v>ACCESSORY</v>
      </c>
      <c r="I2175" s="69" t="str">
        <f>IFERROR(VLOOKUP(Data!$G2175,canon!$I$2:$K$27,3,FALSE),"")</f>
        <v>N.APPAREL</v>
      </c>
      <c r="J2175" s="69">
        <f t="shared" si="66"/>
        <v>7</v>
      </c>
      <c r="K2175" s="69">
        <f t="shared" si="67"/>
        <v>43</v>
      </c>
      <c r="L2175" s="69">
        <f>VLOOKUP(Table_db1_backend_Daily.accdb[[#This Row],[TradingDate]],canon!B:E,4,0)</f>
        <v>30</v>
      </c>
    </row>
    <row r="2176" spans="1:12" x14ac:dyDescent="0.2">
      <c r="A2176" s="69" t="s">
        <v>43</v>
      </c>
      <c r="B2176" s="70">
        <v>42945</v>
      </c>
      <c r="C2176" s="69">
        <v>631</v>
      </c>
      <c r="D2176" s="69">
        <v>9</v>
      </c>
      <c r="E2176" s="69">
        <v>48.95</v>
      </c>
      <c r="F2176" s="69">
        <v>33.200000000000003</v>
      </c>
      <c r="G2176" s="69" t="s">
        <v>22</v>
      </c>
      <c r="H2176" s="69" t="str">
        <f>IFERROR(VLOOKUP(Data!$G2176,canon!$I$2:$K$27,2,FALSE),"")</f>
        <v>SCARF</v>
      </c>
      <c r="I2176" s="69" t="str">
        <f>IFERROR(VLOOKUP(Data!$G2176,canon!$I$2:$K$27,3,FALSE),"")</f>
        <v>N.APPAREL</v>
      </c>
      <c r="J2176" s="69">
        <f t="shared" si="66"/>
        <v>7</v>
      </c>
      <c r="K2176" s="69">
        <f t="shared" si="67"/>
        <v>43</v>
      </c>
      <c r="L2176" s="69">
        <f>VLOOKUP(Table_db1_backend_Daily.accdb[[#This Row],[TradingDate]],canon!B:E,4,0)</f>
        <v>30</v>
      </c>
    </row>
    <row r="2177" spans="1:12" x14ac:dyDescent="0.2">
      <c r="A2177" s="69" t="s">
        <v>43</v>
      </c>
      <c r="B2177" s="70">
        <v>42945</v>
      </c>
      <c r="C2177" s="69">
        <v>64</v>
      </c>
      <c r="D2177" s="69">
        <v>4</v>
      </c>
      <c r="E2177" s="69">
        <v>63.620000000000005</v>
      </c>
      <c r="F2177" s="69">
        <v>33.840000000000003</v>
      </c>
      <c r="G2177" s="69" t="s">
        <v>23</v>
      </c>
      <c r="H2177" s="69" t="str">
        <f>IFERROR(VLOOKUP(Data!$G2177,canon!$I$2:$K$27,2,FALSE),"")</f>
        <v>SH&amp;BL</v>
      </c>
      <c r="I2177" s="69" t="str">
        <f>IFERROR(VLOOKUP(Data!$G2177,canon!$I$2:$K$27,3,FALSE),"")</f>
        <v>APPAREL</v>
      </c>
      <c r="J2177" s="69">
        <f t="shared" si="66"/>
        <v>7</v>
      </c>
      <c r="K2177" s="69">
        <f t="shared" si="67"/>
        <v>43</v>
      </c>
      <c r="L2177" s="69">
        <f>VLOOKUP(Table_db1_backend_Daily.accdb[[#This Row],[TradingDate]],canon!B:E,4,0)</f>
        <v>30</v>
      </c>
    </row>
    <row r="2178" spans="1:12" x14ac:dyDescent="0.2">
      <c r="A2178" s="69" t="s">
        <v>43</v>
      </c>
      <c r="B2178" s="70">
        <v>42945</v>
      </c>
      <c r="C2178" s="69">
        <v>-5</v>
      </c>
      <c r="D2178" s="69">
        <v>5</v>
      </c>
      <c r="E2178" s="69">
        <v>49.99</v>
      </c>
      <c r="F2178" s="69">
        <v>26.61</v>
      </c>
      <c r="G2178" s="69" t="s">
        <v>32</v>
      </c>
      <c r="H2178" s="69" t="str">
        <f>IFERROR(VLOOKUP(Data!$G2178,canon!$I$2:$K$27,2,FALSE),"")</f>
        <v>SKIRT</v>
      </c>
      <c r="I2178" s="69" t="str">
        <f>IFERROR(VLOOKUP(Data!$G2178,canon!$I$2:$K$27,3,FALSE),"")</f>
        <v>APPAREL</v>
      </c>
      <c r="J2178" s="69">
        <f t="shared" ref="J2178:J2241" si="68">WEEKDAY(B2178)</f>
        <v>7</v>
      </c>
      <c r="K2178" s="69">
        <f t="shared" ref="K2178:K2241" si="69">INT(A2178)</f>
        <v>43</v>
      </c>
      <c r="L2178" s="69">
        <f>VLOOKUP(Table_db1_backend_Daily.accdb[[#This Row],[TradingDate]],canon!B:E,4,0)</f>
        <v>30</v>
      </c>
    </row>
    <row r="2179" spans="1:12" x14ac:dyDescent="0.2">
      <c r="A2179" s="69" t="s">
        <v>43</v>
      </c>
      <c r="B2179" s="70">
        <v>42945</v>
      </c>
      <c r="C2179" s="69">
        <v>459</v>
      </c>
      <c r="D2179" s="69">
        <v>46</v>
      </c>
      <c r="E2179" s="69">
        <v>363.32000000000011</v>
      </c>
      <c r="F2179" s="69">
        <v>111.58000000000001</v>
      </c>
      <c r="G2179" s="69" t="s">
        <v>25</v>
      </c>
      <c r="H2179" s="69" t="str">
        <f>IFERROR(VLOOKUP(Data!$G2179,canon!$I$2:$K$27,2,FALSE),"")</f>
        <v>TOP</v>
      </c>
      <c r="I2179" s="69" t="str">
        <f>IFERROR(VLOOKUP(Data!$G2179,canon!$I$2:$K$27,3,FALSE),"")</f>
        <v>APPAREL</v>
      </c>
      <c r="J2179" s="69">
        <f t="shared" si="68"/>
        <v>7</v>
      </c>
      <c r="K2179" s="69">
        <f t="shared" si="69"/>
        <v>43</v>
      </c>
      <c r="L2179" s="69">
        <f>VLOOKUP(Table_db1_backend_Daily.accdb[[#This Row],[TradingDate]],canon!B:E,4,0)</f>
        <v>30</v>
      </c>
    </row>
    <row r="2180" spans="1:12" x14ac:dyDescent="0.2">
      <c r="A2180" s="69" t="s">
        <v>43</v>
      </c>
      <c r="B2180" s="70">
        <v>42946</v>
      </c>
      <c r="C2180" s="69">
        <v>10</v>
      </c>
      <c r="D2180" s="69">
        <v>0</v>
      </c>
      <c r="E2180" s="69">
        <v>0</v>
      </c>
      <c r="F2180" s="69">
        <v>0</v>
      </c>
      <c r="G2180" s="69" t="s">
        <v>27</v>
      </c>
      <c r="H2180" s="69" t="str">
        <f>IFERROR(VLOOKUP(Data!$G2180,canon!$I$2:$K$27,2,FALSE),"")</f>
        <v>ACCESSORY</v>
      </c>
      <c r="I2180" s="69" t="str">
        <f>IFERROR(VLOOKUP(Data!$G2180,canon!$I$2:$K$27,3,FALSE),"")</f>
        <v>N.APPAREL</v>
      </c>
      <c r="J2180" s="69">
        <f t="shared" si="68"/>
        <v>1</v>
      </c>
      <c r="K2180" s="69">
        <f t="shared" si="69"/>
        <v>43</v>
      </c>
      <c r="L2180" s="69">
        <f>VLOOKUP(Table_db1_backend_Daily.accdb[[#This Row],[TradingDate]],canon!B:E,4,0)</f>
        <v>31</v>
      </c>
    </row>
    <row r="2181" spans="1:12" x14ac:dyDescent="0.2">
      <c r="A2181" s="69" t="s">
        <v>43</v>
      </c>
      <c r="B2181" s="70">
        <v>42946</v>
      </c>
      <c r="C2181" s="69">
        <v>4</v>
      </c>
      <c r="D2181" s="69">
        <v>0</v>
      </c>
      <c r="E2181" s="69">
        <v>0</v>
      </c>
      <c r="F2181" s="69">
        <v>0</v>
      </c>
      <c r="G2181" s="69" t="s">
        <v>34</v>
      </c>
      <c r="H2181" s="69" t="str">
        <f>IFERROR(VLOOKUP(Data!$G2181,canon!$I$2:$K$27,2,FALSE),"")</f>
        <v>SHOES</v>
      </c>
      <c r="I2181" s="69" t="str">
        <f>IFERROR(VLOOKUP(Data!$G2181,canon!$I$2:$K$27,3,FALSE),"")</f>
        <v>N.APPAREL</v>
      </c>
      <c r="J2181" s="69">
        <f t="shared" si="68"/>
        <v>1</v>
      </c>
      <c r="K2181" s="69">
        <f t="shared" si="69"/>
        <v>43</v>
      </c>
      <c r="L2181" s="69">
        <f>VLOOKUP(Table_db1_backend_Daily.accdb[[#This Row],[TradingDate]],canon!B:E,4,0)</f>
        <v>31</v>
      </c>
    </row>
    <row r="2182" spans="1:12" x14ac:dyDescent="0.2">
      <c r="A2182" s="69" t="s">
        <v>43</v>
      </c>
      <c r="B2182" s="70">
        <v>42946</v>
      </c>
      <c r="C2182" s="69">
        <v>605</v>
      </c>
      <c r="D2182" s="69">
        <v>8</v>
      </c>
      <c r="E2182" s="69">
        <v>163.58000000000001</v>
      </c>
      <c r="F2182" s="69">
        <v>104.02</v>
      </c>
      <c r="G2182" s="69" t="s">
        <v>35</v>
      </c>
      <c r="H2182" s="69" t="str">
        <f>IFERROR(VLOOKUP(Data!$G2182,canon!$I$2:$K$27,2,FALSE),"")</f>
        <v>DRESS</v>
      </c>
      <c r="I2182" s="69" t="str">
        <f>IFERROR(VLOOKUP(Data!$G2182,canon!$I$2:$K$27,3,FALSE),"")</f>
        <v>APPAREL</v>
      </c>
      <c r="J2182" s="69">
        <f t="shared" si="68"/>
        <v>1</v>
      </c>
      <c r="K2182" s="69">
        <f t="shared" si="69"/>
        <v>43</v>
      </c>
      <c r="L2182" s="69">
        <f>VLOOKUP(Table_db1_backend_Daily.accdb[[#This Row],[TradingDate]],canon!B:E,4,0)</f>
        <v>31</v>
      </c>
    </row>
    <row r="2183" spans="1:12" x14ac:dyDescent="0.2">
      <c r="A2183" s="69" t="s">
        <v>43</v>
      </c>
      <c r="B2183" s="70">
        <v>42946</v>
      </c>
      <c r="C2183" s="69">
        <v>-11</v>
      </c>
      <c r="D2183" s="69">
        <v>0</v>
      </c>
      <c r="E2183" s="69">
        <v>0</v>
      </c>
      <c r="F2183" s="69">
        <v>0</v>
      </c>
      <c r="G2183" s="69" t="s">
        <v>10</v>
      </c>
      <c r="H2183" s="69" t="str">
        <f>IFERROR(VLOOKUP(Data!$G2183,canon!$I$2:$K$27,2,FALSE),"")</f>
        <v>ACCESSORY</v>
      </c>
      <c r="I2183" s="69" t="str">
        <f>IFERROR(VLOOKUP(Data!$G2183,canon!$I$2:$K$27,3,FALSE),"")</f>
        <v>N.APPAREL</v>
      </c>
      <c r="J2183" s="69">
        <f t="shared" si="68"/>
        <v>1</v>
      </c>
      <c r="K2183" s="69">
        <f t="shared" si="69"/>
        <v>43</v>
      </c>
      <c r="L2183" s="69">
        <f>VLOOKUP(Table_db1_backend_Daily.accdb[[#This Row],[TradingDate]],canon!B:E,4,0)</f>
        <v>31</v>
      </c>
    </row>
    <row r="2184" spans="1:12" x14ac:dyDescent="0.2">
      <c r="A2184" s="69" t="s">
        <v>43</v>
      </c>
      <c r="B2184" s="70">
        <v>42946</v>
      </c>
      <c r="C2184" s="69">
        <v>8</v>
      </c>
      <c r="D2184" s="69">
        <v>0</v>
      </c>
      <c r="E2184" s="69">
        <v>0</v>
      </c>
      <c r="F2184" s="69">
        <v>0</v>
      </c>
      <c r="G2184" s="69" t="s">
        <v>28</v>
      </c>
      <c r="H2184" s="69" t="str">
        <f>IFERROR(VLOOKUP(Data!$G2184,canon!$I$2:$K$27,2,FALSE),"")</f>
        <v>ACCESSORY</v>
      </c>
      <c r="I2184" s="69" t="str">
        <f>IFERROR(VLOOKUP(Data!$G2184,canon!$I$2:$K$27,3,FALSE),"")</f>
        <v>N.APPAREL</v>
      </c>
      <c r="J2184" s="69">
        <f t="shared" si="68"/>
        <v>1</v>
      </c>
      <c r="K2184" s="69">
        <f t="shared" si="69"/>
        <v>43</v>
      </c>
      <c r="L2184" s="69">
        <f>VLOOKUP(Table_db1_backend_Daily.accdb[[#This Row],[TradingDate]],canon!B:E,4,0)</f>
        <v>31</v>
      </c>
    </row>
    <row r="2185" spans="1:12" x14ac:dyDescent="0.2">
      <c r="A2185" s="69" t="s">
        <v>43</v>
      </c>
      <c r="B2185" s="70">
        <v>42946</v>
      </c>
      <c r="C2185" s="69">
        <v>1173</v>
      </c>
      <c r="D2185" s="69">
        <v>57</v>
      </c>
      <c r="E2185" s="69">
        <v>494.97999999999996</v>
      </c>
      <c r="F2185" s="69">
        <v>50.460000000000008</v>
      </c>
      <c r="G2185" s="69" t="s">
        <v>11</v>
      </c>
      <c r="H2185" s="69" t="str">
        <f>IFERROR(VLOOKUP(Data!$G2185,canon!$I$2:$K$27,2,FALSE),"")</f>
        <v>KNIT</v>
      </c>
      <c r="I2185" s="69" t="str">
        <f>IFERROR(VLOOKUP(Data!$G2185,canon!$I$2:$K$27,3,FALSE),"")</f>
        <v>APPAREL</v>
      </c>
      <c r="J2185" s="69">
        <f t="shared" si="68"/>
        <v>1</v>
      </c>
      <c r="K2185" s="69">
        <f t="shared" si="69"/>
        <v>43</v>
      </c>
      <c r="L2185" s="69">
        <f>VLOOKUP(Table_db1_backend_Daily.accdb[[#This Row],[TradingDate]],canon!B:E,4,0)</f>
        <v>31</v>
      </c>
    </row>
    <row r="2186" spans="1:12" x14ac:dyDescent="0.2">
      <c r="A2186" s="69" t="s">
        <v>43</v>
      </c>
      <c r="B2186" s="70">
        <v>42946</v>
      </c>
      <c r="C2186" s="69">
        <v>125</v>
      </c>
      <c r="D2186" s="69">
        <v>0</v>
      </c>
      <c r="E2186" s="69">
        <v>0</v>
      </c>
      <c r="F2186" s="69">
        <v>0</v>
      </c>
      <c r="G2186" s="69" t="s">
        <v>14</v>
      </c>
      <c r="H2186" s="69" t="str">
        <f>IFERROR(VLOOKUP(Data!$G2186,canon!$I$2:$K$27,2,FALSE),"")</f>
        <v>LEGGING</v>
      </c>
      <c r="I2186" s="69" t="str">
        <f>IFERROR(VLOOKUP(Data!$G2186,canon!$I$2:$K$27,3,FALSE),"")</f>
        <v>APPAREL</v>
      </c>
      <c r="J2186" s="69">
        <f t="shared" si="68"/>
        <v>1</v>
      </c>
      <c r="K2186" s="69">
        <f t="shared" si="69"/>
        <v>43</v>
      </c>
      <c r="L2186" s="69">
        <f>VLOOKUP(Table_db1_backend_Daily.accdb[[#This Row],[TradingDate]],canon!B:E,4,0)</f>
        <v>31</v>
      </c>
    </row>
    <row r="2187" spans="1:12" x14ac:dyDescent="0.2">
      <c r="A2187" s="69" t="s">
        <v>43</v>
      </c>
      <c r="B2187" s="70">
        <v>42946</v>
      </c>
      <c r="C2187" s="69">
        <v>61</v>
      </c>
      <c r="D2187" s="69">
        <v>0</v>
      </c>
      <c r="E2187" s="69">
        <v>0</v>
      </c>
      <c r="F2187" s="69">
        <v>0</v>
      </c>
      <c r="G2187" s="69" t="s">
        <v>37</v>
      </c>
      <c r="H2187" s="69" t="str">
        <f>IFERROR(VLOOKUP(Data!$G2187,canon!$I$2:$K$27,2,FALSE),"")</f>
        <v>SHOES</v>
      </c>
      <c r="I2187" s="69" t="str">
        <f>IFERROR(VLOOKUP(Data!$G2187,canon!$I$2:$K$27,3,FALSE),"")</f>
        <v>N.APPAREL</v>
      </c>
      <c r="J2187" s="69">
        <f t="shared" si="68"/>
        <v>1</v>
      </c>
      <c r="K2187" s="69">
        <f t="shared" si="69"/>
        <v>43</v>
      </c>
      <c r="L2187" s="69">
        <f>VLOOKUP(Table_db1_backend_Daily.accdb[[#This Row],[TradingDate]],canon!B:E,4,0)</f>
        <v>31</v>
      </c>
    </row>
    <row r="2188" spans="1:12" x14ac:dyDescent="0.2">
      <c r="A2188" s="69" t="s">
        <v>43</v>
      </c>
      <c r="B2188" s="70">
        <v>42946</v>
      </c>
      <c r="C2188" s="69">
        <v>61</v>
      </c>
      <c r="D2188" s="69">
        <v>0</v>
      </c>
      <c r="E2188" s="69">
        <v>0</v>
      </c>
      <c r="F2188" s="69">
        <v>0</v>
      </c>
      <c r="G2188" s="69" t="s">
        <v>29</v>
      </c>
      <c r="H2188" s="69" t="str">
        <f>IFERROR(VLOOKUP(Data!$G2188,canon!$I$2:$K$27,2,FALSE),"")</f>
        <v>SHOES</v>
      </c>
      <c r="I2188" s="69" t="str">
        <f>IFERROR(VLOOKUP(Data!$G2188,canon!$I$2:$K$27,3,FALSE),"")</f>
        <v>N.APPAREL</v>
      </c>
      <c r="J2188" s="69">
        <f t="shared" si="68"/>
        <v>1</v>
      </c>
      <c r="K2188" s="69">
        <f t="shared" si="69"/>
        <v>43</v>
      </c>
      <c r="L2188" s="69">
        <f>VLOOKUP(Table_db1_backend_Daily.accdb[[#This Row],[TradingDate]],canon!B:E,4,0)</f>
        <v>31</v>
      </c>
    </row>
    <row r="2189" spans="1:12" x14ac:dyDescent="0.2">
      <c r="A2189" s="69" t="s">
        <v>43</v>
      </c>
      <c r="B2189" s="70">
        <v>42946</v>
      </c>
      <c r="C2189" s="69">
        <v>528</v>
      </c>
      <c r="D2189" s="69">
        <v>7</v>
      </c>
      <c r="E2189" s="69">
        <v>127.26000000000002</v>
      </c>
      <c r="F2189" s="69">
        <v>75.210000000000008</v>
      </c>
      <c r="G2189" s="69" t="s">
        <v>17</v>
      </c>
      <c r="H2189" s="69" t="str">
        <f>IFERROR(VLOOKUP(Data!$G2189,canon!$I$2:$K$27,2,FALSE),"")</f>
        <v>OUTER</v>
      </c>
      <c r="I2189" s="69" t="str">
        <f>IFERROR(VLOOKUP(Data!$G2189,canon!$I$2:$K$27,3,FALSE),"")</f>
        <v>APPAREL</v>
      </c>
      <c r="J2189" s="69">
        <f t="shared" si="68"/>
        <v>1</v>
      </c>
      <c r="K2189" s="69">
        <f t="shared" si="69"/>
        <v>43</v>
      </c>
      <c r="L2189" s="69">
        <f>VLOOKUP(Table_db1_backend_Daily.accdb[[#This Row],[TradingDate]],canon!B:E,4,0)</f>
        <v>31</v>
      </c>
    </row>
    <row r="2190" spans="1:12" x14ac:dyDescent="0.2">
      <c r="A2190" s="69" t="s">
        <v>43</v>
      </c>
      <c r="B2190" s="70">
        <v>42946</v>
      </c>
      <c r="C2190" s="69">
        <v>200</v>
      </c>
      <c r="D2190" s="69">
        <v>5</v>
      </c>
      <c r="E2190" s="69">
        <v>22.73</v>
      </c>
      <c r="F2190" s="69">
        <v>-8.4699999999999989</v>
      </c>
      <c r="G2190" s="69" t="s">
        <v>19</v>
      </c>
      <c r="H2190" s="69" t="str">
        <f>IFERROR(VLOOKUP(Data!$G2190,canon!$I$2:$K$27,2,FALSE),"")</f>
        <v>PANT</v>
      </c>
      <c r="I2190" s="69" t="str">
        <f>IFERROR(VLOOKUP(Data!$G2190,canon!$I$2:$K$27,3,FALSE),"")</f>
        <v>APPAREL</v>
      </c>
      <c r="J2190" s="69">
        <f t="shared" si="68"/>
        <v>1</v>
      </c>
      <c r="K2190" s="69">
        <f t="shared" si="69"/>
        <v>43</v>
      </c>
      <c r="L2190" s="69">
        <f>VLOOKUP(Table_db1_backend_Daily.accdb[[#This Row],[TradingDate]],canon!B:E,4,0)</f>
        <v>31</v>
      </c>
    </row>
    <row r="2191" spans="1:12" x14ac:dyDescent="0.2">
      <c r="A2191" s="69" t="s">
        <v>43</v>
      </c>
      <c r="B2191" s="70">
        <v>42946</v>
      </c>
      <c r="C2191" s="69">
        <v>64</v>
      </c>
      <c r="D2191" s="69">
        <v>0</v>
      </c>
      <c r="E2191" s="69">
        <v>0</v>
      </c>
      <c r="F2191" s="69">
        <v>0</v>
      </c>
      <c r="G2191" s="69" t="s">
        <v>21</v>
      </c>
      <c r="H2191" s="69" t="str">
        <f>IFERROR(VLOOKUP(Data!$G2191,canon!$I$2:$K$27,2,FALSE),"")</f>
        <v>ACCESSORY</v>
      </c>
      <c r="I2191" s="69" t="str">
        <f>IFERROR(VLOOKUP(Data!$G2191,canon!$I$2:$K$27,3,FALSE),"")</f>
        <v>N.APPAREL</v>
      </c>
      <c r="J2191" s="69">
        <f t="shared" si="68"/>
        <v>1</v>
      </c>
      <c r="K2191" s="69">
        <f t="shared" si="69"/>
        <v>43</v>
      </c>
      <c r="L2191" s="69">
        <f>VLOOKUP(Table_db1_backend_Daily.accdb[[#This Row],[TradingDate]],canon!B:E,4,0)</f>
        <v>31</v>
      </c>
    </row>
    <row r="2192" spans="1:12" x14ac:dyDescent="0.2">
      <c r="A2192" s="69" t="s">
        <v>43</v>
      </c>
      <c r="B2192" s="70">
        <v>42946</v>
      </c>
      <c r="C2192" s="69">
        <v>630</v>
      </c>
      <c r="D2192" s="69">
        <v>1</v>
      </c>
      <c r="E2192" s="69">
        <v>4.55</v>
      </c>
      <c r="F2192" s="69">
        <v>3.25</v>
      </c>
      <c r="G2192" s="69" t="s">
        <v>22</v>
      </c>
      <c r="H2192" s="69" t="str">
        <f>IFERROR(VLOOKUP(Data!$G2192,canon!$I$2:$K$27,2,FALSE),"")</f>
        <v>SCARF</v>
      </c>
      <c r="I2192" s="69" t="str">
        <f>IFERROR(VLOOKUP(Data!$G2192,canon!$I$2:$K$27,3,FALSE),"")</f>
        <v>N.APPAREL</v>
      </c>
      <c r="J2192" s="69">
        <f t="shared" si="68"/>
        <v>1</v>
      </c>
      <c r="K2192" s="69">
        <f t="shared" si="69"/>
        <v>43</v>
      </c>
      <c r="L2192" s="69">
        <f>VLOOKUP(Table_db1_backend_Daily.accdb[[#This Row],[TradingDate]],canon!B:E,4,0)</f>
        <v>31</v>
      </c>
    </row>
    <row r="2193" spans="1:12" x14ac:dyDescent="0.2">
      <c r="A2193" s="69" t="s">
        <v>43</v>
      </c>
      <c r="B2193" s="70">
        <v>42946</v>
      </c>
      <c r="C2193" s="69">
        <v>61</v>
      </c>
      <c r="D2193" s="69">
        <v>3</v>
      </c>
      <c r="E2193" s="69">
        <v>45.42</v>
      </c>
      <c r="F2193" s="69">
        <v>19.989999999999998</v>
      </c>
      <c r="G2193" s="69" t="s">
        <v>23</v>
      </c>
      <c r="H2193" s="69" t="str">
        <f>IFERROR(VLOOKUP(Data!$G2193,canon!$I$2:$K$27,2,FALSE),"")</f>
        <v>SH&amp;BL</v>
      </c>
      <c r="I2193" s="69" t="str">
        <f>IFERROR(VLOOKUP(Data!$G2193,canon!$I$2:$K$27,3,FALSE),"")</f>
        <v>APPAREL</v>
      </c>
      <c r="J2193" s="69">
        <f t="shared" si="68"/>
        <v>1</v>
      </c>
      <c r="K2193" s="69">
        <f t="shared" si="69"/>
        <v>43</v>
      </c>
      <c r="L2193" s="69">
        <f>VLOOKUP(Table_db1_backend_Daily.accdb[[#This Row],[TradingDate]],canon!B:E,4,0)</f>
        <v>31</v>
      </c>
    </row>
    <row r="2194" spans="1:12" x14ac:dyDescent="0.2">
      <c r="A2194" s="69" t="s">
        <v>43</v>
      </c>
      <c r="B2194" s="70">
        <v>42946</v>
      </c>
      <c r="C2194" s="69">
        <v>-6</v>
      </c>
      <c r="D2194" s="69">
        <v>1</v>
      </c>
      <c r="E2194" s="69">
        <v>18.14</v>
      </c>
      <c r="F2194" s="69">
        <v>12.71</v>
      </c>
      <c r="G2194" s="69" t="s">
        <v>32</v>
      </c>
      <c r="H2194" s="69" t="str">
        <f>IFERROR(VLOOKUP(Data!$G2194,canon!$I$2:$K$27,2,FALSE),"")</f>
        <v>SKIRT</v>
      </c>
      <c r="I2194" s="69" t="str">
        <f>IFERROR(VLOOKUP(Data!$G2194,canon!$I$2:$K$27,3,FALSE),"")</f>
        <v>APPAREL</v>
      </c>
      <c r="J2194" s="69">
        <f t="shared" si="68"/>
        <v>1</v>
      </c>
      <c r="K2194" s="69">
        <f t="shared" si="69"/>
        <v>43</v>
      </c>
      <c r="L2194" s="69">
        <f>VLOOKUP(Table_db1_backend_Daily.accdb[[#This Row],[TradingDate]],canon!B:E,4,0)</f>
        <v>31</v>
      </c>
    </row>
    <row r="2195" spans="1:12" x14ac:dyDescent="0.2">
      <c r="A2195" s="69" t="s">
        <v>43</v>
      </c>
      <c r="B2195" s="70">
        <v>42946</v>
      </c>
      <c r="C2195" s="69">
        <v>443</v>
      </c>
      <c r="D2195" s="69">
        <v>16</v>
      </c>
      <c r="E2195" s="69">
        <v>86.399999999999991</v>
      </c>
      <c r="F2195" s="69">
        <v>1.769999999999996</v>
      </c>
      <c r="G2195" s="69" t="s">
        <v>25</v>
      </c>
      <c r="H2195" s="69" t="str">
        <f>IFERROR(VLOOKUP(Data!$G2195,canon!$I$2:$K$27,2,FALSE),"")</f>
        <v>TOP</v>
      </c>
      <c r="I2195" s="69" t="str">
        <f>IFERROR(VLOOKUP(Data!$G2195,canon!$I$2:$K$27,3,FALSE),"")</f>
        <v>APPAREL</v>
      </c>
      <c r="J2195" s="69">
        <f t="shared" si="68"/>
        <v>1</v>
      </c>
      <c r="K2195" s="69">
        <f t="shared" si="69"/>
        <v>43</v>
      </c>
      <c r="L2195" s="69">
        <f>VLOOKUP(Table_db1_backend_Daily.accdb[[#This Row],[TradingDate]],canon!B:E,4,0)</f>
        <v>31</v>
      </c>
    </row>
    <row r="2196" spans="1:12" x14ac:dyDescent="0.2">
      <c r="A2196" s="69" t="s">
        <v>43</v>
      </c>
      <c r="B2196" s="70">
        <v>42947</v>
      </c>
      <c r="C2196" s="69">
        <v>10</v>
      </c>
      <c r="D2196" s="69">
        <v>0</v>
      </c>
      <c r="E2196" s="69">
        <v>0</v>
      </c>
      <c r="F2196" s="69">
        <v>0</v>
      </c>
      <c r="G2196" s="69" t="s">
        <v>27</v>
      </c>
      <c r="H2196" s="69" t="str">
        <f>IFERROR(VLOOKUP(Data!$G2196,canon!$I$2:$K$27,2,FALSE),"")</f>
        <v>ACCESSORY</v>
      </c>
      <c r="I2196" s="69" t="str">
        <f>IFERROR(VLOOKUP(Data!$G2196,canon!$I$2:$K$27,3,FALSE),"")</f>
        <v>N.APPAREL</v>
      </c>
      <c r="J2196" s="69">
        <f t="shared" si="68"/>
        <v>2</v>
      </c>
      <c r="K2196" s="69">
        <f t="shared" si="69"/>
        <v>43</v>
      </c>
      <c r="L2196" s="69">
        <f>VLOOKUP(Table_db1_backend_Daily.accdb[[#This Row],[TradingDate]],canon!B:E,4,0)</f>
        <v>31</v>
      </c>
    </row>
    <row r="2197" spans="1:12" x14ac:dyDescent="0.2">
      <c r="A2197" s="69" t="s">
        <v>43</v>
      </c>
      <c r="B2197" s="70">
        <v>42947</v>
      </c>
      <c r="C2197" s="69">
        <v>4</v>
      </c>
      <c r="D2197" s="69">
        <v>0</v>
      </c>
      <c r="E2197" s="69">
        <v>0</v>
      </c>
      <c r="F2197" s="69">
        <v>0</v>
      </c>
      <c r="G2197" s="69" t="s">
        <v>34</v>
      </c>
      <c r="H2197" s="69" t="str">
        <f>IFERROR(VLOOKUP(Data!$G2197,canon!$I$2:$K$27,2,FALSE),"")</f>
        <v>SHOES</v>
      </c>
      <c r="I2197" s="69" t="str">
        <f>IFERROR(VLOOKUP(Data!$G2197,canon!$I$2:$K$27,3,FALSE),"")</f>
        <v>N.APPAREL</v>
      </c>
      <c r="J2197" s="69">
        <f t="shared" si="68"/>
        <v>2</v>
      </c>
      <c r="K2197" s="69">
        <f t="shared" si="69"/>
        <v>43</v>
      </c>
      <c r="L2197" s="69">
        <f>VLOOKUP(Table_db1_backend_Daily.accdb[[#This Row],[TradingDate]],canon!B:E,4,0)</f>
        <v>31</v>
      </c>
    </row>
    <row r="2198" spans="1:12" x14ac:dyDescent="0.2">
      <c r="A2198" s="69" t="s">
        <v>43</v>
      </c>
      <c r="B2198" s="70">
        <v>42947</v>
      </c>
      <c r="C2198" s="69">
        <v>623</v>
      </c>
      <c r="D2198" s="69">
        <v>6</v>
      </c>
      <c r="E2198" s="69">
        <v>118.03999999999999</v>
      </c>
      <c r="F2198" s="69">
        <v>67.61</v>
      </c>
      <c r="G2198" s="69" t="s">
        <v>35</v>
      </c>
      <c r="H2198" s="69" t="str">
        <f>IFERROR(VLOOKUP(Data!$G2198,canon!$I$2:$K$27,2,FALSE),"")</f>
        <v>DRESS</v>
      </c>
      <c r="I2198" s="69" t="str">
        <f>IFERROR(VLOOKUP(Data!$G2198,canon!$I$2:$K$27,3,FALSE),"")</f>
        <v>APPAREL</v>
      </c>
      <c r="J2198" s="69">
        <f t="shared" si="68"/>
        <v>2</v>
      </c>
      <c r="K2198" s="69">
        <f t="shared" si="69"/>
        <v>43</v>
      </c>
      <c r="L2198" s="69">
        <f>VLOOKUP(Table_db1_backend_Daily.accdb[[#This Row],[TradingDate]],canon!B:E,4,0)</f>
        <v>31</v>
      </c>
    </row>
    <row r="2199" spans="1:12" x14ac:dyDescent="0.2">
      <c r="A2199" s="69" t="s">
        <v>43</v>
      </c>
      <c r="B2199" s="70">
        <v>42947</v>
      </c>
      <c r="C2199" s="69">
        <v>-11</v>
      </c>
      <c r="D2199" s="69">
        <v>0</v>
      </c>
      <c r="E2199" s="69">
        <v>0</v>
      </c>
      <c r="F2199" s="69">
        <v>0</v>
      </c>
      <c r="G2199" s="69" t="s">
        <v>10</v>
      </c>
      <c r="H2199" s="69" t="str">
        <f>IFERROR(VLOOKUP(Data!$G2199,canon!$I$2:$K$27,2,FALSE),"")</f>
        <v>ACCESSORY</v>
      </c>
      <c r="I2199" s="69" t="str">
        <f>IFERROR(VLOOKUP(Data!$G2199,canon!$I$2:$K$27,3,FALSE),"")</f>
        <v>N.APPAREL</v>
      </c>
      <c r="J2199" s="69">
        <f t="shared" si="68"/>
        <v>2</v>
      </c>
      <c r="K2199" s="69">
        <f t="shared" si="69"/>
        <v>43</v>
      </c>
      <c r="L2199" s="69">
        <f>VLOOKUP(Table_db1_backend_Daily.accdb[[#This Row],[TradingDate]],canon!B:E,4,0)</f>
        <v>31</v>
      </c>
    </row>
    <row r="2200" spans="1:12" x14ac:dyDescent="0.2">
      <c r="A2200" s="69" t="s">
        <v>43</v>
      </c>
      <c r="B2200" s="70">
        <v>42947</v>
      </c>
      <c r="C2200" s="69">
        <v>8</v>
      </c>
      <c r="D2200" s="69">
        <v>0</v>
      </c>
      <c r="E2200" s="69">
        <v>0</v>
      </c>
      <c r="F2200" s="69">
        <v>0</v>
      </c>
      <c r="G2200" s="69" t="s">
        <v>28</v>
      </c>
      <c r="H2200" s="69" t="str">
        <f>IFERROR(VLOOKUP(Data!$G2200,canon!$I$2:$K$27,2,FALSE),"")</f>
        <v>ACCESSORY</v>
      </c>
      <c r="I2200" s="69" t="str">
        <f>IFERROR(VLOOKUP(Data!$G2200,canon!$I$2:$K$27,3,FALSE),"")</f>
        <v>N.APPAREL</v>
      </c>
      <c r="J2200" s="69">
        <f t="shared" si="68"/>
        <v>2</v>
      </c>
      <c r="K2200" s="69">
        <f t="shared" si="69"/>
        <v>43</v>
      </c>
      <c r="L2200" s="69">
        <f>VLOOKUP(Table_db1_backend_Daily.accdb[[#This Row],[TradingDate]],canon!B:E,4,0)</f>
        <v>31</v>
      </c>
    </row>
    <row r="2201" spans="1:12" x14ac:dyDescent="0.2">
      <c r="A2201" s="69" t="s">
        <v>43</v>
      </c>
      <c r="B2201" s="70">
        <v>42947</v>
      </c>
      <c r="C2201" s="69">
        <v>1605</v>
      </c>
      <c r="D2201" s="69">
        <v>40</v>
      </c>
      <c r="E2201" s="69">
        <v>440.33999999999992</v>
      </c>
      <c r="F2201" s="69">
        <v>132.58000000000001</v>
      </c>
      <c r="G2201" s="69" t="s">
        <v>11</v>
      </c>
      <c r="H2201" s="69" t="str">
        <f>IFERROR(VLOOKUP(Data!$G2201,canon!$I$2:$K$27,2,FALSE),"")</f>
        <v>KNIT</v>
      </c>
      <c r="I2201" s="69" t="str">
        <f>IFERROR(VLOOKUP(Data!$G2201,canon!$I$2:$K$27,3,FALSE),"")</f>
        <v>APPAREL</v>
      </c>
      <c r="J2201" s="69">
        <f t="shared" si="68"/>
        <v>2</v>
      </c>
      <c r="K2201" s="69">
        <f t="shared" si="69"/>
        <v>43</v>
      </c>
      <c r="L2201" s="69">
        <f>VLOOKUP(Table_db1_backend_Daily.accdb[[#This Row],[TradingDate]],canon!B:E,4,0)</f>
        <v>31</v>
      </c>
    </row>
    <row r="2202" spans="1:12" x14ac:dyDescent="0.2">
      <c r="A2202" s="69" t="s">
        <v>43</v>
      </c>
      <c r="B2202" s="70">
        <v>42947</v>
      </c>
      <c r="C2202" s="69">
        <v>134</v>
      </c>
      <c r="D2202" s="69">
        <v>3</v>
      </c>
      <c r="E2202" s="69">
        <v>45.45</v>
      </c>
      <c r="F2202" s="69">
        <v>25.57</v>
      </c>
      <c r="G2202" s="69" t="s">
        <v>14</v>
      </c>
      <c r="H2202" s="69" t="str">
        <f>IFERROR(VLOOKUP(Data!$G2202,canon!$I$2:$K$27,2,FALSE),"")</f>
        <v>LEGGING</v>
      </c>
      <c r="I2202" s="69" t="str">
        <f>IFERROR(VLOOKUP(Data!$G2202,canon!$I$2:$K$27,3,FALSE),"")</f>
        <v>APPAREL</v>
      </c>
      <c r="J2202" s="69">
        <f t="shared" si="68"/>
        <v>2</v>
      </c>
      <c r="K2202" s="69">
        <f t="shared" si="69"/>
        <v>43</v>
      </c>
      <c r="L2202" s="69">
        <f>VLOOKUP(Table_db1_backend_Daily.accdb[[#This Row],[TradingDate]],canon!B:E,4,0)</f>
        <v>31</v>
      </c>
    </row>
    <row r="2203" spans="1:12" x14ac:dyDescent="0.2">
      <c r="A2203" s="69" t="s">
        <v>43</v>
      </c>
      <c r="B2203" s="70">
        <v>42947</v>
      </c>
      <c r="C2203" s="69">
        <v>61</v>
      </c>
      <c r="D2203" s="69">
        <v>0</v>
      </c>
      <c r="E2203" s="69">
        <v>0</v>
      </c>
      <c r="F2203" s="69">
        <v>0</v>
      </c>
      <c r="G2203" s="69" t="s">
        <v>37</v>
      </c>
      <c r="H2203" s="69" t="str">
        <f>IFERROR(VLOOKUP(Data!$G2203,canon!$I$2:$K$27,2,FALSE),"")</f>
        <v>SHOES</v>
      </c>
      <c r="I2203" s="69" t="str">
        <f>IFERROR(VLOOKUP(Data!$G2203,canon!$I$2:$K$27,3,FALSE),"")</f>
        <v>N.APPAREL</v>
      </c>
      <c r="J2203" s="69">
        <f t="shared" si="68"/>
        <v>2</v>
      </c>
      <c r="K2203" s="69">
        <f t="shared" si="69"/>
        <v>43</v>
      </c>
      <c r="L2203" s="69">
        <f>VLOOKUP(Table_db1_backend_Daily.accdb[[#This Row],[TradingDate]],canon!B:E,4,0)</f>
        <v>31</v>
      </c>
    </row>
    <row r="2204" spans="1:12" x14ac:dyDescent="0.2">
      <c r="A2204" s="69" t="s">
        <v>43</v>
      </c>
      <c r="B2204" s="70">
        <v>42947</v>
      </c>
      <c r="C2204" s="69">
        <v>61</v>
      </c>
      <c r="D2204" s="69">
        <v>0</v>
      </c>
      <c r="E2204" s="69">
        <v>0</v>
      </c>
      <c r="F2204" s="69">
        <v>0</v>
      </c>
      <c r="G2204" s="69" t="s">
        <v>29</v>
      </c>
      <c r="H2204" s="69" t="str">
        <f>IFERROR(VLOOKUP(Data!$G2204,canon!$I$2:$K$27,2,FALSE),"")</f>
        <v>SHOES</v>
      </c>
      <c r="I2204" s="69" t="str">
        <f>IFERROR(VLOOKUP(Data!$G2204,canon!$I$2:$K$27,3,FALSE),"")</f>
        <v>N.APPAREL</v>
      </c>
      <c r="J2204" s="69">
        <f t="shared" si="68"/>
        <v>2</v>
      </c>
      <c r="K2204" s="69">
        <f t="shared" si="69"/>
        <v>43</v>
      </c>
      <c r="L2204" s="69">
        <f>VLOOKUP(Table_db1_backend_Daily.accdb[[#This Row],[TradingDate]],canon!B:E,4,0)</f>
        <v>31</v>
      </c>
    </row>
    <row r="2205" spans="1:12" x14ac:dyDescent="0.2">
      <c r="A2205" s="69" t="s">
        <v>43</v>
      </c>
      <c r="B2205" s="70">
        <v>42947</v>
      </c>
      <c r="C2205" s="69">
        <v>524</v>
      </c>
      <c r="D2205" s="69">
        <v>7</v>
      </c>
      <c r="E2205" s="69">
        <v>127.27000000000001</v>
      </c>
      <c r="F2205" s="69">
        <v>62.95</v>
      </c>
      <c r="G2205" s="69" t="s">
        <v>17</v>
      </c>
      <c r="H2205" s="69" t="str">
        <f>IFERROR(VLOOKUP(Data!$G2205,canon!$I$2:$K$27,2,FALSE),"")</f>
        <v>OUTER</v>
      </c>
      <c r="I2205" s="69" t="str">
        <f>IFERROR(VLOOKUP(Data!$G2205,canon!$I$2:$K$27,3,FALSE),"")</f>
        <v>APPAREL</v>
      </c>
      <c r="J2205" s="69">
        <f t="shared" si="68"/>
        <v>2</v>
      </c>
      <c r="K2205" s="69">
        <f t="shared" si="69"/>
        <v>43</v>
      </c>
      <c r="L2205" s="69">
        <f>VLOOKUP(Table_db1_backend_Daily.accdb[[#This Row],[TradingDate]],canon!B:E,4,0)</f>
        <v>31</v>
      </c>
    </row>
    <row r="2206" spans="1:12" x14ac:dyDescent="0.2">
      <c r="A2206" s="69" t="s">
        <v>43</v>
      </c>
      <c r="B2206" s="70">
        <v>42947</v>
      </c>
      <c r="C2206" s="69">
        <v>198</v>
      </c>
      <c r="D2206" s="69">
        <v>2</v>
      </c>
      <c r="E2206" s="69">
        <v>31.810000000000002</v>
      </c>
      <c r="F2206" s="69">
        <v>16.420000000000002</v>
      </c>
      <c r="G2206" s="69" t="s">
        <v>19</v>
      </c>
      <c r="H2206" s="69" t="str">
        <f>IFERROR(VLOOKUP(Data!$G2206,canon!$I$2:$K$27,2,FALSE),"")</f>
        <v>PANT</v>
      </c>
      <c r="I2206" s="69" t="str">
        <f>IFERROR(VLOOKUP(Data!$G2206,canon!$I$2:$K$27,3,FALSE),"")</f>
        <v>APPAREL</v>
      </c>
      <c r="J2206" s="69">
        <f t="shared" si="68"/>
        <v>2</v>
      </c>
      <c r="K2206" s="69">
        <f t="shared" si="69"/>
        <v>43</v>
      </c>
      <c r="L2206" s="69">
        <f>VLOOKUP(Table_db1_backend_Daily.accdb[[#This Row],[TradingDate]],canon!B:E,4,0)</f>
        <v>31</v>
      </c>
    </row>
    <row r="2207" spans="1:12" x14ac:dyDescent="0.2">
      <c r="A2207" s="69" t="s">
        <v>43</v>
      </c>
      <c r="B2207" s="70">
        <v>42947</v>
      </c>
      <c r="C2207" s="69">
        <v>64</v>
      </c>
      <c r="D2207" s="69">
        <v>0</v>
      </c>
      <c r="E2207" s="69">
        <v>0</v>
      </c>
      <c r="F2207" s="69">
        <v>0</v>
      </c>
      <c r="G2207" s="69" t="s">
        <v>21</v>
      </c>
      <c r="H2207" s="69" t="str">
        <f>IFERROR(VLOOKUP(Data!$G2207,canon!$I$2:$K$27,2,FALSE),"")</f>
        <v>ACCESSORY</v>
      </c>
      <c r="I2207" s="69" t="str">
        <f>IFERROR(VLOOKUP(Data!$G2207,canon!$I$2:$K$27,3,FALSE),"")</f>
        <v>N.APPAREL</v>
      </c>
      <c r="J2207" s="69">
        <f t="shared" si="68"/>
        <v>2</v>
      </c>
      <c r="K2207" s="69">
        <f t="shared" si="69"/>
        <v>43</v>
      </c>
      <c r="L2207" s="69">
        <f>VLOOKUP(Table_db1_backend_Daily.accdb[[#This Row],[TradingDate]],canon!B:E,4,0)</f>
        <v>31</v>
      </c>
    </row>
    <row r="2208" spans="1:12" x14ac:dyDescent="0.2">
      <c r="A2208" s="69" t="s">
        <v>43</v>
      </c>
      <c r="B2208" s="70">
        <v>42947</v>
      </c>
      <c r="C2208" s="69">
        <v>626</v>
      </c>
      <c r="D2208" s="69">
        <v>4</v>
      </c>
      <c r="E2208" s="69">
        <v>23.55</v>
      </c>
      <c r="F2208" s="69">
        <v>16.880000000000003</v>
      </c>
      <c r="G2208" s="69" t="s">
        <v>22</v>
      </c>
      <c r="H2208" s="69" t="str">
        <f>IFERROR(VLOOKUP(Data!$G2208,canon!$I$2:$K$27,2,FALSE),"")</f>
        <v>SCARF</v>
      </c>
      <c r="I2208" s="69" t="str">
        <f>IFERROR(VLOOKUP(Data!$G2208,canon!$I$2:$K$27,3,FALSE),"")</f>
        <v>N.APPAREL</v>
      </c>
      <c r="J2208" s="69">
        <f t="shared" si="68"/>
        <v>2</v>
      </c>
      <c r="K2208" s="69">
        <f t="shared" si="69"/>
        <v>43</v>
      </c>
      <c r="L2208" s="69">
        <f>VLOOKUP(Table_db1_backend_Daily.accdb[[#This Row],[TradingDate]],canon!B:E,4,0)</f>
        <v>31</v>
      </c>
    </row>
    <row r="2209" spans="1:12" x14ac:dyDescent="0.2">
      <c r="A2209" s="69" t="s">
        <v>43</v>
      </c>
      <c r="B2209" s="70">
        <v>42947</v>
      </c>
      <c r="C2209" s="69">
        <v>168</v>
      </c>
      <c r="D2209" s="69">
        <v>1</v>
      </c>
      <c r="E2209" s="69">
        <v>9.09</v>
      </c>
      <c r="F2209" s="69">
        <v>2.57</v>
      </c>
      <c r="G2209" s="69" t="s">
        <v>23</v>
      </c>
      <c r="H2209" s="69" t="str">
        <f>IFERROR(VLOOKUP(Data!$G2209,canon!$I$2:$K$27,2,FALSE),"")</f>
        <v>SH&amp;BL</v>
      </c>
      <c r="I2209" s="69" t="str">
        <f>IFERROR(VLOOKUP(Data!$G2209,canon!$I$2:$K$27,3,FALSE),"")</f>
        <v>APPAREL</v>
      </c>
      <c r="J2209" s="69">
        <f t="shared" si="68"/>
        <v>2</v>
      </c>
      <c r="K2209" s="69">
        <f t="shared" si="69"/>
        <v>43</v>
      </c>
      <c r="L2209" s="69">
        <f>VLOOKUP(Table_db1_backend_Daily.accdb[[#This Row],[TradingDate]],canon!B:E,4,0)</f>
        <v>31</v>
      </c>
    </row>
    <row r="2210" spans="1:12" x14ac:dyDescent="0.2">
      <c r="A2210" s="69" t="s">
        <v>43</v>
      </c>
      <c r="B2210" s="70">
        <v>42947</v>
      </c>
      <c r="C2210" s="69">
        <v>17</v>
      </c>
      <c r="D2210" s="69">
        <v>1</v>
      </c>
      <c r="E2210" s="69">
        <v>9.09</v>
      </c>
      <c r="F2210" s="69">
        <v>5.61</v>
      </c>
      <c r="G2210" s="69" t="s">
        <v>32</v>
      </c>
      <c r="H2210" s="69" t="str">
        <f>IFERROR(VLOOKUP(Data!$G2210,canon!$I$2:$K$27,2,FALSE),"")</f>
        <v>SKIRT</v>
      </c>
      <c r="I2210" s="69" t="str">
        <f>IFERROR(VLOOKUP(Data!$G2210,canon!$I$2:$K$27,3,FALSE),"")</f>
        <v>APPAREL</v>
      </c>
      <c r="J2210" s="69">
        <f t="shared" si="68"/>
        <v>2</v>
      </c>
      <c r="K2210" s="69">
        <f t="shared" si="69"/>
        <v>43</v>
      </c>
      <c r="L2210" s="69">
        <f>VLOOKUP(Table_db1_backend_Daily.accdb[[#This Row],[TradingDate]],canon!B:E,4,0)</f>
        <v>31</v>
      </c>
    </row>
    <row r="2211" spans="1:12" x14ac:dyDescent="0.2">
      <c r="A2211" s="69" t="s">
        <v>43</v>
      </c>
      <c r="B2211" s="70">
        <v>42947</v>
      </c>
      <c r="C2211" s="69">
        <v>668</v>
      </c>
      <c r="D2211" s="69">
        <v>28</v>
      </c>
      <c r="E2211" s="69">
        <v>249.67000000000002</v>
      </c>
      <c r="F2211" s="69">
        <v>102.71999999999998</v>
      </c>
      <c r="G2211" s="69" t="s">
        <v>25</v>
      </c>
      <c r="H2211" s="69" t="str">
        <f>IFERROR(VLOOKUP(Data!$G2211,canon!$I$2:$K$27,2,FALSE),"")</f>
        <v>TOP</v>
      </c>
      <c r="I2211" s="69" t="str">
        <f>IFERROR(VLOOKUP(Data!$G2211,canon!$I$2:$K$27,3,FALSE),"")</f>
        <v>APPAREL</v>
      </c>
      <c r="J2211" s="69">
        <f t="shared" si="68"/>
        <v>2</v>
      </c>
      <c r="K2211" s="69">
        <f t="shared" si="69"/>
        <v>43</v>
      </c>
      <c r="L2211" s="69">
        <f>VLOOKUP(Table_db1_backend_Daily.accdb[[#This Row],[TradingDate]],canon!B:E,4,0)</f>
        <v>31</v>
      </c>
    </row>
    <row r="2212" spans="1:12" x14ac:dyDescent="0.2">
      <c r="A2212" s="69" t="s">
        <v>43</v>
      </c>
      <c r="B2212" s="70">
        <v>42948</v>
      </c>
      <c r="C2212" s="69">
        <v>10</v>
      </c>
      <c r="D2212" s="69">
        <v>0</v>
      </c>
      <c r="E2212" s="69">
        <v>0</v>
      </c>
      <c r="F2212" s="69">
        <v>0</v>
      </c>
      <c r="G2212" s="69" t="s">
        <v>27</v>
      </c>
      <c r="H2212" s="69" t="str">
        <f>IFERROR(VLOOKUP(Data!$G2212,canon!$I$2:$K$27,2,FALSE),"")</f>
        <v>ACCESSORY</v>
      </c>
      <c r="I2212" s="69" t="str">
        <f>IFERROR(VLOOKUP(Data!$G2212,canon!$I$2:$K$27,3,FALSE),"")</f>
        <v>N.APPAREL</v>
      </c>
      <c r="J2212" s="69">
        <f t="shared" si="68"/>
        <v>3</v>
      </c>
      <c r="K2212" s="69">
        <f t="shared" si="69"/>
        <v>43</v>
      </c>
      <c r="L2212" s="69">
        <f>VLOOKUP(Table_db1_backend_Daily.accdb[[#This Row],[TradingDate]],canon!B:E,4,0)</f>
        <v>31</v>
      </c>
    </row>
    <row r="2213" spans="1:12" x14ac:dyDescent="0.2">
      <c r="A2213" s="69" t="s">
        <v>43</v>
      </c>
      <c r="B2213" s="70">
        <v>42948</v>
      </c>
      <c r="C2213" s="69">
        <v>4</v>
      </c>
      <c r="D2213" s="69">
        <v>0</v>
      </c>
      <c r="E2213" s="69">
        <v>0</v>
      </c>
      <c r="F2213" s="69">
        <v>0</v>
      </c>
      <c r="G2213" s="69" t="s">
        <v>34</v>
      </c>
      <c r="H2213" s="69" t="str">
        <f>IFERROR(VLOOKUP(Data!$G2213,canon!$I$2:$K$27,2,FALSE),"")</f>
        <v>SHOES</v>
      </c>
      <c r="I2213" s="69" t="str">
        <f>IFERROR(VLOOKUP(Data!$G2213,canon!$I$2:$K$27,3,FALSE),"")</f>
        <v>N.APPAREL</v>
      </c>
      <c r="J2213" s="69">
        <f t="shared" si="68"/>
        <v>3</v>
      </c>
      <c r="K2213" s="69">
        <f t="shared" si="69"/>
        <v>43</v>
      </c>
      <c r="L2213" s="69">
        <f>VLOOKUP(Table_db1_backend_Daily.accdb[[#This Row],[TradingDate]],canon!B:E,4,0)</f>
        <v>31</v>
      </c>
    </row>
    <row r="2214" spans="1:12" x14ac:dyDescent="0.2">
      <c r="A2214" s="69" t="s">
        <v>43</v>
      </c>
      <c r="B2214" s="70">
        <v>42948</v>
      </c>
      <c r="C2214" s="69">
        <v>647</v>
      </c>
      <c r="D2214" s="69">
        <v>6</v>
      </c>
      <c r="E2214" s="69">
        <v>81.63</v>
      </c>
      <c r="F2214" s="69">
        <v>32.940000000000005</v>
      </c>
      <c r="G2214" s="69" t="s">
        <v>35</v>
      </c>
      <c r="H2214" s="69" t="str">
        <f>IFERROR(VLOOKUP(Data!$G2214,canon!$I$2:$K$27,2,FALSE),"")</f>
        <v>DRESS</v>
      </c>
      <c r="I2214" s="69" t="str">
        <f>IFERROR(VLOOKUP(Data!$G2214,canon!$I$2:$K$27,3,FALSE),"")</f>
        <v>APPAREL</v>
      </c>
      <c r="J2214" s="69">
        <f t="shared" si="68"/>
        <v>3</v>
      </c>
      <c r="K2214" s="69">
        <f t="shared" si="69"/>
        <v>43</v>
      </c>
      <c r="L2214" s="69">
        <f>VLOOKUP(Table_db1_backend_Daily.accdb[[#This Row],[TradingDate]],canon!B:E,4,0)</f>
        <v>31</v>
      </c>
    </row>
    <row r="2215" spans="1:12" x14ac:dyDescent="0.2">
      <c r="A2215" s="69" t="s">
        <v>43</v>
      </c>
      <c r="B2215" s="70">
        <v>42948</v>
      </c>
      <c r="C2215" s="69">
        <v>-11</v>
      </c>
      <c r="D2215" s="69">
        <v>0</v>
      </c>
      <c r="E2215" s="69">
        <v>0</v>
      </c>
      <c r="F2215" s="69">
        <v>0</v>
      </c>
      <c r="G2215" s="69" t="s">
        <v>10</v>
      </c>
      <c r="H2215" s="69" t="str">
        <f>IFERROR(VLOOKUP(Data!$G2215,canon!$I$2:$K$27,2,FALSE),"")</f>
        <v>ACCESSORY</v>
      </c>
      <c r="I2215" s="69" t="str">
        <f>IFERROR(VLOOKUP(Data!$G2215,canon!$I$2:$K$27,3,FALSE),"")</f>
        <v>N.APPAREL</v>
      </c>
      <c r="J2215" s="69">
        <f t="shared" si="68"/>
        <v>3</v>
      </c>
      <c r="K2215" s="69">
        <f t="shared" si="69"/>
        <v>43</v>
      </c>
      <c r="L2215" s="69">
        <f>VLOOKUP(Table_db1_backend_Daily.accdb[[#This Row],[TradingDate]],canon!B:E,4,0)</f>
        <v>31</v>
      </c>
    </row>
    <row r="2216" spans="1:12" x14ac:dyDescent="0.2">
      <c r="A2216" s="69" t="s">
        <v>43</v>
      </c>
      <c r="B2216" s="70">
        <v>42948</v>
      </c>
      <c r="C2216" s="69">
        <v>8</v>
      </c>
      <c r="D2216" s="69">
        <v>0</v>
      </c>
      <c r="E2216" s="69">
        <v>0</v>
      </c>
      <c r="F2216" s="69">
        <v>0</v>
      </c>
      <c r="G2216" s="69" t="s">
        <v>28</v>
      </c>
      <c r="H2216" s="69" t="str">
        <f>IFERROR(VLOOKUP(Data!$G2216,canon!$I$2:$K$27,2,FALSE),"")</f>
        <v>ACCESSORY</v>
      </c>
      <c r="I2216" s="69" t="str">
        <f>IFERROR(VLOOKUP(Data!$G2216,canon!$I$2:$K$27,3,FALSE),"")</f>
        <v>N.APPAREL</v>
      </c>
      <c r="J2216" s="69">
        <f t="shared" si="68"/>
        <v>3</v>
      </c>
      <c r="K2216" s="69">
        <f t="shared" si="69"/>
        <v>43</v>
      </c>
      <c r="L2216" s="69">
        <f>VLOOKUP(Table_db1_backend_Daily.accdb[[#This Row],[TradingDate]],canon!B:E,4,0)</f>
        <v>31</v>
      </c>
    </row>
    <row r="2217" spans="1:12" x14ac:dyDescent="0.2">
      <c r="A2217" s="69" t="s">
        <v>43</v>
      </c>
      <c r="B2217" s="70">
        <v>42948</v>
      </c>
      <c r="C2217" s="69">
        <v>1613</v>
      </c>
      <c r="D2217" s="69">
        <v>40</v>
      </c>
      <c r="E2217" s="69">
        <v>422.28</v>
      </c>
      <c r="F2217" s="69">
        <v>119.76999999999998</v>
      </c>
      <c r="G2217" s="69" t="s">
        <v>11</v>
      </c>
      <c r="H2217" s="69" t="str">
        <f>IFERROR(VLOOKUP(Data!$G2217,canon!$I$2:$K$27,2,FALSE),"")</f>
        <v>KNIT</v>
      </c>
      <c r="I2217" s="69" t="str">
        <f>IFERROR(VLOOKUP(Data!$G2217,canon!$I$2:$K$27,3,FALSE),"")</f>
        <v>APPAREL</v>
      </c>
      <c r="J2217" s="69">
        <f t="shared" si="68"/>
        <v>3</v>
      </c>
      <c r="K2217" s="69">
        <f t="shared" si="69"/>
        <v>43</v>
      </c>
      <c r="L2217" s="69">
        <f>VLOOKUP(Table_db1_backend_Daily.accdb[[#This Row],[TradingDate]],canon!B:E,4,0)</f>
        <v>31</v>
      </c>
    </row>
    <row r="2218" spans="1:12" x14ac:dyDescent="0.2">
      <c r="A2218" s="69" t="s">
        <v>43</v>
      </c>
      <c r="B2218" s="70">
        <v>42948</v>
      </c>
      <c r="C2218" s="69">
        <v>129</v>
      </c>
      <c r="D2218" s="69">
        <v>5</v>
      </c>
      <c r="E2218" s="69">
        <v>63.58</v>
      </c>
      <c r="F2218" s="69">
        <v>29.46</v>
      </c>
      <c r="G2218" s="69" t="s">
        <v>14</v>
      </c>
      <c r="H2218" s="69" t="str">
        <f>IFERROR(VLOOKUP(Data!$G2218,canon!$I$2:$K$27,2,FALSE),"")</f>
        <v>LEGGING</v>
      </c>
      <c r="I2218" s="69" t="str">
        <f>IFERROR(VLOOKUP(Data!$G2218,canon!$I$2:$K$27,3,FALSE),"")</f>
        <v>APPAREL</v>
      </c>
      <c r="J2218" s="69">
        <f t="shared" si="68"/>
        <v>3</v>
      </c>
      <c r="K2218" s="69">
        <f t="shared" si="69"/>
        <v>43</v>
      </c>
      <c r="L2218" s="69">
        <f>VLOOKUP(Table_db1_backend_Daily.accdb[[#This Row],[TradingDate]],canon!B:E,4,0)</f>
        <v>31</v>
      </c>
    </row>
    <row r="2219" spans="1:12" x14ac:dyDescent="0.2">
      <c r="A2219" s="69" t="s">
        <v>43</v>
      </c>
      <c r="B2219" s="70">
        <v>42948</v>
      </c>
      <c r="C2219" s="69">
        <v>61</v>
      </c>
      <c r="D2219" s="69">
        <v>0</v>
      </c>
      <c r="E2219" s="69">
        <v>0</v>
      </c>
      <c r="F2219" s="69">
        <v>0</v>
      </c>
      <c r="G2219" s="69" t="s">
        <v>37</v>
      </c>
      <c r="H2219" s="69" t="str">
        <f>IFERROR(VLOOKUP(Data!$G2219,canon!$I$2:$K$27,2,FALSE),"")</f>
        <v>SHOES</v>
      </c>
      <c r="I2219" s="69" t="str">
        <f>IFERROR(VLOOKUP(Data!$G2219,canon!$I$2:$K$27,3,FALSE),"")</f>
        <v>N.APPAREL</v>
      </c>
      <c r="J2219" s="69">
        <f t="shared" si="68"/>
        <v>3</v>
      </c>
      <c r="K2219" s="69">
        <f t="shared" si="69"/>
        <v>43</v>
      </c>
      <c r="L2219" s="69">
        <f>VLOOKUP(Table_db1_backend_Daily.accdb[[#This Row],[TradingDate]],canon!B:E,4,0)</f>
        <v>31</v>
      </c>
    </row>
    <row r="2220" spans="1:12" x14ac:dyDescent="0.2">
      <c r="A2220" s="69" t="s">
        <v>43</v>
      </c>
      <c r="B2220" s="70">
        <v>42948</v>
      </c>
      <c r="C2220" s="69">
        <v>61</v>
      </c>
      <c r="D2220" s="69">
        <v>0</v>
      </c>
      <c r="E2220" s="69">
        <v>0</v>
      </c>
      <c r="F2220" s="69">
        <v>0</v>
      </c>
      <c r="G2220" s="69" t="s">
        <v>29</v>
      </c>
      <c r="H2220" s="69" t="str">
        <f>IFERROR(VLOOKUP(Data!$G2220,canon!$I$2:$K$27,2,FALSE),"")</f>
        <v>SHOES</v>
      </c>
      <c r="I2220" s="69" t="str">
        <f>IFERROR(VLOOKUP(Data!$G2220,canon!$I$2:$K$27,3,FALSE),"")</f>
        <v>N.APPAREL</v>
      </c>
      <c r="J2220" s="69">
        <f t="shared" si="68"/>
        <v>3</v>
      </c>
      <c r="K2220" s="69">
        <f t="shared" si="69"/>
        <v>43</v>
      </c>
      <c r="L2220" s="69">
        <f>VLOOKUP(Table_db1_backend_Daily.accdb[[#This Row],[TradingDate]],canon!B:E,4,0)</f>
        <v>31</v>
      </c>
    </row>
    <row r="2221" spans="1:12" x14ac:dyDescent="0.2">
      <c r="A2221" s="69" t="s">
        <v>43</v>
      </c>
      <c r="B2221" s="70">
        <v>42948</v>
      </c>
      <c r="C2221" s="69">
        <v>541</v>
      </c>
      <c r="D2221" s="69">
        <v>1</v>
      </c>
      <c r="E2221" s="69">
        <v>18.18</v>
      </c>
      <c r="F2221" s="69">
        <v>8.35</v>
      </c>
      <c r="G2221" s="69" t="s">
        <v>17</v>
      </c>
      <c r="H2221" s="69" t="str">
        <f>IFERROR(VLOOKUP(Data!$G2221,canon!$I$2:$K$27,2,FALSE),"")</f>
        <v>OUTER</v>
      </c>
      <c r="I2221" s="69" t="str">
        <f>IFERROR(VLOOKUP(Data!$G2221,canon!$I$2:$K$27,3,FALSE),"")</f>
        <v>APPAREL</v>
      </c>
      <c r="J2221" s="69">
        <f t="shared" si="68"/>
        <v>3</v>
      </c>
      <c r="K2221" s="69">
        <f t="shared" si="69"/>
        <v>43</v>
      </c>
      <c r="L2221" s="69">
        <f>VLOOKUP(Table_db1_backend_Daily.accdb[[#This Row],[TradingDate]],canon!B:E,4,0)</f>
        <v>31</v>
      </c>
    </row>
    <row r="2222" spans="1:12" x14ac:dyDescent="0.2">
      <c r="A2222" s="69" t="s">
        <v>43</v>
      </c>
      <c r="B2222" s="70">
        <v>42948</v>
      </c>
      <c r="C2222" s="69">
        <v>200</v>
      </c>
      <c r="D2222" s="69">
        <v>4</v>
      </c>
      <c r="E2222" s="69">
        <v>31.81</v>
      </c>
      <c r="F2222" s="69">
        <v>8.98</v>
      </c>
      <c r="G2222" s="69" t="s">
        <v>19</v>
      </c>
      <c r="H2222" s="69" t="str">
        <f>IFERROR(VLOOKUP(Data!$G2222,canon!$I$2:$K$27,2,FALSE),"")</f>
        <v>PANT</v>
      </c>
      <c r="I2222" s="69" t="str">
        <f>IFERROR(VLOOKUP(Data!$G2222,canon!$I$2:$K$27,3,FALSE),"")</f>
        <v>APPAREL</v>
      </c>
      <c r="J2222" s="69">
        <f t="shared" si="68"/>
        <v>3</v>
      </c>
      <c r="K2222" s="69">
        <f t="shared" si="69"/>
        <v>43</v>
      </c>
      <c r="L2222" s="69">
        <f>VLOOKUP(Table_db1_backend_Daily.accdb[[#This Row],[TradingDate]],canon!B:E,4,0)</f>
        <v>31</v>
      </c>
    </row>
    <row r="2223" spans="1:12" x14ac:dyDescent="0.2">
      <c r="A2223" s="69" t="s">
        <v>43</v>
      </c>
      <c r="B2223" s="70">
        <v>42948</v>
      </c>
      <c r="C2223" s="69">
        <v>64</v>
      </c>
      <c r="D2223" s="69">
        <v>0</v>
      </c>
      <c r="E2223" s="69">
        <v>0</v>
      </c>
      <c r="F2223" s="69">
        <v>0</v>
      </c>
      <c r="G2223" s="69" t="s">
        <v>21</v>
      </c>
      <c r="H2223" s="69" t="str">
        <f>IFERROR(VLOOKUP(Data!$G2223,canon!$I$2:$K$27,2,FALSE),"")</f>
        <v>ACCESSORY</v>
      </c>
      <c r="I2223" s="69" t="str">
        <f>IFERROR(VLOOKUP(Data!$G2223,canon!$I$2:$K$27,3,FALSE),"")</f>
        <v>N.APPAREL</v>
      </c>
      <c r="J2223" s="69">
        <f t="shared" si="68"/>
        <v>3</v>
      </c>
      <c r="K2223" s="69">
        <f t="shared" si="69"/>
        <v>43</v>
      </c>
      <c r="L2223" s="69">
        <f>VLOOKUP(Table_db1_backend_Daily.accdb[[#This Row],[TradingDate]],canon!B:E,4,0)</f>
        <v>31</v>
      </c>
    </row>
    <row r="2224" spans="1:12" x14ac:dyDescent="0.2">
      <c r="A2224" s="69" t="s">
        <v>43</v>
      </c>
      <c r="B2224" s="70">
        <v>42948</v>
      </c>
      <c r="C2224" s="69">
        <v>624</v>
      </c>
      <c r="D2224" s="69">
        <v>2</v>
      </c>
      <c r="E2224" s="69">
        <v>11.780000000000001</v>
      </c>
      <c r="F2224" s="69">
        <v>8.3099999999999987</v>
      </c>
      <c r="G2224" s="69" t="s">
        <v>22</v>
      </c>
      <c r="H2224" s="69" t="str">
        <f>IFERROR(VLOOKUP(Data!$G2224,canon!$I$2:$K$27,2,FALSE),"")</f>
        <v>SCARF</v>
      </c>
      <c r="I2224" s="69" t="str">
        <f>IFERROR(VLOOKUP(Data!$G2224,canon!$I$2:$K$27,3,FALSE),"")</f>
        <v>N.APPAREL</v>
      </c>
      <c r="J2224" s="69">
        <f t="shared" si="68"/>
        <v>3</v>
      </c>
      <c r="K2224" s="69">
        <f t="shared" si="69"/>
        <v>43</v>
      </c>
      <c r="L2224" s="69">
        <f>VLOOKUP(Table_db1_backend_Daily.accdb[[#This Row],[TradingDate]],canon!B:E,4,0)</f>
        <v>31</v>
      </c>
    </row>
    <row r="2225" spans="1:12" x14ac:dyDescent="0.2">
      <c r="A2225" s="69" t="s">
        <v>43</v>
      </c>
      <c r="B2225" s="70">
        <v>42948</v>
      </c>
      <c r="C2225" s="69">
        <v>168</v>
      </c>
      <c r="D2225" s="69">
        <v>0</v>
      </c>
      <c r="E2225" s="69">
        <v>0</v>
      </c>
      <c r="F2225" s="69">
        <v>0</v>
      </c>
      <c r="G2225" s="69" t="s">
        <v>23</v>
      </c>
      <c r="H2225" s="69" t="str">
        <f>IFERROR(VLOOKUP(Data!$G2225,canon!$I$2:$K$27,2,FALSE),"")</f>
        <v>SH&amp;BL</v>
      </c>
      <c r="I2225" s="69" t="str">
        <f>IFERROR(VLOOKUP(Data!$G2225,canon!$I$2:$K$27,3,FALSE),"")</f>
        <v>APPAREL</v>
      </c>
      <c r="J2225" s="69">
        <f t="shared" si="68"/>
        <v>3</v>
      </c>
      <c r="K2225" s="69">
        <f t="shared" si="69"/>
        <v>43</v>
      </c>
      <c r="L2225" s="69">
        <f>VLOOKUP(Table_db1_backend_Daily.accdb[[#This Row],[TradingDate]],canon!B:E,4,0)</f>
        <v>31</v>
      </c>
    </row>
    <row r="2226" spans="1:12" x14ac:dyDescent="0.2">
      <c r="A2226" s="69" t="s">
        <v>43</v>
      </c>
      <c r="B2226" s="70">
        <v>42948</v>
      </c>
      <c r="C2226" s="69">
        <v>19</v>
      </c>
      <c r="D2226" s="69">
        <v>4</v>
      </c>
      <c r="E2226" s="69">
        <v>59.01</v>
      </c>
      <c r="F2226" s="69">
        <v>34.67</v>
      </c>
      <c r="G2226" s="69" t="s">
        <v>32</v>
      </c>
      <c r="H2226" s="69" t="str">
        <f>IFERROR(VLOOKUP(Data!$G2226,canon!$I$2:$K$27,2,FALSE),"")</f>
        <v>SKIRT</v>
      </c>
      <c r="I2226" s="69" t="str">
        <f>IFERROR(VLOOKUP(Data!$G2226,canon!$I$2:$K$27,3,FALSE),"")</f>
        <v>APPAREL</v>
      </c>
      <c r="J2226" s="69">
        <f t="shared" si="68"/>
        <v>3</v>
      </c>
      <c r="K2226" s="69">
        <f t="shared" si="69"/>
        <v>43</v>
      </c>
      <c r="L2226" s="69">
        <f>VLOOKUP(Table_db1_backend_Daily.accdb[[#This Row],[TradingDate]],canon!B:E,4,0)</f>
        <v>31</v>
      </c>
    </row>
    <row r="2227" spans="1:12" x14ac:dyDescent="0.2">
      <c r="A2227" s="69" t="s">
        <v>43</v>
      </c>
      <c r="B2227" s="70">
        <v>42948</v>
      </c>
      <c r="C2227" s="69">
        <v>699</v>
      </c>
      <c r="D2227" s="69">
        <v>23</v>
      </c>
      <c r="E2227" s="69">
        <v>168.08</v>
      </c>
      <c r="F2227" s="69">
        <v>38.229999999999997</v>
      </c>
      <c r="G2227" s="69" t="s">
        <v>25</v>
      </c>
      <c r="H2227" s="69" t="str">
        <f>IFERROR(VLOOKUP(Data!$G2227,canon!$I$2:$K$27,2,FALSE),"")</f>
        <v>TOP</v>
      </c>
      <c r="I2227" s="69" t="str">
        <f>IFERROR(VLOOKUP(Data!$G2227,canon!$I$2:$K$27,3,FALSE),"")</f>
        <v>APPAREL</v>
      </c>
      <c r="J2227" s="69">
        <f t="shared" si="68"/>
        <v>3</v>
      </c>
      <c r="K2227" s="69">
        <f t="shared" si="69"/>
        <v>43</v>
      </c>
      <c r="L2227" s="69">
        <f>VLOOKUP(Table_db1_backend_Daily.accdb[[#This Row],[TradingDate]],canon!B:E,4,0)</f>
        <v>31</v>
      </c>
    </row>
    <row r="2228" spans="1:12" x14ac:dyDescent="0.2">
      <c r="A2228" s="69" t="s">
        <v>43</v>
      </c>
      <c r="B2228" s="70">
        <v>42949</v>
      </c>
      <c r="C2228" s="69">
        <v>10</v>
      </c>
      <c r="D2228" s="69">
        <v>0</v>
      </c>
      <c r="E2228" s="69">
        <v>0</v>
      </c>
      <c r="F2228" s="69">
        <v>0</v>
      </c>
      <c r="G2228" s="69" t="s">
        <v>27</v>
      </c>
      <c r="H2228" s="69" t="str">
        <f>IFERROR(VLOOKUP(Data!$G2228,canon!$I$2:$K$27,2,FALSE),"")</f>
        <v>ACCESSORY</v>
      </c>
      <c r="I2228" s="69" t="str">
        <f>IFERROR(VLOOKUP(Data!$G2228,canon!$I$2:$K$27,3,FALSE),"")</f>
        <v>N.APPAREL</v>
      </c>
      <c r="J2228" s="69">
        <f t="shared" si="68"/>
        <v>4</v>
      </c>
      <c r="K2228" s="69">
        <f t="shared" si="69"/>
        <v>43</v>
      </c>
      <c r="L2228" s="69">
        <f>VLOOKUP(Table_db1_backend_Daily.accdb[[#This Row],[TradingDate]],canon!B:E,4,0)</f>
        <v>31</v>
      </c>
    </row>
    <row r="2229" spans="1:12" x14ac:dyDescent="0.2">
      <c r="A2229" s="69" t="s">
        <v>43</v>
      </c>
      <c r="B2229" s="70">
        <v>42949</v>
      </c>
      <c r="C2229" s="69">
        <v>-2</v>
      </c>
      <c r="D2229" s="69">
        <v>0</v>
      </c>
      <c r="E2229" s="69">
        <v>0</v>
      </c>
      <c r="F2229" s="69">
        <v>0</v>
      </c>
      <c r="G2229" s="69" t="s">
        <v>34</v>
      </c>
      <c r="H2229" s="69" t="str">
        <f>IFERROR(VLOOKUP(Data!$G2229,canon!$I$2:$K$27,2,FALSE),"")</f>
        <v>SHOES</v>
      </c>
      <c r="I2229" s="69" t="str">
        <f>IFERROR(VLOOKUP(Data!$G2229,canon!$I$2:$K$27,3,FALSE),"")</f>
        <v>N.APPAREL</v>
      </c>
      <c r="J2229" s="69">
        <f t="shared" si="68"/>
        <v>4</v>
      </c>
      <c r="K2229" s="69">
        <f t="shared" si="69"/>
        <v>43</v>
      </c>
      <c r="L2229" s="69">
        <f>VLOOKUP(Table_db1_backend_Daily.accdb[[#This Row],[TradingDate]],canon!B:E,4,0)</f>
        <v>31</v>
      </c>
    </row>
    <row r="2230" spans="1:12" x14ac:dyDescent="0.2">
      <c r="A2230" s="69" t="s">
        <v>43</v>
      </c>
      <c r="B2230" s="70">
        <v>42949</v>
      </c>
      <c r="C2230" s="69">
        <v>587</v>
      </c>
      <c r="D2230" s="69">
        <v>2</v>
      </c>
      <c r="E2230" s="69">
        <v>31.77</v>
      </c>
      <c r="F2230" s="69">
        <v>18.29</v>
      </c>
      <c r="G2230" s="69" t="s">
        <v>35</v>
      </c>
      <c r="H2230" s="69" t="str">
        <f>IFERROR(VLOOKUP(Data!$G2230,canon!$I$2:$K$27,2,FALSE),"")</f>
        <v>DRESS</v>
      </c>
      <c r="I2230" s="69" t="str">
        <f>IFERROR(VLOOKUP(Data!$G2230,canon!$I$2:$K$27,3,FALSE),"")</f>
        <v>APPAREL</v>
      </c>
      <c r="J2230" s="69">
        <f t="shared" si="68"/>
        <v>4</v>
      </c>
      <c r="K2230" s="69">
        <f t="shared" si="69"/>
        <v>43</v>
      </c>
      <c r="L2230" s="69">
        <f>VLOOKUP(Table_db1_backend_Daily.accdb[[#This Row],[TradingDate]],canon!B:E,4,0)</f>
        <v>31</v>
      </c>
    </row>
    <row r="2231" spans="1:12" x14ac:dyDescent="0.2">
      <c r="A2231" s="69" t="s">
        <v>43</v>
      </c>
      <c r="B2231" s="70">
        <v>42949</v>
      </c>
      <c r="C2231" s="69">
        <v>-17</v>
      </c>
      <c r="D2231" s="69">
        <v>0</v>
      </c>
      <c r="E2231" s="69">
        <v>0</v>
      </c>
      <c r="F2231" s="69">
        <v>0</v>
      </c>
      <c r="G2231" s="69" t="s">
        <v>10</v>
      </c>
      <c r="H2231" s="69" t="str">
        <f>IFERROR(VLOOKUP(Data!$G2231,canon!$I$2:$K$27,2,FALSE),"")</f>
        <v>ACCESSORY</v>
      </c>
      <c r="I2231" s="69" t="str">
        <f>IFERROR(VLOOKUP(Data!$G2231,canon!$I$2:$K$27,3,FALSE),"")</f>
        <v>N.APPAREL</v>
      </c>
      <c r="J2231" s="69">
        <f t="shared" si="68"/>
        <v>4</v>
      </c>
      <c r="K2231" s="69">
        <f t="shared" si="69"/>
        <v>43</v>
      </c>
      <c r="L2231" s="69">
        <f>VLOOKUP(Table_db1_backend_Daily.accdb[[#This Row],[TradingDate]],canon!B:E,4,0)</f>
        <v>31</v>
      </c>
    </row>
    <row r="2232" spans="1:12" x14ac:dyDescent="0.2">
      <c r="A2232" s="69" t="s">
        <v>43</v>
      </c>
      <c r="B2232" s="70">
        <v>42949</v>
      </c>
      <c r="C2232" s="69">
        <v>5</v>
      </c>
      <c r="D2232" s="69">
        <v>0</v>
      </c>
      <c r="E2232" s="69">
        <v>0</v>
      </c>
      <c r="F2232" s="69">
        <v>0</v>
      </c>
      <c r="G2232" s="69" t="s">
        <v>28</v>
      </c>
      <c r="H2232" s="69" t="str">
        <f>IFERROR(VLOOKUP(Data!$G2232,canon!$I$2:$K$27,2,FALSE),"")</f>
        <v>ACCESSORY</v>
      </c>
      <c r="I2232" s="69" t="str">
        <f>IFERROR(VLOOKUP(Data!$G2232,canon!$I$2:$K$27,3,FALSE),"")</f>
        <v>N.APPAREL</v>
      </c>
      <c r="J2232" s="69">
        <f t="shared" si="68"/>
        <v>4</v>
      </c>
      <c r="K2232" s="69">
        <f t="shared" si="69"/>
        <v>43</v>
      </c>
      <c r="L2232" s="69">
        <f>VLOOKUP(Table_db1_backend_Daily.accdb[[#This Row],[TradingDate]],canon!B:E,4,0)</f>
        <v>31</v>
      </c>
    </row>
    <row r="2233" spans="1:12" x14ac:dyDescent="0.2">
      <c r="A2233" s="69" t="s">
        <v>43</v>
      </c>
      <c r="B2233" s="70">
        <v>42949</v>
      </c>
      <c r="C2233" s="69">
        <v>1557</v>
      </c>
      <c r="D2233" s="69">
        <v>32</v>
      </c>
      <c r="E2233" s="69">
        <v>354.02</v>
      </c>
      <c r="F2233" s="69">
        <v>99.690000000000026</v>
      </c>
      <c r="G2233" s="69" t="s">
        <v>11</v>
      </c>
      <c r="H2233" s="69" t="str">
        <f>IFERROR(VLOOKUP(Data!$G2233,canon!$I$2:$K$27,2,FALSE),"")</f>
        <v>KNIT</v>
      </c>
      <c r="I2233" s="69" t="str">
        <f>IFERROR(VLOOKUP(Data!$G2233,canon!$I$2:$K$27,3,FALSE),"")</f>
        <v>APPAREL</v>
      </c>
      <c r="J2233" s="69">
        <f t="shared" si="68"/>
        <v>4</v>
      </c>
      <c r="K2233" s="69">
        <f t="shared" si="69"/>
        <v>43</v>
      </c>
      <c r="L2233" s="69">
        <f>VLOOKUP(Table_db1_backend_Daily.accdb[[#This Row],[TradingDate]],canon!B:E,4,0)</f>
        <v>31</v>
      </c>
    </row>
    <row r="2234" spans="1:12" x14ac:dyDescent="0.2">
      <c r="A2234" s="69" t="s">
        <v>43</v>
      </c>
      <c r="B2234" s="70">
        <v>42949</v>
      </c>
      <c r="C2234" s="69">
        <v>108</v>
      </c>
      <c r="D2234" s="69">
        <v>1</v>
      </c>
      <c r="E2234" s="69">
        <v>9.09</v>
      </c>
      <c r="F2234" s="69">
        <v>1.92</v>
      </c>
      <c r="G2234" s="69" t="s">
        <v>14</v>
      </c>
      <c r="H2234" s="69" t="str">
        <f>IFERROR(VLOOKUP(Data!$G2234,canon!$I$2:$K$27,2,FALSE),"")</f>
        <v>LEGGING</v>
      </c>
      <c r="I2234" s="69" t="str">
        <f>IFERROR(VLOOKUP(Data!$G2234,canon!$I$2:$K$27,3,FALSE),"")</f>
        <v>APPAREL</v>
      </c>
      <c r="J2234" s="69">
        <f t="shared" si="68"/>
        <v>4</v>
      </c>
      <c r="K2234" s="69">
        <f t="shared" si="69"/>
        <v>43</v>
      </c>
      <c r="L2234" s="69">
        <f>VLOOKUP(Table_db1_backend_Daily.accdb[[#This Row],[TradingDate]],canon!B:E,4,0)</f>
        <v>31</v>
      </c>
    </row>
    <row r="2235" spans="1:12" x14ac:dyDescent="0.2">
      <c r="A2235" s="69" t="s">
        <v>43</v>
      </c>
      <c r="B2235" s="70">
        <v>42949</v>
      </c>
      <c r="C2235" s="69">
        <v>37</v>
      </c>
      <c r="D2235" s="69">
        <v>0</v>
      </c>
      <c r="E2235" s="69">
        <v>0</v>
      </c>
      <c r="F2235" s="69">
        <v>0</v>
      </c>
      <c r="G2235" s="69" t="s">
        <v>37</v>
      </c>
      <c r="H2235" s="69" t="str">
        <f>IFERROR(VLOOKUP(Data!$G2235,canon!$I$2:$K$27,2,FALSE),"")</f>
        <v>SHOES</v>
      </c>
      <c r="I2235" s="69" t="str">
        <f>IFERROR(VLOOKUP(Data!$G2235,canon!$I$2:$K$27,3,FALSE),"")</f>
        <v>N.APPAREL</v>
      </c>
      <c r="J2235" s="69">
        <f t="shared" si="68"/>
        <v>4</v>
      </c>
      <c r="K2235" s="69">
        <f t="shared" si="69"/>
        <v>43</v>
      </c>
      <c r="L2235" s="69">
        <f>VLOOKUP(Table_db1_backend_Daily.accdb[[#This Row],[TradingDate]],canon!B:E,4,0)</f>
        <v>31</v>
      </c>
    </row>
    <row r="2236" spans="1:12" x14ac:dyDescent="0.2">
      <c r="A2236" s="69" t="s">
        <v>43</v>
      </c>
      <c r="B2236" s="70">
        <v>42949</v>
      </c>
      <c r="C2236" s="69">
        <v>28</v>
      </c>
      <c r="D2236" s="69">
        <v>0</v>
      </c>
      <c r="E2236" s="69">
        <v>0</v>
      </c>
      <c r="F2236" s="69">
        <v>0</v>
      </c>
      <c r="G2236" s="69" t="s">
        <v>29</v>
      </c>
      <c r="H2236" s="69" t="str">
        <f>IFERROR(VLOOKUP(Data!$G2236,canon!$I$2:$K$27,2,FALSE),"")</f>
        <v>SHOES</v>
      </c>
      <c r="I2236" s="69" t="str">
        <f>IFERROR(VLOOKUP(Data!$G2236,canon!$I$2:$K$27,3,FALSE),"")</f>
        <v>N.APPAREL</v>
      </c>
      <c r="J2236" s="69">
        <f t="shared" si="68"/>
        <v>4</v>
      </c>
      <c r="K2236" s="69">
        <f t="shared" si="69"/>
        <v>43</v>
      </c>
      <c r="L2236" s="69">
        <f>VLOOKUP(Table_db1_backend_Daily.accdb[[#This Row],[TradingDate]],canon!B:E,4,0)</f>
        <v>31</v>
      </c>
    </row>
    <row r="2237" spans="1:12" x14ac:dyDescent="0.2">
      <c r="A2237" s="69" t="s">
        <v>43</v>
      </c>
      <c r="B2237" s="70">
        <v>42949</v>
      </c>
      <c r="C2237" s="69">
        <v>509</v>
      </c>
      <c r="D2237" s="69">
        <v>6</v>
      </c>
      <c r="E2237" s="69">
        <v>109.06</v>
      </c>
      <c r="F2237" s="69">
        <v>61.8</v>
      </c>
      <c r="G2237" s="69" t="s">
        <v>17</v>
      </c>
      <c r="H2237" s="69" t="str">
        <f>IFERROR(VLOOKUP(Data!$G2237,canon!$I$2:$K$27,2,FALSE),"")</f>
        <v>OUTER</v>
      </c>
      <c r="I2237" s="69" t="str">
        <f>IFERROR(VLOOKUP(Data!$G2237,canon!$I$2:$K$27,3,FALSE),"")</f>
        <v>APPAREL</v>
      </c>
      <c r="J2237" s="69">
        <f t="shared" si="68"/>
        <v>4</v>
      </c>
      <c r="K2237" s="69">
        <f t="shared" si="69"/>
        <v>43</v>
      </c>
      <c r="L2237" s="69">
        <f>VLOOKUP(Table_db1_backend_Daily.accdb[[#This Row],[TradingDate]],canon!B:E,4,0)</f>
        <v>31</v>
      </c>
    </row>
    <row r="2238" spans="1:12" x14ac:dyDescent="0.2">
      <c r="A2238" s="69" t="s">
        <v>43</v>
      </c>
      <c r="B2238" s="70">
        <v>42949</v>
      </c>
      <c r="C2238" s="69">
        <v>83</v>
      </c>
      <c r="D2238" s="69">
        <v>4</v>
      </c>
      <c r="E2238" s="69">
        <v>40.89</v>
      </c>
      <c r="F2238" s="69">
        <v>17.95</v>
      </c>
      <c r="G2238" s="69" t="s">
        <v>19</v>
      </c>
      <c r="H2238" s="69" t="str">
        <f>IFERROR(VLOOKUP(Data!$G2238,canon!$I$2:$K$27,2,FALSE),"")</f>
        <v>PANT</v>
      </c>
      <c r="I2238" s="69" t="str">
        <f>IFERROR(VLOOKUP(Data!$G2238,canon!$I$2:$K$27,3,FALSE),"")</f>
        <v>APPAREL</v>
      </c>
      <c r="J2238" s="69">
        <f t="shared" si="68"/>
        <v>4</v>
      </c>
      <c r="K2238" s="69">
        <f t="shared" si="69"/>
        <v>43</v>
      </c>
      <c r="L2238" s="69">
        <f>VLOOKUP(Table_db1_backend_Daily.accdb[[#This Row],[TradingDate]],canon!B:E,4,0)</f>
        <v>31</v>
      </c>
    </row>
    <row r="2239" spans="1:12" x14ac:dyDescent="0.2">
      <c r="A2239" s="69" t="s">
        <v>43</v>
      </c>
      <c r="B2239" s="70">
        <v>42949</v>
      </c>
      <c r="C2239" s="69">
        <v>50</v>
      </c>
      <c r="D2239" s="69">
        <v>0</v>
      </c>
      <c r="E2239" s="69">
        <v>0</v>
      </c>
      <c r="F2239" s="69">
        <v>0</v>
      </c>
      <c r="G2239" s="69" t="s">
        <v>21</v>
      </c>
      <c r="H2239" s="69" t="str">
        <f>IFERROR(VLOOKUP(Data!$G2239,canon!$I$2:$K$27,2,FALSE),"")</f>
        <v>ACCESSORY</v>
      </c>
      <c r="I2239" s="69" t="str">
        <f>IFERROR(VLOOKUP(Data!$G2239,canon!$I$2:$K$27,3,FALSE),"")</f>
        <v>N.APPAREL</v>
      </c>
      <c r="J2239" s="69">
        <f t="shared" si="68"/>
        <v>4</v>
      </c>
      <c r="K2239" s="69">
        <f t="shared" si="69"/>
        <v>43</v>
      </c>
      <c r="L2239" s="69">
        <f>VLOOKUP(Table_db1_backend_Daily.accdb[[#This Row],[TradingDate]],canon!B:E,4,0)</f>
        <v>31</v>
      </c>
    </row>
    <row r="2240" spans="1:12" x14ac:dyDescent="0.2">
      <c r="A2240" s="69" t="s">
        <v>43</v>
      </c>
      <c r="B2240" s="70">
        <v>42949</v>
      </c>
      <c r="C2240" s="69">
        <v>552</v>
      </c>
      <c r="D2240" s="69">
        <v>5</v>
      </c>
      <c r="E2240" s="69">
        <v>25.42</v>
      </c>
      <c r="F2240" s="69">
        <v>18.690000000000001</v>
      </c>
      <c r="G2240" s="69" t="s">
        <v>22</v>
      </c>
      <c r="H2240" s="69" t="str">
        <f>IFERROR(VLOOKUP(Data!$G2240,canon!$I$2:$K$27,2,FALSE),"")</f>
        <v>SCARF</v>
      </c>
      <c r="I2240" s="69" t="str">
        <f>IFERROR(VLOOKUP(Data!$G2240,canon!$I$2:$K$27,3,FALSE),"")</f>
        <v>N.APPAREL</v>
      </c>
      <c r="J2240" s="69">
        <f t="shared" si="68"/>
        <v>4</v>
      </c>
      <c r="K2240" s="69">
        <f t="shared" si="69"/>
        <v>43</v>
      </c>
      <c r="L2240" s="69">
        <f>VLOOKUP(Table_db1_backend_Daily.accdb[[#This Row],[TradingDate]],canon!B:E,4,0)</f>
        <v>31</v>
      </c>
    </row>
    <row r="2241" spans="1:12" x14ac:dyDescent="0.2">
      <c r="A2241" s="69" t="s">
        <v>43</v>
      </c>
      <c r="B2241" s="70">
        <v>42949</v>
      </c>
      <c r="C2241" s="69">
        <v>139</v>
      </c>
      <c r="D2241" s="69">
        <v>1</v>
      </c>
      <c r="E2241" s="69">
        <v>18.18</v>
      </c>
      <c r="F2241" s="69">
        <v>10.35</v>
      </c>
      <c r="G2241" s="69" t="s">
        <v>23</v>
      </c>
      <c r="H2241" s="69" t="str">
        <f>IFERROR(VLOOKUP(Data!$G2241,canon!$I$2:$K$27,2,FALSE),"")</f>
        <v>SH&amp;BL</v>
      </c>
      <c r="I2241" s="69" t="str">
        <f>IFERROR(VLOOKUP(Data!$G2241,canon!$I$2:$K$27,3,FALSE),"")</f>
        <v>APPAREL</v>
      </c>
      <c r="J2241" s="69">
        <f t="shared" si="68"/>
        <v>4</v>
      </c>
      <c r="K2241" s="69">
        <f t="shared" si="69"/>
        <v>43</v>
      </c>
      <c r="L2241" s="69">
        <f>VLOOKUP(Table_db1_backend_Daily.accdb[[#This Row],[TradingDate]],canon!B:E,4,0)</f>
        <v>31</v>
      </c>
    </row>
    <row r="2242" spans="1:12" x14ac:dyDescent="0.2">
      <c r="A2242" s="69" t="s">
        <v>43</v>
      </c>
      <c r="B2242" s="70">
        <v>42949</v>
      </c>
      <c r="C2242" s="69">
        <v>-32</v>
      </c>
      <c r="D2242" s="69">
        <v>5</v>
      </c>
      <c r="E2242" s="69">
        <v>31.82</v>
      </c>
      <c r="F2242" s="69">
        <v>0.28999999999999915</v>
      </c>
      <c r="G2242" s="69" t="s">
        <v>32</v>
      </c>
      <c r="H2242" s="69" t="str">
        <f>IFERROR(VLOOKUP(Data!$G2242,canon!$I$2:$K$27,2,FALSE),"")</f>
        <v>SKIRT</v>
      </c>
      <c r="I2242" s="69" t="str">
        <f>IFERROR(VLOOKUP(Data!$G2242,canon!$I$2:$K$27,3,FALSE),"")</f>
        <v>APPAREL</v>
      </c>
      <c r="J2242" s="69">
        <f t="shared" ref="J2242:J2305" si="70">WEEKDAY(B2242)</f>
        <v>4</v>
      </c>
      <c r="K2242" s="69">
        <f t="shared" ref="K2242:K2305" si="71">INT(A2242)</f>
        <v>43</v>
      </c>
      <c r="L2242" s="69">
        <f>VLOOKUP(Table_db1_backend_Daily.accdb[[#This Row],[TradingDate]],canon!B:E,4,0)</f>
        <v>31</v>
      </c>
    </row>
    <row r="2243" spans="1:12" x14ac:dyDescent="0.2">
      <c r="A2243" s="69" t="s">
        <v>43</v>
      </c>
      <c r="B2243" s="70">
        <v>42949</v>
      </c>
      <c r="C2243" s="69">
        <v>494</v>
      </c>
      <c r="D2243" s="69">
        <v>24</v>
      </c>
      <c r="E2243" s="69">
        <v>222.38</v>
      </c>
      <c r="F2243" s="69">
        <v>92.519999999999982</v>
      </c>
      <c r="G2243" s="69" t="s">
        <v>25</v>
      </c>
      <c r="H2243" s="69" t="str">
        <f>IFERROR(VLOOKUP(Data!$G2243,canon!$I$2:$K$27,2,FALSE),"")</f>
        <v>TOP</v>
      </c>
      <c r="I2243" s="69" t="str">
        <f>IFERROR(VLOOKUP(Data!$G2243,canon!$I$2:$K$27,3,FALSE),"")</f>
        <v>APPAREL</v>
      </c>
      <c r="J2243" s="69">
        <f t="shared" si="70"/>
        <v>4</v>
      </c>
      <c r="K2243" s="69">
        <f t="shared" si="71"/>
        <v>43</v>
      </c>
      <c r="L2243" s="69">
        <f>VLOOKUP(Table_db1_backend_Daily.accdb[[#This Row],[TradingDate]],canon!B:E,4,0)</f>
        <v>31</v>
      </c>
    </row>
    <row r="2244" spans="1:12" x14ac:dyDescent="0.2">
      <c r="A2244" s="69" t="s">
        <v>43</v>
      </c>
      <c r="B2244" s="70">
        <v>42950</v>
      </c>
      <c r="C2244" s="69">
        <v>10</v>
      </c>
      <c r="D2244" s="69">
        <v>0</v>
      </c>
      <c r="E2244" s="69">
        <v>0</v>
      </c>
      <c r="F2244" s="69">
        <v>0</v>
      </c>
      <c r="G2244" s="69" t="s">
        <v>27</v>
      </c>
      <c r="H2244" s="69" t="str">
        <f>IFERROR(VLOOKUP(Data!$G2244,canon!$I$2:$K$27,2,FALSE),"")</f>
        <v>ACCESSORY</v>
      </c>
      <c r="I2244" s="69" t="str">
        <f>IFERROR(VLOOKUP(Data!$G2244,canon!$I$2:$K$27,3,FALSE),"")</f>
        <v>N.APPAREL</v>
      </c>
      <c r="J2244" s="69">
        <f t="shared" si="70"/>
        <v>5</v>
      </c>
      <c r="K2244" s="69">
        <f t="shared" si="71"/>
        <v>43</v>
      </c>
      <c r="L2244" s="69">
        <f>VLOOKUP(Table_db1_backend_Daily.accdb[[#This Row],[TradingDate]],canon!B:E,4,0)</f>
        <v>31</v>
      </c>
    </row>
    <row r="2245" spans="1:12" x14ac:dyDescent="0.2">
      <c r="A2245" s="69" t="s">
        <v>43</v>
      </c>
      <c r="B2245" s="70">
        <v>42950</v>
      </c>
      <c r="C2245" s="69">
        <v>4</v>
      </c>
      <c r="D2245" s="69">
        <v>0</v>
      </c>
      <c r="E2245" s="69">
        <v>0</v>
      </c>
      <c r="F2245" s="69">
        <v>0</v>
      </c>
      <c r="G2245" s="69" t="s">
        <v>34</v>
      </c>
      <c r="H2245" s="69" t="str">
        <f>IFERROR(VLOOKUP(Data!$G2245,canon!$I$2:$K$27,2,FALSE),"")</f>
        <v>SHOES</v>
      </c>
      <c r="I2245" s="69" t="str">
        <f>IFERROR(VLOOKUP(Data!$G2245,canon!$I$2:$K$27,3,FALSE),"")</f>
        <v>N.APPAREL</v>
      </c>
      <c r="J2245" s="69">
        <f t="shared" si="70"/>
        <v>5</v>
      </c>
      <c r="K2245" s="69">
        <f t="shared" si="71"/>
        <v>43</v>
      </c>
      <c r="L2245" s="69">
        <f>VLOOKUP(Table_db1_backend_Daily.accdb[[#This Row],[TradingDate]],canon!B:E,4,0)</f>
        <v>31</v>
      </c>
    </row>
    <row r="2246" spans="1:12" x14ac:dyDescent="0.2">
      <c r="A2246" s="69" t="s">
        <v>43</v>
      </c>
      <c r="B2246" s="70">
        <v>42950</v>
      </c>
      <c r="C2246" s="69">
        <v>622</v>
      </c>
      <c r="D2246" s="69">
        <v>23</v>
      </c>
      <c r="E2246" s="69">
        <v>285.84000000000003</v>
      </c>
      <c r="F2246" s="69">
        <v>94.69</v>
      </c>
      <c r="G2246" s="69" t="s">
        <v>35</v>
      </c>
      <c r="H2246" s="69" t="str">
        <f>IFERROR(VLOOKUP(Data!$G2246,canon!$I$2:$K$27,2,FALSE),"")</f>
        <v>DRESS</v>
      </c>
      <c r="I2246" s="69" t="str">
        <f>IFERROR(VLOOKUP(Data!$G2246,canon!$I$2:$K$27,3,FALSE),"")</f>
        <v>APPAREL</v>
      </c>
      <c r="J2246" s="69">
        <f t="shared" si="70"/>
        <v>5</v>
      </c>
      <c r="K2246" s="69">
        <f t="shared" si="71"/>
        <v>43</v>
      </c>
      <c r="L2246" s="69">
        <f>VLOOKUP(Table_db1_backend_Daily.accdb[[#This Row],[TradingDate]],canon!B:E,4,0)</f>
        <v>31</v>
      </c>
    </row>
    <row r="2247" spans="1:12" x14ac:dyDescent="0.2">
      <c r="A2247" s="69" t="s">
        <v>43</v>
      </c>
      <c r="B2247" s="70">
        <v>42950</v>
      </c>
      <c r="C2247" s="69">
        <v>-11</v>
      </c>
      <c r="D2247" s="69">
        <v>0</v>
      </c>
      <c r="E2247" s="69">
        <v>0</v>
      </c>
      <c r="F2247" s="69">
        <v>0</v>
      </c>
      <c r="G2247" s="69" t="s">
        <v>10</v>
      </c>
      <c r="H2247" s="69" t="str">
        <f>IFERROR(VLOOKUP(Data!$G2247,canon!$I$2:$K$27,2,FALSE),"")</f>
        <v>ACCESSORY</v>
      </c>
      <c r="I2247" s="69" t="str">
        <f>IFERROR(VLOOKUP(Data!$G2247,canon!$I$2:$K$27,3,FALSE),"")</f>
        <v>N.APPAREL</v>
      </c>
      <c r="J2247" s="69">
        <f t="shared" si="70"/>
        <v>5</v>
      </c>
      <c r="K2247" s="69">
        <f t="shared" si="71"/>
        <v>43</v>
      </c>
      <c r="L2247" s="69">
        <f>VLOOKUP(Table_db1_backend_Daily.accdb[[#This Row],[TradingDate]],canon!B:E,4,0)</f>
        <v>31</v>
      </c>
    </row>
    <row r="2248" spans="1:12" x14ac:dyDescent="0.2">
      <c r="A2248" s="69" t="s">
        <v>43</v>
      </c>
      <c r="B2248" s="70">
        <v>42950</v>
      </c>
      <c r="C2248" s="69">
        <v>8</v>
      </c>
      <c r="D2248" s="69">
        <v>0</v>
      </c>
      <c r="E2248" s="69">
        <v>0</v>
      </c>
      <c r="F2248" s="69">
        <v>0</v>
      </c>
      <c r="G2248" s="69" t="s">
        <v>28</v>
      </c>
      <c r="H2248" s="69" t="str">
        <f>IFERROR(VLOOKUP(Data!$G2248,canon!$I$2:$K$27,2,FALSE),"")</f>
        <v>ACCESSORY</v>
      </c>
      <c r="I2248" s="69" t="str">
        <f>IFERROR(VLOOKUP(Data!$G2248,canon!$I$2:$K$27,3,FALSE),"")</f>
        <v>N.APPAREL</v>
      </c>
      <c r="J2248" s="69">
        <f t="shared" si="70"/>
        <v>5</v>
      </c>
      <c r="K2248" s="69">
        <f t="shared" si="71"/>
        <v>43</v>
      </c>
      <c r="L2248" s="69">
        <f>VLOOKUP(Table_db1_backend_Daily.accdb[[#This Row],[TradingDate]],canon!B:E,4,0)</f>
        <v>31</v>
      </c>
    </row>
    <row r="2249" spans="1:12" x14ac:dyDescent="0.2">
      <c r="A2249" s="69" t="s">
        <v>43</v>
      </c>
      <c r="B2249" s="70">
        <v>42950</v>
      </c>
      <c r="C2249" s="69">
        <v>1463</v>
      </c>
      <c r="D2249" s="69">
        <v>108</v>
      </c>
      <c r="E2249" s="69">
        <v>1144.54</v>
      </c>
      <c r="F2249" s="69">
        <v>285.96999999999997</v>
      </c>
      <c r="G2249" s="69" t="s">
        <v>11</v>
      </c>
      <c r="H2249" s="69" t="str">
        <f>IFERROR(VLOOKUP(Data!$G2249,canon!$I$2:$K$27,2,FALSE),"")</f>
        <v>KNIT</v>
      </c>
      <c r="I2249" s="69" t="str">
        <f>IFERROR(VLOOKUP(Data!$G2249,canon!$I$2:$K$27,3,FALSE),"")</f>
        <v>APPAREL</v>
      </c>
      <c r="J2249" s="69">
        <f t="shared" si="70"/>
        <v>5</v>
      </c>
      <c r="K2249" s="69">
        <f t="shared" si="71"/>
        <v>43</v>
      </c>
      <c r="L2249" s="69">
        <f>VLOOKUP(Table_db1_backend_Daily.accdb[[#This Row],[TradingDate]],canon!B:E,4,0)</f>
        <v>31</v>
      </c>
    </row>
    <row r="2250" spans="1:12" x14ac:dyDescent="0.2">
      <c r="A2250" s="69" t="s">
        <v>43</v>
      </c>
      <c r="B2250" s="70">
        <v>42950</v>
      </c>
      <c r="C2250" s="69">
        <v>123</v>
      </c>
      <c r="D2250" s="69">
        <v>5</v>
      </c>
      <c r="E2250" s="69">
        <v>90.77000000000001</v>
      </c>
      <c r="F2250" s="69">
        <v>56.2</v>
      </c>
      <c r="G2250" s="69" t="s">
        <v>14</v>
      </c>
      <c r="H2250" s="69" t="str">
        <f>IFERROR(VLOOKUP(Data!$G2250,canon!$I$2:$K$27,2,FALSE),"")</f>
        <v>LEGGING</v>
      </c>
      <c r="I2250" s="69" t="str">
        <f>IFERROR(VLOOKUP(Data!$G2250,canon!$I$2:$K$27,3,FALSE),"")</f>
        <v>APPAREL</v>
      </c>
      <c r="J2250" s="69">
        <f t="shared" si="70"/>
        <v>5</v>
      </c>
      <c r="K2250" s="69">
        <f t="shared" si="71"/>
        <v>43</v>
      </c>
      <c r="L2250" s="69">
        <f>VLOOKUP(Table_db1_backend_Daily.accdb[[#This Row],[TradingDate]],canon!B:E,4,0)</f>
        <v>31</v>
      </c>
    </row>
    <row r="2251" spans="1:12" x14ac:dyDescent="0.2">
      <c r="A2251" s="69" t="s">
        <v>43</v>
      </c>
      <c r="B2251" s="70">
        <v>42950</v>
      </c>
      <c r="C2251" s="69">
        <v>61</v>
      </c>
      <c r="D2251" s="69">
        <v>0</v>
      </c>
      <c r="E2251" s="69">
        <v>0</v>
      </c>
      <c r="F2251" s="69">
        <v>0</v>
      </c>
      <c r="G2251" s="69" t="s">
        <v>37</v>
      </c>
      <c r="H2251" s="69" t="str">
        <f>IFERROR(VLOOKUP(Data!$G2251,canon!$I$2:$K$27,2,FALSE),"")</f>
        <v>SHOES</v>
      </c>
      <c r="I2251" s="69" t="str">
        <f>IFERROR(VLOOKUP(Data!$G2251,canon!$I$2:$K$27,3,FALSE),"")</f>
        <v>N.APPAREL</v>
      </c>
      <c r="J2251" s="69">
        <f t="shared" si="70"/>
        <v>5</v>
      </c>
      <c r="K2251" s="69">
        <f t="shared" si="71"/>
        <v>43</v>
      </c>
      <c r="L2251" s="69">
        <f>VLOOKUP(Table_db1_backend_Daily.accdb[[#This Row],[TradingDate]],canon!B:E,4,0)</f>
        <v>31</v>
      </c>
    </row>
    <row r="2252" spans="1:12" x14ac:dyDescent="0.2">
      <c r="A2252" s="69" t="s">
        <v>43</v>
      </c>
      <c r="B2252" s="70">
        <v>42950</v>
      </c>
      <c r="C2252" s="69">
        <v>61</v>
      </c>
      <c r="D2252" s="69">
        <v>0</v>
      </c>
      <c r="E2252" s="69">
        <v>0</v>
      </c>
      <c r="F2252" s="69">
        <v>0</v>
      </c>
      <c r="G2252" s="69" t="s">
        <v>29</v>
      </c>
      <c r="H2252" s="69" t="str">
        <f>IFERROR(VLOOKUP(Data!$G2252,canon!$I$2:$K$27,2,FALSE),"")</f>
        <v>SHOES</v>
      </c>
      <c r="I2252" s="69" t="str">
        <f>IFERROR(VLOOKUP(Data!$G2252,canon!$I$2:$K$27,3,FALSE),"")</f>
        <v>N.APPAREL</v>
      </c>
      <c r="J2252" s="69">
        <f t="shared" si="70"/>
        <v>5</v>
      </c>
      <c r="K2252" s="69">
        <f t="shared" si="71"/>
        <v>43</v>
      </c>
      <c r="L2252" s="69">
        <f>VLOOKUP(Table_db1_backend_Daily.accdb[[#This Row],[TradingDate]],canon!B:E,4,0)</f>
        <v>31</v>
      </c>
    </row>
    <row r="2253" spans="1:12" x14ac:dyDescent="0.2">
      <c r="A2253" s="69" t="s">
        <v>43</v>
      </c>
      <c r="B2253" s="70">
        <v>42950</v>
      </c>
      <c r="C2253" s="69">
        <v>506</v>
      </c>
      <c r="D2253" s="69">
        <v>29</v>
      </c>
      <c r="E2253" s="69">
        <v>377.19000000000005</v>
      </c>
      <c r="F2253" s="69">
        <v>96.49</v>
      </c>
      <c r="G2253" s="69" t="s">
        <v>17</v>
      </c>
      <c r="H2253" s="69" t="str">
        <f>IFERROR(VLOOKUP(Data!$G2253,canon!$I$2:$K$27,2,FALSE),"")</f>
        <v>OUTER</v>
      </c>
      <c r="I2253" s="69" t="str">
        <f>IFERROR(VLOOKUP(Data!$G2253,canon!$I$2:$K$27,3,FALSE),"")</f>
        <v>APPAREL</v>
      </c>
      <c r="J2253" s="69">
        <f t="shared" si="70"/>
        <v>5</v>
      </c>
      <c r="K2253" s="69">
        <f t="shared" si="71"/>
        <v>43</v>
      </c>
      <c r="L2253" s="69">
        <f>VLOOKUP(Table_db1_backend_Daily.accdb[[#This Row],[TradingDate]],canon!B:E,4,0)</f>
        <v>31</v>
      </c>
    </row>
    <row r="2254" spans="1:12" x14ac:dyDescent="0.2">
      <c r="A2254" s="69" t="s">
        <v>43</v>
      </c>
      <c r="B2254" s="70">
        <v>42950</v>
      </c>
      <c r="C2254" s="69">
        <v>190</v>
      </c>
      <c r="D2254" s="69">
        <v>4</v>
      </c>
      <c r="E2254" s="69">
        <v>59.089999999999996</v>
      </c>
      <c r="F2254" s="69">
        <v>29.720000000000002</v>
      </c>
      <c r="G2254" s="69" t="s">
        <v>19</v>
      </c>
      <c r="H2254" s="69" t="str">
        <f>IFERROR(VLOOKUP(Data!$G2254,canon!$I$2:$K$27,2,FALSE),"")</f>
        <v>PANT</v>
      </c>
      <c r="I2254" s="69" t="str">
        <f>IFERROR(VLOOKUP(Data!$G2254,canon!$I$2:$K$27,3,FALSE),"")</f>
        <v>APPAREL</v>
      </c>
      <c r="J2254" s="69">
        <f t="shared" si="70"/>
        <v>5</v>
      </c>
      <c r="K2254" s="69">
        <f t="shared" si="71"/>
        <v>43</v>
      </c>
      <c r="L2254" s="69">
        <f>VLOOKUP(Table_db1_backend_Daily.accdb[[#This Row],[TradingDate]],canon!B:E,4,0)</f>
        <v>31</v>
      </c>
    </row>
    <row r="2255" spans="1:12" x14ac:dyDescent="0.2">
      <c r="A2255" s="69" t="s">
        <v>43</v>
      </c>
      <c r="B2255" s="70">
        <v>42950</v>
      </c>
      <c r="C2255" s="69">
        <v>64</v>
      </c>
      <c r="D2255" s="69">
        <v>0</v>
      </c>
      <c r="E2255" s="69">
        <v>0</v>
      </c>
      <c r="F2255" s="69">
        <v>0</v>
      </c>
      <c r="G2255" s="69" t="s">
        <v>21</v>
      </c>
      <c r="H2255" s="69" t="str">
        <f>IFERROR(VLOOKUP(Data!$G2255,canon!$I$2:$K$27,2,FALSE),"")</f>
        <v>ACCESSORY</v>
      </c>
      <c r="I2255" s="69" t="str">
        <f>IFERROR(VLOOKUP(Data!$G2255,canon!$I$2:$K$27,3,FALSE),"")</f>
        <v>N.APPAREL</v>
      </c>
      <c r="J2255" s="69">
        <f t="shared" si="70"/>
        <v>5</v>
      </c>
      <c r="K2255" s="69">
        <f t="shared" si="71"/>
        <v>43</v>
      </c>
      <c r="L2255" s="69">
        <f>VLOOKUP(Table_db1_backend_Daily.accdb[[#This Row],[TradingDate]],canon!B:E,4,0)</f>
        <v>31</v>
      </c>
    </row>
    <row r="2256" spans="1:12" x14ac:dyDescent="0.2">
      <c r="A2256" s="69" t="s">
        <v>43</v>
      </c>
      <c r="B2256" s="70">
        <v>42950</v>
      </c>
      <c r="C2256" s="69">
        <v>911</v>
      </c>
      <c r="D2256" s="69">
        <v>8</v>
      </c>
      <c r="E2256" s="69">
        <v>39.07</v>
      </c>
      <c r="F2256" s="69">
        <v>26.58</v>
      </c>
      <c r="G2256" s="69" t="s">
        <v>22</v>
      </c>
      <c r="H2256" s="69" t="str">
        <f>IFERROR(VLOOKUP(Data!$G2256,canon!$I$2:$K$27,2,FALSE),"")</f>
        <v>SCARF</v>
      </c>
      <c r="I2256" s="69" t="str">
        <f>IFERROR(VLOOKUP(Data!$G2256,canon!$I$2:$K$27,3,FALSE),"")</f>
        <v>N.APPAREL</v>
      </c>
      <c r="J2256" s="69">
        <f t="shared" si="70"/>
        <v>5</v>
      </c>
      <c r="K2256" s="69">
        <f t="shared" si="71"/>
        <v>43</v>
      </c>
      <c r="L2256" s="69">
        <f>VLOOKUP(Table_db1_backend_Daily.accdb[[#This Row],[TradingDate]],canon!B:E,4,0)</f>
        <v>31</v>
      </c>
    </row>
    <row r="2257" spans="1:12" x14ac:dyDescent="0.2">
      <c r="A2257" s="69" t="s">
        <v>43</v>
      </c>
      <c r="B2257" s="70">
        <v>42950</v>
      </c>
      <c r="C2257" s="69">
        <v>160</v>
      </c>
      <c r="D2257" s="69">
        <v>7</v>
      </c>
      <c r="E2257" s="69">
        <v>63.63</v>
      </c>
      <c r="F2257" s="69">
        <v>11.669999999999998</v>
      </c>
      <c r="G2257" s="69" t="s">
        <v>23</v>
      </c>
      <c r="H2257" s="69" t="str">
        <f>IFERROR(VLOOKUP(Data!$G2257,canon!$I$2:$K$27,2,FALSE),"")</f>
        <v>SH&amp;BL</v>
      </c>
      <c r="I2257" s="69" t="str">
        <f>IFERROR(VLOOKUP(Data!$G2257,canon!$I$2:$K$27,3,FALSE),"")</f>
        <v>APPAREL</v>
      </c>
      <c r="J2257" s="69">
        <f t="shared" si="70"/>
        <v>5</v>
      </c>
      <c r="K2257" s="69">
        <f t="shared" si="71"/>
        <v>43</v>
      </c>
      <c r="L2257" s="69">
        <f>VLOOKUP(Table_db1_backend_Daily.accdb[[#This Row],[TradingDate]],canon!B:E,4,0)</f>
        <v>31</v>
      </c>
    </row>
    <row r="2258" spans="1:12" x14ac:dyDescent="0.2">
      <c r="A2258" s="69" t="s">
        <v>43</v>
      </c>
      <c r="B2258" s="70">
        <v>42950</v>
      </c>
      <c r="C2258" s="69">
        <v>0</v>
      </c>
      <c r="D2258" s="69">
        <v>5</v>
      </c>
      <c r="E2258" s="69">
        <v>86.24</v>
      </c>
      <c r="F2258" s="69">
        <v>57.540000000000006</v>
      </c>
      <c r="G2258" s="69" t="s">
        <v>32</v>
      </c>
      <c r="H2258" s="69" t="str">
        <f>IFERROR(VLOOKUP(Data!$G2258,canon!$I$2:$K$27,2,FALSE),"")</f>
        <v>SKIRT</v>
      </c>
      <c r="I2258" s="69" t="str">
        <f>IFERROR(VLOOKUP(Data!$G2258,canon!$I$2:$K$27,3,FALSE),"")</f>
        <v>APPAREL</v>
      </c>
      <c r="J2258" s="69">
        <f t="shared" si="70"/>
        <v>5</v>
      </c>
      <c r="K2258" s="69">
        <f t="shared" si="71"/>
        <v>43</v>
      </c>
      <c r="L2258" s="69">
        <f>VLOOKUP(Table_db1_backend_Daily.accdb[[#This Row],[TradingDate]],canon!B:E,4,0)</f>
        <v>31</v>
      </c>
    </row>
    <row r="2259" spans="1:12" x14ac:dyDescent="0.2">
      <c r="A2259" s="69" t="s">
        <v>43</v>
      </c>
      <c r="B2259" s="70">
        <v>42950</v>
      </c>
      <c r="C2259" s="69">
        <v>650</v>
      </c>
      <c r="D2259" s="69">
        <v>24</v>
      </c>
      <c r="E2259" s="69">
        <v>213.42000000000002</v>
      </c>
      <c r="F2259" s="69">
        <v>96.890000000000015</v>
      </c>
      <c r="G2259" s="69" t="s">
        <v>25</v>
      </c>
      <c r="H2259" s="69" t="str">
        <f>IFERROR(VLOOKUP(Data!$G2259,canon!$I$2:$K$27,2,FALSE),"")</f>
        <v>TOP</v>
      </c>
      <c r="I2259" s="69" t="str">
        <f>IFERROR(VLOOKUP(Data!$G2259,canon!$I$2:$K$27,3,FALSE),"")</f>
        <v>APPAREL</v>
      </c>
      <c r="J2259" s="69">
        <f t="shared" si="70"/>
        <v>5</v>
      </c>
      <c r="K2259" s="69">
        <f t="shared" si="71"/>
        <v>43</v>
      </c>
      <c r="L2259" s="69">
        <f>VLOOKUP(Table_db1_backend_Daily.accdb[[#This Row],[TradingDate]],canon!B:E,4,0)</f>
        <v>31</v>
      </c>
    </row>
    <row r="2260" spans="1:12" x14ac:dyDescent="0.2">
      <c r="A2260" s="69" t="s">
        <v>43</v>
      </c>
      <c r="B2260" s="70">
        <v>42951</v>
      </c>
      <c r="C2260" s="69">
        <v>10</v>
      </c>
      <c r="D2260" s="69">
        <v>0</v>
      </c>
      <c r="E2260" s="69">
        <v>0</v>
      </c>
      <c r="F2260" s="69">
        <v>0</v>
      </c>
      <c r="G2260" s="69" t="s">
        <v>27</v>
      </c>
      <c r="H2260" s="69" t="str">
        <f>IFERROR(VLOOKUP(Data!$G2260,canon!$I$2:$K$27,2,FALSE),"")</f>
        <v>ACCESSORY</v>
      </c>
      <c r="I2260" s="69" t="str">
        <f>IFERROR(VLOOKUP(Data!$G2260,canon!$I$2:$K$27,3,FALSE),"")</f>
        <v>N.APPAREL</v>
      </c>
      <c r="J2260" s="69">
        <f t="shared" si="70"/>
        <v>6</v>
      </c>
      <c r="K2260" s="69">
        <f t="shared" si="71"/>
        <v>43</v>
      </c>
      <c r="L2260" s="69">
        <f>VLOOKUP(Table_db1_backend_Daily.accdb[[#This Row],[TradingDate]],canon!B:E,4,0)</f>
        <v>31</v>
      </c>
    </row>
    <row r="2261" spans="1:12" x14ac:dyDescent="0.2">
      <c r="A2261" s="69" t="s">
        <v>43</v>
      </c>
      <c r="B2261" s="70">
        <v>42951</v>
      </c>
      <c r="C2261" s="69">
        <v>4</v>
      </c>
      <c r="D2261" s="69">
        <v>0</v>
      </c>
      <c r="E2261" s="69">
        <v>0</v>
      </c>
      <c r="F2261" s="69">
        <v>0</v>
      </c>
      <c r="G2261" s="69" t="s">
        <v>34</v>
      </c>
      <c r="H2261" s="69" t="str">
        <f>IFERROR(VLOOKUP(Data!$G2261,canon!$I$2:$K$27,2,FALSE),"")</f>
        <v>SHOES</v>
      </c>
      <c r="I2261" s="69" t="str">
        <f>IFERROR(VLOOKUP(Data!$G2261,canon!$I$2:$K$27,3,FALSE),"")</f>
        <v>N.APPAREL</v>
      </c>
      <c r="J2261" s="69">
        <f t="shared" si="70"/>
        <v>6</v>
      </c>
      <c r="K2261" s="69">
        <f t="shared" si="71"/>
        <v>43</v>
      </c>
      <c r="L2261" s="69">
        <f>VLOOKUP(Table_db1_backend_Daily.accdb[[#This Row],[TradingDate]],canon!B:E,4,0)</f>
        <v>31</v>
      </c>
    </row>
    <row r="2262" spans="1:12" x14ac:dyDescent="0.2">
      <c r="A2262" s="69" t="s">
        <v>43</v>
      </c>
      <c r="B2262" s="70">
        <v>42951</v>
      </c>
      <c r="C2262" s="69">
        <v>601</v>
      </c>
      <c r="D2262" s="69">
        <v>17</v>
      </c>
      <c r="E2262" s="69">
        <v>168.18000000000004</v>
      </c>
      <c r="F2262" s="69">
        <v>26.22</v>
      </c>
      <c r="G2262" s="69" t="s">
        <v>35</v>
      </c>
      <c r="H2262" s="69" t="str">
        <f>IFERROR(VLOOKUP(Data!$G2262,canon!$I$2:$K$27,2,FALSE),"")</f>
        <v>DRESS</v>
      </c>
      <c r="I2262" s="69" t="str">
        <f>IFERROR(VLOOKUP(Data!$G2262,canon!$I$2:$K$27,3,FALSE),"")</f>
        <v>APPAREL</v>
      </c>
      <c r="J2262" s="69">
        <f t="shared" si="70"/>
        <v>6</v>
      </c>
      <c r="K2262" s="69">
        <f t="shared" si="71"/>
        <v>43</v>
      </c>
      <c r="L2262" s="69">
        <f>VLOOKUP(Table_db1_backend_Daily.accdb[[#This Row],[TradingDate]],canon!B:E,4,0)</f>
        <v>31</v>
      </c>
    </row>
    <row r="2263" spans="1:12" x14ac:dyDescent="0.2">
      <c r="A2263" s="69" t="s">
        <v>43</v>
      </c>
      <c r="B2263" s="70">
        <v>42951</v>
      </c>
      <c r="C2263" s="69">
        <v>-11</v>
      </c>
      <c r="D2263" s="69">
        <v>0</v>
      </c>
      <c r="E2263" s="69">
        <v>0</v>
      </c>
      <c r="F2263" s="69">
        <v>0</v>
      </c>
      <c r="G2263" s="69" t="s">
        <v>10</v>
      </c>
      <c r="H2263" s="69" t="str">
        <f>IFERROR(VLOOKUP(Data!$G2263,canon!$I$2:$K$27,2,FALSE),"")</f>
        <v>ACCESSORY</v>
      </c>
      <c r="I2263" s="69" t="str">
        <f>IFERROR(VLOOKUP(Data!$G2263,canon!$I$2:$K$27,3,FALSE),"")</f>
        <v>N.APPAREL</v>
      </c>
      <c r="J2263" s="69">
        <f t="shared" si="70"/>
        <v>6</v>
      </c>
      <c r="K2263" s="69">
        <f t="shared" si="71"/>
        <v>43</v>
      </c>
      <c r="L2263" s="69">
        <f>VLOOKUP(Table_db1_backend_Daily.accdb[[#This Row],[TradingDate]],canon!B:E,4,0)</f>
        <v>31</v>
      </c>
    </row>
    <row r="2264" spans="1:12" x14ac:dyDescent="0.2">
      <c r="A2264" s="69" t="s">
        <v>43</v>
      </c>
      <c r="B2264" s="70">
        <v>42951</v>
      </c>
      <c r="C2264" s="69">
        <v>8</v>
      </c>
      <c r="D2264" s="69">
        <v>0</v>
      </c>
      <c r="E2264" s="69">
        <v>0</v>
      </c>
      <c r="F2264" s="69">
        <v>0</v>
      </c>
      <c r="G2264" s="69" t="s">
        <v>28</v>
      </c>
      <c r="H2264" s="69" t="str">
        <f>IFERROR(VLOOKUP(Data!$G2264,canon!$I$2:$K$27,2,FALSE),"")</f>
        <v>ACCESSORY</v>
      </c>
      <c r="I2264" s="69" t="str">
        <f>IFERROR(VLOOKUP(Data!$G2264,canon!$I$2:$K$27,3,FALSE),"")</f>
        <v>N.APPAREL</v>
      </c>
      <c r="J2264" s="69">
        <f t="shared" si="70"/>
        <v>6</v>
      </c>
      <c r="K2264" s="69">
        <f t="shared" si="71"/>
        <v>43</v>
      </c>
      <c r="L2264" s="69">
        <f>VLOOKUP(Table_db1_backend_Daily.accdb[[#This Row],[TradingDate]],canon!B:E,4,0)</f>
        <v>31</v>
      </c>
    </row>
    <row r="2265" spans="1:12" x14ac:dyDescent="0.2">
      <c r="A2265" s="69" t="s">
        <v>43</v>
      </c>
      <c r="B2265" s="70">
        <v>42951</v>
      </c>
      <c r="C2265" s="69">
        <v>1359</v>
      </c>
      <c r="D2265" s="69">
        <v>100</v>
      </c>
      <c r="E2265" s="69">
        <v>904.4899999999999</v>
      </c>
      <c r="F2265" s="69">
        <v>101.51000000000003</v>
      </c>
      <c r="G2265" s="69" t="s">
        <v>11</v>
      </c>
      <c r="H2265" s="69" t="str">
        <f>IFERROR(VLOOKUP(Data!$G2265,canon!$I$2:$K$27,2,FALSE),"")</f>
        <v>KNIT</v>
      </c>
      <c r="I2265" s="69" t="str">
        <f>IFERROR(VLOOKUP(Data!$G2265,canon!$I$2:$K$27,3,FALSE),"")</f>
        <v>APPAREL</v>
      </c>
      <c r="J2265" s="69">
        <f t="shared" si="70"/>
        <v>6</v>
      </c>
      <c r="K2265" s="69">
        <f t="shared" si="71"/>
        <v>43</v>
      </c>
      <c r="L2265" s="69">
        <f>VLOOKUP(Table_db1_backend_Daily.accdb[[#This Row],[TradingDate]],canon!B:E,4,0)</f>
        <v>31</v>
      </c>
    </row>
    <row r="2266" spans="1:12" x14ac:dyDescent="0.2">
      <c r="A2266" s="69" t="s">
        <v>43</v>
      </c>
      <c r="B2266" s="70">
        <v>42951</v>
      </c>
      <c r="C2266" s="69">
        <v>121</v>
      </c>
      <c r="D2266" s="69">
        <v>2</v>
      </c>
      <c r="E2266" s="69">
        <v>18.18</v>
      </c>
      <c r="F2266" s="69">
        <v>5.36</v>
      </c>
      <c r="G2266" s="69" t="s">
        <v>14</v>
      </c>
      <c r="H2266" s="69" t="str">
        <f>IFERROR(VLOOKUP(Data!$G2266,canon!$I$2:$K$27,2,FALSE),"")</f>
        <v>LEGGING</v>
      </c>
      <c r="I2266" s="69" t="str">
        <f>IFERROR(VLOOKUP(Data!$G2266,canon!$I$2:$K$27,3,FALSE),"")</f>
        <v>APPAREL</v>
      </c>
      <c r="J2266" s="69">
        <f t="shared" si="70"/>
        <v>6</v>
      </c>
      <c r="K2266" s="69">
        <f t="shared" si="71"/>
        <v>43</v>
      </c>
      <c r="L2266" s="69">
        <f>VLOOKUP(Table_db1_backend_Daily.accdb[[#This Row],[TradingDate]],canon!B:E,4,0)</f>
        <v>31</v>
      </c>
    </row>
    <row r="2267" spans="1:12" x14ac:dyDescent="0.2">
      <c r="A2267" s="69" t="s">
        <v>43</v>
      </c>
      <c r="B2267" s="70">
        <v>42951</v>
      </c>
      <c r="C2267" s="69">
        <v>61</v>
      </c>
      <c r="D2267" s="69">
        <v>0</v>
      </c>
      <c r="E2267" s="69">
        <v>0</v>
      </c>
      <c r="F2267" s="69">
        <v>0</v>
      </c>
      <c r="G2267" s="69" t="s">
        <v>37</v>
      </c>
      <c r="H2267" s="69" t="str">
        <f>IFERROR(VLOOKUP(Data!$G2267,canon!$I$2:$K$27,2,FALSE),"")</f>
        <v>SHOES</v>
      </c>
      <c r="I2267" s="69" t="str">
        <f>IFERROR(VLOOKUP(Data!$G2267,canon!$I$2:$K$27,3,FALSE),"")</f>
        <v>N.APPAREL</v>
      </c>
      <c r="J2267" s="69">
        <f t="shared" si="70"/>
        <v>6</v>
      </c>
      <c r="K2267" s="69">
        <f t="shared" si="71"/>
        <v>43</v>
      </c>
      <c r="L2267" s="69">
        <f>VLOOKUP(Table_db1_backend_Daily.accdb[[#This Row],[TradingDate]],canon!B:E,4,0)</f>
        <v>31</v>
      </c>
    </row>
    <row r="2268" spans="1:12" x14ac:dyDescent="0.2">
      <c r="A2268" s="69" t="s">
        <v>43</v>
      </c>
      <c r="B2268" s="70">
        <v>42951</v>
      </c>
      <c r="C2268" s="69">
        <v>61</v>
      </c>
      <c r="D2268" s="69">
        <v>0</v>
      </c>
      <c r="E2268" s="69">
        <v>0</v>
      </c>
      <c r="F2268" s="69">
        <v>0</v>
      </c>
      <c r="G2268" s="69" t="s">
        <v>29</v>
      </c>
      <c r="H2268" s="69" t="str">
        <f>IFERROR(VLOOKUP(Data!$G2268,canon!$I$2:$K$27,2,FALSE),"")</f>
        <v>SHOES</v>
      </c>
      <c r="I2268" s="69" t="str">
        <f>IFERROR(VLOOKUP(Data!$G2268,canon!$I$2:$K$27,3,FALSE),"")</f>
        <v>N.APPAREL</v>
      </c>
      <c r="J2268" s="69">
        <f t="shared" si="70"/>
        <v>6</v>
      </c>
      <c r="K2268" s="69">
        <f t="shared" si="71"/>
        <v>43</v>
      </c>
      <c r="L2268" s="69">
        <f>VLOOKUP(Table_db1_backend_Daily.accdb[[#This Row],[TradingDate]],canon!B:E,4,0)</f>
        <v>31</v>
      </c>
    </row>
    <row r="2269" spans="1:12" x14ac:dyDescent="0.2">
      <c r="A2269" s="69" t="s">
        <v>43</v>
      </c>
      <c r="B2269" s="70">
        <v>42951</v>
      </c>
      <c r="C2269" s="69">
        <v>482</v>
      </c>
      <c r="D2269" s="69">
        <v>23</v>
      </c>
      <c r="E2269" s="69">
        <v>195.44</v>
      </c>
      <c r="F2269" s="69">
        <v>-5.8200000000000021</v>
      </c>
      <c r="G2269" s="69" t="s">
        <v>17</v>
      </c>
      <c r="H2269" s="69" t="str">
        <f>IFERROR(VLOOKUP(Data!$G2269,canon!$I$2:$K$27,2,FALSE),"")</f>
        <v>OUTER</v>
      </c>
      <c r="I2269" s="69" t="str">
        <f>IFERROR(VLOOKUP(Data!$G2269,canon!$I$2:$K$27,3,FALSE),"")</f>
        <v>APPAREL</v>
      </c>
      <c r="J2269" s="69">
        <f t="shared" si="70"/>
        <v>6</v>
      </c>
      <c r="K2269" s="69">
        <f t="shared" si="71"/>
        <v>43</v>
      </c>
      <c r="L2269" s="69">
        <f>VLOOKUP(Table_db1_backend_Daily.accdb[[#This Row],[TradingDate]],canon!B:E,4,0)</f>
        <v>31</v>
      </c>
    </row>
    <row r="2270" spans="1:12" x14ac:dyDescent="0.2">
      <c r="A2270" s="69" t="s">
        <v>43</v>
      </c>
      <c r="B2270" s="70">
        <v>42951</v>
      </c>
      <c r="C2270" s="69">
        <v>188</v>
      </c>
      <c r="D2270" s="69">
        <v>2</v>
      </c>
      <c r="E2270" s="69">
        <v>9.1</v>
      </c>
      <c r="F2270" s="69">
        <v>-1.1200000000000001</v>
      </c>
      <c r="G2270" s="69" t="s">
        <v>19</v>
      </c>
      <c r="H2270" s="69" t="str">
        <f>IFERROR(VLOOKUP(Data!$G2270,canon!$I$2:$K$27,2,FALSE),"")</f>
        <v>PANT</v>
      </c>
      <c r="I2270" s="69" t="str">
        <f>IFERROR(VLOOKUP(Data!$G2270,canon!$I$2:$K$27,3,FALSE),"")</f>
        <v>APPAREL</v>
      </c>
      <c r="J2270" s="69">
        <f t="shared" si="70"/>
        <v>6</v>
      </c>
      <c r="K2270" s="69">
        <f t="shared" si="71"/>
        <v>43</v>
      </c>
      <c r="L2270" s="69">
        <f>VLOOKUP(Table_db1_backend_Daily.accdb[[#This Row],[TradingDate]],canon!B:E,4,0)</f>
        <v>31</v>
      </c>
    </row>
    <row r="2271" spans="1:12" x14ac:dyDescent="0.2">
      <c r="A2271" s="69" t="s">
        <v>43</v>
      </c>
      <c r="B2271" s="70">
        <v>42951</v>
      </c>
      <c r="C2271" s="69">
        <v>64</v>
      </c>
      <c r="D2271" s="69">
        <v>0</v>
      </c>
      <c r="E2271" s="69">
        <v>0</v>
      </c>
      <c r="F2271" s="69">
        <v>0</v>
      </c>
      <c r="G2271" s="69" t="s">
        <v>21</v>
      </c>
      <c r="H2271" s="69" t="str">
        <f>IFERROR(VLOOKUP(Data!$G2271,canon!$I$2:$K$27,2,FALSE),"")</f>
        <v>ACCESSORY</v>
      </c>
      <c r="I2271" s="69" t="str">
        <f>IFERROR(VLOOKUP(Data!$G2271,canon!$I$2:$K$27,3,FALSE),"")</f>
        <v>N.APPAREL</v>
      </c>
      <c r="J2271" s="69">
        <f t="shared" si="70"/>
        <v>6</v>
      </c>
      <c r="K2271" s="69">
        <f t="shared" si="71"/>
        <v>43</v>
      </c>
      <c r="L2271" s="69">
        <f>VLOOKUP(Table_db1_backend_Daily.accdb[[#This Row],[TradingDate]],canon!B:E,4,0)</f>
        <v>31</v>
      </c>
    </row>
    <row r="2272" spans="1:12" x14ac:dyDescent="0.2">
      <c r="A2272" s="69" t="s">
        <v>43</v>
      </c>
      <c r="B2272" s="70">
        <v>42951</v>
      </c>
      <c r="C2272" s="69">
        <v>904</v>
      </c>
      <c r="D2272" s="69">
        <v>7</v>
      </c>
      <c r="E2272" s="69">
        <v>39.880000000000003</v>
      </c>
      <c r="F2272" s="69">
        <v>28.59</v>
      </c>
      <c r="G2272" s="69" t="s">
        <v>22</v>
      </c>
      <c r="H2272" s="69" t="str">
        <f>IFERROR(VLOOKUP(Data!$G2272,canon!$I$2:$K$27,2,FALSE),"")</f>
        <v>SCARF</v>
      </c>
      <c r="I2272" s="69" t="str">
        <f>IFERROR(VLOOKUP(Data!$G2272,canon!$I$2:$K$27,3,FALSE),"")</f>
        <v>N.APPAREL</v>
      </c>
      <c r="J2272" s="69">
        <f t="shared" si="70"/>
        <v>6</v>
      </c>
      <c r="K2272" s="69">
        <f t="shared" si="71"/>
        <v>43</v>
      </c>
      <c r="L2272" s="69">
        <f>VLOOKUP(Table_db1_backend_Daily.accdb[[#This Row],[TradingDate]],canon!B:E,4,0)</f>
        <v>31</v>
      </c>
    </row>
    <row r="2273" spans="1:12" x14ac:dyDescent="0.2">
      <c r="A2273" s="69" t="s">
        <v>43</v>
      </c>
      <c r="B2273" s="70">
        <v>42951</v>
      </c>
      <c r="C2273" s="69">
        <v>146</v>
      </c>
      <c r="D2273" s="69">
        <v>12</v>
      </c>
      <c r="E2273" s="69">
        <v>122.69</v>
      </c>
      <c r="F2273" s="69">
        <v>34.43</v>
      </c>
      <c r="G2273" s="69" t="s">
        <v>23</v>
      </c>
      <c r="H2273" s="69" t="str">
        <f>IFERROR(VLOOKUP(Data!$G2273,canon!$I$2:$K$27,2,FALSE),"")</f>
        <v>SH&amp;BL</v>
      </c>
      <c r="I2273" s="69" t="str">
        <f>IFERROR(VLOOKUP(Data!$G2273,canon!$I$2:$K$27,3,FALSE),"")</f>
        <v>APPAREL</v>
      </c>
      <c r="J2273" s="69">
        <f t="shared" si="70"/>
        <v>6</v>
      </c>
      <c r="K2273" s="69">
        <f t="shared" si="71"/>
        <v>43</v>
      </c>
      <c r="L2273" s="69">
        <f>VLOOKUP(Table_db1_backend_Daily.accdb[[#This Row],[TradingDate]],canon!B:E,4,0)</f>
        <v>31</v>
      </c>
    </row>
    <row r="2274" spans="1:12" x14ac:dyDescent="0.2">
      <c r="A2274" s="69" t="s">
        <v>43</v>
      </c>
      <c r="B2274" s="70">
        <v>42951</v>
      </c>
      <c r="C2274" s="69">
        <v>-5</v>
      </c>
      <c r="D2274" s="69">
        <v>4</v>
      </c>
      <c r="E2274" s="69">
        <v>59.01</v>
      </c>
      <c r="F2274" s="69">
        <v>35.75</v>
      </c>
      <c r="G2274" s="69" t="s">
        <v>32</v>
      </c>
      <c r="H2274" s="69" t="str">
        <f>IFERROR(VLOOKUP(Data!$G2274,canon!$I$2:$K$27,2,FALSE),"")</f>
        <v>SKIRT</v>
      </c>
      <c r="I2274" s="69" t="str">
        <f>IFERROR(VLOOKUP(Data!$G2274,canon!$I$2:$K$27,3,FALSE),"")</f>
        <v>APPAREL</v>
      </c>
      <c r="J2274" s="69">
        <f t="shared" si="70"/>
        <v>6</v>
      </c>
      <c r="K2274" s="69">
        <f t="shared" si="71"/>
        <v>43</v>
      </c>
      <c r="L2274" s="69">
        <f>VLOOKUP(Table_db1_backend_Daily.accdb[[#This Row],[TradingDate]],canon!B:E,4,0)</f>
        <v>31</v>
      </c>
    </row>
    <row r="2275" spans="1:12" x14ac:dyDescent="0.2">
      <c r="A2275" s="69" t="s">
        <v>43</v>
      </c>
      <c r="B2275" s="70">
        <v>42951</v>
      </c>
      <c r="C2275" s="69">
        <v>632</v>
      </c>
      <c r="D2275" s="69">
        <v>18</v>
      </c>
      <c r="E2275" s="69">
        <v>149.87000000000003</v>
      </c>
      <c r="F2275" s="69">
        <v>54.860000000000007</v>
      </c>
      <c r="G2275" s="69" t="s">
        <v>25</v>
      </c>
      <c r="H2275" s="69" t="str">
        <f>IFERROR(VLOOKUP(Data!$G2275,canon!$I$2:$K$27,2,FALSE),"")</f>
        <v>TOP</v>
      </c>
      <c r="I2275" s="69" t="str">
        <f>IFERROR(VLOOKUP(Data!$G2275,canon!$I$2:$K$27,3,FALSE),"")</f>
        <v>APPAREL</v>
      </c>
      <c r="J2275" s="69">
        <f t="shared" si="70"/>
        <v>6</v>
      </c>
      <c r="K2275" s="69">
        <f t="shared" si="71"/>
        <v>43</v>
      </c>
      <c r="L2275" s="69">
        <f>VLOOKUP(Table_db1_backend_Daily.accdb[[#This Row],[TradingDate]],canon!B:E,4,0)</f>
        <v>31</v>
      </c>
    </row>
    <row r="2276" spans="1:12" x14ac:dyDescent="0.2">
      <c r="A2276" s="69" t="s">
        <v>43</v>
      </c>
      <c r="B2276" s="70">
        <v>42952</v>
      </c>
      <c r="C2276" s="69">
        <v>10</v>
      </c>
      <c r="D2276" s="69">
        <v>0</v>
      </c>
      <c r="E2276" s="69">
        <v>0</v>
      </c>
      <c r="F2276" s="69">
        <v>0</v>
      </c>
      <c r="G2276" s="69" t="s">
        <v>27</v>
      </c>
      <c r="H2276" s="69" t="str">
        <f>IFERROR(VLOOKUP(Data!$G2276,canon!$I$2:$K$27,2,FALSE),"")</f>
        <v>ACCESSORY</v>
      </c>
      <c r="I2276" s="69" t="str">
        <f>IFERROR(VLOOKUP(Data!$G2276,canon!$I$2:$K$27,3,FALSE),"")</f>
        <v>N.APPAREL</v>
      </c>
      <c r="J2276" s="69">
        <f t="shared" si="70"/>
        <v>7</v>
      </c>
      <c r="K2276" s="69">
        <f t="shared" si="71"/>
        <v>43</v>
      </c>
      <c r="L2276" s="69">
        <f>VLOOKUP(Table_db1_backend_Daily.accdb[[#This Row],[TradingDate]],canon!B:E,4,0)</f>
        <v>31</v>
      </c>
    </row>
    <row r="2277" spans="1:12" x14ac:dyDescent="0.2">
      <c r="A2277" s="69" t="s">
        <v>43</v>
      </c>
      <c r="B2277" s="70">
        <v>42952</v>
      </c>
      <c r="C2277" s="69">
        <v>4</v>
      </c>
      <c r="D2277" s="69">
        <v>0</v>
      </c>
      <c r="E2277" s="69">
        <v>0</v>
      </c>
      <c r="F2277" s="69">
        <v>0</v>
      </c>
      <c r="G2277" s="69" t="s">
        <v>34</v>
      </c>
      <c r="H2277" s="69" t="str">
        <f>IFERROR(VLOOKUP(Data!$G2277,canon!$I$2:$K$27,2,FALSE),"")</f>
        <v>SHOES</v>
      </c>
      <c r="I2277" s="69" t="str">
        <f>IFERROR(VLOOKUP(Data!$G2277,canon!$I$2:$K$27,3,FALSE),"")</f>
        <v>N.APPAREL</v>
      </c>
      <c r="J2277" s="69">
        <f t="shared" si="70"/>
        <v>7</v>
      </c>
      <c r="K2277" s="69">
        <f t="shared" si="71"/>
        <v>43</v>
      </c>
      <c r="L2277" s="69">
        <f>VLOOKUP(Table_db1_backend_Daily.accdb[[#This Row],[TradingDate]],canon!B:E,4,0)</f>
        <v>31</v>
      </c>
    </row>
    <row r="2278" spans="1:12" x14ac:dyDescent="0.2">
      <c r="A2278" s="69" t="s">
        <v>43</v>
      </c>
      <c r="B2278" s="70">
        <v>42952</v>
      </c>
      <c r="C2278" s="69">
        <v>590</v>
      </c>
      <c r="D2278" s="69">
        <v>11</v>
      </c>
      <c r="E2278" s="69">
        <v>113.62000000000002</v>
      </c>
      <c r="F2278" s="69">
        <v>22.42</v>
      </c>
      <c r="G2278" s="69" t="s">
        <v>35</v>
      </c>
      <c r="H2278" s="69" t="str">
        <f>IFERROR(VLOOKUP(Data!$G2278,canon!$I$2:$K$27,2,FALSE),"")</f>
        <v>DRESS</v>
      </c>
      <c r="I2278" s="69" t="str">
        <f>IFERROR(VLOOKUP(Data!$G2278,canon!$I$2:$K$27,3,FALSE),"")</f>
        <v>APPAREL</v>
      </c>
      <c r="J2278" s="69">
        <f t="shared" si="70"/>
        <v>7</v>
      </c>
      <c r="K2278" s="69">
        <f t="shared" si="71"/>
        <v>43</v>
      </c>
      <c r="L2278" s="69">
        <f>VLOOKUP(Table_db1_backend_Daily.accdb[[#This Row],[TradingDate]],canon!B:E,4,0)</f>
        <v>31</v>
      </c>
    </row>
    <row r="2279" spans="1:12" x14ac:dyDescent="0.2">
      <c r="A2279" s="69" t="s">
        <v>43</v>
      </c>
      <c r="B2279" s="70">
        <v>42952</v>
      </c>
      <c r="C2279" s="69">
        <v>-11</v>
      </c>
      <c r="D2279" s="69">
        <v>0</v>
      </c>
      <c r="E2279" s="69">
        <v>0</v>
      </c>
      <c r="F2279" s="69">
        <v>0</v>
      </c>
      <c r="G2279" s="69" t="s">
        <v>10</v>
      </c>
      <c r="H2279" s="69" t="str">
        <f>IFERROR(VLOOKUP(Data!$G2279,canon!$I$2:$K$27,2,FALSE),"")</f>
        <v>ACCESSORY</v>
      </c>
      <c r="I2279" s="69" t="str">
        <f>IFERROR(VLOOKUP(Data!$G2279,canon!$I$2:$K$27,3,FALSE),"")</f>
        <v>N.APPAREL</v>
      </c>
      <c r="J2279" s="69">
        <f t="shared" si="70"/>
        <v>7</v>
      </c>
      <c r="K2279" s="69">
        <f t="shared" si="71"/>
        <v>43</v>
      </c>
      <c r="L2279" s="69">
        <f>VLOOKUP(Table_db1_backend_Daily.accdb[[#This Row],[TradingDate]],canon!B:E,4,0)</f>
        <v>31</v>
      </c>
    </row>
    <row r="2280" spans="1:12" x14ac:dyDescent="0.2">
      <c r="A2280" s="69" t="s">
        <v>43</v>
      </c>
      <c r="B2280" s="70">
        <v>42952</v>
      </c>
      <c r="C2280" s="69">
        <v>8</v>
      </c>
      <c r="D2280" s="69">
        <v>0</v>
      </c>
      <c r="E2280" s="69">
        <v>0</v>
      </c>
      <c r="F2280" s="69">
        <v>0</v>
      </c>
      <c r="G2280" s="69" t="s">
        <v>28</v>
      </c>
      <c r="H2280" s="69" t="str">
        <f>IFERROR(VLOOKUP(Data!$G2280,canon!$I$2:$K$27,2,FALSE),"")</f>
        <v>ACCESSORY</v>
      </c>
      <c r="I2280" s="69" t="str">
        <f>IFERROR(VLOOKUP(Data!$G2280,canon!$I$2:$K$27,3,FALSE),"")</f>
        <v>N.APPAREL</v>
      </c>
      <c r="J2280" s="69">
        <f t="shared" si="70"/>
        <v>7</v>
      </c>
      <c r="K2280" s="69">
        <f t="shared" si="71"/>
        <v>43</v>
      </c>
      <c r="L2280" s="69">
        <f>VLOOKUP(Table_db1_backend_Daily.accdb[[#This Row],[TradingDate]],canon!B:E,4,0)</f>
        <v>31</v>
      </c>
    </row>
    <row r="2281" spans="1:12" x14ac:dyDescent="0.2">
      <c r="A2281" s="69" t="s">
        <v>43</v>
      </c>
      <c r="B2281" s="70">
        <v>42952</v>
      </c>
      <c r="C2281" s="69">
        <v>1268</v>
      </c>
      <c r="D2281" s="69">
        <v>91</v>
      </c>
      <c r="E2281" s="69">
        <v>840.8000000000003</v>
      </c>
      <c r="F2281" s="69">
        <v>114.13000000000001</v>
      </c>
      <c r="G2281" s="69" t="s">
        <v>11</v>
      </c>
      <c r="H2281" s="69" t="str">
        <f>IFERROR(VLOOKUP(Data!$G2281,canon!$I$2:$K$27,2,FALSE),"")</f>
        <v>KNIT</v>
      </c>
      <c r="I2281" s="69" t="str">
        <f>IFERROR(VLOOKUP(Data!$G2281,canon!$I$2:$K$27,3,FALSE),"")</f>
        <v>APPAREL</v>
      </c>
      <c r="J2281" s="69">
        <f t="shared" si="70"/>
        <v>7</v>
      </c>
      <c r="K2281" s="69">
        <f t="shared" si="71"/>
        <v>43</v>
      </c>
      <c r="L2281" s="69">
        <f>VLOOKUP(Table_db1_backend_Daily.accdb[[#This Row],[TradingDate]],canon!B:E,4,0)</f>
        <v>31</v>
      </c>
    </row>
    <row r="2282" spans="1:12" x14ac:dyDescent="0.2">
      <c r="A2282" s="69" t="s">
        <v>43</v>
      </c>
      <c r="B2282" s="70">
        <v>42952</v>
      </c>
      <c r="C2282" s="69">
        <v>115</v>
      </c>
      <c r="D2282" s="69">
        <v>6</v>
      </c>
      <c r="E2282" s="69">
        <v>99.94</v>
      </c>
      <c r="F2282" s="69">
        <v>59.19</v>
      </c>
      <c r="G2282" s="69" t="s">
        <v>14</v>
      </c>
      <c r="H2282" s="69" t="str">
        <f>IFERROR(VLOOKUP(Data!$G2282,canon!$I$2:$K$27,2,FALSE),"")</f>
        <v>LEGGING</v>
      </c>
      <c r="I2282" s="69" t="str">
        <f>IFERROR(VLOOKUP(Data!$G2282,canon!$I$2:$K$27,3,FALSE),"")</f>
        <v>APPAREL</v>
      </c>
      <c r="J2282" s="69">
        <f t="shared" si="70"/>
        <v>7</v>
      </c>
      <c r="K2282" s="69">
        <f t="shared" si="71"/>
        <v>43</v>
      </c>
      <c r="L2282" s="69">
        <f>VLOOKUP(Table_db1_backend_Daily.accdb[[#This Row],[TradingDate]],canon!B:E,4,0)</f>
        <v>31</v>
      </c>
    </row>
    <row r="2283" spans="1:12" x14ac:dyDescent="0.2">
      <c r="A2283" s="69" t="s">
        <v>43</v>
      </c>
      <c r="B2283" s="70">
        <v>42952</v>
      </c>
      <c r="C2283" s="69">
        <v>61</v>
      </c>
      <c r="D2283" s="69">
        <v>0</v>
      </c>
      <c r="E2283" s="69">
        <v>0</v>
      </c>
      <c r="F2283" s="69">
        <v>0</v>
      </c>
      <c r="G2283" s="69" t="s">
        <v>37</v>
      </c>
      <c r="H2283" s="69" t="str">
        <f>IFERROR(VLOOKUP(Data!$G2283,canon!$I$2:$K$27,2,FALSE),"")</f>
        <v>SHOES</v>
      </c>
      <c r="I2283" s="69" t="str">
        <f>IFERROR(VLOOKUP(Data!$G2283,canon!$I$2:$K$27,3,FALSE),"")</f>
        <v>N.APPAREL</v>
      </c>
      <c r="J2283" s="69">
        <f t="shared" si="70"/>
        <v>7</v>
      </c>
      <c r="K2283" s="69">
        <f t="shared" si="71"/>
        <v>43</v>
      </c>
      <c r="L2283" s="69">
        <f>VLOOKUP(Table_db1_backend_Daily.accdb[[#This Row],[TradingDate]],canon!B:E,4,0)</f>
        <v>31</v>
      </c>
    </row>
    <row r="2284" spans="1:12" x14ac:dyDescent="0.2">
      <c r="A2284" s="69" t="s">
        <v>43</v>
      </c>
      <c r="B2284" s="70">
        <v>42952</v>
      </c>
      <c r="C2284" s="69">
        <v>61</v>
      </c>
      <c r="D2284" s="69">
        <v>0</v>
      </c>
      <c r="E2284" s="69">
        <v>0</v>
      </c>
      <c r="F2284" s="69">
        <v>0</v>
      </c>
      <c r="G2284" s="69" t="s">
        <v>29</v>
      </c>
      <c r="H2284" s="69" t="str">
        <f>IFERROR(VLOOKUP(Data!$G2284,canon!$I$2:$K$27,2,FALSE),"")</f>
        <v>SHOES</v>
      </c>
      <c r="I2284" s="69" t="str">
        <f>IFERROR(VLOOKUP(Data!$G2284,canon!$I$2:$K$27,3,FALSE),"")</f>
        <v>N.APPAREL</v>
      </c>
      <c r="J2284" s="69">
        <f t="shared" si="70"/>
        <v>7</v>
      </c>
      <c r="K2284" s="69">
        <f t="shared" si="71"/>
        <v>43</v>
      </c>
      <c r="L2284" s="69">
        <f>VLOOKUP(Table_db1_backend_Daily.accdb[[#This Row],[TradingDate]],canon!B:E,4,0)</f>
        <v>31</v>
      </c>
    </row>
    <row r="2285" spans="1:12" x14ac:dyDescent="0.2">
      <c r="A2285" s="69" t="s">
        <v>43</v>
      </c>
      <c r="B2285" s="70">
        <v>42952</v>
      </c>
      <c r="C2285" s="69">
        <v>454</v>
      </c>
      <c r="D2285" s="69">
        <v>28</v>
      </c>
      <c r="E2285" s="69">
        <v>245.39</v>
      </c>
      <c r="F2285" s="69">
        <v>1.8599999999999994</v>
      </c>
      <c r="G2285" s="69" t="s">
        <v>17</v>
      </c>
      <c r="H2285" s="69" t="str">
        <f>IFERROR(VLOOKUP(Data!$G2285,canon!$I$2:$K$27,2,FALSE),"")</f>
        <v>OUTER</v>
      </c>
      <c r="I2285" s="69" t="str">
        <f>IFERROR(VLOOKUP(Data!$G2285,canon!$I$2:$K$27,3,FALSE),"")</f>
        <v>APPAREL</v>
      </c>
      <c r="J2285" s="69">
        <f t="shared" si="70"/>
        <v>7</v>
      </c>
      <c r="K2285" s="69">
        <f t="shared" si="71"/>
        <v>43</v>
      </c>
      <c r="L2285" s="69">
        <f>VLOOKUP(Table_db1_backend_Daily.accdb[[#This Row],[TradingDate]],canon!B:E,4,0)</f>
        <v>31</v>
      </c>
    </row>
    <row r="2286" spans="1:12" x14ac:dyDescent="0.2">
      <c r="A2286" s="69" t="s">
        <v>43</v>
      </c>
      <c r="B2286" s="70">
        <v>42952</v>
      </c>
      <c r="C2286" s="69">
        <v>185</v>
      </c>
      <c r="D2286" s="69">
        <v>3</v>
      </c>
      <c r="E2286" s="69">
        <v>36.35</v>
      </c>
      <c r="F2286" s="69">
        <v>15.91</v>
      </c>
      <c r="G2286" s="69" t="s">
        <v>19</v>
      </c>
      <c r="H2286" s="69" t="str">
        <f>IFERROR(VLOOKUP(Data!$G2286,canon!$I$2:$K$27,2,FALSE),"")</f>
        <v>PANT</v>
      </c>
      <c r="I2286" s="69" t="str">
        <f>IFERROR(VLOOKUP(Data!$G2286,canon!$I$2:$K$27,3,FALSE),"")</f>
        <v>APPAREL</v>
      </c>
      <c r="J2286" s="69">
        <f t="shared" si="70"/>
        <v>7</v>
      </c>
      <c r="K2286" s="69">
        <f t="shared" si="71"/>
        <v>43</v>
      </c>
      <c r="L2286" s="69">
        <f>VLOOKUP(Table_db1_backend_Daily.accdb[[#This Row],[TradingDate]],canon!B:E,4,0)</f>
        <v>31</v>
      </c>
    </row>
    <row r="2287" spans="1:12" x14ac:dyDescent="0.2">
      <c r="A2287" s="69" t="s">
        <v>43</v>
      </c>
      <c r="B2287" s="70">
        <v>42952</v>
      </c>
      <c r="C2287" s="69">
        <v>64</v>
      </c>
      <c r="D2287" s="69">
        <v>0</v>
      </c>
      <c r="E2287" s="69">
        <v>0</v>
      </c>
      <c r="F2287" s="69">
        <v>0</v>
      </c>
      <c r="G2287" s="69" t="s">
        <v>21</v>
      </c>
      <c r="H2287" s="69" t="str">
        <f>IFERROR(VLOOKUP(Data!$G2287,canon!$I$2:$K$27,2,FALSE),"")</f>
        <v>ACCESSORY</v>
      </c>
      <c r="I2287" s="69" t="str">
        <f>IFERROR(VLOOKUP(Data!$G2287,canon!$I$2:$K$27,3,FALSE),"")</f>
        <v>N.APPAREL</v>
      </c>
      <c r="J2287" s="69">
        <f t="shared" si="70"/>
        <v>7</v>
      </c>
      <c r="K2287" s="69">
        <f t="shared" si="71"/>
        <v>43</v>
      </c>
      <c r="L2287" s="69">
        <f>VLOOKUP(Table_db1_backend_Daily.accdb[[#This Row],[TradingDate]],canon!B:E,4,0)</f>
        <v>31</v>
      </c>
    </row>
    <row r="2288" spans="1:12" x14ac:dyDescent="0.2">
      <c r="A2288" s="69" t="s">
        <v>43</v>
      </c>
      <c r="B2288" s="70">
        <v>42952</v>
      </c>
      <c r="C2288" s="69">
        <v>902</v>
      </c>
      <c r="D2288" s="69">
        <v>2</v>
      </c>
      <c r="E2288" s="69">
        <v>9.1</v>
      </c>
      <c r="F2288" s="69">
        <v>6.5</v>
      </c>
      <c r="G2288" s="69" t="s">
        <v>22</v>
      </c>
      <c r="H2288" s="69" t="str">
        <f>IFERROR(VLOOKUP(Data!$G2288,canon!$I$2:$K$27,2,FALSE),"")</f>
        <v>SCARF</v>
      </c>
      <c r="I2288" s="69" t="str">
        <f>IFERROR(VLOOKUP(Data!$G2288,canon!$I$2:$K$27,3,FALSE),"")</f>
        <v>N.APPAREL</v>
      </c>
      <c r="J2288" s="69">
        <f t="shared" si="70"/>
        <v>7</v>
      </c>
      <c r="K2288" s="69">
        <f t="shared" si="71"/>
        <v>43</v>
      </c>
      <c r="L2288" s="69">
        <f>VLOOKUP(Table_db1_backend_Daily.accdb[[#This Row],[TradingDate]],canon!B:E,4,0)</f>
        <v>31</v>
      </c>
    </row>
    <row r="2289" spans="1:12" x14ac:dyDescent="0.2">
      <c r="A2289" s="69" t="s">
        <v>43</v>
      </c>
      <c r="B2289" s="70">
        <v>42952</v>
      </c>
      <c r="C2289" s="69">
        <v>128</v>
      </c>
      <c r="D2289" s="69">
        <v>18</v>
      </c>
      <c r="E2289" s="69">
        <v>168.11</v>
      </c>
      <c r="F2289" s="69">
        <v>32.879999999999995</v>
      </c>
      <c r="G2289" s="69" t="s">
        <v>23</v>
      </c>
      <c r="H2289" s="69" t="str">
        <f>IFERROR(VLOOKUP(Data!$G2289,canon!$I$2:$K$27,2,FALSE),"")</f>
        <v>SH&amp;BL</v>
      </c>
      <c r="I2289" s="69" t="str">
        <f>IFERROR(VLOOKUP(Data!$G2289,canon!$I$2:$K$27,3,FALSE),"")</f>
        <v>APPAREL</v>
      </c>
      <c r="J2289" s="69">
        <f t="shared" si="70"/>
        <v>7</v>
      </c>
      <c r="K2289" s="69">
        <f t="shared" si="71"/>
        <v>43</v>
      </c>
      <c r="L2289" s="69">
        <f>VLOOKUP(Table_db1_backend_Daily.accdb[[#This Row],[TradingDate]],canon!B:E,4,0)</f>
        <v>31</v>
      </c>
    </row>
    <row r="2290" spans="1:12" x14ac:dyDescent="0.2">
      <c r="A2290" s="69" t="s">
        <v>43</v>
      </c>
      <c r="B2290" s="70">
        <v>42952</v>
      </c>
      <c r="C2290" s="69">
        <v>-10</v>
      </c>
      <c r="D2290" s="69">
        <v>5</v>
      </c>
      <c r="E2290" s="69">
        <v>72.649999999999991</v>
      </c>
      <c r="F2290" s="69">
        <v>47</v>
      </c>
      <c r="G2290" s="69" t="s">
        <v>32</v>
      </c>
      <c r="H2290" s="69" t="str">
        <f>IFERROR(VLOOKUP(Data!$G2290,canon!$I$2:$K$27,2,FALSE),"")</f>
        <v>SKIRT</v>
      </c>
      <c r="I2290" s="69" t="str">
        <f>IFERROR(VLOOKUP(Data!$G2290,canon!$I$2:$K$27,3,FALSE),"")</f>
        <v>APPAREL</v>
      </c>
      <c r="J2290" s="69">
        <f t="shared" si="70"/>
        <v>7</v>
      </c>
      <c r="K2290" s="69">
        <f t="shared" si="71"/>
        <v>43</v>
      </c>
      <c r="L2290" s="69">
        <f>VLOOKUP(Table_db1_backend_Daily.accdb[[#This Row],[TradingDate]],canon!B:E,4,0)</f>
        <v>31</v>
      </c>
    </row>
    <row r="2291" spans="1:12" x14ac:dyDescent="0.2">
      <c r="A2291" s="69" t="s">
        <v>43</v>
      </c>
      <c r="B2291" s="70">
        <v>42952</v>
      </c>
      <c r="C2291" s="69">
        <v>608</v>
      </c>
      <c r="D2291" s="69">
        <v>24</v>
      </c>
      <c r="E2291" s="69">
        <v>181.83</v>
      </c>
      <c r="F2291" s="69">
        <v>58.77</v>
      </c>
      <c r="G2291" s="69" t="s">
        <v>25</v>
      </c>
      <c r="H2291" s="69" t="str">
        <f>IFERROR(VLOOKUP(Data!$G2291,canon!$I$2:$K$27,2,FALSE),"")</f>
        <v>TOP</v>
      </c>
      <c r="I2291" s="69" t="str">
        <f>IFERROR(VLOOKUP(Data!$G2291,canon!$I$2:$K$27,3,FALSE),"")</f>
        <v>APPAREL</v>
      </c>
      <c r="J2291" s="69">
        <f t="shared" si="70"/>
        <v>7</v>
      </c>
      <c r="K2291" s="69">
        <f t="shared" si="71"/>
        <v>43</v>
      </c>
      <c r="L2291" s="69">
        <f>VLOOKUP(Table_db1_backend_Daily.accdb[[#This Row],[TradingDate]],canon!B:E,4,0)</f>
        <v>31</v>
      </c>
    </row>
    <row r="2292" spans="1:12" x14ac:dyDescent="0.2">
      <c r="A2292" s="69" t="s">
        <v>44</v>
      </c>
      <c r="B2292" s="70">
        <v>42925</v>
      </c>
      <c r="C2292" s="69">
        <v>33</v>
      </c>
      <c r="D2292" s="69">
        <v>0</v>
      </c>
      <c r="E2292" s="69">
        <v>0</v>
      </c>
      <c r="F2292" s="69">
        <v>0</v>
      </c>
      <c r="G2292" s="69" t="s">
        <v>34</v>
      </c>
      <c r="H2292" s="69" t="str">
        <f>IFERROR(VLOOKUP(Data!$G2292,canon!$I$2:$K$27,2,FALSE),"")</f>
        <v>SHOES</v>
      </c>
      <c r="I2292" s="69" t="str">
        <f>IFERROR(VLOOKUP(Data!$G2292,canon!$I$2:$K$27,3,FALSE),"")</f>
        <v>N.APPAREL</v>
      </c>
      <c r="J2292" s="69">
        <f t="shared" si="70"/>
        <v>1</v>
      </c>
      <c r="K2292" s="69">
        <f t="shared" si="71"/>
        <v>44</v>
      </c>
      <c r="L2292" s="69">
        <f>VLOOKUP(Table_db1_backend_Daily.accdb[[#This Row],[TradingDate]],canon!B:E,4,0)</f>
        <v>28</v>
      </c>
    </row>
    <row r="2293" spans="1:12" x14ac:dyDescent="0.2">
      <c r="A2293" s="69" t="s">
        <v>44</v>
      </c>
      <c r="B2293" s="70">
        <v>42925</v>
      </c>
      <c r="C2293" s="69">
        <v>2</v>
      </c>
      <c r="D2293" s="69">
        <v>0</v>
      </c>
      <c r="E2293" s="69">
        <v>0</v>
      </c>
      <c r="F2293" s="69">
        <v>0</v>
      </c>
      <c r="G2293" s="69" t="s">
        <v>38</v>
      </c>
      <c r="H2293" s="69" t="str">
        <f>IFERROR(VLOOKUP(Data!$G2293,canon!$I$2:$K$27,2,FALSE),"")</f>
        <v>SHOES</v>
      </c>
      <c r="I2293" s="69" t="str">
        <f>IFERROR(VLOOKUP(Data!$G2293,canon!$I$2:$K$27,3,FALSE),"")</f>
        <v>N.APPAREL</v>
      </c>
      <c r="J2293" s="69">
        <f t="shared" si="70"/>
        <v>1</v>
      </c>
      <c r="K2293" s="69">
        <f t="shared" si="71"/>
        <v>44</v>
      </c>
      <c r="L2293" s="69">
        <f>VLOOKUP(Table_db1_backend_Daily.accdb[[#This Row],[TradingDate]],canon!B:E,4,0)</f>
        <v>28</v>
      </c>
    </row>
    <row r="2294" spans="1:12" x14ac:dyDescent="0.2">
      <c r="A2294" s="69" t="s">
        <v>44</v>
      </c>
      <c r="B2294" s="70">
        <v>42925</v>
      </c>
      <c r="C2294" s="69">
        <v>566</v>
      </c>
      <c r="D2294" s="69">
        <v>2</v>
      </c>
      <c r="E2294" s="69">
        <v>81.73</v>
      </c>
      <c r="F2294" s="69">
        <v>64.33</v>
      </c>
      <c r="G2294" s="69" t="s">
        <v>35</v>
      </c>
      <c r="H2294" s="69" t="str">
        <f>IFERROR(VLOOKUP(Data!$G2294,canon!$I$2:$K$27,2,FALSE),"")</f>
        <v>DRESS</v>
      </c>
      <c r="I2294" s="69" t="str">
        <f>IFERROR(VLOOKUP(Data!$G2294,canon!$I$2:$K$27,3,FALSE),"")</f>
        <v>APPAREL</v>
      </c>
      <c r="J2294" s="69">
        <f t="shared" si="70"/>
        <v>1</v>
      </c>
      <c r="K2294" s="69">
        <f t="shared" si="71"/>
        <v>44</v>
      </c>
      <c r="L2294" s="69">
        <f>VLOOKUP(Table_db1_backend_Daily.accdb[[#This Row],[TradingDate]],canon!B:E,4,0)</f>
        <v>28</v>
      </c>
    </row>
    <row r="2295" spans="1:12" x14ac:dyDescent="0.2">
      <c r="A2295" s="69" t="s">
        <v>44</v>
      </c>
      <c r="B2295" s="70">
        <v>42925</v>
      </c>
      <c r="C2295" s="69">
        <v>34</v>
      </c>
      <c r="D2295" s="69">
        <v>0</v>
      </c>
      <c r="E2295" s="69">
        <v>0</v>
      </c>
      <c r="F2295" s="69">
        <v>0</v>
      </c>
      <c r="G2295" s="69" t="s">
        <v>10</v>
      </c>
      <c r="H2295" s="69" t="str">
        <f>IFERROR(VLOOKUP(Data!$G2295,canon!$I$2:$K$27,2,FALSE),"")</f>
        <v>ACCESSORY</v>
      </c>
      <c r="I2295" s="69" t="str">
        <f>IFERROR(VLOOKUP(Data!$G2295,canon!$I$2:$K$27,3,FALSE),"")</f>
        <v>N.APPAREL</v>
      </c>
      <c r="J2295" s="69">
        <f t="shared" si="70"/>
        <v>1</v>
      </c>
      <c r="K2295" s="69">
        <f t="shared" si="71"/>
        <v>44</v>
      </c>
      <c r="L2295" s="69">
        <f>VLOOKUP(Table_db1_backend_Daily.accdb[[#This Row],[TradingDate]],canon!B:E,4,0)</f>
        <v>28</v>
      </c>
    </row>
    <row r="2296" spans="1:12" x14ac:dyDescent="0.2">
      <c r="A2296" s="69" t="s">
        <v>44</v>
      </c>
      <c r="B2296" s="70">
        <v>42925</v>
      </c>
      <c r="C2296" s="69">
        <v>2</v>
      </c>
      <c r="D2296" s="69">
        <v>0</v>
      </c>
      <c r="E2296" s="69">
        <v>0</v>
      </c>
      <c r="F2296" s="69">
        <v>0</v>
      </c>
      <c r="G2296" s="69" t="s">
        <v>28</v>
      </c>
      <c r="H2296" s="69" t="str">
        <f>IFERROR(VLOOKUP(Data!$G2296,canon!$I$2:$K$27,2,FALSE),"")</f>
        <v>ACCESSORY</v>
      </c>
      <c r="I2296" s="69" t="str">
        <f>IFERROR(VLOOKUP(Data!$G2296,canon!$I$2:$K$27,3,FALSE),"")</f>
        <v>N.APPAREL</v>
      </c>
      <c r="J2296" s="69">
        <f t="shared" si="70"/>
        <v>1</v>
      </c>
      <c r="K2296" s="69">
        <f t="shared" si="71"/>
        <v>44</v>
      </c>
      <c r="L2296" s="69">
        <f>VLOOKUP(Table_db1_backend_Daily.accdb[[#This Row],[TradingDate]],canon!B:E,4,0)</f>
        <v>28</v>
      </c>
    </row>
    <row r="2297" spans="1:12" x14ac:dyDescent="0.2">
      <c r="A2297" s="69" t="s">
        <v>44</v>
      </c>
      <c r="B2297" s="70">
        <v>42925</v>
      </c>
      <c r="C2297" s="69">
        <v>1927</v>
      </c>
      <c r="D2297" s="69">
        <v>12</v>
      </c>
      <c r="E2297" s="69">
        <v>154.4</v>
      </c>
      <c r="F2297" s="69">
        <v>63.599999999999994</v>
      </c>
      <c r="G2297" s="69" t="s">
        <v>11</v>
      </c>
      <c r="H2297" s="69" t="str">
        <f>IFERROR(VLOOKUP(Data!$G2297,canon!$I$2:$K$27,2,FALSE),"")</f>
        <v>KNIT</v>
      </c>
      <c r="I2297" s="69" t="str">
        <f>IFERROR(VLOOKUP(Data!$G2297,canon!$I$2:$K$27,3,FALSE),"")</f>
        <v>APPAREL</v>
      </c>
      <c r="J2297" s="69">
        <f t="shared" si="70"/>
        <v>1</v>
      </c>
      <c r="K2297" s="69">
        <f t="shared" si="71"/>
        <v>44</v>
      </c>
      <c r="L2297" s="69">
        <f>VLOOKUP(Table_db1_backend_Daily.accdb[[#This Row],[TradingDate]],canon!B:E,4,0)</f>
        <v>28</v>
      </c>
    </row>
    <row r="2298" spans="1:12" x14ac:dyDescent="0.2">
      <c r="A2298" s="69" t="s">
        <v>44</v>
      </c>
      <c r="B2298" s="70">
        <v>42925</v>
      </c>
      <c r="C2298" s="69">
        <v>493</v>
      </c>
      <c r="D2298" s="69">
        <v>0</v>
      </c>
      <c r="E2298" s="69">
        <v>0</v>
      </c>
      <c r="F2298" s="69">
        <v>0</v>
      </c>
      <c r="G2298" s="69" t="s">
        <v>14</v>
      </c>
      <c r="H2298" s="69" t="str">
        <f>IFERROR(VLOOKUP(Data!$G2298,canon!$I$2:$K$27,2,FALSE),"")</f>
        <v>LEGGING</v>
      </c>
      <c r="I2298" s="69" t="str">
        <f>IFERROR(VLOOKUP(Data!$G2298,canon!$I$2:$K$27,3,FALSE),"")</f>
        <v>APPAREL</v>
      </c>
      <c r="J2298" s="69">
        <f t="shared" si="70"/>
        <v>1</v>
      </c>
      <c r="K2298" s="69">
        <f t="shared" si="71"/>
        <v>44</v>
      </c>
      <c r="L2298" s="69">
        <f>VLOOKUP(Table_db1_backend_Daily.accdb[[#This Row],[TradingDate]],canon!B:E,4,0)</f>
        <v>28</v>
      </c>
    </row>
    <row r="2299" spans="1:12" x14ac:dyDescent="0.2">
      <c r="A2299" s="69" t="s">
        <v>44</v>
      </c>
      <c r="B2299" s="70">
        <v>42925</v>
      </c>
      <c r="C2299" s="69">
        <v>23</v>
      </c>
      <c r="D2299" s="69">
        <v>0</v>
      </c>
      <c r="E2299" s="69">
        <v>0</v>
      </c>
      <c r="F2299" s="69">
        <v>0</v>
      </c>
      <c r="G2299" s="69" t="s">
        <v>37</v>
      </c>
      <c r="H2299" s="69" t="str">
        <f>IFERROR(VLOOKUP(Data!$G2299,canon!$I$2:$K$27,2,FALSE),"")</f>
        <v>SHOES</v>
      </c>
      <c r="I2299" s="69" t="str">
        <f>IFERROR(VLOOKUP(Data!$G2299,canon!$I$2:$K$27,3,FALSE),"")</f>
        <v>N.APPAREL</v>
      </c>
      <c r="J2299" s="69">
        <f t="shared" si="70"/>
        <v>1</v>
      </c>
      <c r="K2299" s="69">
        <f t="shared" si="71"/>
        <v>44</v>
      </c>
      <c r="L2299" s="69">
        <f>VLOOKUP(Table_db1_backend_Daily.accdb[[#This Row],[TradingDate]],canon!B:E,4,0)</f>
        <v>28</v>
      </c>
    </row>
    <row r="2300" spans="1:12" x14ac:dyDescent="0.2">
      <c r="A2300" s="69" t="s">
        <v>44</v>
      </c>
      <c r="B2300" s="70">
        <v>42925</v>
      </c>
      <c r="C2300" s="69">
        <v>65</v>
      </c>
      <c r="D2300" s="69">
        <v>0</v>
      </c>
      <c r="E2300" s="69">
        <v>0</v>
      </c>
      <c r="F2300" s="69">
        <v>0</v>
      </c>
      <c r="G2300" s="69" t="s">
        <v>29</v>
      </c>
      <c r="H2300" s="69" t="str">
        <f>IFERROR(VLOOKUP(Data!$G2300,canon!$I$2:$K$27,2,FALSE),"")</f>
        <v>SHOES</v>
      </c>
      <c r="I2300" s="69" t="str">
        <f>IFERROR(VLOOKUP(Data!$G2300,canon!$I$2:$K$27,3,FALSE),"")</f>
        <v>N.APPAREL</v>
      </c>
      <c r="J2300" s="69">
        <f t="shared" si="70"/>
        <v>1</v>
      </c>
      <c r="K2300" s="69">
        <f t="shared" si="71"/>
        <v>44</v>
      </c>
      <c r="L2300" s="69">
        <f>VLOOKUP(Table_db1_backend_Daily.accdb[[#This Row],[TradingDate]],canon!B:E,4,0)</f>
        <v>28</v>
      </c>
    </row>
    <row r="2301" spans="1:12" x14ac:dyDescent="0.2">
      <c r="A2301" s="69" t="s">
        <v>44</v>
      </c>
      <c r="B2301" s="70">
        <v>42925</v>
      </c>
      <c r="C2301" s="69">
        <v>754</v>
      </c>
      <c r="D2301" s="69">
        <v>7</v>
      </c>
      <c r="E2301" s="69">
        <v>118.13000000000001</v>
      </c>
      <c r="F2301" s="69">
        <v>54.8</v>
      </c>
      <c r="G2301" s="69" t="s">
        <v>17</v>
      </c>
      <c r="H2301" s="69" t="str">
        <f>IFERROR(VLOOKUP(Data!$G2301,canon!$I$2:$K$27,2,FALSE),"")</f>
        <v>OUTER</v>
      </c>
      <c r="I2301" s="69" t="str">
        <f>IFERROR(VLOOKUP(Data!$G2301,canon!$I$2:$K$27,3,FALSE),"")</f>
        <v>APPAREL</v>
      </c>
      <c r="J2301" s="69">
        <f t="shared" si="70"/>
        <v>1</v>
      </c>
      <c r="K2301" s="69">
        <f t="shared" si="71"/>
        <v>44</v>
      </c>
      <c r="L2301" s="69">
        <f>VLOOKUP(Table_db1_backend_Daily.accdb[[#This Row],[TradingDate]],canon!B:E,4,0)</f>
        <v>28</v>
      </c>
    </row>
    <row r="2302" spans="1:12" x14ac:dyDescent="0.2">
      <c r="A2302" s="69" t="s">
        <v>44</v>
      </c>
      <c r="B2302" s="70">
        <v>42925</v>
      </c>
      <c r="C2302" s="69">
        <v>384</v>
      </c>
      <c r="D2302" s="69">
        <v>1</v>
      </c>
      <c r="E2302" s="69">
        <v>9.09</v>
      </c>
      <c r="F2302" s="69">
        <v>3.11</v>
      </c>
      <c r="G2302" s="69" t="s">
        <v>19</v>
      </c>
      <c r="H2302" s="69" t="str">
        <f>IFERROR(VLOOKUP(Data!$G2302,canon!$I$2:$K$27,2,FALSE),"")</f>
        <v>PANT</v>
      </c>
      <c r="I2302" s="69" t="str">
        <f>IFERROR(VLOOKUP(Data!$G2302,canon!$I$2:$K$27,3,FALSE),"")</f>
        <v>APPAREL</v>
      </c>
      <c r="J2302" s="69">
        <f t="shared" si="70"/>
        <v>1</v>
      </c>
      <c r="K2302" s="69">
        <f t="shared" si="71"/>
        <v>44</v>
      </c>
      <c r="L2302" s="69">
        <f>VLOOKUP(Table_db1_backend_Daily.accdb[[#This Row],[TradingDate]],canon!B:E,4,0)</f>
        <v>28</v>
      </c>
    </row>
    <row r="2303" spans="1:12" x14ac:dyDescent="0.2">
      <c r="A2303" s="69" t="s">
        <v>44</v>
      </c>
      <c r="B2303" s="70">
        <v>42925</v>
      </c>
      <c r="C2303" s="69">
        <v>78</v>
      </c>
      <c r="D2303" s="69">
        <v>0</v>
      </c>
      <c r="E2303" s="69">
        <v>0</v>
      </c>
      <c r="F2303" s="69">
        <v>0</v>
      </c>
      <c r="G2303" s="69" t="s">
        <v>21</v>
      </c>
      <c r="H2303" s="69" t="str">
        <f>IFERROR(VLOOKUP(Data!$G2303,canon!$I$2:$K$27,2,FALSE),"")</f>
        <v>ACCESSORY</v>
      </c>
      <c r="I2303" s="69" t="str">
        <f>IFERROR(VLOOKUP(Data!$G2303,canon!$I$2:$K$27,3,FALSE),"")</f>
        <v>N.APPAREL</v>
      </c>
      <c r="J2303" s="69">
        <f t="shared" si="70"/>
        <v>1</v>
      </c>
      <c r="K2303" s="69">
        <f t="shared" si="71"/>
        <v>44</v>
      </c>
      <c r="L2303" s="69">
        <f>VLOOKUP(Table_db1_backend_Daily.accdb[[#This Row],[TradingDate]],canon!B:E,4,0)</f>
        <v>28</v>
      </c>
    </row>
    <row r="2304" spans="1:12" x14ac:dyDescent="0.2">
      <c r="A2304" s="69" t="s">
        <v>44</v>
      </c>
      <c r="B2304" s="70">
        <v>42925</v>
      </c>
      <c r="C2304" s="69">
        <v>1215</v>
      </c>
      <c r="D2304" s="69">
        <v>4</v>
      </c>
      <c r="E2304" s="69">
        <v>28.92</v>
      </c>
      <c r="F2304" s="69">
        <v>21.54</v>
      </c>
      <c r="G2304" s="69" t="s">
        <v>22</v>
      </c>
      <c r="H2304" s="69" t="str">
        <f>IFERROR(VLOOKUP(Data!$G2304,canon!$I$2:$K$27,2,FALSE),"")</f>
        <v>SCARF</v>
      </c>
      <c r="I2304" s="69" t="str">
        <f>IFERROR(VLOOKUP(Data!$G2304,canon!$I$2:$K$27,3,FALSE),"")</f>
        <v>N.APPAREL</v>
      </c>
      <c r="J2304" s="69">
        <f t="shared" si="70"/>
        <v>1</v>
      </c>
      <c r="K2304" s="69">
        <f t="shared" si="71"/>
        <v>44</v>
      </c>
      <c r="L2304" s="69">
        <f>VLOOKUP(Table_db1_backend_Daily.accdb[[#This Row],[TradingDate]],canon!B:E,4,0)</f>
        <v>28</v>
      </c>
    </row>
    <row r="2305" spans="1:12" x14ac:dyDescent="0.2">
      <c r="A2305" s="69" t="s">
        <v>44</v>
      </c>
      <c r="B2305" s="70">
        <v>42925</v>
      </c>
      <c r="C2305" s="69">
        <v>155</v>
      </c>
      <c r="D2305" s="69">
        <v>0</v>
      </c>
      <c r="E2305" s="69">
        <v>0</v>
      </c>
      <c r="F2305" s="69">
        <v>0</v>
      </c>
      <c r="G2305" s="69" t="s">
        <v>23</v>
      </c>
      <c r="H2305" s="69" t="str">
        <f>IFERROR(VLOOKUP(Data!$G2305,canon!$I$2:$K$27,2,FALSE),"")</f>
        <v>SH&amp;BL</v>
      </c>
      <c r="I2305" s="69" t="str">
        <f>IFERROR(VLOOKUP(Data!$G2305,canon!$I$2:$K$27,3,FALSE),"")</f>
        <v>APPAREL</v>
      </c>
      <c r="J2305" s="69">
        <f t="shared" si="70"/>
        <v>1</v>
      </c>
      <c r="K2305" s="69">
        <f t="shared" si="71"/>
        <v>44</v>
      </c>
      <c r="L2305" s="69">
        <f>VLOOKUP(Table_db1_backend_Daily.accdb[[#This Row],[TradingDate]],canon!B:E,4,0)</f>
        <v>28</v>
      </c>
    </row>
    <row r="2306" spans="1:12" x14ac:dyDescent="0.2">
      <c r="A2306" s="69" t="s">
        <v>44</v>
      </c>
      <c r="B2306" s="70">
        <v>42925</v>
      </c>
      <c r="C2306" s="69">
        <v>494</v>
      </c>
      <c r="D2306" s="69">
        <v>-2</v>
      </c>
      <c r="E2306" s="69">
        <v>-22.73</v>
      </c>
      <c r="F2306" s="69">
        <v>-12.51</v>
      </c>
      <c r="G2306" s="69" t="s">
        <v>32</v>
      </c>
      <c r="H2306" s="69" t="str">
        <f>IFERROR(VLOOKUP(Data!$G2306,canon!$I$2:$K$27,2,FALSE),"")</f>
        <v>SKIRT</v>
      </c>
      <c r="I2306" s="69" t="str">
        <f>IFERROR(VLOOKUP(Data!$G2306,canon!$I$2:$K$27,3,FALSE),"")</f>
        <v>APPAREL</v>
      </c>
      <c r="J2306" s="69">
        <f t="shared" ref="J2306:J2369" si="72">WEEKDAY(B2306)</f>
        <v>1</v>
      </c>
      <c r="K2306" s="69">
        <f t="shared" ref="K2306:K2369" si="73">INT(A2306)</f>
        <v>44</v>
      </c>
      <c r="L2306" s="69">
        <f>VLOOKUP(Table_db1_backend_Daily.accdb[[#This Row],[TradingDate]],canon!B:E,4,0)</f>
        <v>28</v>
      </c>
    </row>
    <row r="2307" spans="1:12" x14ac:dyDescent="0.2">
      <c r="A2307" s="69" t="s">
        <v>44</v>
      </c>
      <c r="B2307" s="70">
        <v>42925</v>
      </c>
      <c r="C2307" s="69">
        <v>1591</v>
      </c>
      <c r="D2307" s="69">
        <v>7</v>
      </c>
      <c r="E2307" s="69">
        <v>36.36</v>
      </c>
      <c r="F2307" s="69">
        <v>5.79</v>
      </c>
      <c r="G2307" s="69" t="s">
        <v>25</v>
      </c>
      <c r="H2307" s="69" t="str">
        <f>IFERROR(VLOOKUP(Data!$G2307,canon!$I$2:$K$27,2,FALSE),"")</f>
        <v>TOP</v>
      </c>
      <c r="I2307" s="69" t="str">
        <f>IFERROR(VLOOKUP(Data!$G2307,canon!$I$2:$K$27,3,FALSE),"")</f>
        <v>APPAREL</v>
      </c>
      <c r="J2307" s="69">
        <f t="shared" si="72"/>
        <v>1</v>
      </c>
      <c r="K2307" s="69">
        <f t="shared" si="73"/>
        <v>44</v>
      </c>
      <c r="L2307" s="69">
        <f>VLOOKUP(Table_db1_backend_Daily.accdb[[#This Row],[TradingDate]],canon!B:E,4,0)</f>
        <v>28</v>
      </c>
    </row>
    <row r="2308" spans="1:12" x14ac:dyDescent="0.2">
      <c r="A2308" s="69" t="s">
        <v>44</v>
      </c>
      <c r="B2308" s="70">
        <v>42926</v>
      </c>
      <c r="C2308" s="69">
        <v>33</v>
      </c>
      <c r="D2308" s="69">
        <v>0</v>
      </c>
      <c r="E2308" s="69">
        <v>0</v>
      </c>
      <c r="F2308" s="69">
        <v>0</v>
      </c>
      <c r="G2308" s="69" t="s">
        <v>34</v>
      </c>
      <c r="H2308" s="69" t="str">
        <f>IFERROR(VLOOKUP(Data!$G2308,canon!$I$2:$K$27,2,FALSE),"")</f>
        <v>SHOES</v>
      </c>
      <c r="I2308" s="69" t="str">
        <f>IFERROR(VLOOKUP(Data!$G2308,canon!$I$2:$K$27,3,FALSE),"")</f>
        <v>N.APPAREL</v>
      </c>
      <c r="J2308" s="69">
        <f t="shared" si="72"/>
        <v>2</v>
      </c>
      <c r="K2308" s="69">
        <f t="shared" si="73"/>
        <v>44</v>
      </c>
      <c r="L2308" s="69">
        <f>VLOOKUP(Table_db1_backend_Daily.accdb[[#This Row],[TradingDate]],canon!B:E,4,0)</f>
        <v>28</v>
      </c>
    </row>
    <row r="2309" spans="1:12" x14ac:dyDescent="0.2">
      <c r="A2309" s="69" t="s">
        <v>44</v>
      </c>
      <c r="B2309" s="70">
        <v>42926</v>
      </c>
      <c r="C2309" s="69">
        <v>2</v>
      </c>
      <c r="D2309" s="69">
        <v>0</v>
      </c>
      <c r="E2309" s="69">
        <v>0</v>
      </c>
      <c r="F2309" s="69">
        <v>0</v>
      </c>
      <c r="G2309" s="69" t="s">
        <v>38</v>
      </c>
      <c r="H2309" s="69" t="str">
        <f>IFERROR(VLOOKUP(Data!$G2309,canon!$I$2:$K$27,2,FALSE),"")</f>
        <v>SHOES</v>
      </c>
      <c r="I2309" s="69" t="str">
        <f>IFERROR(VLOOKUP(Data!$G2309,canon!$I$2:$K$27,3,FALSE),"")</f>
        <v>N.APPAREL</v>
      </c>
      <c r="J2309" s="69">
        <f t="shared" si="72"/>
        <v>2</v>
      </c>
      <c r="K2309" s="69">
        <f t="shared" si="73"/>
        <v>44</v>
      </c>
      <c r="L2309" s="69">
        <f>VLOOKUP(Table_db1_backend_Daily.accdb[[#This Row],[TradingDate]],canon!B:E,4,0)</f>
        <v>28</v>
      </c>
    </row>
    <row r="2310" spans="1:12" x14ac:dyDescent="0.2">
      <c r="A2310" s="69" t="s">
        <v>44</v>
      </c>
      <c r="B2310" s="70">
        <v>42926</v>
      </c>
      <c r="C2310" s="69">
        <v>563</v>
      </c>
      <c r="D2310" s="69">
        <v>3</v>
      </c>
      <c r="E2310" s="69">
        <v>79.509999999999991</v>
      </c>
      <c r="F2310" s="69">
        <v>54.07</v>
      </c>
      <c r="G2310" s="69" t="s">
        <v>35</v>
      </c>
      <c r="H2310" s="69" t="str">
        <f>IFERROR(VLOOKUP(Data!$G2310,canon!$I$2:$K$27,2,FALSE),"")</f>
        <v>DRESS</v>
      </c>
      <c r="I2310" s="69" t="str">
        <f>IFERROR(VLOOKUP(Data!$G2310,canon!$I$2:$K$27,3,FALSE),"")</f>
        <v>APPAREL</v>
      </c>
      <c r="J2310" s="69">
        <f t="shared" si="72"/>
        <v>2</v>
      </c>
      <c r="K2310" s="69">
        <f t="shared" si="73"/>
        <v>44</v>
      </c>
      <c r="L2310" s="69">
        <f>VLOOKUP(Table_db1_backend_Daily.accdb[[#This Row],[TradingDate]],canon!B:E,4,0)</f>
        <v>28</v>
      </c>
    </row>
    <row r="2311" spans="1:12" x14ac:dyDescent="0.2">
      <c r="A2311" s="69" t="s">
        <v>44</v>
      </c>
      <c r="B2311" s="70">
        <v>42926</v>
      </c>
      <c r="C2311" s="69">
        <v>34</v>
      </c>
      <c r="D2311" s="69">
        <v>0</v>
      </c>
      <c r="E2311" s="69">
        <v>0</v>
      </c>
      <c r="F2311" s="69">
        <v>0</v>
      </c>
      <c r="G2311" s="69" t="s">
        <v>10</v>
      </c>
      <c r="H2311" s="69" t="str">
        <f>IFERROR(VLOOKUP(Data!$G2311,canon!$I$2:$K$27,2,FALSE),"")</f>
        <v>ACCESSORY</v>
      </c>
      <c r="I2311" s="69" t="str">
        <f>IFERROR(VLOOKUP(Data!$G2311,canon!$I$2:$K$27,3,FALSE),"")</f>
        <v>N.APPAREL</v>
      </c>
      <c r="J2311" s="69">
        <f t="shared" si="72"/>
        <v>2</v>
      </c>
      <c r="K2311" s="69">
        <f t="shared" si="73"/>
        <v>44</v>
      </c>
      <c r="L2311" s="69">
        <f>VLOOKUP(Table_db1_backend_Daily.accdb[[#This Row],[TradingDate]],canon!B:E,4,0)</f>
        <v>28</v>
      </c>
    </row>
    <row r="2312" spans="1:12" x14ac:dyDescent="0.2">
      <c r="A2312" s="69" t="s">
        <v>44</v>
      </c>
      <c r="B2312" s="70">
        <v>42926</v>
      </c>
      <c r="C2312" s="69">
        <v>2</v>
      </c>
      <c r="D2312" s="69">
        <v>0</v>
      </c>
      <c r="E2312" s="69">
        <v>0</v>
      </c>
      <c r="F2312" s="69">
        <v>0</v>
      </c>
      <c r="G2312" s="69" t="s">
        <v>28</v>
      </c>
      <c r="H2312" s="69" t="str">
        <f>IFERROR(VLOOKUP(Data!$G2312,canon!$I$2:$K$27,2,FALSE),"")</f>
        <v>ACCESSORY</v>
      </c>
      <c r="I2312" s="69" t="str">
        <f>IFERROR(VLOOKUP(Data!$G2312,canon!$I$2:$K$27,3,FALSE),"")</f>
        <v>N.APPAREL</v>
      </c>
      <c r="J2312" s="69">
        <f t="shared" si="72"/>
        <v>2</v>
      </c>
      <c r="K2312" s="69">
        <f t="shared" si="73"/>
        <v>44</v>
      </c>
      <c r="L2312" s="69">
        <f>VLOOKUP(Table_db1_backend_Daily.accdb[[#This Row],[TradingDate]],canon!B:E,4,0)</f>
        <v>28</v>
      </c>
    </row>
    <row r="2313" spans="1:12" x14ac:dyDescent="0.2">
      <c r="A2313" s="69" t="s">
        <v>44</v>
      </c>
      <c r="B2313" s="70">
        <v>42926</v>
      </c>
      <c r="C2313" s="69">
        <v>2135</v>
      </c>
      <c r="D2313" s="69">
        <v>16</v>
      </c>
      <c r="E2313" s="69">
        <v>215.77999999999997</v>
      </c>
      <c r="F2313" s="69">
        <v>94.9</v>
      </c>
      <c r="G2313" s="69" t="s">
        <v>11</v>
      </c>
      <c r="H2313" s="69" t="str">
        <f>IFERROR(VLOOKUP(Data!$G2313,canon!$I$2:$K$27,2,FALSE),"")</f>
        <v>KNIT</v>
      </c>
      <c r="I2313" s="69" t="str">
        <f>IFERROR(VLOOKUP(Data!$G2313,canon!$I$2:$K$27,3,FALSE),"")</f>
        <v>APPAREL</v>
      </c>
      <c r="J2313" s="69">
        <f t="shared" si="72"/>
        <v>2</v>
      </c>
      <c r="K2313" s="69">
        <f t="shared" si="73"/>
        <v>44</v>
      </c>
      <c r="L2313" s="69">
        <f>VLOOKUP(Table_db1_backend_Daily.accdb[[#This Row],[TradingDate]],canon!B:E,4,0)</f>
        <v>28</v>
      </c>
    </row>
    <row r="2314" spans="1:12" x14ac:dyDescent="0.2">
      <c r="A2314" s="69" t="s">
        <v>44</v>
      </c>
      <c r="B2314" s="70">
        <v>42926</v>
      </c>
      <c r="C2314" s="69">
        <v>491</v>
      </c>
      <c r="D2314" s="69">
        <v>2</v>
      </c>
      <c r="E2314" s="69">
        <v>18.18</v>
      </c>
      <c r="F2314" s="69">
        <v>5.25</v>
      </c>
      <c r="G2314" s="69" t="s">
        <v>14</v>
      </c>
      <c r="H2314" s="69" t="str">
        <f>IFERROR(VLOOKUP(Data!$G2314,canon!$I$2:$K$27,2,FALSE),"")</f>
        <v>LEGGING</v>
      </c>
      <c r="I2314" s="69" t="str">
        <f>IFERROR(VLOOKUP(Data!$G2314,canon!$I$2:$K$27,3,FALSE),"")</f>
        <v>APPAREL</v>
      </c>
      <c r="J2314" s="69">
        <f t="shared" si="72"/>
        <v>2</v>
      </c>
      <c r="K2314" s="69">
        <f t="shared" si="73"/>
        <v>44</v>
      </c>
      <c r="L2314" s="69">
        <f>VLOOKUP(Table_db1_backend_Daily.accdb[[#This Row],[TradingDate]],canon!B:E,4,0)</f>
        <v>28</v>
      </c>
    </row>
    <row r="2315" spans="1:12" x14ac:dyDescent="0.2">
      <c r="A2315" s="69" t="s">
        <v>44</v>
      </c>
      <c r="B2315" s="70">
        <v>42926</v>
      </c>
      <c r="C2315" s="69">
        <v>23</v>
      </c>
      <c r="D2315" s="69">
        <v>0</v>
      </c>
      <c r="E2315" s="69">
        <v>0</v>
      </c>
      <c r="F2315" s="69">
        <v>0</v>
      </c>
      <c r="G2315" s="69" t="s">
        <v>37</v>
      </c>
      <c r="H2315" s="69" t="str">
        <f>IFERROR(VLOOKUP(Data!$G2315,canon!$I$2:$K$27,2,FALSE),"")</f>
        <v>SHOES</v>
      </c>
      <c r="I2315" s="69" t="str">
        <f>IFERROR(VLOOKUP(Data!$G2315,canon!$I$2:$K$27,3,FALSE),"")</f>
        <v>N.APPAREL</v>
      </c>
      <c r="J2315" s="69">
        <f t="shared" si="72"/>
        <v>2</v>
      </c>
      <c r="K2315" s="69">
        <f t="shared" si="73"/>
        <v>44</v>
      </c>
      <c r="L2315" s="69">
        <f>VLOOKUP(Table_db1_backend_Daily.accdb[[#This Row],[TradingDate]],canon!B:E,4,0)</f>
        <v>28</v>
      </c>
    </row>
    <row r="2316" spans="1:12" x14ac:dyDescent="0.2">
      <c r="A2316" s="69" t="s">
        <v>44</v>
      </c>
      <c r="B2316" s="70">
        <v>42926</v>
      </c>
      <c r="C2316" s="69">
        <v>65</v>
      </c>
      <c r="D2316" s="69">
        <v>0</v>
      </c>
      <c r="E2316" s="69">
        <v>0</v>
      </c>
      <c r="F2316" s="69">
        <v>0</v>
      </c>
      <c r="G2316" s="69" t="s">
        <v>29</v>
      </c>
      <c r="H2316" s="69" t="str">
        <f>IFERROR(VLOOKUP(Data!$G2316,canon!$I$2:$K$27,2,FALSE),"")</f>
        <v>SHOES</v>
      </c>
      <c r="I2316" s="69" t="str">
        <f>IFERROR(VLOOKUP(Data!$G2316,canon!$I$2:$K$27,3,FALSE),"")</f>
        <v>N.APPAREL</v>
      </c>
      <c r="J2316" s="69">
        <f t="shared" si="72"/>
        <v>2</v>
      </c>
      <c r="K2316" s="69">
        <f t="shared" si="73"/>
        <v>44</v>
      </c>
      <c r="L2316" s="69">
        <f>VLOOKUP(Table_db1_backend_Daily.accdb[[#This Row],[TradingDate]],canon!B:E,4,0)</f>
        <v>28</v>
      </c>
    </row>
    <row r="2317" spans="1:12" x14ac:dyDescent="0.2">
      <c r="A2317" s="69" t="s">
        <v>44</v>
      </c>
      <c r="B2317" s="70">
        <v>42926</v>
      </c>
      <c r="C2317" s="69">
        <v>749</v>
      </c>
      <c r="D2317" s="69">
        <v>5</v>
      </c>
      <c r="E2317" s="69">
        <v>72.64</v>
      </c>
      <c r="F2317" s="69">
        <v>15.3</v>
      </c>
      <c r="G2317" s="69" t="s">
        <v>17</v>
      </c>
      <c r="H2317" s="69" t="str">
        <f>IFERROR(VLOOKUP(Data!$G2317,canon!$I$2:$K$27,2,FALSE),"")</f>
        <v>OUTER</v>
      </c>
      <c r="I2317" s="69" t="str">
        <f>IFERROR(VLOOKUP(Data!$G2317,canon!$I$2:$K$27,3,FALSE),"")</f>
        <v>APPAREL</v>
      </c>
      <c r="J2317" s="69">
        <f t="shared" si="72"/>
        <v>2</v>
      </c>
      <c r="K2317" s="69">
        <f t="shared" si="73"/>
        <v>44</v>
      </c>
      <c r="L2317" s="69">
        <f>VLOOKUP(Table_db1_backend_Daily.accdb[[#This Row],[TradingDate]],canon!B:E,4,0)</f>
        <v>28</v>
      </c>
    </row>
    <row r="2318" spans="1:12" x14ac:dyDescent="0.2">
      <c r="A2318" s="69" t="s">
        <v>44</v>
      </c>
      <c r="B2318" s="70">
        <v>42926</v>
      </c>
      <c r="C2318" s="69">
        <v>383</v>
      </c>
      <c r="D2318" s="69">
        <v>1</v>
      </c>
      <c r="E2318" s="69">
        <v>9.09</v>
      </c>
      <c r="F2318" s="69">
        <v>3.11</v>
      </c>
      <c r="G2318" s="69" t="s">
        <v>19</v>
      </c>
      <c r="H2318" s="69" t="str">
        <f>IFERROR(VLOOKUP(Data!$G2318,canon!$I$2:$K$27,2,FALSE),"")</f>
        <v>PANT</v>
      </c>
      <c r="I2318" s="69" t="str">
        <f>IFERROR(VLOOKUP(Data!$G2318,canon!$I$2:$K$27,3,FALSE),"")</f>
        <v>APPAREL</v>
      </c>
      <c r="J2318" s="69">
        <f t="shared" si="72"/>
        <v>2</v>
      </c>
      <c r="K2318" s="69">
        <f t="shared" si="73"/>
        <v>44</v>
      </c>
      <c r="L2318" s="69">
        <f>VLOOKUP(Table_db1_backend_Daily.accdb[[#This Row],[TradingDate]],canon!B:E,4,0)</f>
        <v>28</v>
      </c>
    </row>
    <row r="2319" spans="1:12" x14ac:dyDescent="0.2">
      <c r="A2319" s="69" t="s">
        <v>44</v>
      </c>
      <c r="B2319" s="70">
        <v>42926</v>
      </c>
      <c r="C2319" s="69">
        <v>78</v>
      </c>
      <c r="D2319" s="69">
        <v>0</v>
      </c>
      <c r="E2319" s="69">
        <v>0</v>
      </c>
      <c r="F2319" s="69">
        <v>0</v>
      </c>
      <c r="G2319" s="69" t="s">
        <v>21</v>
      </c>
      <c r="H2319" s="69" t="str">
        <f>IFERROR(VLOOKUP(Data!$G2319,canon!$I$2:$K$27,2,FALSE),"")</f>
        <v>ACCESSORY</v>
      </c>
      <c r="I2319" s="69" t="str">
        <f>IFERROR(VLOOKUP(Data!$G2319,canon!$I$2:$K$27,3,FALSE),"")</f>
        <v>N.APPAREL</v>
      </c>
      <c r="J2319" s="69">
        <f t="shared" si="72"/>
        <v>2</v>
      </c>
      <c r="K2319" s="69">
        <f t="shared" si="73"/>
        <v>44</v>
      </c>
      <c r="L2319" s="69">
        <f>VLOOKUP(Table_db1_backend_Daily.accdb[[#This Row],[TradingDate]],canon!B:E,4,0)</f>
        <v>28</v>
      </c>
    </row>
    <row r="2320" spans="1:12" x14ac:dyDescent="0.2">
      <c r="A2320" s="69" t="s">
        <v>44</v>
      </c>
      <c r="B2320" s="70">
        <v>42926</v>
      </c>
      <c r="C2320" s="69">
        <v>1204</v>
      </c>
      <c r="D2320" s="69">
        <v>11</v>
      </c>
      <c r="E2320" s="69">
        <v>76.83</v>
      </c>
      <c r="F2320" s="69">
        <v>58.12</v>
      </c>
      <c r="G2320" s="69" t="s">
        <v>22</v>
      </c>
      <c r="H2320" s="69" t="str">
        <f>IFERROR(VLOOKUP(Data!$G2320,canon!$I$2:$K$27,2,FALSE),"")</f>
        <v>SCARF</v>
      </c>
      <c r="I2320" s="69" t="str">
        <f>IFERROR(VLOOKUP(Data!$G2320,canon!$I$2:$K$27,3,FALSE),"")</f>
        <v>N.APPAREL</v>
      </c>
      <c r="J2320" s="69">
        <f t="shared" si="72"/>
        <v>2</v>
      </c>
      <c r="K2320" s="69">
        <f t="shared" si="73"/>
        <v>44</v>
      </c>
      <c r="L2320" s="69">
        <f>VLOOKUP(Table_db1_backend_Daily.accdb[[#This Row],[TradingDate]],canon!B:E,4,0)</f>
        <v>28</v>
      </c>
    </row>
    <row r="2321" spans="1:12" x14ac:dyDescent="0.2">
      <c r="A2321" s="69" t="s">
        <v>44</v>
      </c>
      <c r="B2321" s="70">
        <v>42926</v>
      </c>
      <c r="C2321" s="69">
        <v>155</v>
      </c>
      <c r="D2321" s="69">
        <v>0</v>
      </c>
      <c r="E2321" s="69">
        <v>0</v>
      </c>
      <c r="F2321" s="69">
        <v>0</v>
      </c>
      <c r="G2321" s="69" t="s">
        <v>23</v>
      </c>
      <c r="H2321" s="69" t="str">
        <f>IFERROR(VLOOKUP(Data!$G2321,canon!$I$2:$K$27,2,FALSE),"")</f>
        <v>SH&amp;BL</v>
      </c>
      <c r="I2321" s="69" t="str">
        <f>IFERROR(VLOOKUP(Data!$G2321,canon!$I$2:$K$27,3,FALSE),"")</f>
        <v>APPAREL</v>
      </c>
      <c r="J2321" s="69">
        <f t="shared" si="72"/>
        <v>2</v>
      </c>
      <c r="K2321" s="69">
        <f t="shared" si="73"/>
        <v>44</v>
      </c>
      <c r="L2321" s="69">
        <f>VLOOKUP(Table_db1_backend_Daily.accdb[[#This Row],[TradingDate]],canon!B:E,4,0)</f>
        <v>28</v>
      </c>
    </row>
    <row r="2322" spans="1:12" x14ac:dyDescent="0.2">
      <c r="A2322" s="69" t="s">
        <v>44</v>
      </c>
      <c r="B2322" s="70">
        <v>42926</v>
      </c>
      <c r="C2322" s="69">
        <v>492</v>
      </c>
      <c r="D2322" s="69">
        <v>2</v>
      </c>
      <c r="E2322" s="69">
        <v>18.16</v>
      </c>
      <c r="F2322" s="69">
        <v>7.08</v>
      </c>
      <c r="G2322" s="69" t="s">
        <v>32</v>
      </c>
      <c r="H2322" s="69" t="str">
        <f>IFERROR(VLOOKUP(Data!$G2322,canon!$I$2:$K$27,2,FALSE),"")</f>
        <v>SKIRT</v>
      </c>
      <c r="I2322" s="69" t="str">
        <f>IFERROR(VLOOKUP(Data!$G2322,canon!$I$2:$K$27,3,FALSE),"")</f>
        <v>APPAREL</v>
      </c>
      <c r="J2322" s="69">
        <f t="shared" si="72"/>
        <v>2</v>
      </c>
      <c r="K2322" s="69">
        <f t="shared" si="73"/>
        <v>44</v>
      </c>
      <c r="L2322" s="69">
        <f>VLOOKUP(Table_db1_backend_Daily.accdb[[#This Row],[TradingDate]],canon!B:E,4,0)</f>
        <v>28</v>
      </c>
    </row>
    <row r="2323" spans="1:12" x14ac:dyDescent="0.2">
      <c r="A2323" s="69" t="s">
        <v>44</v>
      </c>
      <c r="B2323" s="70">
        <v>42926</v>
      </c>
      <c r="C2323" s="69">
        <v>1577</v>
      </c>
      <c r="D2323" s="69">
        <v>14</v>
      </c>
      <c r="E2323" s="69">
        <v>68.22</v>
      </c>
      <c r="F2323" s="69">
        <v>4.5</v>
      </c>
      <c r="G2323" s="69" t="s">
        <v>25</v>
      </c>
      <c r="H2323" s="69" t="str">
        <f>IFERROR(VLOOKUP(Data!$G2323,canon!$I$2:$K$27,2,FALSE),"")</f>
        <v>TOP</v>
      </c>
      <c r="I2323" s="69" t="str">
        <f>IFERROR(VLOOKUP(Data!$G2323,canon!$I$2:$K$27,3,FALSE),"")</f>
        <v>APPAREL</v>
      </c>
      <c r="J2323" s="69">
        <f t="shared" si="72"/>
        <v>2</v>
      </c>
      <c r="K2323" s="69">
        <f t="shared" si="73"/>
        <v>44</v>
      </c>
      <c r="L2323" s="69">
        <f>VLOOKUP(Table_db1_backend_Daily.accdb[[#This Row],[TradingDate]],canon!B:E,4,0)</f>
        <v>28</v>
      </c>
    </row>
    <row r="2324" spans="1:12" x14ac:dyDescent="0.2">
      <c r="A2324" s="69" t="s">
        <v>44</v>
      </c>
      <c r="B2324" s="70">
        <v>42927</v>
      </c>
      <c r="C2324" s="69">
        <v>33</v>
      </c>
      <c r="D2324" s="69">
        <v>0</v>
      </c>
      <c r="E2324" s="69">
        <v>0</v>
      </c>
      <c r="F2324" s="69">
        <v>0</v>
      </c>
      <c r="G2324" s="69" t="s">
        <v>34</v>
      </c>
      <c r="H2324" s="69" t="str">
        <f>IFERROR(VLOOKUP(Data!$G2324,canon!$I$2:$K$27,2,FALSE),"")</f>
        <v>SHOES</v>
      </c>
      <c r="I2324" s="69" t="str">
        <f>IFERROR(VLOOKUP(Data!$G2324,canon!$I$2:$K$27,3,FALSE),"")</f>
        <v>N.APPAREL</v>
      </c>
      <c r="J2324" s="69">
        <f t="shared" si="72"/>
        <v>3</v>
      </c>
      <c r="K2324" s="69">
        <f t="shared" si="73"/>
        <v>44</v>
      </c>
      <c r="L2324" s="69">
        <f>VLOOKUP(Table_db1_backend_Daily.accdb[[#This Row],[TradingDate]],canon!B:E,4,0)</f>
        <v>28</v>
      </c>
    </row>
    <row r="2325" spans="1:12" x14ac:dyDescent="0.2">
      <c r="A2325" s="69" t="s">
        <v>44</v>
      </c>
      <c r="B2325" s="70">
        <v>42927</v>
      </c>
      <c r="C2325" s="69">
        <v>2</v>
      </c>
      <c r="D2325" s="69">
        <v>0</v>
      </c>
      <c r="E2325" s="69">
        <v>0</v>
      </c>
      <c r="F2325" s="69">
        <v>0</v>
      </c>
      <c r="G2325" s="69" t="s">
        <v>38</v>
      </c>
      <c r="H2325" s="69" t="str">
        <f>IFERROR(VLOOKUP(Data!$G2325,canon!$I$2:$K$27,2,FALSE),"")</f>
        <v>SHOES</v>
      </c>
      <c r="I2325" s="69" t="str">
        <f>IFERROR(VLOOKUP(Data!$G2325,canon!$I$2:$K$27,3,FALSE),"")</f>
        <v>N.APPAREL</v>
      </c>
      <c r="J2325" s="69">
        <f t="shared" si="72"/>
        <v>3</v>
      </c>
      <c r="K2325" s="69">
        <f t="shared" si="73"/>
        <v>44</v>
      </c>
      <c r="L2325" s="69">
        <f>VLOOKUP(Table_db1_backend_Daily.accdb[[#This Row],[TradingDate]],canon!B:E,4,0)</f>
        <v>28</v>
      </c>
    </row>
    <row r="2326" spans="1:12" x14ac:dyDescent="0.2">
      <c r="A2326" s="69" t="s">
        <v>44</v>
      </c>
      <c r="B2326" s="70">
        <v>42927</v>
      </c>
      <c r="C2326" s="69">
        <v>562</v>
      </c>
      <c r="D2326" s="69">
        <v>1</v>
      </c>
      <c r="E2326" s="69">
        <v>9.09</v>
      </c>
      <c r="F2326" s="69">
        <v>-0.69</v>
      </c>
      <c r="G2326" s="69" t="s">
        <v>35</v>
      </c>
      <c r="H2326" s="69" t="str">
        <f>IFERROR(VLOOKUP(Data!$G2326,canon!$I$2:$K$27,2,FALSE),"")</f>
        <v>DRESS</v>
      </c>
      <c r="I2326" s="69" t="str">
        <f>IFERROR(VLOOKUP(Data!$G2326,canon!$I$2:$K$27,3,FALSE),"")</f>
        <v>APPAREL</v>
      </c>
      <c r="J2326" s="69">
        <f t="shared" si="72"/>
        <v>3</v>
      </c>
      <c r="K2326" s="69">
        <f t="shared" si="73"/>
        <v>44</v>
      </c>
      <c r="L2326" s="69">
        <f>VLOOKUP(Table_db1_backend_Daily.accdb[[#This Row],[TradingDate]],canon!B:E,4,0)</f>
        <v>28</v>
      </c>
    </row>
    <row r="2327" spans="1:12" x14ac:dyDescent="0.2">
      <c r="A2327" s="69" t="s">
        <v>44</v>
      </c>
      <c r="B2327" s="70">
        <v>42927</v>
      </c>
      <c r="C2327" s="69">
        <v>34</v>
      </c>
      <c r="D2327" s="69">
        <v>0</v>
      </c>
      <c r="E2327" s="69">
        <v>0</v>
      </c>
      <c r="F2327" s="69">
        <v>0</v>
      </c>
      <c r="G2327" s="69" t="s">
        <v>10</v>
      </c>
      <c r="H2327" s="69" t="str">
        <f>IFERROR(VLOOKUP(Data!$G2327,canon!$I$2:$K$27,2,FALSE),"")</f>
        <v>ACCESSORY</v>
      </c>
      <c r="I2327" s="69" t="str">
        <f>IFERROR(VLOOKUP(Data!$G2327,canon!$I$2:$K$27,3,FALSE),"")</f>
        <v>N.APPAREL</v>
      </c>
      <c r="J2327" s="69">
        <f t="shared" si="72"/>
        <v>3</v>
      </c>
      <c r="K2327" s="69">
        <f t="shared" si="73"/>
        <v>44</v>
      </c>
      <c r="L2327" s="69">
        <f>VLOOKUP(Table_db1_backend_Daily.accdb[[#This Row],[TradingDate]],canon!B:E,4,0)</f>
        <v>28</v>
      </c>
    </row>
    <row r="2328" spans="1:12" x14ac:dyDescent="0.2">
      <c r="A2328" s="69" t="s">
        <v>44</v>
      </c>
      <c r="B2328" s="70">
        <v>42927</v>
      </c>
      <c r="C2328" s="69">
        <v>2</v>
      </c>
      <c r="D2328" s="69">
        <v>0</v>
      </c>
      <c r="E2328" s="69">
        <v>0</v>
      </c>
      <c r="F2328" s="69">
        <v>0</v>
      </c>
      <c r="G2328" s="69" t="s">
        <v>28</v>
      </c>
      <c r="H2328" s="69" t="str">
        <f>IFERROR(VLOOKUP(Data!$G2328,canon!$I$2:$K$27,2,FALSE),"")</f>
        <v>ACCESSORY</v>
      </c>
      <c r="I2328" s="69" t="str">
        <f>IFERROR(VLOOKUP(Data!$G2328,canon!$I$2:$K$27,3,FALSE),"")</f>
        <v>N.APPAREL</v>
      </c>
      <c r="J2328" s="69">
        <f t="shared" si="72"/>
        <v>3</v>
      </c>
      <c r="K2328" s="69">
        <f t="shared" si="73"/>
        <v>44</v>
      </c>
      <c r="L2328" s="69">
        <f>VLOOKUP(Table_db1_backend_Daily.accdb[[#This Row],[TradingDate]],canon!B:E,4,0)</f>
        <v>28</v>
      </c>
    </row>
    <row r="2329" spans="1:12" x14ac:dyDescent="0.2">
      <c r="A2329" s="69" t="s">
        <v>44</v>
      </c>
      <c r="B2329" s="70">
        <v>42927</v>
      </c>
      <c r="C2329" s="69">
        <v>2132</v>
      </c>
      <c r="D2329" s="69">
        <v>24</v>
      </c>
      <c r="E2329" s="69">
        <v>277.11</v>
      </c>
      <c r="F2329" s="69">
        <v>91.63000000000001</v>
      </c>
      <c r="G2329" s="69" t="s">
        <v>11</v>
      </c>
      <c r="H2329" s="69" t="str">
        <f>IFERROR(VLOOKUP(Data!$G2329,canon!$I$2:$K$27,2,FALSE),"")</f>
        <v>KNIT</v>
      </c>
      <c r="I2329" s="69" t="str">
        <f>IFERROR(VLOOKUP(Data!$G2329,canon!$I$2:$K$27,3,FALSE),"")</f>
        <v>APPAREL</v>
      </c>
      <c r="J2329" s="69">
        <f t="shared" si="72"/>
        <v>3</v>
      </c>
      <c r="K2329" s="69">
        <f t="shared" si="73"/>
        <v>44</v>
      </c>
      <c r="L2329" s="69">
        <f>VLOOKUP(Table_db1_backend_Daily.accdb[[#This Row],[TradingDate]],canon!B:E,4,0)</f>
        <v>28</v>
      </c>
    </row>
    <row r="2330" spans="1:12" x14ac:dyDescent="0.2">
      <c r="A2330" s="69" t="s">
        <v>44</v>
      </c>
      <c r="B2330" s="70">
        <v>42927</v>
      </c>
      <c r="C2330" s="69">
        <v>490</v>
      </c>
      <c r="D2330" s="69">
        <v>1</v>
      </c>
      <c r="E2330" s="69">
        <v>9.09</v>
      </c>
      <c r="F2330" s="69">
        <v>2.68</v>
      </c>
      <c r="G2330" s="69" t="s">
        <v>14</v>
      </c>
      <c r="H2330" s="69" t="str">
        <f>IFERROR(VLOOKUP(Data!$G2330,canon!$I$2:$K$27,2,FALSE),"")</f>
        <v>LEGGING</v>
      </c>
      <c r="I2330" s="69" t="str">
        <f>IFERROR(VLOOKUP(Data!$G2330,canon!$I$2:$K$27,3,FALSE),"")</f>
        <v>APPAREL</v>
      </c>
      <c r="J2330" s="69">
        <f t="shared" si="72"/>
        <v>3</v>
      </c>
      <c r="K2330" s="69">
        <f t="shared" si="73"/>
        <v>44</v>
      </c>
      <c r="L2330" s="69">
        <f>VLOOKUP(Table_db1_backend_Daily.accdb[[#This Row],[TradingDate]],canon!B:E,4,0)</f>
        <v>28</v>
      </c>
    </row>
    <row r="2331" spans="1:12" x14ac:dyDescent="0.2">
      <c r="A2331" s="69" t="s">
        <v>44</v>
      </c>
      <c r="B2331" s="70">
        <v>42927</v>
      </c>
      <c r="C2331" s="69">
        <v>23</v>
      </c>
      <c r="D2331" s="69">
        <v>0</v>
      </c>
      <c r="E2331" s="69">
        <v>0</v>
      </c>
      <c r="F2331" s="69">
        <v>0</v>
      </c>
      <c r="G2331" s="69" t="s">
        <v>37</v>
      </c>
      <c r="H2331" s="69" t="str">
        <f>IFERROR(VLOOKUP(Data!$G2331,canon!$I$2:$K$27,2,FALSE),"")</f>
        <v>SHOES</v>
      </c>
      <c r="I2331" s="69" t="str">
        <f>IFERROR(VLOOKUP(Data!$G2331,canon!$I$2:$K$27,3,FALSE),"")</f>
        <v>N.APPAREL</v>
      </c>
      <c r="J2331" s="69">
        <f t="shared" si="72"/>
        <v>3</v>
      </c>
      <c r="K2331" s="69">
        <f t="shared" si="73"/>
        <v>44</v>
      </c>
      <c r="L2331" s="69">
        <f>VLOOKUP(Table_db1_backend_Daily.accdb[[#This Row],[TradingDate]],canon!B:E,4,0)</f>
        <v>28</v>
      </c>
    </row>
    <row r="2332" spans="1:12" x14ac:dyDescent="0.2">
      <c r="A2332" s="69" t="s">
        <v>44</v>
      </c>
      <c r="B2332" s="70">
        <v>42927</v>
      </c>
      <c r="C2332" s="69">
        <v>65</v>
      </c>
      <c r="D2332" s="69">
        <v>0</v>
      </c>
      <c r="E2332" s="69">
        <v>0</v>
      </c>
      <c r="F2332" s="69">
        <v>0</v>
      </c>
      <c r="G2332" s="69" t="s">
        <v>29</v>
      </c>
      <c r="H2332" s="69" t="str">
        <f>IFERROR(VLOOKUP(Data!$G2332,canon!$I$2:$K$27,2,FALSE),"")</f>
        <v>SHOES</v>
      </c>
      <c r="I2332" s="69" t="str">
        <f>IFERROR(VLOOKUP(Data!$G2332,canon!$I$2:$K$27,3,FALSE),"")</f>
        <v>N.APPAREL</v>
      </c>
      <c r="J2332" s="69">
        <f t="shared" si="72"/>
        <v>3</v>
      </c>
      <c r="K2332" s="69">
        <f t="shared" si="73"/>
        <v>44</v>
      </c>
      <c r="L2332" s="69">
        <f>VLOOKUP(Table_db1_backend_Daily.accdb[[#This Row],[TradingDate]],canon!B:E,4,0)</f>
        <v>28</v>
      </c>
    </row>
    <row r="2333" spans="1:12" x14ac:dyDescent="0.2">
      <c r="A2333" s="69" t="s">
        <v>44</v>
      </c>
      <c r="B2333" s="70">
        <v>42927</v>
      </c>
      <c r="C2333" s="69">
        <v>772</v>
      </c>
      <c r="D2333" s="69">
        <v>1</v>
      </c>
      <c r="E2333" s="69">
        <v>13.59</v>
      </c>
      <c r="F2333" s="69">
        <v>3.76</v>
      </c>
      <c r="G2333" s="69" t="s">
        <v>17</v>
      </c>
      <c r="H2333" s="69" t="str">
        <f>IFERROR(VLOOKUP(Data!$G2333,canon!$I$2:$K$27,2,FALSE),"")</f>
        <v>OUTER</v>
      </c>
      <c r="I2333" s="69" t="str">
        <f>IFERROR(VLOOKUP(Data!$G2333,canon!$I$2:$K$27,3,FALSE),"")</f>
        <v>APPAREL</v>
      </c>
      <c r="J2333" s="69">
        <f t="shared" si="72"/>
        <v>3</v>
      </c>
      <c r="K2333" s="69">
        <f t="shared" si="73"/>
        <v>44</v>
      </c>
      <c r="L2333" s="69">
        <f>VLOOKUP(Table_db1_backend_Daily.accdb[[#This Row],[TradingDate]],canon!B:E,4,0)</f>
        <v>28</v>
      </c>
    </row>
    <row r="2334" spans="1:12" x14ac:dyDescent="0.2">
      <c r="A2334" s="69" t="s">
        <v>44</v>
      </c>
      <c r="B2334" s="70">
        <v>42927</v>
      </c>
      <c r="C2334" s="69">
        <v>383</v>
      </c>
      <c r="D2334" s="69">
        <v>0</v>
      </c>
      <c r="E2334" s="69">
        <v>0</v>
      </c>
      <c r="F2334" s="69">
        <v>0</v>
      </c>
      <c r="G2334" s="69" t="s">
        <v>19</v>
      </c>
      <c r="H2334" s="69" t="str">
        <f>IFERROR(VLOOKUP(Data!$G2334,canon!$I$2:$K$27,2,FALSE),"")</f>
        <v>PANT</v>
      </c>
      <c r="I2334" s="69" t="str">
        <f>IFERROR(VLOOKUP(Data!$G2334,canon!$I$2:$K$27,3,FALSE),"")</f>
        <v>APPAREL</v>
      </c>
      <c r="J2334" s="69">
        <f t="shared" si="72"/>
        <v>3</v>
      </c>
      <c r="K2334" s="69">
        <f t="shared" si="73"/>
        <v>44</v>
      </c>
      <c r="L2334" s="69">
        <f>VLOOKUP(Table_db1_backend_Daily.accdb[[#This Row],[TradingDate]],canon!B:E,4,0)</f>
        <v>28</v>
      </c>
    </row>
    <row r="2335" spans="1:12" x14ac:dyDescent="0.2">
      <c r="A2335" s="69" t="s">
        <v>44</v>
      </c>
      <c r="B2335" s="70">
        <v>42927</v>
      </c>
      <c r="C2335" s="69">
        <v>78</v>
      </c>
      <c r="D2335" s="69">
        <v>0</v>
      </c>
      <c r="E2335" s="69">
        <v>0</v>
      </c>
      <c r="F2335" s="69">
        <v>0</v>
      </c>
      <c r="G2335" s="69" t="s">
        <v>21</v>
      </c>
      <c r="H2335" s="69" t="str">
        <f>IFERROR(VLOOKUP(Data!$G2335,canon!$I$2:$K$27,2,FALSE),"")</f>
        <v>ACCESSORY</v>
      </c>
      <c r="I2335" s="69" t="str">
        <f>IFERROR(VLOOKUP(Data!$G2335,canon!$I$2:$K$27,3,FALSE),"")</f>
        <v>N.APPAREL</v>
      </c>
      <c r="J2335" s="69">
        <f t="shared" si="72"/>
        <v>3</v>
      </c>
      <c r="K2335" s="69">
        <f t="shared" si="73"/>
        <v>44</v>
      </c>
      <c r="L2335" s="69">
        <f>VLOOKUP(Table_db1_backend_Daily.accdb[[#This Row],[TradingDate]],canon!B:E,4,0)</f>
        <v>28</v>
      </c>
    </row>
    <row r="2336" spans="1:12" x14ac:dyDescent="0.2">
      <c r="A2336" s="69" t="s">
        <v>44</v>
      </c>
      <c r="B2336" s="70">
        <v>42927</v>
      </c>
      <c r="C2336" s="69">
        <v>1200</v>
      </c>
      <c r="D2336" s="69">
        <v>4</v>
      </c>
      <c r="E2336" s="69">
        <v>28.91</v>
      </c>
      <c r="F2336" s="69">
        <v>20.23</v>
      </c>
      <c r="G2336" s="69" t="s">
        <v>22</v>
      </c>
      <c r="H2336" s="69" t="str">
        <f>IFERROR(VLOOKUP(Data!$G2336,canon!$I$2:$K$27,2,FALSE),"")</f>
        <v>SCARF</v>
      </c>
      <c r="I2336" s="69" t="str">
        <f>IFERROR(VLOOKUP(Data!$G2336,canon!$I$2:$K$27,3,FALSE),"")</f>
        <v>N.APPAREL</v>
      </c>
      <c r="J2336" s="69">
        <f t="shared" si="72"/>
        <v>3</v>
      </c>
      <c r="K2336" s="69">
        <f t="shared" si="73"/>
        <v>44</v>
      </c>
      <c r="L2336" s="69">
        <f>VLOOKUP(Table_db1_backend_Daily.accdb[[#This Row],[TradingDate]],canon!B:E,4,0)</f>
        <v>28</v>
      </c>
    </row>
    <row r="2337" spans="1:12" x14ac:dyDescent="0.2">
      <c r="A2337" s="69" t="s">
        <v>44</v>
      </c>
      <c r="B2337" s="70">
        <v>42927</v>
      </c>
      <c r="C2337" s="69">
        <v>155</v>
      </c>
      <c r="D2337" s="69">
        <v>0</v>
      </c>
      <c r="E2337" s="69">
        <v>0</v>
      </c>
      <c r="F2337" s="69">
        <v>0</v>
      </c>
      <c r="G2337" s="69" t="s">
        <v>23</v>
      </c>
      <c r="H2337" s="69" t="str">
        <f>IFERROR(VLOOKUP(Data!$G2337,canon!$I$2:$K$27,2,FALSE),"")</f>
        <v>SH&amp;BL</v>
      </c>
      <c r="I2337" s="69" t="str">
        <f>IFERROR(VLOOKUP(Data!$G2337,canon!$I$2:$K$27,3,FALSE),"")</f>
        <v>APPAREL</v>
      </c>
      <c r="J2337" s="69">
        <f t="shared" si="72"/>
        <v>3</v>
      </c>
      <c r="K2337" s="69">
        <f t="shared" si="73"/>
        <v>44</v>
      </c>
      <c r="L2337" s="69">
        <f>VLOOKUP(Table_db1_backend_Daily.accdb[[#This Row],[TradingDate]],canon!B:E,4,0)</f>
        <v>28</v>
      </c>
    </row>
    <row r="2338" spans="1:12" x14ac:dyDescent="0.2">
      <c r="A2338" s="69" t="s">
        <v>44</v>
      </c>
      <c r="B2338" s="70">
        <v>42927</v>
      </c>
      <c r="C2338" s="69">
        <v>492</v>
      </c>
      <c r="D2338" s="69">
        <v>0</v>
      </c>
      <c r="E2338" s="69">
        <v>0</v>
      </c>
      <c r="F2338" s="69">
        <v>0</v>
      </c>
      <c r="G2338" s="69" t="s">
        <v>32</v>
      </c>
      <c r="H2338" s="69" t="str">
        <f>IFERROR(VLOOKUP(Data!$G2338,canon!$I$2:$K$27,2,FALSE),"")</f>
        <v>SKIRT</v>
      </c>
      <c r="I2338" s="69" t="str">
        <f>IFERROR(VLOOKUP(Data!$G2338,canon!$I$2:$K$27,3,FALSE),"")</f>
        <v>APPAREL</v>
      </c>
      <c r="J2338" s="69">
        <f t="shared" si="72"/>
        <v>3</v>
      </c>
      <c r="K2338" s="69">
        <f t="shared" si="73"/>
        <v>44</v>
      </c>
      <c r="L2338" s="69">
        <f>VLOOKUP(Table_db1_backend_Daily.accdb[[#This Row],[TradingDate]],canon!B:E,4,0)</f>
        <v>28</v>
      </c>
    </row>
    <row r="2339" spans="1:12" x14ac:dyDescent="0.2">
      <c r="A2339" s="69" t="s">
        <v>44</v>
      </c>
      <c r="B2339" s="70">
        <v>42927</v>
      </c>
      <c r="C2339" s="69">
        <v>1546</v>
      </c>
      <c r="D2339" s="69">
        <v>31</v>
      </c>
      <c r="E2339" s="69">
        <v>199.93</v>
      </c>
      <c r="F2339" s="69">
        <v>62.209999999999994</v>
      </c>
      <c r="G2339" s="69" t="s">
        <v>25</v>
      </c>
      <c r="H2339" s="69" t="str">
        <f>IFERROR(VLOOKUP(Data!$G2339,canon!$I$2:$K$27,2,FALSE),"")</f>
        <v>TOP</v>
      </c>
      <c r="I2339" s="69" t="str">
        <f>IFERROR(VLOOKUP(Data!$G2339,canon!$I$2:$K$27,3,FALSE),"")</f>
        <v>APPAREL</v>
      </c>
      <c r="J2339" s="69">
        <f t="shared" si="72"/>
        <v>3</v>
      </c>
      <c r="K2339" s="69">
        <f t="shared" si="73"/>
        <v>44</v>
      </c>
      <c r="L2339" s="69">
        <f>VLOOKUP(Table_db1_backend_Daily.accdb[[#This Row],[TradingDate]],canon!B:E,4,0)</f>
        <v>28</v>
      </c>
    </row>
    <row r="2340" spans="1:12" x14ac:dyDescent="0.2">
      <c r="A2340" s="69" t="s">
        <v>44</v>
      </c>
      <c r="B2340" s="70">
        <v>42928</v>
      </c>
      <c r="C2340" s="69">
        <v>33</v>
      </c>
      <c r="D2340" s="69">
        <v>0</v>
      </c>
      <c r="E2340" s="69">
        <v>0</v>
      </c>
      <c r="F2340" s="69">
        <v>0</v>
      </c>
      <c r="G2340" s="69" t="s">
        <v>34</v>
      </c>
      <c r="H2340" s="69" t="str">
        <f>IFERROR(VLOOKUP(Data!$G2340,canon!$I$2:$K$27,2,FALSE),"")</f>
        <v>SHOES</v>
      </c>
      <c r="I2340" s="69" t="str">
        <f>IFERROR(VLOOKUP(Data!$G2340,canon!$I$2:$K$27,3,FALSE),"")</f>
        <v>N.APPAREL</v>
      </c>
      <c r="J2340" s="69">
        <f t="shared" si="72"/>
        <v>4</v>
      </c>
      <c r="K2340" s="69">
        <f t="shared" si="73"/>
        <v>44</v>
      </c>
      <c r="L2340" s="69">
        <f>VLOOKUP(Table_db1_backend_Daily.accdb[[#This Row],[TradingDate]],canon!B:E,4,0)</f>
        <v>28</v>
      </c>
    </row>
    <row r="2341" spans="1:12" x14ac:dyDescent="0.2">
      <c r="A2341" s="69" t="s">
        <v>44</v>
      </c>
      <c r="B2341" s="70">
        <v>42928</v>
      </c>
      <c r="C2341" s="69">
        <v>2</v>
      </c>
      <c r="D2341" s="69">
        <v>0</v>
      </c>
      <c r="E2341" s="69">
        <v>0</v>
      </c>
      <c r="F2341" s="69">
        <v>0</v>
      </c>
      <c r="G2341" s="69" t="s">
        <v>38</v>
      </c>
      <c r="H2341" s="69" t="str">
        <f>IFERROR(VLOOKUP(Data!$G2341,canon!$I$2:$K$27,2,FALSE),"")</f>
        <v>SHOES</v>
      </c>
      <c r="I2341" s="69" t="str">
        <f>IFERROR(VLOOKUP(Data!$G2341,canon!$I$2:$K$27,3,FALSE),"")</f>
        <v>N.APPAREL</v>
      </c>
      <c r="J2341" s="69">
        <f t="shared" si="72"/>
        <v>4</v>
      </c>
      <c r="K2341" s="69">
        <f t="shared" si="73"/>
        <v>44</v>
      </c>
      <c r="L2341" s="69">
        <f>VLOOKUP(Table_db1_backend_Daily.accdb[[#This Row],[TradingDate]],canon!B:E,4,0)</f>
        <v>28</v>
      </c>
    </row>
    <row r="2342" spans="1:12" x14ac:dyDescent="0.2">
      <c r="A2342" s="69" t="s">
        <v>44</v>
      </c>
      <c r="B2342" s="70">
        <v>42928</v>
      </c>
      <c r="C2342" s="69">
        <v>561</v>
      </c>
      <c r="D2342" s="69">
        <v>1</v>
      </c>
      <c r="E2342" s="69">
        <v>9.09</v>
      </c>
      <c r="F2342" s="69">
        <v>0.83</v>
      </c>
      <c r="G2342" s="69" t="s">
        <v>35</v>
      </c>
      <c r="H2342" s="69" t="str">
        <f>IFERROR(VLOOKUP(Data!$G2342,canon!$I$2:$K$27,2,FALSE),"")</f>
        <v>DRESS</v>
      </c>
      <c r="I2342" s="69" t="str">
        <f>IFERROR(VLOOKUP(Data!$G2342,canon!$I$2:$K$27,3,FALSE),"")</f>
        <v>APPAREL</v>
      </c>
      <c r="J2342" s="69">
        <f t="shared" si="72"/>
        <v>4</v>
      </c>
      <c r="K2342" s="69">
        <f t="shared" si="73"/>
        <v>44</v>
      </c>
      <c r="L2342" s="69">
        <f>VLOOKUP(Table_db1_backend_Daily.accdb[[#This Row],[TradingDate]],canon!B:E,4,0)</f>
        <v>28</v>
      </c>
    </row>
    <row r="2343" spans="1:12" x14ac:dyDescent="0.2">
      <c r="A2343" s="69" t="s">
        <v>44</v>
      </c>
      <c r="B2343" s="70">
        <v>42928</v>
      </c>
      <c r="C2343" s="69">
        <v>34</v>
      </c>
      <c r="D2343" s="69">
        <v>0</v>
      </c>
      <c r="E2343" s="69">
        <v>0</v>
      </c>
      <c r="F2343" s="69">
        <v>0</v>
      </c>
      <c r="G2343" s="69" t="s">
        <v>10</v>
      </c>
      <c r="H2343" s="69" t="str">
        <f>IFERROR(VLOOKUP(Data!$G2343,canon!$I$2:$K$27,2,FALSE),"")</f>
        <v>ACCESSORY</v>
      </c>
      <c r="I2343" s="69" t="str">
        <f>IFERROR(VLOOKUP(Data!$G2343,canon!$I$2:$K$27,3,FALSE),"")</f>
        <v>N.APPAREL</v>
      </c>
      <c r="J2343" s="69">
        <f t="shared" si="72"/>
        <v>4</v>
      </c>
      <c r="K2343" s="69">
        <f t="shared" si="73"/>
        <v>44</v>
      </c>
      <c r="L2343" s="69">
        <f>VLOOKUP(Table_db1_backend_Daily.accdb[[#This Row],[TradingDate]],canon!B:E,4,0)</f>
        <v>28</v>
      </c>
    </row>
    <row r="2344" spans="1:12" x14ac:dyDescent="0.2">
      <c r="A2344" s="69" t="s">
        <v>44</v>
      </c>
      <c r="B2344" s="70">
        <v>42928</v>
      </c>
      <c r="C2344" s="69">
        <v>2</v>
      </c>
      <c r="D2344" s="69">
        <v>0</v>
      </c>
      <c r="E2344" s="69">
        <v>0</v>
      </c>
      <c r="F2344" s="69">
        <v>0</v>
      </c>
      <c r="G2344" s="69" t="s">
        <v>28</v>
      </c>
      <c r="H2344" s="69" t="str">
        <f>IFERROR(VLOOKUP(Data!$G2344,canon!$I$2:$K$27,2,FALSE),"")</f>
        <v>ACCESSORY</v>
      </c>
      <c r="I2344" s="69" t="str">
        <f>IFERROR(VLOOKUP(Data!$G2344,canon!$I$2:$K$27,3,FALSE),"")</f>
        <v>N.APPAREL</v>
      </c>
      <c r="J2344" s="69">
        <f t="shared" si="72"/>
        <v>4</v>
      </c>
      <c r="K2344" s="69">
        <f t="shared" si="73"/>
        <v>44</v>
      </c>
      <c r="L2344" s="69">
        <f>VLOOKUP(Table_db1_backend_Daily.accdb[[#This Row],[TradingDate]],canon!B:E,4,0)</f>
        <v>28</v>
      </c>
    </row>
    <row r="2345" spans="1:12" x14ac:dyDescent="0.2">
      <c r="A2345" s="69" t="s">
        <v>44</v>
      </c>
      <c r="B2345" s="70">
        <v>42928</v>
      </c>
      <c r="C2345" s="69">
        <v>2100</v>
      </c>
      <c r="D2345" s="69">
        <v>32</v>
      </c>
      <c r="E2345" s="69">
        <v>290.88</v>
      </c>
      <c r="F2345" s="69">
        <v>57.389999999999986</v>
      </c>
      <c r="G2345" s="69" t="s">
        <v>11</v>
      </c>
      <c r="H2345" s="69" t="str">
        <f>IFERROR(VLOOKUP(Data!$G2345,canon!$I$2:$K$27,2,FALSE),"")</f>
        <v>KNIT</v>
      </c>
      <c r="I2345" s="69" t="str">
        <f>IFERROR(VLOOKUP(Data!$G2345,canon!$I$2:$K$27,3,FALSE),"")</f>
        <v>APPAREL</v>
      </c>
      <c r="J2345" s="69">
        <f t="shared" si="72"/>
        <v>4</v>
      </c>
      <c r="K2345" s="69">
        <f t="shared" si="73"/>
        <v>44</v>
      </c>
      <c r="L2345" s="69">
        <f>VLOOKUP(Table_db1_backend_Daily.accdb[[#This Row],[TradingDate]],canon!B:E,4,0)</f>
        <v>28</v>
      </c>
    </row>
    <row r="2346" spans="1:12" x14ac:dyDescent="0.2">
      <c r="A2346" s="69" t="s">
        <v>44</v>
      </c>
      <c r="B2346" s="70">
        <v>42928</v>
      </c>
      <c r="C2346" s="69">
        <v>487</v>
      </c>
      <c r="D2346" s="69">
        <v>3</v>
      </c>
      <c r="E2346" s="69">
        <v>36.36</v>
      </c>
      <c r="F2346" s="69">
        <v>14.84</v>
      </c>
      <c r="G2346" s="69" t="s">
        <v>14</v>
      </c>
      <c r="H2346" s="69" t="str">
        <f>IFERROR(VLOOKUP(Data!$G2346,canon!$I$2:$K$27,2,FALSE),"")</f>
        <v>LEGGING</v>
      </c>
      <c r="I2346" s="69" t="str">
        <f>IFERROR(VLOOKUP(Data!$G2346,canon!$I$2:$K$27,3,FALSE),"")</f>
        <v>APPAREL</v>
      </c>
      <c r="J2346" s="69">
        <f t="shared" si="72"/>
        <v>4</v>
      </c>
      <c r="K2346" s="69">
        <f t="shared" si="73"/>
        <v>44</v>
      </c>
      <c r="L2346" s="69">
        <f>VLOOKUP(Table_db1_backend_Daily.accdb[[#This Row],[TradingDate]],canon!B:E,4,0)</f>
        <v>28</v>
      </c>
    </row>
    <row r="2347" spans="1:12" x14ac:dyDescent="0.2">
      <c r="A2347" s="69" t="s">
        <v>44</v>
      </c>
      <c r="B2347" s="70">
        <v>42928</v>
      </c>
      <c r="C2347" s="69">
        <v>23</v>
      </c>
      <c r="D2347" s="69">
        <v>0</v>
      </c>
      <c r="E2347" s="69">
        <v>0</v>
      </c>
      <c r="F2347" s="69">
        <v>0</v>
      </c>
      <c r="G2347" s="69" t="s">
        <v>37</v>
      </c>
      <c r="H2347" s="69" t="str">
        <f>IFERROR(VLOOKUP(Data!$G2347,canon!$I$2:$K$27,2,FALSE),"")</f>
        <v>SHOES</v>
      </c>
      <c r="I2347" s="69" t="str">
        <f>IFERROR(VLOOKUP(Data!$G2347,canon!$I$2:$K$27,3,FALSE),"")</f>
        <v>N.APPAREL</v>
      </c>
      <c r="J2347" s="69">
        <f t="shared" si="72"/>
        <v>4</v>
      </c>
      <c r="K2347" s="69">
        <f t="shared" si="73"/>
        <v>44</v>
      </c>
      <c r="L2347" s="69">
        <f>VLOOKUP(Table_db1_backend_Daily.accdb[[#This Row],[TradingDate]],canon!B:E,4,0)</f>
        <v>28</v>
      </c>
    </row>
    <row r="2348" spans="1:12" x14ac:dyDescent="0.2">
      <c r="A2348" s="69" t="s">
        <v>44</v>
      </c>
      <c r="B2348" s="70">
        <v>42928</v>
      </c>
      <c r="C2348" s="69">
        <v>65</v>
      </c>
      <c r="D2348" s="69">
        <v>0</v>
      </c>
      <c r="E2348" s="69">
        <v>0</v>
      </c>
      <c r="F2348" s="69">
        <v>0</v>
      </c>
      <c r="G2348" s="69" t="s">
        <v>29</v>
      </c>
      <c r="H2348" s="69" t="str">
        <f>IFERROR(VLOOKUP(Data!$G2348,canon!$I$2:$K$27,2,FALSE),"")</f>
        <v>SHOES</v>
      </c>
      <c r="I2348" s="69" t="str">
        <f>IFERROR(VLOOKUP(Data!$G2348,canon!$I$2:$K$27,3,FALSE),"")</f>
        <v>N.APPAREL</v>
      </c>
      <c r="J2348" s="69">
        <f t="shared" si="72"/>
        <v>4</v>
      </c>
      <c r="K2348" s="69">
        <f t="shared" si="73"/>
        <v>44</v>
      </c>
      <c r="L2348" s="69">
        <f>VLOOKUP(Table_db1_backend_Daily.accdb[[#This Row],[TradingDate]],canon!B:E,4,0)</f>
        <v>28</v>
      </c>
    </row>
    <row r="2349" spans="1:12" x14ac:dyDescent="0.2">
      <c r="A2349" s="69" t="s">
        <v>44</v>
      </c>
      <c r="B2349" s="70">
        <v>42928</v>
      </c>
      <c r="C2349" s="69">
        <v>763</v>
      </c>
      <c r="D2349" s="69">
        <v>9</v>
      </c>
      <c r="E2349" s="69">
        <v>131.58000000000001</v>
      </c>
      <c r="F2349" s="69">
        <v>50.8</v>
      </c>
      <c r="G2349" s="69" t="s">
        <v>17</v>
      </c>
      <c r="H2349" s="69" t="str">
        <f>IFERROR(VLOOKUP(Data!$G2349,canon!$I$2:$K$27,2,FALSE),"")</f>
        <v>OUTER</v>
      </c>
      <c r="I2349" s="69" t="str">
        <f>IFERROR(VLOOKUP(Data!$G2349,canon!$I$2:$K$27,3,FALSE),"")</f>
        <v>APPAREL</v>
      </c>
      <c r="J2349" s="69">
        <f t="shared" si="72"/>
        <v>4</v>
      </c>
      <c r="K2349" s="69">
        <f t="shared" si="73"/>
        <v>44</v>
      </c>
      <c r="L2349" s="69">
        <f>VLOOKUP(Table_db1_backend_Daily.accdb[[#This Row],[TradingDate]],canon!B:E,4,0)</f>
        <v>28</v>
      </c>
    </row>
    <row r="2350" spans="1:12" x14ac:dyDescent="0.2">
      <c r="A2350" s="69" t="s">
        <v>44</v>
      </c>
      <c r="B2350" s="70">
        <v>42928</v>
      </c>
      <c r="C2350" s="69">
        <v>384</v>
      </c>
      <c r="D2350" s="69">
        <v>-1</v>
      </c>
      <c r="E2350" s="69">
        <v>-9.09</v>
      </c>
      <c r="F2350" s="69">
        <v>-3.11</v>
      </c>
      <c r="G2350" s="69" t="s">
        <v>19</v>
      </c>
      <c r="H2350" s="69" t="str">
        <f>IFERROR(VLOOKUP(Data!$G2350,canon!$I$2:$K$27,2,FALSE),"")</f>
        <v>PANT</v>
      </c>
      <c r="I2350" s="69" t="str">
        <f>IFERROR(VLOOKUP(Data!$G2350,canon!$I$2:$K$27,3,FALSE),"")</f>
        <v>APPAREL</v>
      </c>
      <c r="J2350" s="69">
        <f t="shared" si="72"/>
        <v>4</v>
      </c>
      <c r="K2350" s="69">
        <f t="shared" si="73"/>
        <v>44</v>
      </c>
      <c r="L2350" s="69">
        <f>VLOOKUP(Table_db1_backend_Daily.accdb[[#This Row],[TradingDate]],canon!B:E,4,0)</f>
        <v>28</v>
      </c>
    </row>
    <row r="2351" spans="1:12" x14ac:dyDescent="0.2">
      <c r="A2351" s="69" t="s">
        <v>44</v>
      </c>
      <c r="B2351" s="70">
        <v>42928</v>
      </c>
      <c r="C2351" s="69">
        <v>78</v>
      </c>
      <c r="D2351" s="69">
        <v>0</v>
      </c>
      <c r="E2351" s="69">
        <v>0</v>
      </c>
      <c r="F2351" s="69">
        <v>0</v>
      </c>
      <c r="G2351" s="69" t="s">
        <v>21</v>
      </c>
      <c r="H2351" s="69" t="str">
        <f>IFERROR(VLOOKUP(Data!$G2351,canon!$I$2:$K$27,2,FALSE),"")</f>
        <v>ACCESSORY</v>
      </c>
      <c r="I2351" s="69" t="str">
        <f>IFERROR(VLOOKUP(Data!$G2351,canon!$I$2:$K$27,3,FALSE),"")</f>
        <v>N.APPAREL</v>
      </c>
      <c r="J2351" s="69">
        <f t="shared" si="72"/>
        <v>4</v>
      </c>
      <c r="K2351" s="69">
        <f t="shared" si="73"/>
        <v>44</v>
      </c>
      <c r="L2351" s="69">
        <f>VLOOKUP(Table_db1_backend_Daily.accdb[[#This Row],[TradingDate]],canon!B:E,4,0)</f>
        <v>28</v>
      </c>
    </row>
    <row r="2352" spans="1:12" x14ac:dyDescent="0.2">
      <c r="A2352" s="69" t="s">
        <v>44</v>
      </c>
      <c r="B2352" s="70">
        <v>42928</v>
      </c>
      <c r="C2352" s="69">
        <v>1190</v>
      </c>
      <c r="D2352" s="69">
        <v>10</v>
      </c>
      <c r="E2352" s="69">
        <v>72.28</v>
      </c>
      <c r="F2352" s="69">
        <v>55.28</v>
      </c>
      <c r="G2352" s="69" t="s">
        <v>22</v>
      </c>
      <c r="H2352" s="69" t="str">
        <f>IFERROR(VLOOKUP(Data!$G2352,canon!$I$2:$K$27,2,FALSE),"")</f>
        <v>SCARF</v>
      </c>
      <c r="I2352" s="69" t="str">
        <f>IFERROR(VLOOKUP(Data!$G2352,canon!$I$2:$K$27,3,FALSE),"")</f>
        <v>N.APPAREL</v>
      </c>
      <c r="J2352" s="69">
        <f t="shared" si="72"/>
        <v>4</v>
      </c>
      <c r="K2352" s="69">
        <f t="shared" si="73"/>
        <v>44</v>
      </c>
      <c r="L2352" s="69">
        <f>VLOOKUP(Table_db1_backend_Daily.accdb[[#This Row],[TradingDate]],canon!B:E,4,0)</f>
        <v>28</v>
      </c>
    </row>
    <row r="2353" spans="1:12" x14ac:dyDescent="0.2">
      <c r="A2353" s="69" t="s">
        <v>44</v>
      </c>
      <c r="B2353" s="70">
        <v>42928</v>
      </c>
      <c r="C2353" s="69">
        <v>155</v>
      </c>
      <c r="D2353" s="69">
        <v>0</v>
      </c>
      <c r="E2353" s="69">
        <v>0</v>
      </c>
      <c r="F2353" s="69">
        <v>0</v>
      </c>
      <c r="G2353" s="69" t="s">
        <v>23</v>
      </c>
      <c r="H2353" s="69" t="str">
        <f>IFERROR(VLOOKUP(Data!$G2353,canon!$I$2:$K$27,2,FALSE),"")</f>
        <v>SH&amp;BL</v>
      </c>
      <c r="I2353" s="69" t="str">
        <f>IFERROR(VLOOKUP(Data!$G2353,canon!$I$2:$K$27,3,FALSE),"")</f>
        <v>APPAREL</v>
      </c>
      <c r="J2353" s="69">
        <f t="shared" si="72"/>
        <v>4</v>
      </c>
      <c r="K2353" s="69">
        <f t="shared" si="73"/>
        <v>44</v>
      </c>
      <c r="L2353" s="69">
        <f>VLOOKUP(Table_db1_backend_Daily.accdb[[#This Row],[TradingDate]],canon!B:E,4,0)</f>
        <v>28</v>
      </c>
    </row>
    <row r="2354" spans="1:12" x14ac:dyDescent="0.2">
      <c r="A2354" s="69" t="s">
        <v>44</v>
      </c>
      <c r="B2354" s="70">
        <v>42928</v>
      </c>
      <c r="C2354" s="69">
        <v>490</v>
      </c>
      <c r="D2354" s="69">
        <v>2</v>
      </c>
      <c r="E2354" s="69">
        <v>18.18</v>
      </c>
      <c r="F2354" s="69">
        <v>5.5699999999999994</v>
      </c>
      <c r="G2354" s="69" t="s">
        <v>32</v>
      </c>
      <c r="H2354" s="69" t="str">
        <f>IFERROR(VLOOKUP(Data!$G2354,canon!$I$2:$K$27,2,FALSE),"")</f>
        <v>SKIRT</v>
      </c>
      <c r="I2354" s="69" t="str">
        <f>IFERROR(VLOOKUP(Data!$G2354,canon!$I$2:$K$27,3,FALSE),"")</f>
        <v>APPAREL</v>
      </c>
      <c r="J2354" s="69">
        <f t="shared" si="72"/>
        <v>4</v>
      </c>
      <c r="K2354" s="69">
        <f t="shared" si="73"/>
        <v>44</v>
      </c>
      <c r="L2354" s="69">
        <f>VLOOKUP(Table_db1_backend_Daily.accdb[[#This Row],[TradingDate]],canon!B:E,4,0)</f>
        <v>28</v>
      </c>
    </row>
    <row r="2355" spans="1:12" x14ac:dyDescent="0.2">
      <c r="A2355" s="69" t="s">
        <v>44</v>
      </c>
      <c r="B2355" s="70">
        <v>42928</v>
      </c>
      <c r="C2355" s="69">
        <v>1532</v>
      </c>
      <c r="D2355" s="69">
        <v>14</v>
      </c>
      <c r="E2355" s="69">
        <v>95.460000000000008</v>
      </c>
      <c r="F2355" s="69">
        <v>28.2</v>
      </c>
      <c r="G2355" s="69" t="s">
        <v>25</v>
      </c>
      <c r="H2355" s="69" t="str">
        <f>IFERROR(VLOOKUP(Data!$G2355,canon!$I$2:$K$27,2,FALSE),"")</f>
        <v>TOP</v>
      </c>
      <c r="I2355" s="69" t="str">
        <f>IFERROR(VLOOKUP(Data!$G2355,canon!$I$2:$K$27,3,FALSE),"")</f>
        <v>APPAREL</v>
      </c>
      <c r="J2355" s="69">
        <f t="shared" si="72"/>
        <v>4</v>
      </c>
      <c r="K2355" s="69">
        <f t="shared" si="73"/>
        <v>44</v>
      </c>
      <c r="L2355" s="69">
        <f>VLOOKUP(Table_db1_backend_Daily.accdb[[#This Row],[TradingDate]],canon!B:E,4,0)</f>
        <v>28</v>
      </c>
    </row>
    <row r="2356" spans="1:12" x14ac:dyDescent="0.2">
      <c r="A2356" s="69" t="s">
        <v>44</v>
      </c>
      <c r="B2356" s="70">
        <v>42929</v>
      </c>
      <c r="C2356" s="69">
        <v>33</v>
      </c>
      <c r="D2356" s="69">
        <v>0</v>
      </c>
      <c r="E2356" s="69">
        <v>0</v>
      </c>
      <c r="F2356" s="69">
        <v>0</v>
      </c>
      <c r="G2356" s="69" t="s">
        <v>34</v>
      </c>
      <c r="H2356" s="69" t="str">
        <f>IFERROR(VLOOKUP(Data!$G2356,canon!$I$2:$K$27,2,FALSE),"")</f>
        <v>SHOES</v>
      </c>
      <c r="I2356" s="69" t="str">
        <f>IFERROR(VLOOKUP(Data!$G2356,canon!$I$2:$K$27,3,FALSE),"")</f>
        <v>N.APPAREL</v>
      </c>
      <c r="J2356" s="69">
        <f t="shared" si="72"/>
        <v>5</v>
      </c>
      <c r="K2356" s="69">
        <f t="shared" si="73"/>
        <v>44</v>
      </c>
      <c r="L2356" s="69">
        <f>VLOOKUP(Table_db1_backend_Daily.accdb[[#This Row],[TradingDate]],canon!B:E,4,0)</f>
        <v>28</v>
      </c>
    </row>
    <row r="2357" spans="1:12" x14ac:dyDescent="0.2">
      <c r="A2357" s="69" t="s">
        <v>44</v>
      </c>
      <c r="B2357" s="70">
        <v>42929</v>
      </c>
      <c r="C2357" s="69">
        <v>2</v>
      </c>
      <c r="D2357" s="69">
        <v>0</v>
      </c>
      <c r="E2357" s="69">
        <v>0</v>
      </c>
      <c r="F2357" s="69">
        <v>0</v>
      </c>
      <c r="G2357" s="69" t="s">
        <v>38</v>
      </c>
      <c r="H2357" s="69" t="str">
        <f>IFERROR(VLOOKUP(Data!$G2357,canon!$I$2:$K$27,2,FALSE),"")</f>
        <v>SHOES</v>
      </c>
      <c r="I2357" s="69" t="str">
        <f>IFERROR(VLOOKUP(Data!$G2357,canon!$I$2:$K$27,3,FALSE),"")</f>
        <v>N.APPAREL</v>
      </c>
      <c r="J2357" s="69">
        <f t="shared" si="72"/>
        <v>5</v>
      </c>
      <c r="K2357" s="69">
        <f t="shared" si="73"/>
        <v>44</v>
      </c>
      <c r="L2357" s="69">
        <f>VLOOKUP(Table_db1_backend_Daily.accdb[[#This Row],[TradingDate]],canon!B:E,4,0)</f>
        <v>28</v>
      </c>
    </row>
    <row r="2358" spans="1:12" x14ac:dyDescent="0.2">
      <c r="A2358" s="69" t="s">
        <v>44</v>
      </c>
      <c r="B2358" s="70">
        <v>42929</v>
      </c>
      <c r="C2358" s="69">
        <v>560</v>
      </c>
      <c r="D2358" s="69">
        <v>1</v>
      </c>
      <c r="E2358" s="69">
        <v>9.09</v>
      </c>
      <c r="F2358" s="69">
        <v>0.39</v>
      </c>
      <c r="G2358" s="69" t="s">
        <v>35</v>
      </c>
      <c r="H2358" s="69" t="str">
        <f>IFERROR(VLOOKUP(Data!$G2358,canon!$I$2:$K$27,2,FALSE),"")</f>
        <v>DRESS</v>
      </c>
      <c r="I2358" s="69" t="str">
        <f>IFERROR(VLOOKUP(Data!$G2358,canon!$I$2:$K$27,3,FALSE),"")</f>
        <v>APPAREL</v>
      </c>
      <c r="J2358" s="69">
        <f t="shared" si="72"/>
        <v>5</v>
      </c>
      <c r="K2358" s="69">
        <f t="shared" si="73"/>
        <v>44</v>
      </c>
      <c r="L2358" s="69">
        <f>VLOOKUP(Table_db1_backend_Daily.accdb[[#This Row],[TradingDate]],canon!B:E,4,0)</f>
        <v>28</v>
      </c>
    </row>
    <row r="2359" spans="1:12" x14ac:dyDescent="0.2">
      <c r="A2359" s="69" t="s">
        <v>44</v>
      </c>
      <c r="B2359" s="70">
        <v>42929</v>
      </c>
      <c r="C2359" s="69">
        <v>34</v>
      </c>
      <c r="D2359" s="69">
        <v>0</v>
      </c>
      <c r="E2359" s="69">
        <v>0</v>
      </c>
      <c r="F2359" s="69">
        <v>0</v>
      </c>
      <c r="G2359" s="69" t="s">
        <v>10</v>
      </c>
      <c r="H2359" s="69" t="str">
        <f>IFERROR(VLOOKUP(Data!$G2359,canon!$I$2:$K$27,2,FALSE),"")</f>
        <v>ACCESSORY</v>
      </c>
      <c r="I2359" s="69" t="str">
        <f>IFERROR(VLOOKUP(Data!$G2359,canon!$I$2:$K$27,3,FALSE),"")</f>
        <v>N.APPAREL</v>
      </c>
      <c r="J2359" s="69">
        <f t="shared" si="72"/>
        <v>5</v>
      </c>
      <c r="K2359" s="69">
        <f t="shared" si="73"/>
        <v>44</v>
      </c>
      <c r="L2359" s="69">
        <f>VLOOKUP(Table_db1_backend_Daily.accdb[[#This Row],[TradingDate]],canon!B:E,4,0)</f>
        <v>28</v>
      </c>
    </row>
    <row r="2360" spans="1:12" x14ac:dyDescent="0.2">
      <c r="A2360" s="69" t="s">
        <v>44</v>
      </c>
      <c r="B2360" s="70">
        <v>42929</v>
      </c>
      <c r="C2360" s="69">
        <v>2</v>
      </c>
      <c r="D2360" s="69">
        <v>0</v>
      </c>
      <c r="E2360" s="69">
        <v>0</v>
      </c>
      <c r="F2360" s="69">
        <v>0</v>
      </c>
      <c r="G2360" s="69" t="s">
        <v>28</v>
      </c>
      <c r="H2360" s="69" t="str">
        <f>IFERROR(VLOOKUP(Data!$G2360,canon!$I$2:$K$27,2,FALSE),"")</f>
        <v>ACCESSORY</v>
      </c>
      <c r="I2360" s="69" t="str">
        <f>IFERROR(VLOOKUP(Data!$G2360,canon!$I$2:$K$27,3,FALSE),"")</f>
        <v>N.APPAREL</v>
      </c>
      <c r="J2360" s="69">
        <f t="shared" si="72"/>
        <v>5</v>
      </c>
      <c r="K2360" s="69">
        <f t="shared" si="73"/>
        <v>44</v>
      </c>
      <c r="L2360" s="69">
        <f>VLOOKUP(Table_db1_backend_Daily.accdb[[#This Row],[TradingDate]],canon!B:E,4,0)</f>
        <v>28</v>
      </c>
    </row>
    <row r="2361" spans="1:12" x14ac:dyDescent="0.2">
      <c r="A2361" s="69" t="s">
        <v>44</v>
      </c>
      <c r="B2361" s="70">
        <v>42929</v>
      </c>
      <c r="C2361" s="69">
        <v>2060</v>
      </c>
      <c r="D2361" s="69">
        <v>40</v>
      </c>
      <c r="E2361" s="69">
        <v>426.84999999999985</v>
      </c>
      <c r="F2361" s="69">
        <v>128.89999999999998</v>
      </c>
      <c r="G2361" s="69" t="s">
        <v>11</v>
      </c>
      <c r="H2361" s="69" t="str">
        <f>IFERROR(VLOOKUP(Data!$G2361,canon!$I$2:$K$27,2,FALSE),"")</f>
        <v>KNIT</v>
      </c>
      <c r="I2361" s="69" t="str">
        <f>IFERROR(VLOOKUP(Data!$G2361,canon!$I$2:$K$27,3,FALSE),"")</f>
        <v>APPAREL</v>
      </c>
      <c r="J2361" s="69">
        <f t="shared" si="72"/>
        <v>5</v>
      </c>
      <c r="K2361" s="69">
        <f t="shared" si="73"/>
        <v>44</v>
      </c>
      <c r="L2361" s="69">
        <f>VLOOKUP(Table_db1_backend_Daily.accdb[[#This Row],[TradingDate]],canon!B:E,4,0)</f>
        <v>28</v>
      </c>
    </row>
    <row r="2362" spans="1:12" x14ac:dyDescent="0.2">
      <c r="A2362" s="69" t="s">
        <v>44</v>
      </c>
      <c r="B2362" s="70">
        <v>42929</v>
      </c>
      <c r="C2362" s="69">
        <v>486</v>
      </c>
      <c r="D2362" s="69">
        <v>1</v>
      </c>
      <c r="E2362" s="69">
        <v>27.26</v>
      </c>
      <c r="F2362" s="69">
        <v>20.190000000000001</v>
      </c>
      <c r="G2362" s="69" t="s">
        <v>14</v>
      </c>
      <c r="H2362" s="69" t="str">
        <f>IFERROR(VLOOKUP(Data!$G2362,canon!$I$2:$K$27,2,FALSE),"")</f>
        <v>LEGGING</v>
      </c>
      <c r="I2362" s="69" t="str">
        <f>IFERROR(VLOOKUP(Data!$G2362,canon!$I$2:$K$27,3,FALSE),"")</f>
        <v>APPAREL</v>
      </c>
      <c r="J2362" s="69">
        <f t="shared" si="72"/>
        <v>5</v>
      </c>
      <c r="K2362" s="69">
        <f t="shared" si="73"/>
        <v>44</v>
      </c>
      <c r="L2362" s="69">
        <f>VLOOKUP(Table_db1_backend_Daily.accdb[[#This Row],[TradingDate]],canon!B:E,4,0)</f>
        <v>28</v>
      </c>
    </row>
    <row r="2363" spans="1:12" x14ac:dyDescent="0.2">
      <c r="A2363" s="69" t="s">
        <v>44</v>
      </c>
      <c r="B2363" s="70">
        <v>42929</v>
      </c>
      <c r="C2363" s="69">
        <v>23</v>
      </c>
      <c r="D2363" s="69">
        <v>0</v>
      </c>
      <c r="E2363" s="69">
        <v>0</v>
      </c>
      <c r="F2363" s="69">
        <v>0</v>
      </c>
      <c r="G2363" s="69" t="s">
        <v>37</v>
      </c>
      <c r="H2363" s="69" t="str">
        <f>IFERROR(VLOOKUP(Data!$G2363,canon!$I$2:$K$27,2,FALSE),"")</f>
        <v>SHOES</v>
      </c>
      <c r="I2363" s="69" t="str">
        <f>IFERROR(VLOOKUP(Data!$G2363,canon!$I$2:$K$27,3,FALSE),"")</f>
        <v>N.APPAREL</v>
      </c>
      <c r="J2363" s="69">
        <f t="shared" si="72"/>
        <v>5</v>
      </c>
      <c r="K2363" s="69">
        <f t="shared" si="73"/>
        <v>44</v>
      </c>
      <c r="L2363" s="69">
        <f>VLOOKUP(Table_db1_backend_Daily.accdb[[#This Row],[TradingDate]],canon!B:E,4,0)</f>
        <v>28</v>
      </c>
    </row>
    <row r="2364" spans="1:12" x14ac:dyDescent="0.2">
      <c r="A2364" s="69" t="s">
        <v>44</v>
      </c>
      <c r="B2364" s="70">
        <v>42929</v>
      </c>
      <c r="C2364" s="69">
        <v>65</v>
      </c>
      <c r="D2364" s="69">
        <v>0</v>
      </c>
      <c r="E2364" s="69">
        <v>0</v>
      </c>
      <c r="F2364" s="69">
        <v>0</v>
      </c>
      <c r="G2364" s="69" t="s">
        <v>29</v>
      </c>
      <c r="H2364" s="69" t="str">
        <f>IFERROR(VLOOKUP(Data!$G2364,canon!$I$2:$K$27,2,FALSE),"")</f>
        <v>SHOES</v>
      </c>
      <c r="I2364" s="69" t="str">
        <f>IFERROR(VLOOKUP(Data!$G2364,canon!$I$2:$K$27,3,FALSE),"")</f>
        <v>N.APPAREL</v>
      </c>
      <c r="J2364" s="69">
        <f t="shared" si="72"/>
        <v>5</v>
      </c>
      <c r="K2364" s="69">
        <f t="shared" si="73"/>
        <v>44</v>
      </c>
      <c r="L2364" s="69">
        <f>VLOOKUP(Table_db1_backend_Daily.accdb[[#This Row],[TradingDate]],canon!B:E,4,0)</f>
        <v>28</v>
      </c>
    </row>
    <row r="2365" spans="1:12" x14ac:dyDescent="0.2">
      <c r="A2365" s="69" t="s">
        <v>44</v>
      </c>
      <c r="B2365" s="70">
        <v>42929</v>
      </c>
      <c r="C2365" s="69">
        <v>751</v>
      </c>
      <c r="D2365" s="69">
        <v>12</v>
      </c>
      <c r="E2365" s="69">
        <v>185.98000000000002</v>
      </c>
      <c r="F2365" s="69">
        <v>66.800000000000011</v>
      </c>
      <c r="G2365" s="69" t="s">
        <v>17</v>
      </c>
      <c r="H2365" s="69" t="str">
        <f>IFERROR(VLOOKUP(Data!$G2365,canon!$I$2:$K$27,2,FALSE),"")</f>
        <v>OUTER</v>
      </c>
      <c r="I2365" s="69" t="str">
        <f>IFERROR(VLOOKUP(Data!$G2365,canon!$I$2:$K$27,3,FALSE),"")</f>
        <v>APPAREL</v>
      </c>
      <c r="J2365" s="69">
        <f t="shared" si="72"/>
        <v>5</v>
      </c>
      <c r="K2365" s="69">
        <f t="shared" si="73"/>
        <v>44</v>
      </c>
      <c r="L2365" s="69">
        <f>VLOOKUP(Table_db1_backend_Daily.accdb[[#This Row],[TradingDate]],canon!B:E,4,0)</f>
        <v>28</v>
      </c>
    </row>
    <row r="2366" spans="1:12" x14ac:dyDescent="0.2">
      <c r="A2366" s="69" t="s">
        <v>44</v>
      </c>
      <c r="B2366" s="70">
        <v>42929</v>
      </c>
      <c r="C2366" s="69">
        <v>382</v>
      </c>
      <c r="D2366" s="69">
        <v>2</v>
      </c>
      <c r="E2366" s="69">
        <v>18.18</v>
      </c>
      <c r="F2366" s="69">
        <v>6.4399999999999995</v>
      </c>
      <c r="G2366" s="69" t="s">
        <v>19</v>
      </c>
      <c r="H2366" s="69" t="str">
        <f>IFERROR(VLOOKUP(Data!$G2366,canon!$I$2:$K$27,2,FALSE),"")</f>
        <v>PANT</v>
      </c>
      <c r="I2366" s="69" t="str">
        <f>IFERROR(VLOOKUP(Data!$G2366,canon!$I$2:$K$27,3,FALSE),"")</f>
        <v>APPAREL</v>
      </c>
      <c r="J2366" s="69">
        <f t="shared" si="72"/>
        <v>5</v>
      </c>
      <c r="K2366" s="69">
        <f t="shared" si="73"/>
        <v>44</v>
      </c>
      <c r="L2366" s="69">
        <f>VLOOKUP(Table_db1_backend_Daily.accdb[[#This Row],[TradingDate]],canon!B:E,4,0)</f>
        <v>28</v>
      </c>
    </row>
    <row r="2367" spans="1:12" x14ac:dyDescent="0.2">
      <c r="A2367" s="69" t="s">
        <v>44</v>
      </c>
      <c r="B2367" s="70">
        <v>42929</v>
      </c>
      <c r="C2367" s="69">
        <v>78</v>
      </c>
      <c r="D2367" s="69">
        <v>0</v>
      </c>
      <c r="E2367" s="69">
        <v>0</v>
      </c>
      <c r="F2367" s="69">
        <v>0</v>
      </c>
      <c r="G2367" s="69" t="s">
        <v>21</v>
      </c>
      <c r="H2367" s="69" t="str">
        <f>IFERROR(VLOOKUP(Data!$G2367,canon!$I$2:$K$27,2,FALSE),"")</f>
        <v>ACCESSORY</v>
      </c>
      <c r="I2367" s="69" t="str">
        <f>IFERROR(VLOOKUP(Data!$G2367,canon!$I$2:$K$27,3,FALSE),"")</f>
        <v>N.APPAREL</v>
      </c>
      <c r="J2367" s="69">
        <f t="shared" si="72"/>
        <v>5</v>
      </c>
      <c r="K2367" s="69">
        <f t="shared" si="73"/>
        <v>44</v>
      </c>
      <c r="L2367" s="69">
        <f>VLOOKUP(Table_db1_backend_Daily.accdb[[#This Row],[TradingDate]],canon!B:E,4,0)</f>
        <v>28</v>
      </c>
    </row>
    <row r="2368" spans="1:12" x14ac:dyDescent="0.2">
      <c r="A2368" s="69" t="s">
        <v>44</v>
      </c>
      <c r="B2368" s="70">
        <v>42929</v>
      </c>
      <c r="C2368" s="69">
        <v>1171</v>
      </c>
      <c r="D2368" s="69">
        <v>19</v>
      </c>
      <c r="E2368" s="69">
        <v>137.35999999999999</v>
      </c>
      <c r="F2368" s="69">
        <v>101.53</v>
      </c>
      <c r="G2368" s="69" t="s">
        <v>22</v>
      </c>
      <c r="H2368" s="69" t="str">
        <f>IFERROR(VLOOKUP(Data!$G2368,canon!$I$2:$K$27,2,FALSE),"")</f>
        <v>SCARF</v>
      </c>
      <c r="I2368" s="69" t="str">
        <f>IFERROR(VLOOKUP(Data!$G2368,canon!$I$2:$K$27,3,FALSE),"")</f>
        <v>N.APPAREL</v>
      </c>
      <c r="J2368" s="69">
        <f t="shared" si="72"/>
        <v>5</v>
      </c>
      <c r="K2368" s="69">
        <f t="shared" si="73"/>
        <v>44</v>
      </c>
      <c r="L2368" s="69">
        <f>VLOOKUP(Table_db1_backend_Daily.accdb[[#This Row],[TradingDate]],canon!B:E,4,0)</f>
        <v>28</v>
      </c>
    </row>
    <row r="2369" spans="1:12" x14ac:dyDescent="0.2">
      <c r="A2369" s="69" t="s">
        <v>44</v>
      </c>
      <c r="B2369" s="70">
        <v>42929</v>
      </c>
      <c r="C2369" s="69">
        <v>155</v>
      </c>
      <c r="D2369" s="69">
        <v>0</v>
      </c>
      <c r="E2369" s="69">
        <v>0</v>
      </c>
      <c r="F2369" s="69">
        <v>0</v>
      </c>
      <c r="G2369" s="69" t="s">
        <v>23</v>
      </c>
      <c r="H2369" s="69" t="str">
        <f>IFERROR(VLOOKUP(Data!$G2369,canon!$I$2:$K$27,2,FALSE),"")</f>
        <v>SH&amp;BL</v>
      </c>
      <c r="I2369" s="69" t="str">
        <f>IFERROR(VLOOKUP(Data!$G2369,canon!$I$2:$K$27,3,FALSE),"")</f>
        <v>APPAREL</v>
      </c>
      <c r="J2369" s="69">
        <f t="shared" si="72"/>
        <v>5</v>
      </c>
      <c r="K2369" s="69">
        <f t="shared" si="73"/>
        <v>44</v>
      </c>
      <c r="L2369" s="69">
        <f>VLOOKUP(Table_db1_backend_Daily.accdb[[#This Row],[TradingDate]],canon!B:E,4,0)</f>
        <v>28</v>
      </c>
    </row>
    <row r="2370" spans="1:12" x14ac:dyDescent="0.2">
      <c r="A2370" s="69" t="s">
        <v>44</v>
      </c>
      <c r="B2370" s="70">
        <v>42929</v>
      </c>
      <c r="C2370" s="69">
        <v>488</v>
      </c>
      <c r="D2370" s="69">
        <v>2</v>
      </c>
      <c r="E2370" s="69">
        <v>18.16</v>
      </c>
      <c r="F2370" s="69">
        <v>8.6</v>
      </c>
      <c r="G2370" s="69" t="s">
        <v>32</v>
      </c>
      <c r="H2370" s="69" t="str">
        <f>IFERROR(VLOOKUP(Data!$G2370,canon!$I$2:$K$27,2,FALSE),"")</f>
        <v>SKIRT</v>
      </c>
      <c r="I2370" s="69" t="str">
        <f>IFERROR(VLOOKUP(Data!$G2370,canon!$I$2:$K$27,3,FALSE),"")</f>
        <v>APPAREL</v>
      </c>
      <c r="J2370" s="69">
        <f t="shared" ref="J2370:J2433" si="74">WEEKDAY(B2370)</f>
        <v>5</v>
      </c>
      <c r="K2370" s="69">
        <f t="shared" ref="K2370:K2433" si="75">INT(A2370)</f>
        <v>44</v>
      </c>
      <c r="L2370" s="69">
        <f>VLOOKUP(Table_db1_backend_Daily.accdb[[#This Row],[TradingDate]],canon!B:E,4,0)</f>
        <v>28</v>
      </c>
    </row>
    <row r="2371" spans="1:12" x14ac:dyDescent="0.2">
      <c r="A2371" s="69" t="s">
        <v>44</v>
      </c>
      <c r="B2371" s="70">
        <v>42929</v>
      </c>
      <c r="C2371" s="69">
        <v>1493</v>
      </c>
      <c r="D2371" s="69">
        <v>39</v>
      </c>
      <c r="E2371" s="69">
        <v>250.03</v>
      </c>
      <c r="F2371" s="69">
        <v>69.259999999999991</v>
      </c>
      <c r="G2371" s="69" t="s">
        <v>25</v>
      </c>
      <c r="H2371" s="69" t="str">
        <f>IFERROR(VLOOKUP(Data!$G2371,canon!$I$2:$K$27,2,FALSE),"")</f>
        <v>TOP</v>
      </c>
      <c r="I2371" s="69" t="str">
        <f>IFERROR(VLOOKUP(Data!$G2371,canon!$I$2:$K$27,3,FALSE),"")</f>
        <v>APPAREL</v>
      </c>
      <c r="J2371" s="69">
        <f t="shared" si="74"/>
        <v>5</v>
      </c>
      <c r="K2371" s="69">
        <f t="shared" si="75"/>
        <v>44</v>
      </c>
      <c r="L2371" s="69">
        <f>VLOOKUP(Table_db1_backend_Daily.accdb[[#This Row],[TradingDate]],canon!B:E,4,0)</f>
        <v>28</v>
      </c>
    </row>
    <row r="2372" spans="1:12" x14ac:dyDescent="0.2">
      <c r="A2372" s="69" t="s">
        <v>44</v>
      </c>
      <c r="B2372" s="70">
        <v>42930</v>
      </c>
      <c r="C2372" s="69">
        <v>33</v>
      </c>
      <c r="D2372" s="69">
        <v>0</v>
      </c>
      <c r="E2372" s="69">
        <v>0</v>
      </c>
      <c r="F2372" s="69">
        <v>0</v>
      </c>
      <c r="G2372" s="69" t="s">
        <v>34</v>
      </c>
      <c r="H2372" s="69" t="str">
        <f>IFERROR(VLOOKUP(Data!$G2372,canon!$I$2:$K$27,2,FALSE),"")</f>
        <v>SHOES</v>
      </c>
      <c r="I2372" s="69" t="str">
        <f>IFERROR(VLOOKUP(Data!$G2372,canon!$I$2:$K$27,3,FALSE),"")</f>
        <v>N.APPAREL</v>
      </c>
      <c r="J2372" s="69">
        <f t="shared" si="74"/>
        <v>6</v>
      </c>
      <c r="K2372" s="69">
        <f t="shared" si="75"/>
        <v>44</v>
      </c>
      <c r="L2372" s="69">
        <f>VLOOKUP(Table_db1_backend_Daily.accdb[[#This Row],[TradingDate]],canon!B:E,4,0)</f>
        <v>28</v>
      </c>
    </row>
    <row r="2373" spans="1:12" x14ac:dyDescent="0.2">
      <c r="A2373" s="69" t="s">
        <v>44</v>
      </c>
      <c r="B2373" s="70">
        <v>42930</v>
      </c>
      <c r="C2373" s="69">
        <v>2</v>
      </c>
      <c r="D2373" s="69">
        <v>0</v>
      </c>
      <c r="E2373" s="69">
        <v>0</v>
      </c>
      <c r="F2373" s="69">
        <v>0</v>
      </c>
      <c r="G2373" s="69" t="s">
        <v>38</v>
      </c>
      <c r="H2373" s="69" t="str">
        <f>IFERROR(VLOOKUP(Data!$G2373,canon!$I$2:$K$27,2,FALSE),"")</f>
        <v>SHOES</v>
      </c>
      <c r="I2373" s="69" t="str">
        <f>IFERROR(VLOOKUP(Data!$G2373,canon!$I$2:$K$27,3,FALSE),"")</f>
        <v>N.APPAREL</v>
      </c>
      <c r="J2373" s="69">
        <f t="shared" si="74"/>
        <v>6</v>
      </c>
      <c r="K2373" s="69">
        <f t="shared" si="75"/>
        <v>44</v>
      </c>
      <c r="L2373" s="69">
        <f>VLOOKUP(Table_db1_backend_Daily.accdb[[#This Row],[TradingDate]],canon!B:E,4,0)</f>
        <v>28</v>
      </c>
    </row>
    <row r="2374" spans="1:12" x14ac:dyDescent="0.2">
      <c r="A2374" s="69" t="s">
        <v>44</v>
      </c>
      <c r="B2374" s="70">
        <v>42930</v>
      </c>
      <c r="C2374" s="69">
        <v>560</v>
      </c>
      <c r="D2374" s="69">
        <v>0</v>
      </c>
      <c r="E2374" s="69">
        <v>0</v>
      </c>
      <c r="F2374" s="69">
        <v>0</v>
      </c>
      <c r="G2374" s="69" t="s">
        <v>35</v>
      </c>
      <c r="H2374" s="69" t="str">
        <f>IFERROR(VLOOKUP(Data!$G2374,canon!$I$2:$K$27,2,FALSE),"")</f>
        <v>DRESS</v>
      </c>
      <c r="I2374" s="69" t="str">
        <f>IFERROR(VLOOKUP(Data!$G2374,canon!$I$2:$K$27,3,FALSE),"")</f>
        <v>APPAREL</v>
      </c>
      <c r="J2374" s="69">
        <f t="shared" si="74"/>
        <v>6</v>
      </c>
      <c r="K2374" s="69">
        <f t="shared" si="75"/>
        <v>44</v>
      </c>
      <c r="L2374" s="69">
        <f>VLOOKUP(Table_db1_backend_Daily.accdb[[#This Row],[TradingDate]],canon!B:E,4,0)</f>
        <v>28</v>
      </c>
    </row>
    <row r="2375" spans="1:12" x14ac:dyDescent="0.2">
      <c r="A2375" s="69" t="s">
        <v>44</v>
      </c>
      <c r="B2375" s="70">
        <v>42930</v>
      </c>
      <c r="C2375" s="69">
        <v>34</v>
      </c>
      <c r="D2375" s="69">
        <v>0</v>
      </c>
      <c r="E2375" s="69">
        <v>0</v>
      </c>
      <c r="F2375" s="69">
        <v>0</v>
      </c>
      <c r="G2375" s="69" t="s">
        <v>10</v>
      </c>
      <c r="H2375" s="69" t="str">
        <f>IFERROR(VLOOKUP(Data!$G2375,canon!$I$2:$K$27,2,FALSE),"")</f>
        <v>ACCESSORY</v>
      </c>
      <c r="I2375" s="69" t="str">
        <f>IFERROR(VLOOKUP(Data!$G2375,canon!$I$2:$K$27,3,FALSE),"")</f>
        <v>N.APPAREL</v>
      </c>
      <c r="J2375" s="69">
        <f t="shared" si="74"/>
        <v>6</v>
      </c>
      <c r="K2375" s="69">
        <f t="shared" si="75"/>
        <v>44</v>
      </c>
      <c r="L2375" s="69">
        <f>VLOOKUP(Table_db1_backend_Daily.accdb[[#This Row],[TradingDate]],canon!B:E,4,0)</f>
        <v>28</v>
      </c>
    </row>
    <row r="2376" spans="1:12" x14ac:dyDescent="0.2">
      <c r="A2376" s="69" t="s">
        <v>44</v>
      </c>
      <c r="B2376" s="70">
        <v>42930</v>
      </c>
      <c r="C2376" s="69">
        <v>2</v>
      </c>
      <c r="D2376" s="69">
        <v>0</v>
      </c>
      <c r="E2376" s="69">
        <v>0</v>
      </c>
      <c r="F2376" s="69">
        <v>0</v>
      </c>
      <c r="G2376" s="69" t="s">
        <v>28</v>
      </c>
      <c r="H2376" s="69" t="str">
        <f>IFERROR(VLOOKUP(Data!$G2376,canon!$I$2:$K$27,2,FALSE),"")</f>
        <v>ACCESSORY</v>
      </c>
      <c r="I2376" s="69" t="str">
        <f>IFERROR(VLOOKUP(Data!$G2376,canon!$I$2:$K$27,3,FALSE),"")</f>
        <v>N.APPAREL</v>
      </c>
      <c r="J2376" s="69">
        <f t="shared" si="74"/>
        <v>6</v>
      </c>
      <c r="K2376" s="69">
        <f t="shared" si="75"/>
        <v>44</v>
      </c>
      <c r="L2376" s="69">
        <f>VLOOKUP(Table_db1_backend_Daily.accdb[[#This Row],[TradingDate]],canon!B:E,4,0)</f>
        <v>28</v>
      </c>
    </row>
    <row r="2377" spans="1:12" x14ac:dyDescent="0.2">
      <c r="A2377" s="69" t="s">
        <v>44</v>
      </c>
      <c r="B2377" s="70">
        <v>42930</v>
      </c>
      <c r="C2377" s="69">
        <v>2031</v>
      </c>
      <c r="D2377" s="69">
        <v>29</v>
      </c>
      <c r="E2377" s="69">
        <v>317.96000000000004</v>
      </c>
      <c r="F2377" s="69">
        <v>102.73999999999998</v>
      </c>
      <c r="G2377" s="69" t="s">
        <v>11</v>
      </c>
      <c r="H2377" s="69" t="str">
        <f>IFERROR(VLOOKUP(Data!$G2377,canon!$I$2:$K$27,2,FALSE),"")</f>
        <v>KNIT</v>
      </c>
      <c r="I2377" s="69" t="str">
        <f>IFERROR(VLOOKUP(Data!$G2377,canon!$I$2:$K$27,3,FALSE),"")</f>
        <v>APPAREL</v>
      </c>
      <c r="J2377" s="69">
        <f t="shared" si="74"/>
        <v>6</v>
      </c>
      <c r="K2377" s="69">
        <f t="shared" si="75"/>
        <v>44</v>
      </c>
      <c r="L2377" s="69">
        <f>VLOOKUP(Table_db1_backend_Daily.accdb[[#This Row],[TradingDate]],canon!B:E,4,0)</f>
        <v>28</v>
      </c>
    </row>
    <row r="2378" spans="1:12" x14ac:dyDescent="0.2">
      <c r="A2378" s="69" t="s">
        <v>44</v>
      </c>
      <c r="B2378" s="70">
        <v>42930</v>
      </c>
      <c r="C2378" s="69">
        <v>485</v>
      </c>
      <c r="D2378" s="69">
        <v>1</v>
      </c>
      <c r="E2378" s="69">
        <v>27.25</v>
      </c>
      <c r="F2378" s="69">
        <v>20.73</v>
      </c>
      <c r="G2378" s="69" t="s">
        <v>14</v>
      </c>
      <c r="H2378" s="69" t="str">
        <f>IFERROR(VLOOKUP(Data!$G2378,canon!$I$2:$K$27,2,FALSE),"")</f>
        <v>LEGGING</v>
      </c>
      <c r="I2378" s="69" t="str">
        <f>IFERROR(VLOOKUP(Data!$G2378,canon!$I$2:$K$27,3,FALSE),"")</f>
        <v>APPAREL</v>
      </c>
      <c r="J2378" s="69">
        <f t="shared" si="74"/>
        <v>6</v>
      </c>
      <c r="K2378" s="69">
        <f t="shared" si="75"/>
        <v>44</v>
      </c>
      <c r="L2378" s="69">
        <f>VLOOKUP(Table_db1_backend_Daily.accdb[[#This Row],[TradingDate]],canon!B:E,4,0)</f>
        <v>28</v>
      </c>
    </row>
    <row r="2379" spans="1:12" x14ac:dyDescent="0.2">
      <c r="A2379" s="69" t="s">
        <v>44</v>
      </c>
      <c r="B2379" s="70">
        <v>42930</v>
      </c>
      <c r="C2379" s="69">
        <v>23</v>
      </c>
      <c r="D2379" s="69">
        <v>0</v>
      </c>
      <c r="E2379" s="69">
        <v>0</v>
      </c>
      <c r="F2379" s="69">
        <v>0</v>
      </c>
      <c r="G2379" s="69" t="s">
        <v>37</v>
      </c>
      <c r="H2379" s="69" t="str">
        <f>IFERROR(VLOOKUP(Data!$G2379,canon!$I$2:$K$27,2,FALSE),"")</f>
        <v>SHOES</v>
      </c>
      <c r="I2379" s="69" t="str">
        <f>IFERROR(VLOOKUP(Data!$G2379,canon!$I$2:$K$27,3,FALSE),"")</f>
        <v>N.APPAREL</v>
      </c>
      <c r="J2379" s="69">
        <f t="shared" si="74"/>
        <v>6</v>
      </c>
      <c r="K2379" s="69">
        <f t="shared" si="75"/>
        <v>44</v>
      </c>
      <c r="L2379" s="69">
        <f>VLOOKUP(Table_db1_backend_Daily.accdb[[#This Row],[TradingDate]],canon!B:E,4,0)</f>
        <v>28</v>
      </c>
    </row>
    <row r="2380" spans="1:12" x14ac:dyDescent="0.2">
      <c r="A2380" s="69" t="s">
        <v>44</v>
      </c>
      <c r="B2380" s="70">
        <v>42930</v>
      </c>
      <c r="C2380" s="69">
        <v>65</v>
      </c>
      <c r="D2380" s="69">
        <v>0</v>
      </c>
      <c r="E2380" s="69">
        <v>0</v>
      </c>
      <c r="F2380" s="69">
        <v>0</v>
      </c>
      <c r="G2380" s="69" t="s">
        <v>29</v>
      </c>
      <c r="H2380" s="69" t="str">
        <f>IFERROR(VLOOKUP(Data!$G2380,canon!$I$2:$K$27,2,FALSE),"")</f>
        <v>SHOES</v>
      </c>
      <c r="I2380" s="69" t="str">
        <f>IFERROR(VLOOKUP(Data!$G2380,canon!$I$2:$K$27,3,FALSE),"")</f>
        <v>N.APPAREL</v>
      </c>
      <c r="J2380" s="69">
        <f t="shared" si="74"/>
        <v>6</v>
      </c>
      <c r="K2380" s="69">
        <f t="shared" si="75"/>
        <v>44</v>
      </c>
      <c r="L2380" s="69">
        <f>VLOOKUP(Table_db1_backend_Daily.accdb[[#This Row],[TradingDate]],canon!B:E,4,0)</f>
        <v>28</v>
      </c>
    </row>
    <row r="2381" spans="1:12" x14ac:dyDescent="0.2">
      <c r="A2381" s="69" t="s">
        <v>44</v>
      </c>
      <c r="B2381" s="70">
        <v>42930</v>
      </c>
      <c r="C2381" s="69">
        <v>742</v>
      </c>
      <c r="D2381" s="69">
        <v>9</v>
      </c>
      <c r="E2381" s="69">
        <v>99.91</v>
      </c>
      <c r="F2381" s="69">
        <v>23.310000000000002</v>
      </c>
      <c r="G2381" s="69" t="s">
        <v>17</v>
      </c>
      <c r="H2381" s="69" t="str">
        <f>IFERROR(VLOOKUP(Data!$G2381,canon!$I$2:$K$27,2,FALSE),"")</f>
        <v>OUTER</v>
      </c>
      <c r="I2381" s="69" t="str">
        <f>IFERROR(VLOOKUP(Data!$G2381,canon!$I$2:$K$27,3,FALSE),"")</f>
        <v>APPAREL</v>
      </c>
      <c r="J2381" s="69">
        <f t="shared" si="74"/>
        <v>6</v>
      </c>
      <c r="K2381" s="69">
        <f t="shared" si="75"/>
        <v>44</v>
      </c>
      <c r="L2381" s="69">
        <f>VLOOKUP(Table_db1_backend_Daily.accdb[[#This Row],[TradingDate]],canon!B:E,4,0)</f>
        <v>28</v>
      </c>
    </row>
    <row r="2382" spans="1:12" x14ac:dyDescent="0.2">
      <c r="A2382" s="69" t="s">
        <v>44</v>
      </c>
      <c r="B2382" s="70">
        <v>42930</v>
      </c>
      <c r="C2382" s="69">
        <v>381</v>
      </c>
      <c r="D2382" s="69">
        <v>1</v>
      </c>
      <c r="E2382" s="69">
        <v>9.09</v>
      </c>
      <c r="F2382" s="69">
        <v>2.79</v>
      </c>
      <c r="G2382" s="69" t="s">
        <v>19</v>
      </c>
      <c r="H2382" s="69" t="str">
        <f>IFERROR(VLOOKUP(Data!$G2382,canon!$I$2:$K$27,2,FALSE),"")</f>
        <v>PANT</v>
      </c>
      <c r="I2382" s="69" t="str">
        <f>IFERROR(VLOOKUP(Data!$G2382,canon!$I$2:$K$27,3,FALSE),"")</f>
        <v>APPAREL</v>
      </c>
      <c r="J2382" s="69">
        <f t="shared" si="74"/>
        <v>6</v>
      </c>
      <c r="K2382" s="69">
        <f t="shared" si="75"/>
        <v>44</v>
      </c>
      <c r="L2382" s="69">
        <f>VLOOKUP(Table_db1_backend_Daily.accdb[[#This Row],[TradingDate]],canon!B:E,4,0)</f>
        <v>28</v>
      </c>
    </row>
    <row r="2383" spans="1:12" x14ac:dyDescent="0.2">
      <c r="A2383" s="69" t="s">
        <v>44</v>
      </c>
      <c r="B2383" s="70">
        <v>42930</v>
      </c>
      <c r="C2383" s="69">
        <v>78</v>
      </c>
      <c r="D2383" s="69">
        <v>0</v>
      </c>
      <c r="E2383" s="69">
        <v>0</v>
      </c>
      <c r="F2383" s="69">
        <v>0</v>
      </c>
      <c r="G2383" s="69" t="s">
        <v>21</v>
      </c>
      <c r="H2383" s="69" t="str">
        <f>IFERROR(VLOOKUP(Data!$G2383,canon!$I$2:$K$27,2,FALSE),"")</f>
        <v>ACCESSORY</v>
      </c>
      <c r="I2383" s="69" t="str">
        <f>IFERROR(VLOOKUP(Data!$G2383,canon!$I$2:$K$27,3,FALSE),"")</f>
        <v>N.APPAREL</v>
      </c>
      <c r="J2383" s="69">
        <f t="shared" si="74"/>
        <v>6</v>
      </c>
      <c r="K2383" s="69">
        <f t="shared" si="75"/>
        <v>44</v>
      </c>
      <c r="L2383" s="69">
        <f>VLOOKUP(Table_db1_backend_Daily.accdb[[#This Row],[TradingDate]],canon!B:E,4,0)</f>
        <v>28</v>
      </c>
    </row>
    <row r="2384" spans="1:12" x14ac:dyDescent="0.2">
      <c r="A2384" s="69" t="s">
        <v>44</v>
      </c>
      <c r="B2384" s="70">
        <v>42930</v>
      </c>
      <c r="C2384" s="69">
        <v>1163</v>
      </c>
      <c r="D2384" s="69">
        <v>8</v>
      </c>
      <c r="E2384" s="69">
        <v>57.83</v>
      </c>
      <c r="F2384" s="69">
        <v>45.13</v>
      </c>
      <c r="G2384" s="69" t="s">
        <v>22</v>
      </c>
      <c r="H2384" s="69" t="str">
        <f>IFERROR(VLOOKUP(Data!$G2384,canon!$I$2:$K$27,2,FALSE),"")</f>
        <v>SCARF</v>
      </c>
      <c r="I2384" s="69" t="str">
        <f>IFERROR(VLOOKUP(Data!$G2384,canon!$I$2:$K$27,3,FALSE),"")</f>
        <v>N.APPAREL</v>
      </c>
      <c r="J2384" s="69">
        <f t="shared" si="74"/>
        <v>6</v>
      </c>
      <c r="K2384" s="69">
        <f t="shared" si="75"/>
        <v>44</v>
      </c>
      <c r="L2384" s="69">
        <f>VLOOKUP(Table_db1_backend_Daily.accdb[[#This Row],[TradingDate]],canon!B:E,4,0)</f>
        <v>28</v>
      </c>
    </row>
    <row r="2385" spans="1:12" x14ac:dyDescent="0.2">
      <c r="A2385" s="69" t="s">
        <v>44</v>
      </c>
      <c r="B2385" s="70">
        <v>42930</v>
      </c>
      <c r="C2385" s="69">
        <v>155</v>
      </c>
      <c r="D2385" s="69">
        <v>0</v>
      </c>
      <c r="E2385" s="69">
        <v>0</v>
      </c>
      <c r="F2385" s="69">
        <v>0</v>
      </c>
      <c r="G2385" s="69" t="s">
        <v>23</v>
      </c>
      <c r="H2385" s="69" t="str">
        <f>IFERROR(VLOOKUP(Data!$G2385,canon!$I$2:$K$27,2,FALSE),"")</f>
        <v>SH&amp;BL</v>
      </c>
      <c r="I2385" s="69" t="str">
        <f>IFERROR(VLOOKUP(Data!$G2385,canon!$I$2:$K$27,3,FALSE),"")</f>
        <v>APPAREL</v>
      </c>
      <c r="J2385" s="69">
        <f t="shared" si="74"/>
        <v>6</v>
      </c>
      <c r="K2385" s="69">
        <f t="shared" si="75"/>
        <v>44</v>
      </c>
      <c r="L2385" s="69">
        <f>VLOOKUP(Table_db1_backend_Daily.accdb[[#This Row],[TradingDate]],canon!B:E,4,0)</f>
        <v>28</v>
      </c>
    </row>
    <row r="2386" spans="1:12" x14ac:dyDescent="0.2">
      <c r="A2386" s="69" t="s">
        <v>44</v>
      </c>
      <c r="B2386" s="70">
        <v>42930</v>
      </c>
      <c r="C2386" s="69">
        <v>486</v>
      </c>
      <c r="D2386" s="69">
        <v>2</v>
      </c>
      <c r="E2386" s="69">
        <v>18.18</v>
      </c>
      <c r="F2386" s="69">
        <v>8.6199999999999992</v>
      </c>
      <c r="G2386" s="69" t="s">
        <v>32</v>
      </c>
      <c r="H2386" s="69" t="str">
        <f>IFERROR(VLOOKUP(Data!$G2386,canon!$I$2:$K$27,2,FALSE),"")</f>
        <v>SKIRT</v>
      </c>
      <c r="I2386" s="69" t="str">
        <f>IFERROR(VLOOKUP(Data!$G2386,canon!$I$2:$K$27,3,FALSE),"")</f>
        <v>APPAREL</v>
      </c>
      <c r="J2386" s="69">
        <f t="shared" si="74"/>
        <v>6</v>
      </c>
      <c r="K2386" s="69">
        <f t="shared" si="75"/>
        <v>44</v>
      </c>
      <c r="L2386" s="69">
        <f>VLOOKUP(Table_db1_backend_Daily.accdb[[#This Row],[TradingDate]],canon!B:E,4,0)</f>
        <v>28</v>
      </c>
    </row>
    <row r="2387" spans="1:12" x14ac:dyDescent="0.2">
      <c r="A2387" s="69" t="s">
        <v>44</v>
      </c>
      <c r="B2387" s="70">
        <v>42930</v>
      </c>
      <c r="C2387" s="69">
        <v>1487</v>
      </c>
      <c r="D2387" s="69">
        <v>6</v>
      </c>
      <c r="E2387" s="69">
        <v>45.419999999999995</v>
      </c>
      <c r="F2387" s="69">
        <v>26.07</v>
      </c>
      <c r="G2387" s="69" t="s">
        <v>25</v>
      </c>
      <c r="H2387" s="69" t="str">
        <f>IFERROR(VLOOKUP(Data!$G2387,canon!$I$2:$K$27,2,FALSE),"")</f>
        <v>TOP</v>
      </c>
      <c r="I2387" s="69" t="str">
        <f>IFERROR(VLOOKUP(Data!$G2387,canon!$I$2:$K$27,3,FALSE),"")</f>
        <v>APPAREL</v>
      </c>
      <c r="J2387" s="69">
        <f t="shared" si="74"/>
        <v>6</v>
      </c>
      <c r="K2387" s="69">
        <f t="shared" si="75"/>
        <v>44</v>
      </c>
      <c r="L2387" s="69">
        <f>VLOOKUP(Table_db1_backend_Daily.accdb[[#This Row],[TradingDate]],canon!B:E,4,0)</f>
        <v>28</v>
      </c>
    </row>
    <row r="2388" spans="1:12" x14ac:dyDescent="0.2">
      <c r="A2388" s="69" t="s">
        <v>44</v>
      </c>
      <c r="B2388" s="70">
        <v>42931</v>
      </c>
      <c r="C2388" s="69">
        <v>33</v>
      </c>
      <c r="D2388" s="69">
        <v>0</v>
      </c>
      <c r="E2388" s="69">
        <v>0</v>
      </c>
      <c r="F2388" s="69">
        <v>0</v>
      </c>
      <c r="G2388" s="69" t="s">
        <v>34</v>
      </c>
      <c r="H2388" s="69" t="str">
        <f>IFERROR(VLOOKUP(Data!$G2388,canon!$I$2:$K$27,2,FALSE),"")</f>
        <v>SHOES</v>
      </c>
      <c r="I2388" s="69" t="str">
        <f>IFERROR(VLOOKUP(Data!$G2388,canon!$I$2:$K$27,3,FALSE),"")</f>
        <v>N.APPAREL</v>
      </c>
      <c r="J2388" s="69">
        <f t="shared" si="74"/>
        <v>7</v>
      </c>
      <c r="K2388" s="69">
        <f t="shared" si="75"/>
        <v>44</v>
      </c>
      <c r="L2388" s="69">
        <f>VLOOKUP(Table_db1_backend_Daily.accdb[[#This Row],[TradingDate]],canon!B:E,4,0)</f>
        <v>28</v>
      </c>
    </row>
    <row r="2389" spans="1:12" x14ac:dyDescent="0.2">
      <c r="A2389" s="69" t="s">
        <v>44</v>
      </c>
      <c r="B2389" s="70">
        <v>42931</v>
      </c>
      <c r="C2389" s="69">
        <v>2</v>
      </c>
      <c r="D2389" s="69">
        <v>0</v>
      </c>
      <c r="E2389" s="69">
        <v>0</v>
      </c>
      <c r="F2389" s="69">
        <v>0</v>
      </c>
      <c r="G2389" s="69" t="s">
        <v>38</v>
      </c>
      <c r="H2389" s="69" t="str">
        <f>IFERROR(VLOOKUP(Data!$G2389,canon!$I$2:$K$27,2,FALSE),"")</f>
        <v>SHOES</v>
      </c>
      <c r="I2389" s="69" t="str">
        <f>IFERROR(VLOOKUP(Data!$G2389,canon!$I$2:$K$27,3,FALSE),"")</f>
        <v>N.APPAREL</v>
      </c>
      <c r="J2389" s="69">
        <f t="shared" si="74"/>
        <v>7</v>
      </c>
      <c r="K2389" s="69">
        <f t="shared" si="75"/>
        <v>44</v>
      </c>
      <c r="L2389" s="69">
        <f>VLOOKUP(Table_db1_backend_Daily.accdb[[#This Row],[TradingDate]],canon!B:E,4,0)</f>
        <v>28</v>
      </c>
    </row>
    <row r="2390" spans="1:12" x14ac:dyDescent="0.2">
      <c r="A2390" s="69" t="s">
        <v>44</v>
      </c>
      <c r="B2390" s="70">
        <v>42931</v>
      </c>
      <c r="C2390" s="69">
        <v>557</v>
      </c>
      <c r="D2390" s="69">
        <v>3</v>
      </c>
      <c r="E2390" s="69">
        <v>27.27</v>
      </c>
      <c r="F2390" s="69">
        <v>2.0499999999999998</v>
      </c>
      <c r="G2390" s="69" t="s">
        <v>35</v>
      </c>
      <c r="H2390" s="69" t="str">
        <f>IFERROR(VLOOKUP(Data!$G2390,canon!$I$2:$K$27,2,FALSE),"")</f>
        <v>DRESS</v>
      </c>
      <c r="I2390" s="69" t="str">
        <f>IFERROR(VLOOKUP(Data!$G2390,canon!$I$2:$K$27,3,FALSE),"")</f>
        <v>APPAREL</v>
      </c>
      <c r="J2390" s="69">
        <f t="shared" si="74"/>
        <v>7</v>
      </c>
      <c r="K2390" s="69">
        <f t="shared" si="75"/>
        <v>44</v>
      </c>
      <c r="L2390" s="69">
        <f>VLOOKUP(Table_db1_backend_Daily.accdb[[#This Row],[TradingDate]],canon!B:E,4,0)</f>
        <v>28</v>
      </c>
    </row>
    <row r="2391" spans="1:12" x14ac:dyDescent="0.2">
      <c r="A2391" s="69" t="s">
        <v>44</v>
      </c>
      <c r="B2391" s="70">
        <v>42931</v>
      </c>
      <c r="C2391" s="69">
        <v>34</v>
      </c>
      <c r="D2391" s="69">
        <v>0</v>
      </c>
      <c r="E2391" s="69">
        <v>0</v>
      </c>
      <c r="F2391" s="69">
        <v>0</v>
      </c>
      <c r="G2391" s="69" t="s">
        <v>10</v>
      </c>
      <c r="H2391" s="69" t="str">
        <f>IFERROR(VLOOKUP(Data!$G2391,canon!$I$2:$K$27,2,FALSE),"")</f>
        <v>ACCESSORY</v>
      </c>
      <c r="I2391" s="69" t="str">
        <f>IFERROR(VLOOKUP(Data!$G2391,canon!$I$2:$K$27,3,FALSE),"")</f>
        <v>N.APPAREL</v>
      </c>
      <c r="J2391" s="69">
        <f t="shared" si="74"/>
        <v>7</v>
      </c>
      <c r="K2391" s="69">
        <f t="shared" si="75"/>
        <v>44</v>
      </c>
      <c r="L2391" s="69">
        <f>VLOOKUP(Table_db1_backend_Daily.accdb[[#This Row],[TradingDate]],canon!B:E,4,0)</f>
        <v>28</v>
      </c>
    </row>
    <row r="2392" spans="1:12" x14ac:dyDescent="0.2">
      <c r="A2392" s="69" t="s">
        <v>44</v>
      </c>
      <c r="B2392" s="70">
        <v>42931</v>
      </c>
      <c r="C2392" s="69">
        <v>2</v>
      </c>
      <c r="D2392" s="69">
        <v>0</v>
      </c>
      <c r="E2392" s="69">
        <v>0</v>
      </c>
      <c r="F2392" s="69">
        <v>0</v>
      </c>
      <c r="G2392" s="69" t="s">
        <v>28</v>
      </c>
      <c r="H2392" s="69" t="str">
        <f>IFERROR(VLOOKUP(Data!$G2392,canon!$I$2:$K$27,2,FALSE),"")</f>
        <v>ACCESSORY</v>
      </c>
      <c r="I2392" s="69" t="str">
        <f>IFERROR(VLOOKUP(Data!$G2392,canon!$I$2:$K$27,3,FALSE),"")</f>
        <v>N.APPAREL</v>
      </c>
      <c r="J2392" s="69">
        <f t="shared" si="74"/>
        <v>7</v>
      </c>
      <c r="K2392" s="69">
        <f t="shared" si="75"/>
        <v>44</v>
      </c>
      <c r="L2392" s="69">
        <f>VLOOKUP(Table_db1_backend_Daily.accdb[[#This Row],[TradingDate]],canon!B:E,4,0)</f>
        <v>28</v>
      </c>
    </row>
    <row r="2393" spans="1:12" x14ac:dyDescent="0.2">
      <c r="A2393" s="69" t="s">
        <v>44</v>
      </c>
      <c r="B2393" s="70">
        <v>42931</v>
      </c>
      <c r="C2393" s="69">
        <v>2001</v>
      </c>
      <c r="D2393" s="69">
        <v>30</v>
      </c>
      <c r="E2393" s="69">
        <v>354.43999999999994</v>
      </c>
      <c r="F2393" s="69">
        <v>121.69</v>
      </c>
      <c r="G2393" s="69" t="s">
        <v>11</v>
      </c>
      <c r="H2393" s="69" t="str">
        <f>IFERROR(VLOOKUP(Data!$G2393,canon!$I$2:$K$27,2,FALSE),"")</f>
        <v>KNIT</v>
      </c>
      <c r="I2393" s="69" t="str">
        <f>IFERROR(VLOOKUP(Data!$G2393,canon!$I$2:$K$27,3,FALSE),"")</f>
        <v>APPAREL</v>
      </c>
      <c r="J2393" s="69">
        <f t="shared" si="74"/>
        <v>7</v>
      </c>
      <c r="K2393" s="69">
        <f t="shared" si="75"/>
        <v>44</v>
      </c>
      <c r="L2393" s="69">
        <f>VLOOKUP(Table_db1_backend_Daily.accdb[[#This Row],[TradingDate]],canon!B:E,4,0)</f>
        <v>28</v>
      </c>
    </row>
    <row r="2394" spans="1:12" x14ac:dyDescent="0.2">
      <c r="A2394" s="69" t="s">
        <v>44</v>
      </c>
      <c r="B2394" s="70">
        <v>42931</v>
      </c>
      <c r="C2394" s="69">
        <v>482</v>
      </c>
      <c r="D2394" s="69">
        <v>3</v>
      </c>
      <c r="E2394" s="69">
        <v>27.27</v>
      </c>
      <c r="F2394" s="69">
        <v>12.49</v>
      </c>
      <c r="G2394" s="69" t="s">
        <v>14</v>
      </c>
      <c r="H2394" s="69" t="str">
        <f>IFERROR(VLOOKUP(Data!$G2394,canon!$I$2:$K$27,2,FALSE),"")</f>
        <v>LEGGING</v>
      </c>
      <c r="I2394" s="69" t="str">
        <f>IFERROR(VLOOKUP(Data!$G2394,canon!$I$2:$K$27,3,FALSE),"")</f>
        <v>APPAREL</v>
      </c>
      <c r="J2394" s="69">
        <f t="shared" si="74"/>
        <v>7</v>
      </c>
      <c r="K2394" s="69">
        <f t="shared" si="75"/>
        <v>44</v>
      </c>
      <c r="L2394" s="69">
        <f>VLOOKUP(Table_db1_backend_Daily.accdb[[#This Row],[TradingDate]],canon!B:E,4,0)</f>
        <v>28</v>
      </c>
    </row>
    <row r="2395" spans="1:12" x14ac:dyDescent="0.2">
      <c r="A2395" s="69" t="s">
        <v>44</v>
      </c>
      <c r="B2395" s="70">
        <v>42931</v>
      </c>
      <c r="C2395" s="69">
        <v>23</v>
      </c>
      <c r="D2395" s="69">
        <v>0</v>
      </c>
      <c r="E2395" s="69">
        <v>0</v>
      </c>
      <c r="F2395" s="69">
        <v>0</v>
      </c>
      <c r="G2395" s="69" t="s">
        <v>37</v>
      </c>
      <c r="H2395" s="69" t="str">
        <f>IFERROR(VLOOKUP(Data!$G2395,canon!$I$2:$K$27,2,FALSE),"")</f>
        <v>SHOES</v>
      </c>
      <c r="I2395" s="69" t="str">
        <f>IFERROR(VLOOKUP(Data!$G2395,canon!$I$2:$K$27,3,FALSE),"")</f>
        <v>N.APPAREL</v>
      </c>
      <c r="J2395" s="69">
        <f t="shared" si="74"/>
        <v>7</v>
      </c>
      <c r="K2395" s="69">
        <f t="shared" si="75"/>
        <v>44</v>
      </c>
      <c r="L2395" s="69">
        <f>VLOOKUP(Table_db1_backend_Daily.accdb[[#This Row],[TradingDate]],canon!B:E,4,0)</f>
        <v>28</v>
      </c>
    </row>
    <row r="2396" spans="1:12" x14ac:dyDescent="0.2">
      <c r="A2396" s="69" t="s">
        <v>44</v>
      </c>
      <c r="B2396" s="70">
        <v>42931</v>
      </c>
      <c r="C2396" s="69">
        <v>65</v>
      </c>
      <c r="D2396" s="69">
        <v>0</v>
      </c>
      <c r="E2396" s="69">
        <v>0</v>
      </c>
      <c r="F2396" s="69">
        <v>0</v>
      </c>
      <c r="G2396" s="69" t="s">
        <v>29</v>
      </c>
      <c r="H2396" s="69" t="str">
        <f>IFERROR(VLOOKUP(Data!$G2396,canon!$I$2:$K$27,2,FALSE),"")</f>
        <v>SHOES</v>
      </c>
      <c r="I2396" s="69" t="str">
        <f>IFERROR(VLOOKUP(Data!$G2396,canon!$I$2:$K$27,3,FALSE),"")</f>
        <v>N.APPAREL</v>
      </c>
      <c r="J2396" s="69">
        <f t="shared" si="74"/>
        <v>7</v>
      </c>
      <c r="K2396" s="69">
        <f t="shared" si="75"/>
        <v>44</v>
      </c>
      <c r="L2396" s="69">
        <f>VLOOKUP(Table_db1_backend_Daily.accdb[[#This Row],[TradingDate]],canon!B:E,4,0)</f>
        <v>28</v>
      </c>
    </row>
    <row r="2397" spans="1:12" x14ac:dyDescent="0.2">
      <c r="A2397" s="69" t="s">
        <v>44</v>
      </c>
      <c r="B2397" s="70">
        <v>42931</v>
      </c>
      <c r="C2397" s="69">
        <v>735</v>
      </c>
      <c r="D2397" s="69">
        <v>7</v>
      </c>
      <c r="E2397" s="69">
        <v>86.31</v>
      </c>
      <c r="F2397" s="69">
        <v>31.270000000000003</v>
      </c>
      <c r="G2397" s="69" t="s">
        <v>17</v>
      </c>
      <c r="H2397" s="69" t="str">
        <f>IFERROR(VLOOKUP(Data!$G2397,canon!$I$2:$K$27,2,FALSE),"")</f>
        <v>OUTER</v>
      </c>
      <c r="I2397" s="69" t="str">
        <f>IFERROR(VLOOKUP(Data!$G2397,canon!$I$2:$K$27,3,FALSE),"")</f>
        <v>APPAREL</v>
      </c>
      <c r="J2397" s="69">
        <f t="shared" si="74"/>
        <v>7</v>
      </c>
      <c r="K2397" s="69">
        <f t="shared" si="75"/>
        <v>44</v>
      </c>
      <c r="L2397" s="69">
        <f>VLOOKUP(Table_db1_backend_Daily.accdb[[#This Row],[TradingDate]],canon!B:E,4,0)</f>
        <v>28</v>
      </c>
    </row>
    <row r="2398" spans="1:12" x14ac:dyDescent="0.2">
      <c r="A2398" s="69" t="s">
        <v>44</v>
      </c>
      <c r="B2398" s="70">
        <v>42931</v>
      </c>
      <c r="C2398" s="69">
        <v>381</v>
      </c>
      <c r="D2398" s="69">
        <v>1</v>
      </c>
      <c r="E2398" s="69">
        <v>9.09</v>
      </c>
      <c r="F2398" s="69">
        <v>2.79</v>
      </c>
      <c r="G2398" s="69" t="s">
        <v>19</v>
      </c>
      <c r="H2398" s="69" t="str">
        <f>IFERROR(VLOOKUP(Data!$G2398,canon!$I$2:$K$27,2,FALSE),"")</f>
        <v>PANT</v>
      </c>
      <c r="I2398" s="69" t="str">
        <f>IFERROR(VLOOKUP(Data!$G2398,canon!$I$2:$K$27,3,FALSE),"")</f>
        <v>APPAREL</v>
      </c>
      <c r="J2398" s="69">
        <f t="shared" si="74"/>
        <v>7</v>
      </c>
      <c r="K2398" s="69">
        <f t="shared" si="75"/>
        <v>44</v>
      </c>
      <c r="L2398" s="69">
        <f>VLOOKUP(Table_db1_backend_Daily.accdb[[#This Row],[TradingDate]],canon!B:E,4,0)</f>
        <v>28</v>
      </c>
    </row>
    <row r="2399" spans="1:12" x14ac:dyDescent="0.2">
      <c r="A2399" s="69" t="s">
        <v>44</v>
      </c>
      <c r="B2399" s="70">
        <v>42931</v>
      </c>
      <c r="C2399" s="69">
        <v>78</v>
      </c>
      <c r="D2399" s="69">
        <v>0</v>
      </c>
      <c r="E2399" s="69">
        <v>0</v>
      </c>
      <c r="F2399" s="69">
        <v>0</v>
      </c>
      <c r="G2399" s="69" t="s">
        <v>21</v>
      </c>
      <c r="H2399" s="69" t="str">
        <f>IFERROR(VLOOKUP(Data!$G2399,canon!$I$2:$K$27,2,FALSE),"")</f>
        <v>ACCESSORY</v>
      </c>
      <c r="I2399" s="69" t="str">
        <f>IFERROR(VLOOKUP(Data!$G2399,canon!$I$2:$K$27,3,FALSE),"")</f>
        <v>N.APPAREL</v>
      </c>
      <c r="J2399" s="69">
        <f t="shared" si="74"/>
        <v>7</v>
      </c>
      <c r="K2399" s="69">
        <f t="shared" si="75"/>
        <v>44</v>
      </c>
      <c r="L2399" s="69">
        <f>VLOOKUP(Table_db1_backend_Daily.accdb[[#This Row],[TradingDate]],canon!B:E,4,0)</f>
        <v>28</v>
      </c>
    </row>
    <row r="2400" spans="1:12" x14ac:dyDescent="0.2">
      <c r="A2400" s="69" t="s">
        <v>44</v>
      </c>
      <c r="B2400" s="70">
        <v>42931</v>
      </c>
      <c r="C2400" s="69">
        <v>1162</v>
      </c>
      <c r="D2400" s="69">
        <v>1</v>
      </c>
      <c r="E2400" s="69">
        <v>4.55</v>
      </c>
      <c r="F2400" s="69">
        <v>2.81</v>
      </c>
      <c r="G2400" s="69" t="s">
        <v>22</v>
      </c>
      <c r="H2400" s="69" t="str">
        <f>IFERROR(VLOOKUP(Data!$G2400,canon!$I$2:$K$27,2,FALSE),"")</f>
        <v>SCARF</v>
      </c>
      <c r="I2400" s="69" t="str">
        <f>IFERROR(VLOOKUP(Data!$G2400,canon!$I$2:$K$27,3,FALSE),"")</f>
        <v>N.APPAREL</v>
      </c>
      <c r="J2400" s="69">
        <f t="shared" si="74"/>
        <v>7</v>
      </c>
      <c r="K2400" s="69">
        <f t="shared" si="75"/>
        <v>44</v>
      </c>
      <c r="L2400" s="69">
        <f>VLOOKUP(Table_db1_backend_Daily.accdb[[#This Row],[TradingDate]],canon!B:E,4,0)</f>
        <v>28</v>
      </c>
    </row>
    <row r="2401" spans="1:12" x14ac:dyDescent="0.2">
      <c r="A2401" s="69" t="s">
        <v>44</v>
      </c>
      <c r="B2401" s="70">
        <v>42931</v>
      </c>
      <c r="C2401" s="69">
        <v>153</v>
      </c>
      <c r="D2401" s="69">
        <v>2</v>
      </c>
      <c r="E2401" s="69">
        <v>54.45</v>
      </c>
      <c r="F2401" s="69">
        <v>37.49</v>
      </c>
      <c r="G2401" s="69" t="s">
        <v>23</v>
      </c>
      <c r="H2401" s="69" t="str">
        <f>IFERROR(VLOOKUP(Data!$G2401,canon!$I$2:$K$27,2,FALSE),"")</f>
        <v>SH&amp;BL</v>
      </c>
      <c r="I2401" s="69" t="str">
        <f>IFERROR(VLOOKUP(Data!$G2401,canon!$I$2:$K$27,3,FALSE),"")</f>
        <v>APPAREL</v>
      </c>
      <c r="J2401" s="69">
        <f t="shared" si="74"/>
        <v>7</v>
      </c>
      <c r="K2401" s="69">
        <f t="shared" si="75"/>
        <v>44</v>
      </c>
      <c r="L2401" s="69">
        <f>VLOOKUP(Table_db1_backend_Daily.accdb[[#This Row],[TradingDate]],canon!B:E,4,0)</f>
        <v>28</v>
      </c>
    </row>
    <row r="2402" spans="1:12" x14ac:dyDescent="0.2">
      <c r="A2402" s="69" t="s">
        <v>44</v>
      </c>
      <c r="B2402" s="70">
        <v>42931</v>
      </c>
      <c r="C2402" s="69">
        <v>486</v>
      </c>
      <c r="D2402" s="69">
        <v>0</v>
      </c>
      <c r="E2402" s="69">
        <v>0</v>
      </c>
      <c r="F2402" s="69">
        <v>0</v>
      </c>
      <c r="G2402" s="69" t="s">
        <v>32</v>
      </c>
      <c r="H2402" s="69" t="str">
        <f>IFERROR(VLOOKUP(Data!$G2402,canon!$I$2:$K$27,2,FALSE),"")</f>
        <v>SKIRT</v>
      </c>
      <c r="I2402" s="69" t="str">
        <f>IFERROR(VLOOKUP(Data!$G2402,canon!$I$2:$K$27,3,FALSE),"")</f>
        <v>APPAREL</v>
      </c>
      <c r="J2402" s="69">
        <f t="shared" si="74"/>
        <v>7</v>
      </c>
      <c r="K2402" s="69">
        <f t="shared" si="75"/>
        <v>44</v>
      </c>
      <c r="L2402" s="69">
        <f>VLOOKUP(Table_db1_backend_Daily.accdb[[#This Row],[TradingDate]],canon!B:E,4,0)</f>
        <v>28</v>
      </c>
    </row>
    <row r="2403" spans="1:12" x14ac:dyDescent="0.2">
      <c r="A2403" s="69" t="s">
        <v>44</v>
      </c>
      <c r="B2403" s="70">
        <v>42931</v>
      </c>
      <c r="C2403" s="69">
        <v>1472</v>
      </c>
      <c r="D2403" s="69">
        <v>15</v>
      </c>
      <c r="E2403" s="69">
        <v>109.08</v>
      </c>
      <c r="F2403" s="69">
        <v>41.96</v>
      </c>
      <c r="G2403" s="69" t="s">
        <v>25</v>
      </c>
      <c r="H2403" s="69" t="str">
        <f>IFERROR(VLOOKUP(Data!$G2403,canon!$I$2:$K$27,2,FALSE),"")</f>
        <v>TOP</v>
      </c>
      <c r="I2403" s="69" t="str">
        <f>IFERROR(VLOOKUP(Data!$G2403,canon!$I$2:$K$27,3,FALSE),"")</f>
        <v>APPAREL</v>
      </c>
      <c r="J2403" s="69">
        <f t="shared" si="74"/>
        <v>7</v>
      </c>
      <c r="K2403" s="69">
        <f t="shared" si="75"/>
        <v>44</v>
      </c>
      <c r="L2403" s="69">
        <f>VLOOKUP(Table_db1_backend_Daily.accdb[[#This Row],[TradingDate]],canon!B:E,4,0)</f>
        <v>28</v>
      </c>
    </row>
    <row r="2404" spans="1:12" x14ac:dyDescent="0.2">
      <c r="A2404" s="69" t="s">
        <v>44</v>
      </c>
      <c r="B2404" s="70">
        <v>42932</v>
      </c>
      <c r="C2404" s="69">
        <v>33</v>
      </c>
      <c r="D2404" s="69">
        <v>0</v>
      </c>
      <c r="E2404" s="69">
        <v>0</v>
      </c>
      <c r="F2404" s="69">
        <v>0</v>
      </c>
      <c r="G2404" s="69" t="s">
        <v>34</v>
      </c>
      <c r="H2404" s="69" t="str">
        <f>IFERROR(VLOOKUP(Data!$G2404,canon!$I$2:$K$27,2,FALSE),"")</f>
        <v>SHOES</v>
      </c>
      <c r="I2404" s="69" t="str">
        <f>IFERROR(VLOOKUP(Data!$G2404,canon!$I$2:$K$27,3,FALSE),"")</f>
        <v>N.APPAREL</v>
      </c>
      <c r="J2404" s="69">
        <f t="shared" si="74"/>
        <v>1</v>
      </c>
      <c r="K2404" s="69">
        <f t="shared" si="75"/>
        <v>44</v>
      </c>
      <c r="L2404" s="69">
        <f>VLOOKUP(Table_db1_backend_Daily.accdb[[#This Row],[TradingDate]],canon!B:E,4,0)</f>
        <v>29</v>
      </c>
    </row>
    <row r="2405" spans="1:12" x14ac:dyDescent="0.2">
      <c r="A2405" s="69" t="s">
        <v>44</v>
      </c>
      <c r="B2405" s="70">
        <v>42932</v>
      </c>
      <c r="C2405" s="69">
        <v>2</v>
      </c>
      <c r="D2405" s="69">
        <v>0</v>
      </c>
      <c r="E2405" s="69">
        <v>0</v>
      </c>
      <c r="F2405" s="69">
        <v>0</v>
      </c>
      <c r="G2405" s="69" t="s">
        <v>38</v>
      </c>
      <c r="H2405" s="69" t="str">
        <f>IFERROR(VLOOKUP(Data!$G2405,canon!$I$2:$K$27,2,FALSE),"")</f>
        <v>SHOES</v>
      </c>
      <c r="I2405" s="69" t="str">
        <f>IFERROR(VLOOKUP(Data!$G2405,canon!$I$2:$K$27,3,FALSE),"")</f>
        <v>N.APPAREL</v>
      </c>
      <c r="J2405" s="69">
        <f t="shared" si="74"/>
        <v>1</v>
      </c>
      <c r="K2405" s="69">
        <f t="shared" si="75"/>
        <v>44</v>
      </c>
      <c r="L2405" s="69">
        <f>VLOOKUP(Table_db1_backend_Daily.accdb[[#This Row],[TradingDate]],canon!B:E,4,0)</f>
        <v>29</v>
      </c>
    </row>
    <row r="2406" spans="1:12" x14ac:dyDescent="0.2">
      <c r="A2406" s="69" t="s">
        <v>44</v>
      </c>
      <c r="B2406" s="70">
        <v>42932</v>
      </c>
      <c r="C2406" s="69">
        <v>557</v>
      </c>
      <c r="D2406" s="69">
        <v>0</v>
      </c>
      <c r="E2406" s="69">
        <v>0</v>
      </c>
      <c r="F2406" s="69">
        <v>0</v>
      </c>
      <c r="G2406" s="69" t="s">
        <v>35</v>
      </c>
      <c r="H2406" s="69" t="str">
        <f>IFERROR(VLOOKUP(Data!$G2406,canon!$I$2:$K$27,2,FALSE),"")</f>
        <v>DRESS</v>
      </c>
      <c r="I2406" s="69" t="str">
        <f>IFERROR(VLOOKUP(Data!$G2406,canon!$I$2:$K$27,3,FALSE),"")</f>
        <v>APPAREL</v>
      </c>
      <c r="J2406" s="69">
        <f t="shared" si="74"/>
        <v>1</v>
      </c>
      <c r="K2406" s="69">
        <f t="shared" si="75"/>
        <v>44</v>
      </c>
      <c r="L2406" s="69">
        <f>VLOOKUP(Table_db1_backend_Daily.accdb[[#This Row],[TradingDate]],canon!B:E,4,0)</f>
        <v>29</v>
      </c>
    </row>
    <row r="2407" spans="1:12" x14ac:dyDescent="0.2">
      <c r="A2407" s="69" t="s">
        <v>44</v>
      </c>
      <c r="B2407" s="70">
        <v>42932</v>
      </c>
      <c r="C2407" s="69">
        <v>34</v>
      </c>
      <c r="D2407" s="69">
        <v>0</v>
      </c>
      <c r="E2407" s="69">
        <v>0</v>
      </c>
      <c r="F2407" s="69">
        <v>0</v>
      </c>
      <c r="G2407" s="69" t="s">
        <v>10</v>
      </c>
      <c r="H2407" s="69" t="str">
        <f>IFERROR(VLOOKUP(Data!$G2407,canon!$I$2:$K$27,2,FALSE),"")</f>
        <v>ACCESSORY</v>
      </c>
      <c r="I2407" s="69" t="str">
        <f>IFERROR(VLOOKUP(Data!$G2407,canon!$I$2:$K$27,3,FALSE),"")</f>
        <v>N.APPAREL</v>
      </c>
      <c r="J2407" s="69">
        <f t="shared" si="74"/>
        <v>1</v>
      </c>
      <c r="K2407" s="69">
        <f t="shared" si="75"/>
        <v>44</v>
      </c>
      <c r="L2407" s="69">
        <f>VLOOKUP(Table_db1_backend_Daily.accdb[[#This Row],[TradingDate]],canon!B:E,4,0)</f>
        <v>29</v>
      </c>
    </row>
    <row r="2408" spans="1:12" x14ac:dyDescent="0.2">
      <c r="A2408" s="69" t="s">
        <v>44</v>
      </c>
      <c r="B2408" s="70">
        <v>42932</v>
      </c>
      <c r="C2408" s="69">
        <v>2</v>
      </c>
      <c r="D2408" s="69">
        <v>0</v>
      </c>
      <c r="E2408" s="69">
        <v>0</v>
      </c>
      <c r="F2408" s="69">
        <v>0</v>
      </c>
      <c r="G2408" s="69" t="s">
        <v>28</v>
      </c>
      <c r="H2408" s="69" t="str">
        <f>IFERROR(VLOOKUP(Data!$G2408,canon!$I$2:$K$27,2,FALSE),"")</f>
        <v>ACCESSORY</v>
      </c>
      <c r="I2408" s="69" t="str">
        <f>IFERROR(VLOOKUP(Data!$G2408,canon!$I$2:$K$27,3,FALSE),"")</f>
        <v>N.APPAREL</v>
      </c>
      <c r="J2408" s="69">
        <f t="shared" si="74"/>
        <v>1</v>
      </c>
      <c r="K2408" s="69">
        <f t="shared" si="75"/>
        <v>44</v>
      </c>
      <c r="L2408" s="69">
        <f>VLOOKUP(Table_db1_backend_Daily.accdb[[#This Row],[TradingDate]],canon!B:E,4,0)</f>
        <v>29</v>
      </c>
    </row>
    <row r="2409" spans="1:12" x14ac:dyDescent="0.2">
      <c r="A2409" s="69" t="s">
        <v>44</v>
      </c>
      <c r="B2409" s="70">
        <v>42932</v>
      </c>
      <c r="C2409" s="69">
        <v>1976</v>
      </c>
      <c r="D2409" s="69">
        <v>25</v>
      </c>
      <c r="E2409" s="69">
        <v>281.71000000000004</v>
      </c>
      <c r="F2409" s="69">
        <v>89.92</v>
      </c>
      <c r="G2409" s="69" t="s">
        <v>11</v>
      </c>
      <c r="H2409" s="69" t="str">
        <f>IFERROR(VLOOKUP(Data!$G2409,canon!$I$2:$K$27,2,FALSE),"")</f>
        <v>KNIT</v>
      </c>
      <c r="I2409" s="69" t="str">
        <f>IFERROR(VLOOKUP(Data!$G2409,canon!$I$2:$K$27,3,FALSE),"")</f>
        <v>APPAREL</v>
      </c>
      <c r="J2409" s="69">
        <f t="shared" si="74"/>
        <v>1</v>
      </c>
      <c r="K2409" s="69">
        <f t="shared" si="75"/>
        <v>44</v>
      </c>
      <c r="L2409" s="69">
        <f>VLOOKUP(Table_db1_backend_Daily.accdb[[#This Row],[TradingDate]],canon!B:E,4,0)</f>
        <v>29</v>
      </c>
    </row>
    <row r="2410" spans="1:12" x14ac:dyDescent="0.2">
      <c r="A2410" s="69" t="s">
        <v>44</v>
      </c>
      <c r="B2410" s="70">
        <v>42932</v>
      </c>
      <c r="C2410" s="69">
        <v>482</v>
      </c>
      <c r="D2410" s="69">
        <v>0</v>
      </c>
      <c r="E2410" s="69">
        <v>0</v>
      </c>
      <c r="F2410" s="69">
        <v>0</v>
      </c>
      <c r="G2410" s="69" t="s">
        <v>14</v>
      </c>
      <c r="H2410" s="69" t="str">
        <f>IFERROR(VLOOKUP(Data!$G2410,canon!$I$2:$K$27,2,FALSE),"")</f>
        <v>LEGGING</v>
      </c>
      <c r="I2410" s="69" t="str">
        <f>IFERROR(VLOOKUP(Data!$G2410,canon!$I$2:$K$27,3,FALSE),"")</f>
        <v>APPAREL</v>
      </c>
      <c r="J2410" s="69">
        <f t="shared" si="74"/>
        <v>1</v>
      </c>
      <c r="K2410" s="69">
        <f t="shared" si="75"/>
        <v>44</v>
      </c>
      <c r="L2410" s="69">
        <f>VLOOKUP(Table_db1_backend_Daily.accdb[[#This Row],[TradingDate]],canon!B:E,4,0)</f>
        <v>29</v>
      </c>
    </row>
    <row r="2411" spans="1:12" x14ac:dyDescent="0.2">
      <c r="A2411" s="69" t="s">
        <v>44</v>
      </c>
      <c r="B2411" s="70">
        <v>42932</v>
      </c>
      <c r="C2411" s="69">
        <v>23</v>
      </c>
      <c r="D2411" s="69">
        <v>0</v>
      </c>
      <c r="E2411" s="69">
        <v>0</v>
      </c>
      <c r="F2411" s="69">
        <v>0</v>
      </c>
      <c r="G2411" s="69" t="s">
        <v>37</v>
      </c>
      <c r="H2411" s="69" t="str">
        <f>IFERROR(VLOOKUP(Data!$G2411,canon!$I$2:$K$27,2,FALSE),"")</f>
        <v>SHOES</v>
      </c>
      <c r="I2411" s="69" t="str">
        <f>IFERROR(VLOOKUP(Data!$G2411,canon!$I$2:$K$27,3,FALSE),"")</f>
        <v>N.APPAREL</v>
      </c>
      <c r="J2411" s="69">
        <f t="shared" si="74"/>
        <v>1</v>
      </c>
      <c r="K2411" s="69">
        <f t="shared" si="75"/>
        <v>44</v>
      </c>
      <c r="L2411" s="69">
        <f>VLOOKUP(Table_db1_backend_Daily.accdb[[#This Row],[TradingDate]],canon!B:E,4,0)</f>
        <v>29</v>
      </c>
    </row>
    <row r="2412" spans="1:12" x14ac:dyDescent="0.2">
      <c r="A2412" s="69" t="s">
        <v>44</v>
      </c>
      <c r="B2412" s="70">
        <v>42932</v>
      </c>
      <c r="C2412" s="69">
        <v>65</v>
      </c>
      <c r="D2412" s="69">
        <v>0</v>
      </c>
      <c r="E2412" s="69">
        <v>0</v>
      </c>
      <c r="F2412" s="69">
        <v>0</v>
      </c>
      <c r="G2412" s="69" t="s">
        <v>29</v>
      </c>
      <c r="H2412" s="69" t="str">
        <f>IFERROR(VLOOKUP(Data!$G2412,canon!$I$2:$K$27,2,FALSE),"")</f>
        <v>SHOES</v>
      </c>
      <c r="I2412" s="69" t="str">
        <f>IFERROR(VLOOKUP(Data!$G2412,canon!$I$2:$K$27,3,FALSE),"")</f>
        <v>N.APPAREL</v>
      </c>
      <c r="J2412" s="69">
        <f t="shared" si="74"/>
        <v>1</v>
      </c>
      <c r="K2412" s="69">
        <f t="shared" si="75"/>
        <v>44</v>
      </c>
      <c r="L2412" s="69">
        <f>VLOOKUP(Table_db1_backend_Daily.accdb[[#This Row],[TradingDate]],canon!B:E,4,0)</f>
        <v>29</v>
      </c>
    </row>
    <row r="2413" spans="1:12" x14ac:dyDescent="0.2">
      <c r="A2413" s="69" t="s">
        <v>44</v>
      </c>
      <c r="B2413" s="70">
        <v>42932</v>
      </c>
      <c r="C2413" s="69">
        <v>733</v>
      </c>
      <c r="D2413" s="69">
        <v>2</v>
      </c>
      <c r="E2413" s="69">
        <v>27.27</v>
      </c>
      <c r="F2413" s="69">
        <v>7.2</v>
      </c>
      <c r="G2413" s="69" t="s">
        <v>17</v>
      </c>
      <c r="H2413" s="69" t="str">
        <f>IFERROR(VLOOKUP(Data!$G2413,canon!$I$2:$K$27,2,FALSE),"")</f>
        <v>OUTER</v>
      </c>
      <c r="I2413" s="69" t="str">
        <f>IFERROR(VLOOKUP(Data!$G2413,canon!$I$2:$K$27,3,FALSE),"")</f>
        <v>APPAREL</v>
      </c>
      <c r="J2413" s="69">
        <f t="shared" si="74"/>
        <v>1</v>
      </c>
      <c r="K2413" s="69">
        <f t="shared" si="75"/>
        <v>44</v>
      </c>
      <c r="L2413" s="69">
        <f>VLOOKUP(Table_db1_backend_Daily.accdb[[#This Row],[TradingDate]],canon!B:E,4,0)</f>
        <v>29</v>
      </c>
    </row>
    <row r="2414" spans="1:12" x14ac:dyDescent="0.2">
      <c r="A2414" s="69" t="s">
        <v>44</v>
      </c>
      <c r="B2414" s="70">
        <v>42932</v>
      </c>
      <c r="C2414" s="69">
        <v>381</v>
      </c>
      <c r="D2414" s="69">
        <v>0</v>
      </c>
      <c r="E2414" s="69">
        <v>0</v>
      </c>
      <c r="F2414" s="69">
        <v>0</v>
      </c>
      <c r="G2414" s="69" t="s">
        <v>19</v>
      </c>
      <c r="H2414" s="69" t="str">
        <f>IFERROR(VLOOKUP(Data!$G2414,canon!$I$2:$K$27,2,FALSE),"")</f>
        <v>PANT</v>
      </c>
      <c r="I2414" s="69" t="str">
        <f>IFERROR(VLOOKUP(Data!$G2414,canon!$I$2:$K$27,3,FALSE),"")</f>
        <v>APPAREL</v>
      </c>
      <c r="J2414" s="69">
        <f t="shared" si="74"/>
        <v>1</v>
      </c>
      <c r="K2414" s="69">
        <f t="shared" si="75"/>
        <v>44</v>
      </c>
      <c r="L2414" s="69">
        <f>VLOOKUP(Table_db1_backend_Daily.accdb[[#This Row],[TradingDate]],canon!B:E,4,0)</f>
        <v>29</v>
      </c>
    </row>
    <row r="2415" spans="1:12" x14ac:dyDescent="0.2">
      <c r="A2415" s="69" t="s">
        <v>44</v>
      </c>
      <c r="B2415" s="70">
        <v>42932</v>
      </c>
      <c r="C2415" s="69">
        <v>78</v>
      </c>
      <c r="D2415" s="69">
        <v>0</v>
      </c>
      <c r="E2415" s="69">
        <v>0</v>
      </c>
      <c r="F2415" s="69">
        <v>0</v>
      </c>
      <c r="G2415" s="69" t="s">
        <v>21</v>
      </c>
      <c r="H2415" s="69" t="str">
        <f>IFERROR(VLOOKUP(Data!$G2415,canon!$I$2:$K$27,2,FALSE),"")</f>
        <v>ACCESSORY</v>
      </c>
      <c r="I2415" s="69" t="str">
        <f>IFERROR(VLOOKUP(Data!$G2415,canon!$I$2:$K$27,3,FALSE),"")</f>
        <v>N.APPAREL</v>
      </c>
      <c r="J2415" s="69">
        <f t="shared" si="74"/>
        <v>1</v>
      </c>
      <c r="K2415" s="69">
        <f t="shared" si="75"/>
        <v>44</v>
      </c>
      <c r="L2415" s="69">
        <f>VLOOKUP(Table_db1_backend_Daily.accdb[[#This Row],[TradingDate]],canon!B:E,4,0)</f>
        <v>29</v>
      </c>
    </row>
    <row r="2416" spans="1:12" x14ac:dyDescent="0.2">
      <c r="A2416" s="69" t="s">
        <v>44</v>
      </c>
      <c r="B2416" s="70">
        <v>42932</v>
      </c>
      <c r="C2416" s="69">
        <v>1156</v>
      </c>
      <c r="D2416" s="69">
        <v>6</v>
      </c>
      <c r="E2416" s="69">
        <v>43.38000000000001</v>
      </c>
      <c r="F2416" s="69">
        <v>31.659999999999997</v>
      </c>
      <c r="G2416" s="69" t="s">
        <v>22</v>
      </c>
      <c r="H2416" s="69" t="str">
        <f>IFERROR(VLOOKUP(Data!$G2416,canon!$I$2:$K$27,2,FALSE),"")</f>
        <v>SCARF</v>
      </c>
      <c r="I2416" s="69" t="str">
        <f>IFERROR(VLOOKUP(Data!$G2416,canon!$I$2:$K$27,3,FALSE),"")</f>
        <v>N.APPAREL</v>
      </c>
      <c r="J2416" s="69">
        <f t="shared" si="74"/>
        <v>1</v>
      </c>
      <c r="K2416" s="69">
        <f t="shared" si="75"/>
        <v>44</v>
      </c>
      <c r="L2416" s="69">
        <f>VLOOKUP(Table_db1_backend_Daily.accdb[[#This Row],[TradingDate]],canon!B:E,4,0)</f>
        <v>29</v>
      </c>
    </row>
    <row r="2417" spans="1:12" x14ac:dyDescent="0.2">
      <c r="A2417" s="69" t="s">
        <v>44</v>
      </c>
      <c r="B2417" s="70">
        <v>42932</v>
      </c>
      <c r="C2417" s="69">
        <v>153</v>
      </c>
      <c r="D2417" s="69">
        <v>0</v>
      </c>
      <c r="E2417" s="69">
        <v>0</v>
      </c>
      <c r="F2417" s="69">
        <v>0</v>
      </c>
      <c r="G2417" s="69" t="s">
        <v>23</v>
      </c>
      <c r="H2417" s="69" t="str">
        <f>IFERROR(VLOOKUP(Data!$G2417,canon!$I$2:$K$27,2,FALSE),"")</f>
        <v>SH&amp;BL</v>
      </c>
      <c r="I2417" s="69" t="str">
        <f>IFERROR(VLOOKUP(Data!$G2417,canon!$I$2:$K$27,3,FALSE),"")</f>
        <v>APPAREL</v>
      </c>
      <c r="J2417" s="69">
        <f t="shared" si="74"/>
        <v>1</v>
      </c>
      <c r="K2417" s="69">
        <f t="shared" si="75"/>
        <v>44</v>
      </c>
      <c r="L2417" s="69">
        <f>VLOOKUP(Table_db1_backend_Daily.accdb[[#This Row],[TradingDate]],canon!B:E,4,0)</f>
        <v>29</v>
      </c>
    </row>
    <row r="2418" spans="1:12" x14ac:dyDescent="0.2">
      <c r="A2418" s="69" t="s">
        <v>44</v>
      </c>
      <c r="B2418" s="70">
        <v>42932</v>
      </c>
      <c r="C2418" s="69">
        <v>486</v>
      </c>
      <c r="D2418" s="69">
        <v>0</v>
      </c>
      <c r="E2418" s="69">
        <v>0</v>
      </c>
      <c r="F2418" s="69">
        <v>0</v>
      </c>
      <c r="G2418" s="69" t="s">
        <v>32</v>
      </c>
      <c r="H2418" s="69" t="str">
        <f>IFERROR(VLOOKUP(Data!$G2418,canon!$I$2:$K$27,2,FALSE),"")</f>
        <v>SKIRT</v>
      </c>
      <c r="I2418" s="69" t="str">
        <f>IFERROR(VLOOKUP(Data!$G2418,canon!$I$2:$K$27,3,FALSE),"")</f>
        <v>APPAREL</v>
      </c>
      <c r="J2418" s="69">
        <f t="shared" si="74"/>
        <v>1</v>
      </c>
      <c r="K2418" s="69">
        <f t="shared" si="75"/>
        <v>44</v>
      </c>
      <c r="L2418" s="69">
        <f>VLOOKUP(Table_db1_backend_Daily.accdb[[#This Row],[TradingDate]],canon!B:E,4,0)</f>
        <v>29</v>
      </c>
    </row>
    <row r="2419" spans="1:12" x14ac:dyDescent="0.2">
      <c r="A2419" s="69" t="s">
        <v>44</v>
      </c>
      <c r="B2419" s="70">
        <v>42932</v>
      </c>
      <c r="C2419" s="69">
        <v>1452</v>
      </c>
      <c r="D2419" s="69">
        <v>20</v>
      </c>
      <c r="E2419" s="69">
        <v>104.56</v>
      </c>
      <c r="F2419" s="69">
        <v>16.739999999999998</v>
      </c>
      <c r="G2419" s="69" t="s">
        <v>25</v>
      </c>
      <c r="H2419" s="69" t="str">
        <f>IFERROR(VLOOKUP(Data!$G2419,canon!$I$2:$K$27,2,FALSE),"")</f>
        <v>TOP</v>
      </c>
      <c r="I2419" s="69" t="str">
        <f>IFERROR(VLOOKUP(Data!$G2419,canon!$I$2:$K$27,3,FALSE),"")</f>
        <v>APPAREL</v>
      </c>
      <c r="J2419" s="69">
        <f t="shared" si="74"/>
        <v>1</v>
      </c>
      <c r="K2419" s="69">
        <f t="shared" si="75"/>
        <v>44</v>
      </c>
      <c r="L2419" s="69">
        <f>VLOOKUP(Table_db1_backend_Daily.accdb[[#This Row],[TradingDate]],canon!B:E,4,0)</f>
        <v>29</v>
      </c>
    </row>
    <row r="2420" spans="1:12" x14ac:dyDescent="0.2">
      <c r="A2420" s="69" t="s">
        <v>44</v>
      </c>
      <c r="B2420" s="70">
        <v>42933</v>
      </c>
      <c r="C2420" s="69">
        <v>33</v>
      </c>
      <c r="D2420" s="69">
        <v>0</v>
      </c>
      <c r="E2420" s="69">
        <v>0</v>
      </c>
      <c r="F2420" s="69">
        <v>0</v>
      </c>
      <c r="G2420" s="69" t="s">
        <v>34</v>
      </c>
      <c r="H2420" s="69" t="str">
        <f>IFERROR(VLOOKUP(Data!$G2420,canon!$I$2:$K$27,2,FALSE),"")</f>
        <v>SHOES</v>
      </c>
      <c r="I2420" s="69" t="str">
        <f>IFERROR(VLOOKUP(Data!$G2420,canon!$I$2:$K$27,3,FALSE),"")</f>
        <v>N.APPAREL</v>
      </c>
      <c r="J2420" s="69">
        <f t="shared" si="74"/>
        <v>2</v>
      </c>
      <c r="K2420" s="69">
        <f t="shared" si="75"/>
        <v>44</v>
      </c>
      <c r="L2420" s="69">
        <f>VLOOKUP(Table_db1_backend_Daily.accdb[[#This Row],[TradingDate]],canon!B:E,4,0)</f>
        <v>29</v>
      </c>
    </row>
    <row r="2421" spans="1:12" x14ac:dyDescent="0.2">
      <c r="A2421" s="69" t="s">
        <v>44</v>
      </c>
      <c r="B2421" s="70">
        <v>42933</v>
      </c>
      <c r="C2421" s="69">
        <v>2</v>
      </c>
      <c r="D2421" s="69">
        <v>0</v>
      </c>
      <c r="E2421" s="69">
        <v>0</v>
      </c>
      <c r="F2421" s="69">
        <v>0</v>
      </c>
      <c r="G2421" s="69" t="s">
        <v>38</v>
      </c>
      <c r="H2421" s="69" t="str">
        <f>IFERROR(VLOOKUP(Data!$G2421,canon!$I$2:$K$27,2,FALSE),"")</f>
        <v>SHOES</v>
      </c>
      <c r="I2421" s="69" t="str">
        <f>IFERROR(VLOOKUP(Data!$G2421,canon!$I$2:$K$27,3,FALSE),"")</f>
        <v>N.APPAREL</v>
      </c>
      <c r="J2421" s="69">
        <f t="shared" si="74"/>
        <v>2</v>
      </c>
      <c r="K2421" s="69">
        <f t="shared" si="75"/>
        <v>44</v>
      </c>
      <c r="L2421" s="69">
        <f>VLOOKUP(Table_db1_backend_Daily.accdb[[#This Row],[TradingDate]],canon!B:E,4,0)</f>
        <v>29</v>
      </c>
    </row>
    <row r="2422" spans="1:12" x14ac:dyDescent="0.2">
      <c r="A2422" s="69" t="s">
        <v>44</v>
      </c>
      <c r="B2422" s="70">
        <v>42933</v>
      </c>
      <c r="C2422" s="69">
        <v>556</v>
      </c>
      <c r="D2422" s="69">
        <v>1</v>
      </c>
      <c r="E2422" s="69">
        <v>9.09</v>
      </c>
      <c r="F2422" s="69">
        <v>0.83</v>
      </c>
      <c r="G2422" s="69" t="s">
        <v>35</v>
      </c>
      <c r="H2422" s="69" t="str">
        <f>IFERROR(VLOOKUP(Data!$G2422,canon!$I$2:$K$27,2,FALSE),"")</f>
        <v>DRESS</v>
      </c>
      <c r="I2422" s="69" t="str">
        <f>IFERROR(VLOOKUP(Data!$G2422,canon!$I$2:$K$27,3,FALSE),"")</f>
        <v>APPAREL</v>
      </c>
      <c r="J2422" s="69">
        <f t="shared" si="74"/>
        <v>2</v>
      </c>
      <c r="K2422" s="69">
        <f t="shared" si="75"/>
        <v>44</v>
      </c>
      <c r="L2422" s="69">
        <f>VLOOKUP(Table_db1_backend_Daily.accdb[[#This Row],[TradingDate]],canon!B:E,4,0)</f>
        <v>29</v>
      </c>
    </row>
    <row r="2423" spans="1:12" x14ac:dyDescent="0.2">
      <c r="A2423" s="69" t="s">
        <v>44</v>
      </c>
      <c r="B2423" s="70">
        <v>42933</v>
      </c>
      <c r="C2423" s="69">
        <v>34</v>
      </c>
      <c r="D2423" s="69">
        <v>0</v>
      </c>
      <c r="E2423" s="69">
        <v>0</v>
      </c>
      <c r="F2423" s="69">
        <v>0</v>
      </c>
      <c r="G2423" s="69" t="s">
        <v>10</v>
      </c>
      <c r="H2423" s="69" t="str">
        <f>IFERROR(VLOOKUP(Data!$G2423,canon!$I$2:$K$27,2,FALSE),"")</f>
        <v>ACCESSORY</v>
      </c>
      <c r="I2423" s="69" t="str">
        <f>IFERROR(VLOOKUP(Data!$G2423,canon!$I$2:$K$27,3,FALSE),"")</f>
        <v>N.APPAREL</v>
      </c>
      <c r="J2423" s="69">
        <f t="shared" si="74"/>
        <v>2</v>
      </c>
      <c r="K2423" s="69">
        <f t="shared" si="75"/>
        <v>44</v>
      </c>
      <c r="L2423" s="69">
        <f>VLOOKUP(Table_db1_backend_Daily.accdb[[#This Row],[TradingDate]],canon!B:E,4,0)</f>
        <v>29</v>
      </c>
    </row>
    <row r="2424" spans="1:12" x14ac:dyDescent="0.2">
      <c r="A2424" s="69" t="s">
        <v>44</v>
      </c>
      <c r="B2424" s="70">
        <v>42933</v>
      </c>
      <c r="C2424" s="69">
        <v>2</v>
      </c>
      <c r="D2424" s="69">
        <v>0</v>
      </c>
      <c r="E2424" s="69">
        <v>0</v>
      </c>
      <c r="F2424" s="69">
        <v>0</v>
      </c>
      <c r="G2424" s="69" t="s">
        <v>28</v>
      </c>
      <c r="H2424" s="69" t="str">
        <f>IFERROR(VLOOKUP(Data!$G2424,canon!$I$2:$K$27,2,FALSE),"")</f>
        <v>ACCESSORY</v>
      </c>
      <c r="I2424" s="69" t="str">
        <f>IFERROR(VLOOKUP(Data!$G2424,canon!$I$2:$K$27,3,FALSE),"")</f>
        <v>N.APPAREL</v>
      </c>
      <c r="J2424" s="69">
        <f t="shared" si="74"/>
        <v>2</v>
      </c>
      <c r="K2424" s="69">
        <f t="shared" si="75"/>
        <v>44</v>
      </c>
      <c r="L2424" s="69">
        <f>VLOOKUP(Table_db1_backend_Daily.accdb[[#This Row],[TradingDate]],canon!B:E,4,0)</f>
        <v>29</v>
      </c>
    </row>
    <row r="2425" spans="1:12" x14ac:dyDescent="0.2">
      <c r="A2425" s="69" t="s">
        <v>44</v>
      </c>
      <c r="B2425" s="70">
        <v>42933</v>
      </c>
      <c r="C2425" s="69">
        <v>1962</v>
      </c>
      <c r="D2425" s="69">
        <v>14</v>
      </c>
      <c r="E2425" s="69">
        <v>122.71000000000002</v>
      </c>
      <c r="F2425" s="69">
        <v>24.009999999999994</v>
      </c>
      <c r="G2425" s="69" t="s">
        <v>11</v>
      </c>
      <c r="H2425" s="69" t="str">
        <f>IFERROR(VLOOKUP(Data!$G2425,canon!$I$2:$K$27,2,FALSE),"")</f>
        <v>KNIT</v>
      </c>
      <c r="I2425" s="69" t="str">
        <f>IFERROR(VLOOKUP(Data!$G2425,canon!$I$2:$K$27,3,FALSE),"")</f>
        <v>APPAREL</v>
      </c>
      <c r="J2425" s="69">
        <f t="shared" si="74"/>
        <v>2</v>
      </c>
      <c r="K2425" s="69">
        <f t="shared" si="75"/>
        <v>44</v>
      </c>
      <c r="L2425" s="69">
        <f>VLOOKUP(Table_db1_backend_Daily.accdb[[#This Row],[TradingDate]],canon!B:E,4,0)</f>
        <v>29</v>
      </c>
    </row>
    <row r="2426" spans="1:12" x14ac:dyDescent="0.2">
      <c r="A2426" s="69" t="s">
        <v>44</v>
      </c>
      <c r="B2426" s="70">
        <v>42933</v>
      </c>
      <c r="C2426" s="69">
        <v>482</v>
      </c>
      <c r="D2426" s="69">
        <v>0</v>
      </c>
      <c r="E2426" s="69">
        <v>0</v>
      </c>
      <c r="F2426" s="69">
        <v>0</v>
      </c>
      <c r="G2426" s="69" t="s">
        <v>14</v>
      </c>
      <c r="H2426" s="69" t="str">
        <f>IFERROR(VLOOKUP(Data!$G2426,canon!$I$2:$K$27,2,FALSE),"")</f>
        <v>LEGGING</v>
      </c>
      <c r="I2426" s="69" t="str">
        <f>IFERROR(VLOOKUP(Data!$G2426,canon!$I$2:$K$27,3,FALSE),"")</f>
        <v>APPAREL</v>
      </c>
      <c r="J2426" s="69">
        <f t="shared" si="74"/>
        <v>2</v>
      </c>
      <c r="K2426" s="69">
        <f t="shared" si="75"/>
        <v>44</v>
      </c>
      <c r="L2426" s="69">
        <f>VLOOKUP(Table_db1_backend_Daily.accdb[[#This Row],[TradingDate]],canon!B:E,4,0)</f>
        <v>29</v>
      </c>
    </row>
    <row r="2427" spans="1:12" x14ac:dyDescent="0.2">
      <c r="A2427" s="69" t="s">
        <v>44</v>
      </c>
      <c r="B2427" s="70">
        <v>42933</v>
      </c>
      <c r="C2427" s="69">
        <v>23</v>
      </c>
      <c r="D2427" s="69">
        <v>0</v>
      </c>
      <c r="E2427" s="69">
        <v>0</v>
      </c>
      <c r="F2427" s="69">
        <v>0</v>
      </c>
      <c r="G2427" s="69" t="s">
        <v>37</v>
      </c>
      <c r="H2427" s="69" t="str">
        <f>IFERROR(VLOOKUP(Data!$G2427,canon!$I$2:$K$27,2,FALSE),"")</f>
        <v>SHOES</v>
      </c>
      <c r="I2427" s="69" t="str">
        <f>IFERROR(VLOOKUP(Data!$G2427,canon!$I$2:$K$27,3,FALSE),"")</f>
        <v>N.APPAREL</v>
      </c>
      <c r="J2427" s="69">
        <f t="shared" si="74"/>
        <v>2</v>
      </c>
      <c r="K2427" s="69">
        <f t="shared" si="75"/>
        <v>44</v>
      </c>
      <c r="L2427" s="69">
        <f>VLOOKUP(Table_db1_backend_Daily.accdb[[#This Row],[TradingDate]],canon!B:E,4,0)</f>
        <v>29</v>
      </c>
    </row>
    <row r="2428" spans="1:12" x14ac:dyDescent="0.2">
      <c r="A2428" s="69" t="s">
        <v>44</v>
      </c>
      <c r="B2428" s="70">
        <v>42933</v>
      </c>
      <c r="C2428" s="69">
        <v>65</v>
      </c>
      <c r="D2428" s="69">
        <v>0</v>
      </c>
      <c r="E2428" s="69">
        <v>0</v>
      </c>
      <c r="F2428" s="69">
        <v>0</v>
      </c>
      <c r="G2428" s="69" t="s">
        <v>29</v>
      </c>
      <c r="H2428" s="69" t="str">
        <f>IFERROR(VLOOKUP(Data!$G2428,canon!$I$2:$K$27,2,FALSE),"")</f>
        <v>SHOES</v>
      </c>
      <c r="I2428" s="69" t="str">
        <f>IFERROR(VLOOKUP(Data!$G2428,canon!$I$2:$K$27,3,FALSE),"")</f>
        <v>N.APPAREL</v>
      </c>
      <c r="J2428" s="69">
        <f t="shared" si="74"/>
        <v>2</v>
      </c>
      <c r="K2428" s="69">
        <f t="shared" si="75"/>
        <v>44</v>
      </c>
      <c r="L2428" s="69">
        <f>VLOOKUP(Table_db1_backend_Daily.accdb[[#This Row],[TradingDate]],canon!B:E,4,0)</f>
        <v>29</v>
      </c>
    </row>
    <row r="2429" spans="1:12" x14ac:dyDescent="0.2">
      <c r="A2429" s="69" t="s">
        <v>44</v>
      </c>
      <c r="B2429" s="70">
        <v>42933</v>
      </c>
      <c r="C2429" s="69">
        <v>730</v>
      </c>
      <c r="D2429" s="69">
        <v>3</v>
      </c>
      <c r="E2429" s="69">
        <v>27.27</v>
      </c>
      <c r="F2429" s="69">
        <v>1.4</v>
      </c>
      <c r="G2429" s="69" t="s">
        <v>17</v>
      </c>
      <c r="H2429" s="69" t="str">
        <f>IFERROR(VLOOKUP(Data!$G2429,canon!$I$2:$K$27,2,FALSE),"")</f>
        <v>OUTER</v>
      </c>
      <c r="I2429" s="69" t="str">
        <f>IFERROR(VLOOKUP(Data!$G2429,canon!$I$2:$K$27,3,FALSE),"")</f>
        <v>APPAREL</v>
      </c>
      <c r="J2429" s="69">
        <f t="shared" si="74"/>
        <v>2</v>
      </c>
      <c r="K2429" s="69">
        <f t="shared" si="75"/>
        <v>44</v>
      </c>
      <c r="L2429" s="69">
        <f>VLOOKUP(Table_db1_backend_Daily.accdb[[#This Row],[TradingDate]],canon!B:E,4,0)</f>
        <v>29</v>
      </c>
    </row>
    <row r="2430" spans="1:12" x14ac:dyDescent="0.2">
      <c r="A2430" s="69" t="s">
        <v>44</v>
      </c>
      <c r="B2430" s="70">
        <v>42933</v>
      </c>
      <c r="C2430" s="69">
        <v>381</v>
      </c>
      <c r="D2430" s="69">
        <v>0</v>
      </c>
      <c r="E2430" s="69">
        <v>0</v>
      </c>
      <c r="F2430" s="69">
        <v>0</v>
      </c>
      <c r="G2430" s="69" t="s">
        <v>19</v>
      </c>
      <c r="H2430" s="69" t="str">
        <f>IFERROR(VLOOKUP(Data!$G2430,canon!$I$2:$K$27,2,FALSE),"")</f>
        <v>PANT</v>
      </c>
      <c r="I2430" s="69" t="str">
        <f>IFERROR(VLOOKUP(Data!$G2430,canon!$I$2:$K$27,3,FALSE),"")</f>
        <v>APPAREL</v>
      </c>
      <c r="J2430" s="69">
        <f t="shared" si="74"/>
        <v>2</v>
      </c>
      <c r="K2430" s="69">
        <f t="shared" si="75"/>
        <v>44</v>
      </c>
      <c r="L2430" s="69">
        <f>VLOOKUP(Table_db1_backend_Daily.accdb[[#This Row],[TradingDate]],canon!B:E,4,0)</f>
        <v>29</v>
      </c>
    </row>
    <row r="2431" spans="1:12" x14ac:dyDescent="0.2">
      <c r="A2431" s="69" t="s">
        <v>44</v>
      </c>
      <c r="B2431" s="70">
        <v>42933</v>
      </c>
      <c r="C2431" s="69">
        <v>78</v>
      </c>
      <c r="D2431" s="69">
        <v>0</v>
      </c>
      <c r="E2431" s="69">
        <v>0</v>
      </c>
      <c r="F2431" s="69">
        <v>0</v>
      </c>
      <c r="G2431" s="69" t="s">
        <v>21</v>
      </c>
      <c r="H2431" s="69" t="str">
        <f>IFERROR(VLOOKUP(Data!$G2431,canon!$I$2:$K$27,2,FALSE),"")</f>
        <v>ACCESSORY</v>
      </c>
      <c r="I2431" s="69" t="str">
        <f>IFERROR(VLOOKUP(Data!$G2431,canon!$I$2:$K$27,3,FALSE),"")</f>
        <v>N.APPAREL</v>
      </c>
      <c r="J2431" s="69">
        <f t="shared" si="74"/>
        <v>2</v>
      </c>
      <c r="K2431" s="69">
        <f t="shared" si="75"/>
        <v>44</v>
      </c>
      <c r="L2431" s="69">
        <f>VLOOKUP(Table_db1_backend_Daily.accdb[[#This Row],[TradingDate]],canon!B:E,4,0)</f>
        <v>29</v>
      </c>
    </row>
    <row r="2432" spans="1:12" x14ac:dyDescent="0.2">
      <c r="A2432" s="69" t="s">
        <v>44</v>
      </c>
      <c r="B2432" s="70">
        <v>42933</v>
      </c>
      <c r="C2432" s="69">
        <v>1154</v>
      </c>
      <c r="D2432" s="69">
        <v>2</v>
      </c>
      <c r="E2432" s="69">
        <v>14.46</v>
      </c>
      <c r="F2432" s="69">
        <v>11.16</v>
      </c>
      <c r="G2432" s="69" t="s">
        <v>22</v>
      </c>
      <c r="H2432" s="69" t="str">
        <f>IFERROR(VLOOKUP(Data!$G2432,canon!$I$2:$K$27,2,FALSE),"")</f>
        <v>SCARF</v>
      </c>
      <c r="I2432" s="69" t="str">
        <f>IFERROR(VLOOKUP(Data!$G2432,canon!$I$2:$K$27,3,FALSE),"")</f>
        <v>N.APPAREL</v>
      </c>
      <c r="J2432" s="69">
        <f t="shared" si="74"/>
        <v>2</v>
      </c>
      <c r="K2432" s="69">
        <f t="shared" si="75"/>
        <v>44</v>
      </c>
      <c r="L2432" s="69">
        <f>VLOOKUP(Table_db1_backend_Daily.accdb[[#This Row],[TradingDate]],canon!B:E,4,0)</f>
        <v>29</v>
      </c>
    </row>
    <row r="2433" spans="1:12" x14ac:dyDescent="0.2">
      <c r="A2433" s="69" t="s">
        <v>44</v>
      </c>
      <c r="B2433" s="70">
        <v>42933</v>
      </c>
      <c r="C2433" s="69">
        <v>153</v>
      </c>
      <c r="D2433" s="69">
        <v>0</v>
      </c>
      <c r="E2433" s="69">
        <v>0</v>
      </c>
      <c r="F2433" s="69">
        <v>0</v>
      </c>
      <c r="G2433" s="69" t="s">
        <v>23</v>
      </c>
      <c r="H2433" s="69" t="str">
        <f>IFERROR(VLOOKUP(Data!$G2433,canon!$I$2:$K$27,2,FALSE),"")</f>
        <v>SH&amp;BL</v>
      </c>
      <c r="I2433" s="69" t="str">
        <f>IFERROR(VLOOKUP(Data!$G2433,canon!$I$2:$K$27,3,FALSE),"")</f>
        <v>APPAREL</v>
      </c>
      <c r="J2433" s="69">
        <f t="shared" si="74"/>
        <v>2</v>
      </c>
      <c r="K2433" s="69">
        <f t="shared" si="75"/>
        <v>44</v>
      </c>
      <c r="L2433" s="69">
        <f>VLOOKUP(Table_db1_backend_Daily.accdb[[#This Row],[TradingDate]],canon!B:E,4,0)</f>
        <v>29</v>
      </c>
    </row>
    <row r="2434" spans="1:12" x14ac:dyDescent="0.2">
      <c r="A2434" s="69" t="s">
        <v>44</v>
      </c>
      <c r="B2434" s="70">
        <v>42933</v>
      </c>
      <c r="C2434" s="69">
        <v>486</v>
      </c>
      <c r="D2434" s="69">
        <v>0</v>
      </c>
      <c r="E2434" s="69">
        <v>0</v>
      </c>
      <c r="F2434" s="69">
        <v>0</v>
      </c>
      <c r="G2434" s="69" t="s">
        <v>32</v>
      </c>
      <c r="H2434" s="69" t="str">
        <f>IFERROR(VLOOKUP(Data!$G2434,canon!$I$2:$K$27,2,FALSE),"")</f>
        <v>SKIRT</v>
      </c>
      <c r="I2434" s="69" t="str">
        <f>IFERROR(VLOOKUP(Data!$G2434,canon!$I$2:$K$27,3,FALSE),"")</f>
        <v>APPAREL</v>
      </c>
      <c r="J2434" s="69">
        <f t="shared" ref="J2434:J2497" si="76">WEEKDAY(B2434)</f>
        <v>2</v>
      </c>
      <c r="K2434" s="69">
        <f t="shared" ref="K2434:K2497" si="77">INT(A2434)</f>
        <v>44</v>
      </c>
      <c r="L2434" s="69">
        <f>VLOOKUP(Table_db1_backend_Daily.accdb[[#This Row],[TradingDate]],canon!B:E,4,0)</f>
        <v>29</v>
      </c>
    </row>
    <row r="2435" spans="1:12" x14ac:dyDescent="0.2">
      <c r="A2435" s="69" t="s">
        <v>44</v>
      </c>
      <c r="B2435" s="70">
        <v>42933</v>
      </c>
      <c r="C2435" s="69">
        <v>1440</v>
      </c>
      <c r="D2435" s="69">
        <v>12</v>
      </c>
      <c r="E2435" s="69">
        <v>68.19</v>
      </c>
      <c r="F2435" s="69">
        <v>18.899999999999999</v>
      </c>
      <c r="G2435" s="69" t="s">
        <v>25</v>
      </c>
      <c r="H2435" s="69" t="str">
        <f>IFERROR(VLOOKUP(Data!$G2435,canon!$I$2:$K$27,2,FALSE),"")</f>
        <v>TOP</v>
      </c>
      <c r="I2435" s="69" t="str">
        <f>IFERROR(VLOOKUP(Data!$G2435,canon!$I$2:$K$27,3,FALSE),"")</f>
        <v>APPAREL</v>
      </c>
      <c r="J2435" s="69">
        <f t="shared" si="76"/>
        <v>2</v>
      </c>
      <c r="K2435" s="69">
        <f t="shared" si="77"/>
        <v>44</v>
      </c>
      <c r="L2435" s="69">
        <f>VLOOKUP(Table_db1_backend_Daily.accdb[[#This Row],[TradingDate]],canon!B:E,4,0)</f>
        <v>29</v>
      </c>
    </row>
    <row r="2436" spans="1:12" x14ac:dyDescent="0.2">
      <c r="A2436" s="69" t="s">
        <v>44</v>
      </c>
      <c r="B2436" s="70">
        <v>42934</v>
      </c>
      <c r="C2436" s="69">
        <v>33</v>
      </c>
      <c r="D2436" s="69">
        <v>0</v>
      </c>
      <c r="E2436" s="69">
        <v>0</v>
      </c>
      <c r="F2436" s="69">
        <v>0</v>
      </c>
      <c r="G2436" s="69" t="s">
        <v>34</v>
      </c>
      <c r="H2436" s="69" t="str">
        <f>IFERROR(VLOOKUP(Data!$G2436,canon!$I$2:$K$27,2,FALSE),"")</f>
        <v>SHOES</v>
      </c>
      <c r="I2436" s="69" t="str">
        <f>IFERROR(VLOOKUP(Data!$G2436,canon!$I$2:$K$27,3,FALSE),"")</f>
        <v>N.APPAREL</v>
      </c>
      <c r="J2436" s="69">
        <f t="shared" si="76"/>
        <v>3</v>
      </c>
      <c r="K2436" s="69">
        <f t="shared" si="77"/>
        <v>44</v>
      </c>
      <c r="L2436" s="69">
        <f>VLOOKUP(Table_db1_backend_Daily.accdb[[#This Row],[TradingDate]],canon!B:E,4,0)</f>
        <v>29</v>
      </c>
    </row>
    <row r="2437" spans="1:12" x14ac:dyDescent="0.2">
      <c r="A2437" s="69" t="s">
        <v>44</v>
      </c>
      <c r="B2437" s="70">
        <v>42934</v>
      </c>
      <c r="C2437" s="69">
        <v>2</v>
      </c>
      <c r="D2437" s="69">
        <v>0</v>
      </c>
      <c r="E2437" s="69">
        <v>0</v>
      </c>
      <c r="F2437" s="69">
        <v>0</v>
      </c>
      <c r="G2437" s="69" t="s">
        <v>38</v>
      </c>
      <c r="H2437" s="69" t="str">
        <f>IFERROR(VLOOKUP(Data!$G2437,canon!$I$2:$K$27,2,FALSE),"")</f>
        <v>SHOES</v>
      </c>
      <c r="I2437" s="69" t="str">
        <f>IFERROR(VLOOKUP(Data!$G2437,canon!$I$2:$K$27,3,FALSE),"")</f>
        <v>N.APPAREL</v>
      </c>
      <c r="J2437" s="69">
        <f t="shared" si="76"/>
        <v>3</v>
      </c>
      <c r="K2437" s="69">
        <f t="shared" si="77"/>
        <v>44</v>
      </c>
      <c r="L2437" s="69">
        <f>VLOOKUP(Table_db1_backend_Daily.accdb[[#This Row],[TradingDate]],canon!B:E,4,0)</f>
        <v>29</v>
      </c>
    </row>
    <row r="2438" spans="1:12" x14ac:dyDescent="0.2">
      <c r="A2438" s="69" t="s">
        <v>44</v>
      </c>
      <c r="B2438" s="70">
        <v>42934</v>
      </c>
      <c r="C2438" s="69">
        <v>556</v>
      </c>
      <c r="D2438" s="69">
        <v>0</v>
      </c>
      <c r="E2438" s="69">
        <v>0</v>
      </c>
      <c r="F2438" s="69">
        <v>0</v>
      </c>
      <c r="G2438" s="69" t="s">
        <v>35</v>
      </c>
      <c r="H2438" s="69" t="str">
        <f>IFERROR(VLOOKUP(Data!$G2438,canon!$I$2:$K$27,2,FALSE),"")</f>
        <v>DRESS</v>
      </c>
      <c r="I2438" s="69" t="str">
        <f>IFERROR(VLOOKUP(Data!$G2438,canon!$I$2:$K$27,3,FALSE),"")</f>
        <v>APPAREL</v>
      </c>
      <c r="J2438" s="69">
        <f t="shared" si="76"/>
        <v>3</v>
      </c>
      <c r="K2438" s="69">
        <f t="shared" si="77"/>
        <v>44</v>
      </c>
      <c r="L2438" s="69">
        <f>VLOOKUP(Table_db1_backend_Daily.accdb[[#This Row],[TradingDate]],canon!B:E,4,0)</f>
        <v>29</v>
      </c>
    </row>
    <row r="2439" spans="1:12" x14ac:dyDescent="0.2">
      <c r="A2439" s="69" t="s">
        <v>44</v>
      </c>
      <c r="B2439" s="70">
        <v>42934</v>
      </c>
      <c r="C2439" s="69">
        <v>34</v>
      </c>
      <c r="D2439" s="69">
        <v>0</v>
      </c>
      <c r="E2439" s="69">
        <v>0</v>
      </c>
      <c r="F2439" s="69">
        <v>0</v>
      </c>
      <c r="G2439" s="69" t="s">
        <v>10</v>
      </c>
      <c r="H2439" s="69" t="str">
        <f>IFERROR(VLOOKUP(Data!$G2439,canon!$I$2:$K$27,2,FALSE),"")</f>
        <v>ACCESSORY</v>
      </c>
      <c r="I2439" s="69" t="str">
        <f>IFERROR(VLOOKUP(Data!$G2439,canon!$I$2:$K$27,3,FALSE),"")</f>
        <v>N.APPAREL</v>
      </c>
      <c r="J2439" s="69">
        <f t="shared" si="76"/>
        <v>3</v>
      </c>
      <c r="K2439" s="69">
        <f t="shared" si="77"/>
        <v>44</v>
      </c>
      <c r="L2439" s="69">
        <f>VLOOKUP(Table_db1_backend_Daily.accdb[[#This Row],[TradingDate]],canon!B:E,4,0)</f>
        <v>29</v>
      </c>
    </row>
    <row r="2440" spans="1:12" x14ac:dyDescent="0.2">
      <c r="A2440" s="69" t="s">
        <v>44</v>
      </c>
      <c r="B2440" s="70">
        <v>42934</v>
      </c>
      <c r="C2440" s="69">
        <v>2</v>
      </c>
      <c r="D2440" s="69">
        <v>0</v>
      </c>
      <c r="E2440" s="69">
        <v>0</v>
      </c>
      <c r="F2440" s="69">
        <v>0</v>
      </c>
      <c r="G2440" s="69" t="s">
        <v>28</v>
      </c>
      <c r="H2440" s="69" t="str">
        <f>IFERROR(VLOOKUP(Data!$G2440,canon!$I$2:$K$27,2,FALSE),"")</f>
        <v>ACCESSORY</v>
      </c>
      <c r="I2440" s="69" t="str">
        <f>IFERROR(VLOOKUP(Data!$G2440,canon!$I$2:$K$27,3,FALSE),"")</f>
        <v>N.APPAREL</v>
      </c>
      <c r="J2440" s="69">
        <f t="shared" si="76"/>
        <v>3</v>
      </c>
      <c r="K2440" s="69">
        <f t="shared" si="77"/>
        <v>44</v>
      </c>
      <c r="L2440" s="69">
        <f>VLOOKUP(Table_db1_backend_Daily.accdb[[#This Row],[TradingDate]],canon!B:E,4,0)</f>
        <v>29</v>
      </c>
    </row>
    <row r="2441" spans="1:12" x14ac:dyDescent="0.2">
      <c r="A2441" s="69" t="s">
        <v>44</v>
      </c>
      <c r="B2441" s="70">
        <v>42934</v>
      </c>
      <c r="C2441" s="69">
        <v>2063</v>
      </c>
      <c r="D2441" s="69">
        <v>22</v>
      </c>
      <c r="E2441" s="69">
        <v>254.34000000000006</v>
      </c>
      <c r="F2441" s="69">
        <v>83.69</v>
      </c>
      <c r="G2441" s="69" t="s">
        <v>11</v>
      </c>
      <c r="H2441" s="69" t="str">
        <f>IFERROR(VLOOKUP(Data!$G2441,canon!$I$2:$K$27,2,FALSE),"")</f>
        <v>KNIT</v>
      </c>
      <c r="I2441" s="69" t="str">
        <f>IFERROR(VLOOKUP(Data!$G2441,canon!$I$2:$K$27,3,FALSE),"")</f>
        <v>APPAREL</v>
      </c>
      <c r="J2441" s="69">
        <f t="shared" si="76"/>
        <v>3</v>
      </c>
      <c r="K2441" s="69">
        <f t="shared" si="77"/>
        <v>44</v>
      </c>
      <c r="L2441" s="69">
        <f>VLOOKUP(Table_db1_backend_Daily.accdb[[#This Row],[TradingDate]],canon!B:E,4,0)</f>
        <v>29</v>
      </c>
    </row>
    <row r="2442" spans="1:12" x14ac:dyDescent="0.2">
      <c r="A2442" s="69" t="s">
        <v>44</v>
      </c>
      <c r="B2442" s="70">
        <v>42934</v>
      </c>
      <c r="C2442" s="69">
        <v>486</v>
      </c>
      <c r="D2442" s="69">
        <v>2</v>
      </c>
      <c r="E2442" s="69">
        <v>36.36</v>
      </c>
      <c r="F2442" s="69">
        <v>23.76</v>
      </c>
      <c r="G2442" s="69" t="s">
        <v>14</v>
      </c>
      <c r="H2442" s="69" t="str">
        <f>IFERROR(VLOOKUP(Data!$G2442,canon!$I$2:$K$27,2,FALSE),"")</f>
        <v>LEGGING</v>
      </c>
      <c r="I2442" s="69" t="str">
        <f>IFERROR(VLOOKUP(Data!$G2442,canon!$I$2:$K$27,3,FALSE),"")</f>
        <v>APPAREL</v>
      </c>
      <c r="J2442" s="69">
        <f t="shared" si="76"/>
        <v>3</v>
      </c>
      <c r="K2442" s="69">
        <f t="shared" si="77"/>
        <v>44</v>
      </c>
      <c r="L2442" s="69">
        <f>VLOOKUP(Table_db1_backend_Daily.accdb[[#This Row],[TradingDate]],canon!B:E,4,0)</f>
        <v>29</v>
      </c>
    </row>
    <row r="2443" spans="1:12" x14ac:dyDescent="0.2">
      <c r="A2443" s="69" t="s">
        <v>44</v>
      </c>
      <c r="B2443" s="70">
        <v>42934</v>
      </c>
      <c r="C2443" s="69">
        <v>23</v>
      </c>
      <c r="D2443" s="69">
        <v>0</v>
      </c>
      <c r="E2443" s="69">
        <v>0</v>
      </c>
      <c r="F2443" s="69">
        <v>0</v>
      </c>
      <c r="G2443" s="69" t="s">
        <v>37</v>
      </c>
      <c r="H2443" s="69" t="str">
        <f>IFERROR(VLOOKUP(Data!$G2443,canon!$I$2:$K$27,2,FALSE),"")</f>
        <v>SHOES</v>
      </c>
      <c r="I2443" s="69" t="str">
        <f>IFERROR(VLOOKUP(Data!$G2443,canon!$I$2:$K$27,3,FALSE),"")</f>
        <v>N.APPAREL</v>
      </c>
      <c r="J2443" s="69">
        <f t="shared" si="76"/>
        <v>3</v>
      </c>
      <c r="K2443" s="69">
        <f t="shared" si="77"/>
        <v>44</v>
      </c>
      <c r="L2443" s="69">
        <f>VLOOKUP(Table_db1_backend_Daily.accdb[[#This Row],[TradingDate]],canon!B:E,4,0)</f>
        <v>29</v>
      </c>
    </row>
    <row r="2444" spans="1:12" x14ac:dyDescent="0.2">
      <c r="A2444" s="69" t="s">
        <v>44</v>
      </c>
      <c r="B2444" s="70">
        <v>42934</v>
      </c>
      <c r="C2444" s="69">
        <v>65</v>
      </c>
      <c r="D2444" s="69">
        <v>0</v>
      </c>
      <c r="E2444" s="69">
        <v>0</v>
      </c>
      <c r="F2444" s="69">
        <v>0</v>
      </c>
      <c r="G2444" s="69" t="s">
        <v>29</v>
      </c>
      <c r="H2444" s="69" t="str">
        <f>IFERROR(VLOOKUP(Data!$G2444,canon!$I$2:$K$27,2,FALSE),"")</f>
        <v>SHOES</v>
      </c>
      <c r="I2444" s="69" t="str">
        <f>IFERROR(VLOOKUP(Data!$G2444,canon!$I$2:$K$27,3,FALSE),"")</f>
        <v>N.APPAREL</v>
      </c>
      <c r="J2444" s="69">
        <f t="shared" si="76"/>
        <v>3</v>
      </c>
      <c r="K2444" s="69">
        <f t="shared" si="77"/>
        <v>44</v>
      </c>
      <c r="L2444" s="69">
        <f>VLOOKUP(Table_db1_backend_Daily.accdb[[#This Row],[TradingDate]],canon!B:E,4,0)</f>
        <v>29</v>
      </c>
    </row>
    <row r="2445" spans="1:12" x14ac:dyDescent="0.2">
      <c r="A2445" s="69" t="s">
        <v>44</v>
      </c>
      <c r="B2445" s="70">
        <v>42934</v>
      </c>
      <c r="C2445" s="69">
        <v>725</v>
      </c>
      <c r="D2445" s="69">
        <v>11</v>
      </c>
      <c r="E2445" s="69">
        <v>190.70000000000002</v>
      </c>
      <c r="F2445" s="69">
        <v>84.660000000000011</v>
      </c>
      <c r="G2445" s="69" t="s">
        <v>17</v>
      </c>
      <c r="H2445" s="69" t="str">
        <f>IFERROR(VLOOKUP(Data!$G2445,canon!$I$2:$K$27,2,FALSE),"")</f>
        <v>OUTER</v>
      </c>
      <c r="I2445" s="69" t="str">
        <f>IFERROR(VLOOKUP(Data!$G2445,canon!$I$2:$K$27,3,FALSE),"")</f>
        <v>APPAREL</v>
      </c>
      <c r="J2445" s="69">
        <f t="shared" si="76"/>
        <v>3</v>
      </c>
      <c r="K2445" s="69">
        <f t="shared" si="77"/>
        <v>44</v>
      </c>
      <c r="L2445" s="69">
        <f>VLOOKUP(Table_db1_backend_Daily.accdb[[#This Row],[TradingDate]],canon!B:E,4,0)</f>
        <v>29</v>
      </c>
    </row>
    <row r="2446" spans="1:12" x14ac:dyDescent="0.2">
      <c r="A2446" s="69" t="s">
        <v>44</v>
      </c>
      <c r="B2446" s="70">
        <v>42934</v>
      </c>
      <c r="C2446" s="69">
        <v>387</v>
      </c>
      <c r="D2446" s="69">
        <v>0</v>
      </c>
      <c r="E2446" s="69">
        <v>0</v>
      </c>
      <c r="F2446" s="69">
        <v>0</v>
      </c>
      <c r="G2446" s="69" t="s">
        <v>19</v>
      </c>
      <c r="H2446" s="69" t="str">
        <f>IFERROR(VLOOKUP(Data!$G2446,canon!$I$2:$K$27,2,FALSE),"")</f>
        <v>PANT</v>
      </c>
      <c r="I2446" s="69" t="str">
        <f>IFERROR(VLOOKUP(Data!$G2446,canon!$I$2:$K$27,3,FALSE),"")</f>
        <v>APPAREL</v>
      </c>
      <c r="J2446" s="69">
        <f t="shared" si="76"/>
        <v>3</v>
      </c>
      <c r="K2446" s="69">
        <f t="shared" si="77"/>
        <v>44</v>
      </c>
      <c r="L2446" s="69">
        <f>VLOOKUP(Table_db1_backend_Daily.accdb[[#This Row],[TradingDate]],canon!B:E,4,0)</f>
        <v>29</v>
      </c>
    </row>
    <row r="2447" spans="1:12" x14ac:dyDescent="0.2">
      <c r="A2447" s="69" t="s">
        <v>44</v>
      </c>
      <c r="B2447" s="70">
        <v>42934</v>
      </c>
      <c r="C2447" s="69">
        <v>78</v>
      </c>
      <c r="D2447" s="69">
        <v>0</v>
      </c>
      <c r="E2447" s="69">
        <v>0</v>
      </c>
      <c r="F2447" s="69">
        <v>0</v>
      </c>
      <c r="G2447" s="69" t="s">
        <v>21</v>
      </c>
      <c r="H2447" s="69" t="str">
        <f>IFERROR(VLOOKUP(Data!$G2447,canon!$I$2:$K$27,2,FALSE),"")</f>
        <v>ACCESSORY</v>
      </c>
      <c r="I2447" s="69" t="str">
        <f>IFERROR(VLOOKUP(Data!$G2447,canon!$I$2:$K$27,3,FALSE),"")</f>
        <v>N.APPAREL</v>
      </c>
      <c r="J2447" s="69">
        <f t="shared" si="76"/>
        <v>3</v>
      </c>
      <c r="K2447" s="69">
        <f t="shared" si="77"/>
        <v>44</v>
      </c>
      <c r="L2447" s="69">
        <f>VLOOKUP(Table_db1_backend_Daily.accdb[[#This Row],[TradingDate]],canon!B:E,4,0)</f>
        <v>29</v>
      </c>
    </row>
    <row r="2448" spans="1:12" x14ac:dyDescent="0.2">
      <c r="A2448" s="69" t="s">
        <v>44</v>
      </c>
      <c r="B2448" s="70">
        <v>42934</v>
      </c>
      <c r="C2448" s="69">
        <v>1148</v>
      </c>
      <c r="D2448" s="69">
        <v>6</v>
      </c>
      <c r="E2448" s="69">
        <v>32.64</v>
      </c>
      <c r="F2448" s="69">
        <v>22.209999999999997</v>
      </c>
      <c r="G2448" s="69" t="s">
        <v>22</v>
      </c>
      <c r="H2448" s="69" t="str">
        <f>IFERROR(VLOOKUP(Data!$G2448,canon!$I$2:$K$27,2,FALSE),"")</f>
        <v>SCARF</v>
      </c>
      <c r="I2448" s="69" t="str">
        <f>IFERROR(VLOOKUP(Data!$G2448,canon!$I$2:$K$27,3,FALSE),"")</f>
        <v>N.APPAREL</v>
      </c>
      <c r="J2448" s="69">
        <f t="shared" si="76"/>
        <v>3</v>
      </c>
      <c r="K2448" s="69">
        <f t="shared" si="77"/>
        <v>44</v>
      </c>
      <c r="L2448" s="69">
        <f>VLOOKUP(Table_db1_backend_Daily.accdb[[#This Row],[TradingDate]],canon!B:E,4,0)</f>
        <v>29</v>
      </c>
    </row>
    <row r="2449" spans="1:12" x14ac:dyDescent="0.2">
      <c r="A2449" s="69" t="s">
        <v>44</v>
      </c>
      <c r="B2449" s="70">
        <v>42934</v>
      </c>
      <c r="C2449" s="69">
        <v>153</v>
      </c>
      <c r="D2449" s="69">
        <v>0</v>
      </c>
      <c r="E2449" s="69">
        <v>0</v>
      </c>
      <c r="F2449" s="69">
        <v>0</v>
      </c>
      <c r="G2449" s="69" t="s">
        <v>23</v>
      </c>
      <c r="H2449" s="69" t="str">
        <f>IFERROR(VLOOKUP(Data!$G2449,canon!$I$2:$K$27,2,FALSE),"")</f>
        <v>SH&amp;BL</v>
      </c>
      <c r="I2449" s="69" t="str">
        <f>IFERROR(VLOOKUP(Data!$G2449,canon!$I$2:$K$27,3,FALSE),"")</f>
        <v>APPAREL</v>
      </c>
      <c r="J2449" s="69">
        <f t="shared" si="76"/>
        <v>3</v>
      </c>
      <c r="K2449" s="69">
        <f t="shared" si="77"/>
        <v>44</v>
      </c>
      <c r="L2449" s="69">
        <f>VLOOKUP(Table_db1_backend_Daily.accdb[[#This Row],[TradingDate]],canon!B:E,4,0)</f>
        <v>29</v>
      </c>
    </row>
    <row r="2450" spans="1:12" x14ac:dyDescent="0.2">
      <c r="A2450" s="69" t="s">
        <v>44</v>
      </c>
      <c r="B2450" s="70">
        <v>42934</v>
      </c>
      <c r="C2450" s="69">
        <v>486</v>
      </c>
      <c r="D2450" s="69">
        <v>0</v>
      </c>
      <c r="E2450" s="69">
        <v>0</v>
      </c>
      <c r="F2450" s="69">
        <v>0</v>
      </c>
      <c r="G2450" s="69" t="s">
        <v>32</v>
      </c>
      <c r="H2450" s="69" t="str">
        <f>IFERROR(VLOOKUP(Data!$G2450,canon!$I$2:$K$27,2,FALSE),"")</f>
        <v>SKIRT</v>
      </c>
      <c r="I2450" s="69" t="str">
        <f>IFERROR(VLOOKUP(Data!$G2450,canon!$I$2:$K$27,3,FALSE),"")</f>
        <v>APPAREL</v>
      </c>
      <c r="J2450" s="69">
        <f t="shared" si="76"/>
        <v>3</v>
      </c>
      <c r="K2450" s="69">
        <f t="shared" si="77"/>
        <v>44</v>
      </c>
      <c r="L2450" s="69">
        <f>VLOOKUP(Table_db1_backend_Daily.accdb[[#This Row],[TradingDate]],canon!B:E,4,0)</f>
        <v>29</v>
      </c>
    </row>
    <row r="2451" spans="1:12" x14ac:dyDescent="0.2">
      <c r="A2451" s="69" t="s">
        <v>44</v>
      </c>
      <c r="B2451" s="70">
        <v>42934</v>
      </c>
      <c r="C2451" s="69">
        <v>1436</v>
      </c>
      <c r="D2451" s="69">
        <v>10</v>
      </c>
      <c r="E2451" s="69">
        <v>63.649999999999991</v>
      </c>
      <c r="F2451" s="69">
        <v>13.989999999999998</v>
      </c>
      <c r="G2451" s="69" t="s">
        <v>25</v>
      </c>
      <c r="H2451" s="69" t="str">
        <f>IFERROR(VLOOKUP(Data!$G2451,canon!$I$2:$K$27,2,FALSE),"")</f>
        <v>TOP</v>
      </c>
      <c r="I2451" s="69" t="str">
        <f>IFERROR(VLOOKUP(Data!$G2451,canon!$I$2:$K$27,3,FALSE),"")</f>
        <v>APPAREL</v>
      </c>
      <c r="J2451" s="69">
        <f t="shared" si="76"/>
        <v>3</v>
      </c>
      <c r="K2451" s="69">
        <f t="shared" si="77"/>
        <v>44</v>
      </c>
      <c r="L2451" s="69">
        <f>VLOOKUP(Table_db1_backend_Daily.accdb[[#This Row],[TradingDate]],canon!B:E,4,0)</f>
        <v>29</v>
      </c>
    </row>
    <row r="2452" spans="1:12" x14ac:dyDescent="0.2">
      <c r="A2452" s="69" t="s">
        <v>44</v>
      </c>
      <c r="B2452" s="70">
        <v>42935</v>
      </c>
      <c r="C2452" s="69">
        <v>33</v>
      </c>
      <c r="D2452" s="69">
        <v>0</v>
      </c>
      <c r="E2452" s="69">
        <v>0</v>
      </c>
      <c r="F2452" s="69">
        <v>0</v>
      </c>
      <c r="G2452" s="69" t="s">
        <v>34</v>
      </c>
      <c r="H2452" s="69" t="str">
        <f>IFERROR(VLOOKUP(Data!$G2452,canon!$I$2:$K$27,2,FALSE),"")</f>
        <v>SHOES</v>
      </c>
      <c r="I2452" s="69" t="str">
        <f>IFERROR(VLOOKUP(Data!$G2452,canon!$I$2:$K$27,3,FALSE),"")</f>
        <v>N.APPAREL</v>
      </c>
      <c r="J2452" s="69">
        <f t="shared" si="76"/>
        <v>4</v>
      </c>
      <c r="K2452" s="69">
        <f t="shared" si="77"/>
        <v>44</v>
      </c>
      <c r="L2452" s="69">
        <f>VLOOKUP(Table_db1_backend_Daily.accdb[[#This Row],[TradingDate]],canon!B:E,4,0)</f>
        <v>29</v>
      </c>
    </row>
    <row r="2453" spans="1:12" x14ac:dyDescent="0.2">
      <c r="A2453" s="69" t="s">
        <v>44</v>
      </c>
      <c r="B2453" s="70">
        <v>42935</v>
      </c>
      <c r="C2453" s="69">
        <v>2</v>
      </c>
      <c r="D2453" s="69">
        <v>0</v>
      </c>
      <c r="E2453" s="69">
        <v>0</v>
      </c>
      <c r="F2453" s="69">
        <v>0</v>
      </c>
      <c r="G2453" s="69" t="s">
        <v>38</v>
      </c>
      <c r="H2453" s="69" t="str">
        <f>IFERROR(VLOOKUP(Data!$G2453,canon!$I$2:$K$27,2,FALSE),"")</f>
        <v>SHOES</v>
      </c>
      <c r="I2453" s="69" t="str">
        <f>IFERROR(VLOOKUP(Data!$G2453,canon!$I$2:$K$27,3,FALSE),"")</f>
        <v>N.APPAREL</v>
      </c>
      <c r="J2453" s="69">
        <f t="shared" si="76"/>
        <v>4</v>
      </c>
      <c r="K2453" s="69">
        <f t="shared" si="77"/>
        <v>44</v>
      </c>
      <c r="L2453" s="69">
        <f>VLOOKUP(Table_db1_backend_Daily.accdb[[#This Row],[TradingDate]],canon!B:E,4,0)</f>
        <v>29</v>
      </c>
    </row>
    <row r="2454" spans="1:12" x14ac:dyDescent="0.2">
      <c r="A2454" s="69" t="s">
        <v>44</v>
      </c>
      <c r="B2454" s="70">
        <v>42935</v>
      </c>
      <c r="C2454" s="69">
        <v>555</v>
      </c>
      <c r="D2454" s="69">
        <v>1</v>
      </c>
      <c r="E2454" s="69">
        <v>27.25</v>
      </c>
      <c r="F2454" s="69">
        <v>18.34</v>
      </c>
      <c r="G2454" s="69" t="s">
        <v>35</v>
      </c>
      <c r="H2454" s="69" t="str">
        <f>IFERROR(VLOOKUP(Data!$G2454,canon!$I$2:$K$27,2,FALSE),"")</f>
        <v>DRESS</v>
      </c>
      <c r="I2454" s="69" t="str">
        <f>IFERROR(VLOOKUP(Data!$G2454,canon!$I$2:$K$27,3,FALSE),"")</f>
        <v>APPAREL</v>
      </c>
      <c r="J2454" s="69">
        <f t="shared" si="76"/>
        <v>4</v>
      </c>
      <c r="K2454" s="69">
        <f t="shared" si="77"/>
        <v>44</v>
      </c>
      <c r="L2454" s="69">
        <f>VLOOKUP(Table_db1_backend_Daily.accdb[[#This Row],[TradingDate]],canon!B:E,4,0)</f>
        <v>29</v>
      </c>
    </row>
    <row r="2455" spans="1:12" x14ac:dyDescent="0.2">
      <c r="A2455" s="69" t="s">
        <v>44</v>
      </c>
      <c r="B2455" s="70">
        <v>42935</v>
      </c>
      <c r="C2455" s="69">
        <v>34</v>
      </c>
      <c r="D2455" s="69">
        <v>0</v>
      </c>
      <c r="E2455" s="69">
        <v>0</v>
      </c>
      <c r="F2455" s="69">
        <v>0</v>
      </c>
      <c r="G2455" s="69" t="s">
        <v>10</v>
      </c>
      <c r="H2455" s="69" t="str">
        <f>IFERROR(VLOOKUP(Data!$G2455,canon!$I$2:$K$27,2,FALSE),"")</f>
        <v>ACCESSORY</v>
      </c>
      <c r="I2455" s="69" t="str">
        <f>IFERROR(VLOOKUP(Data!$G2455,canon!$I$2:$K$27,3,FALSE),"")</f>
        <v>N.APPAREL</v>
      </c>
      <c r="J2455" s="69">
        <f t="shared" si="76"/>
        <v>4</v>
      </c>
      <c r="K2455" s="69">
        <f t="shared" si="77"/>
        <v>44</v>
      </c>
      <c r="L2455" s="69">
        <f>VLOOKUP(Table_db1_backend_Daily.accdb[[#This Row],[TradingDate]],canon!B:E,4,0)</f>
        <v>29</v>
      </c>
    </row>
    <row r="2456" spans="1:12" x14ac:dyDescent="0.2">
      <c r="A2456" s="69" t="s">
        <v>44</v>
      </c>
      <c r="B2456" s="70">
        <v>42935</v>
      </c>
      <c r="C2456" s="69">
        <v>2</v>
      </c>
      <c r="D2456" s="69">
        <v>0</v>
      </c>
      <c r="E2456" s="69">
        <v>0</v>
      </c>
      <c r="F2456" s="69">
        <v>0</v>
      </c>
      <c r="G2456" s="69" t="s">
        <v>28</v>
      </c>
      <c r="H2456" s="69" t="str">
        <f>IFERROR(VLOOKUP(Data!$G2456,canon!$I$2:$K$27,2,FALSE),"")</f>
        <v>ACCESSORY</v>
      </c>
      <c r="I2456" s="69" t="str">
        <f>IFERROR(VLOOKUP(Data!$G2456,canon!$I$2:$K$27,3,FALSE),"")</f>
        <v>N.APPAREL</v>
      </c>
      <c r="J2456" s="69">
        <f t="shared" si="76"/>
        <v>4</v>
      </c>
      <c r="K2456" s="69">
        <f t="shared" si="77"/>
        <v>44</v>
      </c>
      <c r="L2456" s="69">
        <f>VLOOKUP(Table_db1_backend_Daily.accdb[[#This Row],[TradingDate]],canon!B:E,4,0)</f>
        <v>29</v>
      </c>
    </row>
    <row r="2457" spans="1:12" x14ac:dyDescent="0.2">
      <c r="A2457" s="69" t="s">
        <v>44</v>
      </c>
      <c r="B2457" s="70">
        <v>42935</v>
      </c>
      <c r="C2457" s="69">
        <v>2039</v>
      </c>
      <c r="D2457" s="69">
        <v>24</v>
      </c>
      <c r="E2457" s="69">
        <v>231.76000000000002</v>
      </c>
      <c r="F2457" s="69">
        <v>42.909999999999989</v>
      </c>
      <c r="G2457" s="69" t="s">
        <v>11</v>
      </c>
      <c r="H2457" s="69" t="str">
        <f>IFERROR(VLOOKUP(Data!$G2457,canon!$I$2:$K$27,2,FALSE),"")</f>
        <v>KNIT</v>
      </c>
      <c r="I2457" s="69" t="str">
        <f>IFERROR(VLOOKUP(Data!$G2457,canon!$I$2:$K$27,3,FALSE),"")</f>
        <v>APPAREL</v>
      </c>
      <c r="J2457" s="69">
        <f t="shared" si="76"/>
        <v>4</v>
      </c>
      <c r="K2457" s="69">
        <f t="shared" si="77"/>
        <v>44</v>
      </c>
      <c r="L2457" s="69">
        <f>VLOOKUP(Table_db1_backend_Daily.accdb[[#This Row],[TradingDate]],canon!B:E,4,0)</f>
        <v>29</v>
      </c>
    </row>
    <row r="2458" spans="1:12" x14ac:dyDescent="0.2">
      <c r="A2458" s="69" t="s">
        <v>44</v>
      </c>
      <c r="B2458" s="70">
        <v>42935</v>
      </c>
      <c r="C2458" s="69">
        <v>481</v>
      </c>
      <c r="D2458" s="69">
        <v>5</v>
      </c>
      <c r="E2458" s="69">
        <v>45.45</v>
      </c>
      <c r="F2458" s="69">
        <v>12.61</v>
      </c>
      <c r="G2458" s="69" t="s">
        <v>14</v>
      </c>
      <c r="H2458" s="69" t="str">
        <f>IFERROR(VLOOKUP(Data!$G2458,canon!$I$2:$K$27,2,FALSE),"")</f>
        <v>LEGGING</v>
      </c>
      <c r="I2458" s="69" t="str">
        <f>IFERROR(VLOOKUP(Data!$G2458,canon!$I$2:$K$27,3,FALSE),"")</f>
        <v>APPAREL</v>
      </c>
      <c r="J2458" s="69">
        <f t="shared" si="76"/>
        <v>4</v>
      </c>
      <c r="K2458" s="69">
        <f t="shared" si="77"/>
        <v>44</v>
      </c>
      <c r="L2458" s="69">
        <f>VLOOKUP(Table_db1_backend_Daily.accdb[[#This Row],[TradingDate]],canon!B:E,4,0)</f>
        <v>29</v>
      </c>
    </row>
    <row r="2459" spans="1:12" x14ac:dyDescent="0.2">
      <c r="A2459" s="69" t="s">
        <v>44</v>
      </c>
      <c r="B2459" s="70">
        <v>42935</v>
      </c>
      <c r="C2459" s="69">
        <v>23</v>
      </c>
      <c r="D2459" s="69">
        <v>0</v>
      </c>
      <c r="E2459" s="69">
        <v>0</v>
      </c>
      <c r="F2459" s="69">
        <v>0</v>
      </c>
      <c r="G2459" s="69" t="s">
        <v>37</v>
      </c>
      <c r="H2459" s="69" t="str">
        <f>IFERROR(VLOOKUP(Data!$G2459,canon!$I$2:$K$27,2,FALSE),"")</f>
        <v>SHOES</v>
      </c>
      <c r="I2459" s="69" t="str">
        <f>IFERROR(VLOOKUP(Data!$G2459,canon!$I$2:$K$27,3,FALSE),"")</f>
        <v>N.APPAREL</v>
      </c>
      <c r="J2459" s="69">
        <f t="shared" si="76"/>
        <v>4</v>
      </c>
      <c r="K2459" s="69">
        <f t="shared" si="77"/>
        <v>44</v>
      </c>
      <c r="L2459" s="69">
        <f>VLOOKUP(Table_db1_backend_Daily.accdb[[#This Row],[TradingDate]],canon!B:E,4,0)</f>
        <v>29</v>
      </c>
    </row>
    <row r="2460" spans="1:12" x14ac:dyDescent="0.2">
      <c r="A2460" s="69" t="s">
        <v>44</v>
      </c>
      <c r="B2460" s="70">
        <v>42935</v>
      </c>
      <c r="C2460" s="69">
        <v>65</v>
      </c>
      <c r="D2460" s="69">
        <v>0</v>
      </c>
      <c r="E2460" s="69">
        <v>0</v>
      </c>
      <c r="F2460" s="69">
        <v>0</v>
      </c>
      <c r="G2460" s="69" t="s">
        <v>29</v>
      </c>
      <c r="H2460" s="69" t="str">
        <f>IFERROR(VLOOKUP(Data!$G2460,canon!$I$2:$K$27,2,FALSE),"")</f>
        <v>SHOES</v>
      </c>
      <c r="I2460" s="69" t="str">
        <f>IFERROR(VLOOKUP(Data!$G2460,canon!$I$2:$K$27,3,FALSE),"")</f>
        <v>N.APPAREL</v>
      </c>
      <c r="J2460" s="69">
        <f t="shared" si="76"/>
        <v>4</v>
      </c>
      <c r="K2460" s="69">
        <f t="shared" si="77"/>
        <v>44</v>
      </c>
      <c r="L2460" s="69">
        <f>VLOOKUP(Table_db1_backend_Daily.accdb[[#This Row],[TradingDate]],canon!B:E,4,0)</f>
        <v>29</v>
      </c>
    </row>
    <row r="2461" spans="1:12" x14ac:dyDescent="0.2">
      <c r="A2461" s="69" t="s">
        <v>44</v>
      </c>
      <c r="B2461" s="70">
        <v>42935</v>
      </c>
      <c r="C2461" s="69">
        <v>722</v>
      </c>
      <c r="D2461" s="69">
        <v>3</v>
      </c>
      <c r="E2461" s="69">
        <v>54.4</v>
      </c>
      <c r="F2461" s="69">
        <v>28</v>
      </c>
      <c r="G2461" s="69" t="s">
        <v>17</v>
      </c>
      <c r="H2461" s="69" t="str">
        <f>IFERROR(VLOOKUP(Data!$G2461,canon!$I$2:$K$27,2,FALSE),"")</f>
        <v>OUTER</v>
      </c>
      <c r="I2461" s="69" t="str">
        <f>IFERROR(VLOOKUP(Data!$G2461,canon!$I$2:$K$27,3,FALSE),"")</f>
        <v>APPAREL</v>
      </c>
      <c r="J2461" s="69">
        <f t="shared" si="76"/>
        <v>4</v>
      </c>
      <c r="K2461" s="69">
        <f t="shared" si="77"/>
        <v>44</v>
      </c>
      <c r="L2461" s="69">
        <f>VLOOKUP(Table_db1_backend_Daily.accdb[[#This Row],[TradingDate]],canon!B:E,4,0)</f>
        <v>29</v>
      </c>
    </row>
    <row r="2462" spans="1:12" x14ac:dyDescent="0.2">
      <c r="A2462" s="69" t="s">
        <v>44</v>
      </c>
      <c r="B2462" s="70">
        <v>42935</v>
      </c>
      <c r="C2462" s="69">
        <v>387</v>
      </c>
      <c r="D2462" s="69">
        <v>0</v>
      </c>
      <c r="E2462" s="69">
        <v>0</v>
      </c>
      <c r="F2462" s="69">
        <v>0</v>
      </c>
      <c r="G2462" s="69" t="s">
        <v>19</v>
      </c>
      <c r="H2462" s="69" t="str">
        <f>IFERROR(VLOOKUP(Data!$G2462,canon!$I$2:$K$27,2,FALSE),"")</f>
        <v>PANT</v>
      </c>
      <c r="I2462" s="69" t="str">
        <f>IFERROR(VLOOKUP(Data!$G2462,canon!$I$2:$K$27,3,FALSE),"")</f>
        <v>APPAREL</v>
      </c>
      <c r="J2462" s="69">
        <f t="shared" si="76"/>
        <v>4</v>
      </c>
      <c r="K2462" s="69">
        <f t="shared" si="77"/>
        <v>44</v>
      </c>
      <c r="L2462" s="69">
        <f>VLOOKUP(Table_db1_backend_Daily.accdb[[#This Row],[TradingDate]],canon!B:E,4,0)</f>
        <v>29</v>
      </c>
    </row>
    <row r="2463" spans="1:12" x14ac:dyDescent="0.2">
      <c r="A2463" s="69" t="s">
        <v>44</v>
      </c>
      <c r="B2463" s="70">
        <v>42935</v>
      </c>
      <c r="C2463" s="69">
        <v>78</v>
      </c>
      <c r="D2463" s="69">
        <v>0</v>
      </c>
      <c r="E2463" s="69">
        <v>0</v>
      </c>
      <c r="F2463" s="69">
        <v>0</v>
      </c>
      <c r="G2463" s="69" t="s">
        <v>21</v>
      </c>
      <c r="H2463" s="69" t="str">
        <f>IFERROR(VLOOKUP(Data!$G2463,canon!$I$2:$K$27,2,FALSE),"")</f>
        <v>ACCESSORY</v>
      </c>
      <c r="I2463" s="69" t="str">
        <f>IFERROR(VLOOKUP(Data!$G2463,canon!$I$2:$K$27,3,FALSE),"")</f>
        <v>N.APPAREL</v>
      </c>
      <c r="J2463" s="69">
        <f t="shared" si="76"/>
        <v>4</v>
      </c>
      <c r="K2463" s="69">
        <f t="shared" si="77"/>
        <v>44</v>
      </c>
      <c r="L2463" s="69">
        <f>VLOOKUP(Table_db1_backend_Daily.accdb[[#This Row],[TradingDate]],canon!B:E,4,0)</f>
        <v>29</v>
      </c>
    </row>
    <row r="2464" spans="1:12" x14ac:dyDescent="0.2">
      <c r="A2464" s="69" t="s">
        <v>44</v>
      </c>
      <c r="B2464" s="70">
        <v>42935</v>
      </c>
      <c r="C2464" s="69">
        <v>1137</v>
      </c>
      <c r="D2464" s="69">
        <v>11</v>
      </c>
      <c r="E2464" s="69">
        <v>68.779999999999987</v>
      </c>
      <c r="F2464" s="69">
        <v>50.64</v>
      </c>
      <c r="G2464" s="69" t="s">
        <v>22</v>
      </c>
      <c r="H2464" s="69" t="str">
        <f>IFERROR(VLOOKUP(Data!$G2464,canon!$I$2:$K$27,2,FALSE),"")</f>
        <v>SCARF</v>
      </c>
      <c r="I2464" s="69" t="str">
        <f>IFERROR(VLOOKUP(Data!$G2464,canon!$I$2:$K$27,3,FALSE),"")</f>
        <v>N.APPAREL</v>
      </c>
      <c r="J2464" s="69">
        <f t="shared" si="76"/>
        <v>4</v>
      </c>
      <c r="K2464" s="69">
        <f t="shared" si="77"/>
        <v>44</v>
      </c>
      <c r="L2464" s="69">
        <f>VLOOKUP(Table_db1_backend_Daily.accdb[[#This Row],[TradingDate]],canon!B:E,4,0)</f>
        <v>29</v>
      </c>
    </row>
    <row r="2465" spans="1:12" x14ac:dyDescent="0.2">
      <c r="A2465" s="69" t="s">
        <v>44</v>
      </c>
      <c r="B2465" s="70">
        <v>42935</v>
      </c>
      <c r="C2465" s="69">
        <v>152</v>
      </c>
      <c r="D2465" s="69">
        <v>1</v>
      </c>
      <c r="E2465" s="69">
        <v>27.25</v>
      </c>
      <c r="F2465" s="69">
        <v>18.34</v>
      </c>
      <c r="G2465" s="69" t="s">
        <v>23</v>
      </c>
      <c r="H2465" s="69" t="str">
        <f>IFERROR(VLOOKUP(Data!$G2465,canon!$I$2:$K$27,2,FALSE),"")</f>
        <v>SH&amp;BL</v>
      </c>
      <c r="I2465" s="69" t="str">
        <f>IFERROR(VLOOKUP(Data!$G2465,canon!$I$2:$K$27,3,FALSE),"")</f>
        <v>APPAREL</v>
      </c>
      <c r="J2465" s="69">
        <f t="shared" si="76"/>
        <v>4</v>
      </c>
      <c r="K2465" s="69">
        <f t="shared" si="77"/>
        <v>44</v>
      </c>
      <c r="L2465" s="69">
        <f>VLOOKUP(Table_db1_backend_Daily.accdb[[#This Row],[TradingDate]],canon!B:E,4,0)</f>
        <v>29</v>
      </c>
    </row>
    <row r="2466" spans="1:12" x14ac:dyDescent="0.2">
      <c r="A2466" s="69" t="s">
        <v>44</v>
      </c>
      <c r="B2466" s="70">
        <v>42935</v>
      </c>
      <c r="C2466" s="69">
        <v>486</v>
      </c>
      <c r="D2466" s="69">
        <v>0</v>
      </c>
      <c r="E2466" s="69">
        <v>0</v>
      </c>
      <c r="F2466" s="69">
        <v>0</v>
      </c>
      <c r="G2466" s="69" t="s">
        <v>32</v>
      </c>
      <c r="H2466" s="69" t="str">
        <f>IFERROR(VLOOKUP(Data!$G2466,canon!$I$2:$K$27,2,FALSE),"")</f>
        <v>SKIRT</v>
      </c>
      <c r="I2466" s="69" t="str">
        <f>IFERROR(VLOOKUP(Data!$G2466,canon!$I$2:$K$27,3,FALSE),"")</f>
        <v>APPAREL</v>
      </c>
      <c r="J2466" s="69">
        <f t="shared" si="76"/>
        <v>4</v>
      </c>
      <c r="K2466" s="69">
        <f t="shared" si="77"/>
        <v>44</v>
      </c>
      <c r="L2466" s="69">
        <f>VLOOKUP(Table_db1_backend_Daily.accdb[[#This Row],[TradingDate]],canon!B:E,4,0)</f>
        <v>29</v>
      </c>
    </row>
    <row r="2467" spans="1:12" x14ac:dyDescent="0.2">
      <c r="A2467" s="69" t="s">
        <v>44</v>
      </c>
      <c r="B2467" s="70">
        <v>42935</v>
      </c>
      <c r="C2467" s="69">
        <v>1426</v>
      </c>
      <c r="D2467" s="69">
        <v>10</v>
      </c>
      <c r="E2467" s="69">
        <v>54.56</v>
      </c>
      <c r="F2467" s="69">
        <v>10.58</v>
      </c>
      <c r="G2467" s="69" t="s">
        <v>25</v>
      </c>
      <c r="H2467" s="69" t="str">
        <f>IFERROR(VLOOKUP(Data!$G2467,canon!$I$2:$K$27,2,FALSE),"")</f>
        <v>TOP</v>
      </c>
      <c r="I2467" s="69" t="str">
        <f>IFERROR(VLOOKUP(Data!$G2467,canon!$I$2:$K$27,3,FALSE),"")</f>
        <v>APPAREL</v>
      </c>
      <c r="J2467" s="69">
        <f t="shared" si="76"/>
        <v>4</v>
      </c>
      <c r="K2467" s="69">
        <f t="shared" si="77"/>
        <v>44</v>
      </c>
      <c r="L2467" s="69">
        <f>VLOOKUP(Table_db1_backend_Daily.accdb[[#This Row],[TradingDate]],canon!B:E,4,0)</f>
        <v>29</v>
      </c>
    </row>
    <row r="2468" spans="1:12" x14ac:dyDescent="0.2">
      <c r="A2468" s="69" t="s">
        <v>44</v>
      </c>
      <c r="B2468" s="70">
        <v>42936</v>
      </c>
      <c r="C2468" s="69">
        <v>33</v>
      </c>
      <c r="D2468" s="69">
        <v>0</v>
      </c>
      <c r="E2468" s="69">
        <v>0</v>
      </c>
      <c r="F2468" s="69">
        <v>0</v>
      </c>
      <c r="G2468" s="69" t="s">
        <v>34</v>
      </c>
      <c r="H2468" s="69" t="str">
        <f>IFERROR(VLOOKUP(Data!$G2468,canon!$I$2:$K$27,2,FALSE),"")</f>
        <v>SHOES</v>
      </c>
      <c r="I2468" s="69" t="str">
        <f>IFERROR(VLOOKUP(Data!$G2468,canon!$I$2:$K$27,3,FALSE),"")</f>
        <v>N.APPAREL</v>
      </c>
      <c r="J2468" s="69">
        <f t="shared" si="76"/>
        <v>5</v>
      </c>
      <c r="K2468" s="69">
        <f t="shared" si="77"/>
        <v>44</v>
      </c>
      <c r="L2468" s="69">
        <f>VLOOKUP(Table_db1_backend_Daily.accdb[[#This Row],[TradingDate]],canon!B:E,4,0)</f>
        <v>29</v>
      </c>
    </row>
    <row r="2469" spans="1:12" x14ac:dyDescent="0.2">
      <c r="A2469" s="69" t="s">
        <v>44</v>
      </c>
      <c r="B2469" s="70">
        <v>42936</v>
      </c>
      <c r="C2469" s="69">
        <v>2</v>
      </c>
      <c r="D2469" s="69">
        <v>0</v>
      </c>
      <c r="E2469" s="69">
        <v>0</v>
      </c>
      <c r="F2469" s="69">
        <v>0</v>
      </c>
      <c r="G2469" s="69" t="s">
        <v>38</v>
      </c>
      <c r="H2469" s="69" t="str">
        <f>IFERROR(VLOOKUP(Data!$G2469,canon!$I$2:$K$27,2,FALSE),"")</f>
        <v>SHOES</v>
      </c>
      <c r="I2469" s="69" t="str">
        <f>IFERROR(VLOOKUP(Data!$G2469,canon!$I$2:$K$27,3,FALSE),"")</f>
        <v>N.APPAREL</v>
      </c>
      <c r="J2469" s="69">
        <f t="shared" si="76"/>
        <v>5</v>
      </c>
      <c r="K2469" s="69">
        <f t="shared" si="77"/>
        <v>44</v>
      </c>
      <c r="L2469" s="69">
        <f>VLOOKUP(Table_db1_backend_Daily.accdb[[#This Row],[TradingDate]],canon!B:E,4,0)</f>
        <v>29</v>
      </c>
    </row>
    <row r="2470" spans="1:12" x14ac:dyDescent="0.2">
      <c r="A2470" s="69" t="s">
        <v>44</v>
      </c>
      <c r="B2470" s="70">
        <v>42936</v>
      </c>
      <c r="C2470" s="69">
        <v>553</v>
      </c>
      <c r="D2470" s="69">
        <v>2</v>
      </c>
      <c r="E2470" s="69">
        <v>36.36</v>
      </c>
      <c r="F2470" s="69">
        <v>19.84</v>
      </c>
      <c r="G2470" s="69" t="s">
        <v>35</v>
      </c>
      <c r="H2470" s="69" t="str">
        <f>IFERROR(VLOOKUP(Data!$G2470,canon!$I$2:$K$27,2,FALSE),"")</f>
        <v>DRESS</v>
      </c>
      <c r="I2470" s="69" t="str">
        <f>IFERROR(VLOOKUP(Data!$G2470,canon!$I$2:$K$27,3,FALSE),"")</f>
        <v>APPAREL</v>
      </c>
      <c r="J2470" s="69">
        <f t="shared" si="76"/>
        <v>5</v>
      </c>
      <c r="K2470" s="69">
        <f t="shared" si="77"/>
        <v>44</v>
      </c>
      <c r="L2470" s="69">
        <f>VLOOKUP(Table_db1_backend_Daily.accdb[[#This Row],[TradingDate]],canon!B:E,4,0)</f>
        <v>29</v>
      </c>
    </row>
    <row r="2471" spans="1:12" x14ac:dyDescent="0.2">
      <c r="A2471" s="69" t="s">
        <v>44</v>
      </c>
      <c r="B2471" s="70">
        <v>42936</v>
      </c>
      <c r="C2471" s="69">
        <v>34</v>
      </c>
      <c r="D2471" s="69">
        <v>0</v>
      </c>
      <c r="E2471" s="69">
        <v>0</v>
      </c>
      <c r="F2471" s="69">
        <v>0</v>
      </c>
      <c r="G2471" s="69" t="s">
        <v>10</v>
      </c>
      <c r="H2471" s="69" t="str">
        <f>IFERROR(VLOOKUP(Data!$G2471,canon!$I$2:$K$27,2,FALSE),"")</f>
        <v>ACCESSORY</v>
      </c>
      <c r="I2471" s="69" t="str">
        <f>IFERROR(VLOOKUP(Data!$G2471,canon!$I$2:$K$27,3,FALSE),"")</f>
        <v>N.APPAREL</v>
      </c>
      <c r="J2471" s="69">
        <f t="shared" si="76"/>
        <v>5</v>
      </c>
      <c r="K2471" s="69">
        <f t="shared" si="77"/>
        <v>44</v>
      </c>
      <c r="L2471" s="69">
        <f>VLOOKUP(Table_db1_backend_Daily.accdb[[#This Row],[TradingDate]],canon!B:E,4,0)</f>
        <v>29</v>
      </c>
    </row>
    <row r="2472" spans="1:12" x14ac:dyDescent="0.2">
      <c r="A2472" s="69" t="s">
        <v>44</v>
      </c>
      <c r="B2472" s="70">
        <v>42936</v>
      </c>
      <c r="C2472" s="69">
        <v>2</v>
      </c>
      <c r="D2472" s="69">
        <v>0</v>
      </c>
      <c r="E2472" s="69">
        <v>0</v>
      </c>
      <c r="F2472" s="69">
        <v>0</v>
      </c>
      <c r="G2472" s="69" t="s">
        <v>28</v>
      </c>
      <c r="H2472" s="69" t="str">
        <f>IFERROR(VLOOKUP(Data!$G2472,canon!$I$2:$K$27,2,FALSE),"")</f>
        <v>ACCESSORY</v>
      </c>
      <c r="I2472" s="69" t="str">
        <f>IFERROR(VLOOKUP(Data!$G2472,canon!$I$2:$K$27,3,FALSE),"")</f>
        <v>N.APPAREL</v>
      </c>
      <c r="J2472" s="69">
        <f t="shared" si="76"/>
        <v>5</v>
      </c>
      <c r="K2472" s="69">
        <f t="shared" si="77"/>
        <v>44</v>
      </c>
      <c r="L2472" s="69">
        <f>VLOOKUP(Table_db1_backend_Daily.accdb[[#This Row],[TradingDate]],canon!B:E,4,0)</f>
        <v>29</v>
      </c>
    </row>
    <row r="2473" spans="1:12" x14ac:dyDescent="0.2">
      <c r="A2473" s="69" t="s">
        <v>44</v>
      </c>
      <c r="B2473" s="70">
        <v>42936</v>
      </c>
      <c r="C2473" s="69">
        <v>1988</v>
      </c>
      <c r="D2473" s="69">
        <v>51</v>
      </c>
      <c r="E2473" s="69">
        <v>540.86999999999989</v>
      </c>
      <c r="F2473" s="69">
        <v>144.04000000000002</v>
      </c>
      <c r="G2473" s="69" t="s">
        <v>11</v>
      </c>
      <c r="H2473" s="69" t="str">
        <f>IFERROR(VLOOKUP(Data!$G2473,canon!$I$2:$K$27,2,FALSE),"")</f>
        <v>KNIT</v>
      </c>
      <c r="I2473" s="69" t="str">
        <f>IFERROR(VLOOKUP(Data!$G2473,canon!$I$2:$K$27,3,FALSE),"")</f>
        <v>APPAREL</v>
      </c>
      <c r="J2473" s="69">
        <f t="shared" si="76"/>
        <v>5</v>
      </c>
      <c r="K2473" s="69">
        <f t="shared" si="77"/>
        <v>44</v>
      </c>
      <c r="L2473" s="69">
        <f>VLOOKUP(Table_db1_backend_Daily.accdb[[#This Row],[TradingDate]],canon!B:E,4,0)</f>
        <v>29</v>
      </c>
    </row>
    <row r="2474" spans="1:12" x14ac:dyDescent="0.2">
      <c r="A2474" s="69" t="s">
        <v>44</v>
      </c>
      <c r="B2474" s="70">
        <v>42936</v>
      </c>
      <c r="C2474" s="69">
        <v>480</v>
      </c>
      <c r="D2474" s="69">
        <v>1</v>
      </c>
      <c r="E2474" s="69">
        <v>9.09</v>
      </c>
      <c r="F2474" s="69">
        <v>2.68</v>
      </c>
      <c r="G2474" s="69" t="s">
        <v>14</v>
      </c>
      <c r="H2474" s="69" t="str">
        <f>IFERROR(VLOOKUP(Data!$G2474,canon!$I$2:$K$27,2,FALSE),"")</f>
        <v>LEGGING</v>
      </c>
      <c r="I2474" s="69" t="str">
        <f>IFERROR(VLOOKUP(Data!$G2474,canon!$I$2:$K$27,3,FALSE),"")</f>
        <v>APPAREL</v>
      </c>
      <c r="J2474" s="69">
        <f t="shared" si="76"/>
        <v>5</v>
      </c>
      <c r="K2474" s="69">
        <f t="shared" si="77"/>
        <v>44</v>
      </c>
      <c r="L2474" s="69">
        <f>VLOOKUP(Table_db1_backend_Daily.accdb[[#This Row],[TradingDate]],canon!B:E,4,0)</f>
        <v>29</v>
      </c>
    </row>
    <row r="2475" spans="1:12" x14ac:dyDescent="0.2">
      <c r="A2475" s="69" t="s">
        <v>44</v>
      </c>
      <c r="B2475" s="70">
        <v>42936</v>
      </c>
      <c r="C2475" s="69">
        <v>23</v>
      </c>
      <c r="D2475" s="69">
        <v>0</v>
      </c>
      <c r="E2475" s="69">
        <v>0</v>
      </c>
      <c r="F2475" s="69">
        <v>0</v>
      </c>
      <c r="G2475" s="69" t="s">
        <v>37</v>
      </c>
      <c r="H2475" s="69" t="str">
        <f>IFERROR(VLOOKUP(Data!$G2475,canon!$I$2:$K$27,2,FALSE),"")</f>
        <v>SHOES</v>
      </c>
      <c r="I2475" s="69" t="str">
        <f>IFERROR(VLOOKUP(Data!$G2475,canon!$I$2:$K$27,3,FALSE),"")</f>
        <v>N.APPAREL</v>
      </c>
      <c r="J2475" s="69">
        <f t="shared" si="76"/>
        <v>5</v>
      </c>
      <c r="K2475" s="69">
        <f t="shared" si="77"/>
        <v>44</v>
      </c>
      <c r="L2475" s="69">
        <f>VLOOKUP(Table_db1_backend_Daily.accdb[[#This Row],[TradingDate]],canon!B:E,4,0)</f>
        <v>29</v>
      </c>
    </row>
    <row r="2476" spans="1:12" x14ac:dyDescent="0.2">
      <c r="A2476" s="69" t="s">
        <v>44</v>
      </c>
      <c r="B2476" s="70">
        <v>42936</v>
      </c>
      <c r="C2476" s="69">
        <v>65</v>
      </c>
      <c r="D2476" s="69">
        <v>0</v>
      </c>
      <c r="E2476" s="69">
        <v>0</v>
      </c>
      <c r="F2476" s="69">
        <v>0</v>
      </c>
      <c r="G2476" s="69" t="s">
        <v>29</v>
      </c>
      <c r="H2476" s="69" t="str">
        <f>IFERROR(VLOOKUP(Data!$G2476,canon!$I$2:$K$27,2,FALSE),"")</f>
        <v>SHOES</v>
      </c>
      <c r="I2476" s="69" t="str">
        <f>IFERROR(VLOOKUP(Data!$G2476,canon!$I$2:$K$27,3,FALSE),"")</f>
        <v>N.APPAREL</v>
      </c>
      <c r="J2476" s="69">
        <f t="shared" si="76"/>
        <v>5</v>
      </c>
      <c r="K2476" s="69">
        <f t="shared" si="77"/>
        <v>44</v>
      </c>
      <c r="L2476" s="69">
        <f>VLOOKUP(Table_db1_backend_Daily.accdb[[#This Row],[TradingDate]],canon!B:E,4,0)</f>
        <v>29</v>
      </c>
    </row>
    <row r="2477" spans="1:12" x14ac:dyDescent="0.2">
      <c r="A2477" s="69" t="s">
        <v>44</v>
      </c>
      <c r="B2477" s="70">
        <v>42936</v>
      </c>
      <c r="C2477" s="69">
        <v>714</v>
      </c>
      <c r="D2477" s="69">
        <v>8</v>
      </c>
      <c r="E2477" s="69">
        <v>127.25999999999999</v>
      </c>
      <c r="F2477" s="69">
        <v>53.289999999999992</v>
      </c>
      <c r="G2477" s="69" t="s">
        <v>17</v>
      </c>
      <c r="H2477" s="69" t="str">
        <f>IFERROR(VLOOKUP(Data!$G2477,canon!$I$2:$K$27,2,FALSE),"")</f>
        <v>OUTER</v>
      </c>
      <c r="I2477" s="69" t="str">
        <f>IFERROR(VLOOKUP(Data!$G2477,canon!$I$2:$K$27,3,FALSE),"")</f>
        <v>APPAREL</v>
      </c>
      <c r="J2477" s="69">
        <f t="shared" si="76"/>
        <v>5</v>
      </c>
      <c r="K2477" s="69">
        <f t="shared" si="77"/>
        <v>44</v>
      </c>
      <c r="L2477" s="69">
        <f>VLOOKUP(Table_db1_backend_Daily.accdb[[#This Row],[TradingDate]],canon!B:E,4,0)</f>
        <v>29</v>
      </c>
    </row>
    <row r="2478" spans="1:12" x14ac:dyDescent="0.2">
      <c r="A2478" s="69" t="s">
        <v>44</v>
      </c>
      <c r="B2478" s="70">
        <v>42936</v>
      </c>
      <c r="C2478" s="69">
        <v>385</v>
      </c>
      <c r="D2478" s="69">
        <v>2</v>
      </c>
      <c r="E2478" s="69">
        <v>27.28</v>
      </c>
      <c r="F2478" s="69">
        <v>13.15</v>
      </c>
      <c r="G2478" s="69" t="s">
        <v>19</v>
      </c>
      <c r="H2478" s="69" t="str">
        <f>IFERROR(VLOOKUP(Data!$G2478,canon!$I$2:$K$27,2,FALSE),"")</f>
        <v>PANT</v>
      </c>
      <c r="I2478" s="69" t="str">
        <f>IFERROR(VLOOKUP(Data!$G2478,canon!$I$2:$K$27,3,FALSE),"")</f>
        <v>APPAREL</v>
      </c>
      <c r="J2478" s="69">
        <f t="shared" si="76"/>
        <v>5</v>
      </c>
      <c r="K2478" s="69">
        <f t="shared" si="77"/>
        <v>44</v>
      </c>
      <c r="L2478" s="69">
        <f>VLOOKUP(Table_db1_backend_Daily.accdb[[#This Row],[TradingDate]],canon!B:E,4,0)</f>
        <v>29</v>
      </c>
    </row>
    <row r="2479" spans="1:12" x14ac:dyDescent="0.2">
      <c r="A2479" s="69" t="s">
        <v>44</v>
      </c>
      <c r="B2479" s="70">
        <v>42936</v>
      </c>
      <c r="C2479" s="69">
        <v>78</v>
      </c>
      <c r="D2479" s="69">
        <v>0</v>
      </c>
      <c r="E2479" s="69">
        <v>0</v>
      </c>
      <c r="F2479" s="69">
        <v>0</v>
      </c>
      <c r="G2479" s="69" t="s">
        <v>21</v>
      </c>
      <c r="H2479" s="69" t="str">
        <f>IFERROR(VLOOKUP(Data!$G2479,canon!$I$2:$K$27,2,FALSE),"")</f>
        <v>ACCESSORY</v>
      </c>
      <c r="I2479" s="69" t="str">
        <f>IFERROR(VLOOKUP(Data!$G2479,canon!$I$2:$K$27,3,FALSE),"")</f>
        <v>N.APPAREL</v>
      </c>
      <c r="J2479" s="69">
        <f t="shared" si="76"/>
        <v>5</v>
      </c>
      <c r="K2479" s="69">
        <f t="shared" si="77"/>
        <v>44</v>
      </c>
      <c r="L2479" s="69">
        <f>VLOOKUP(Table_db1_backend_Daily.accdb[[#This Row],[TradingDate]],canon!B:E,4,0)</f>
        <v>29</v>
      </c>
    </row>
    <row r="2480" spans="1:12" x14ac:dyDescent="0.2">
      <c r="A2480" s="69" t="s">
        <v>44</v>
      </c>
      <c r="B2480" s="70">
        <v>42936</v>
      </c>
      <c r="C2480" s="69">
        <v>1120</v>
      </c>
      <c r="D2480" s="69">
        <v>17</v>
      </c>
      <c r="E2480" s="69">
        <v>122.89000000000004</v>
      </c>
      <c r="F2480" s="69">
        <v>94.069999999999979</v>
      </c>
      <c r="G2480" s="69" t="s">
        <v>22</v>
      </c>
      <c r="H2480" s="69" t="str">
        <f>IFERROR(VLOOKUP(Data!$G2480,canon!$I$2:$K$27,2,FALSE),"")</f>
        <v>SCARF</v>
      </c>
      <c r="I2480" s="69" t="str">
        <f>IFERROR(VLOOKUP(Data!$G2480,canon!$I$2:$K$27,3,FALSE),"")</f>
        <v>N.APPAREL</v>
      </c>
      <c r="J2480" s="69">
        <f t="shared" si="76"/>
        <v>5</v>
      </c>
      <c r="K2480" s="69">
        <f t="shared" si="77"/>
        <v>44</v>
      </c>
      <c r="L2480" s="69">
        <f>VLOOKUP(Table_db1_backend_Daily.accdb[[#This Row],[TradingDate]],canon!B:E,4,0)</f>
        <v>29</v>
      </c>
    </row>
    <row r="2481" spans="1:12" x14ac:dyDescent="0.2">
      <c r="A2481" s="69" t="s">
        <v>44</v>
      </c>
      <c r="B2481" s="70">
        <v>42936</v>
      </c>
      <c r="C2481" s="69">
        <v>152</v>
      </c>
      <c r="D2481" s="69">
        <v>0</v>
      </c>
      <c r="E2481" s="69">
        <v>0</v>
      </c>
      <c r="F2481" s="69">
        <v>0</v>
      </c>
      <c r="G2481" s="69" t="s">
        <v>23</v>
      </c>
      <c r="H2481" s="69" t="str">
        <f>IFERROR(VLOOKUP(Data!$G2481,canon!$I$2:$K$27,2,FALSE),"")</f>
        <v>SH&amp;BL</v>
      </c>
      <c r="I2481" s="69" t="str">
        <f>IFERROR(VLOOKUP(Data!$G2481,canon!$I$2:$K$27,3,FALSE),"")</f>
        <v>APPAREL</v>
      </c>
      <c r="J2481" s="69">
        <f t="shared" si="76"/>
        <v>5</v>
      </c>
      <c r="K2481" s="69">
        <f t="shared" si="77"/>
        <v>44</v>
      </c>
      <c r="L2481" s="69">
        <f>VLOOKUP(Table_db1_backend_Daily.accdb[[#This Row],[TradingDate]],canon!B:E,4,0)</f>
        <v>29</v>
      </c>
    </row>
    <row r="2482" spans="1:12" x14ac:dyDescent="0.2">
      <c r="A2482" s="69" t="s">
        <v>44</v>
      </c>
      <c r="B2482" s="70">
        <v>42936</v>
      </c>
      <c r="C2482" s="69">
        <v>485</v>
      </c>
      <c r="D2482" s="69">
        <v>1</v>
      </c>
      <c r="E2482" s="69">
        <v>18.18</v>
      </c>
      <c r="F2482" s="69">
        <v>13.61</v>
      </c>
      <c r="G2482" s="69" t="s">
        <v>32</v>
      </c>
      <c r="H2482" s="69" t="str">
        <f>IFERROR(VLOOKUP(Data!$G2482,canon!$I$2:$K$27,2,FALSE),"")</f>
        <v>SKIRT</v>
      </c>
      <c r="I2482" s="69" t="str">
        <f>IFERROR(VLOOKUP(Data!$G2482,canon!$I$2:$K$27,3,FALSE),"")</f>
        <v>APPAREL</v>
      </c>
      <c r="J2482" s="69">
        <f t="shared" si="76"/>
        <v>5</v>
      </c>
      <c r="K2482" s="69">
        <f t="shared" si="77"/>
        <v>44</v>
      </c>
      <c r="L2482" s="69">
        <f>VLOOKUP(Table_db1_backend_Daily.accdb[[#This Row],[TradingDate]],canon!B:E,4,0)</f>
        <v>29</v>
      </c>
    </row>
    <row r="2483" spans="1:12" x14ac:dyDescent="0.2">
      <c r="A2483" s="69" t="s">
        <v>44</v>
      </c>
      <c r="B2483" s="70">
        <v>42936</v>
      </c>
      <c r="C2483" s="69">
        <v>1420</v>
      </c>
      <c r="D2483" s="69">
        <v>6</v>
      </c>
      <c r="E2483" s="69">
        <v>68.12</v>
      </c>
      <c r="F2483" s="69">
        <v>39.43</v>
      </c>
      <c r="G2483" s="69" t="s">
        <v>25</v>
      </c>
      <c r="H2483" s="69" t="str">
        <f>IFERROR(VLOOKUP(Data!$G2483,canon!$I$2:$K$27,2,FALSE),"")</f>
        <v>TOP</v>
      </c>
      <c r="I2483" s="69" t="str">
        <f>IFERROR(VLOOKUP(Data!$G2483,canon!$I$2:$K$27,3,FALSE),"")</f>
        <v>APPAREL</v>
      </c>
      <c r="J2483" s="69">
        <f t="shared" si="76"/>
        <v>5</v>
      </c>
      <c r="K2483" s="69">
        <f t="shared" si="77"/>
        <v>44</v>
      </c>
      <c r="L2483" s="69">
        <f>VLOOKUP(Table_db1_backend_Daily.accdb[[#This Row],[TradingDate]],canon!B:E,4,0)</f>
        <v>29</v>
      </c>
    </row>
    <row r="2484" spans="1:12" x14ac:dyDescent="0.2">
      <c r="A2484" s="69" t="s">
        <v>44</v>
      </c>
      <c r="B2484" s="70">
        <v>42937</v>
      </c>
      <c r="C2484" s="69">
        <v>33</v>
      </c>
      <c r="D2484" s="69">
        <v>0</v>
      </c>
      <c r="E2484" s="69">
        <v>0</v>
      </c>
      <c r="F2484" s="69">
        <v>0</v>
      </c>
      <c r="G2484" s="69" t="s">
        <v>34</v>
      </c>
      <c r="H2484" s="69" t="str">
        <f>IFERROR(VLOOKUP(Data!$G2484,canon!$I$2:$K$27,2,FALSE),"")</f>
        <v>SHOES</v>
      </c>
      <c r="I2484" s="69" t="str">
        <f>IFERROR(VLOOKUP(Data!$G2484,canon!$I$2:$K$27,3,FALSE),"")</f>
        <v>N.APPAREL</v>
      </c>
      <c r="J2484" s="69">
        <f t="shared" si="76"/>
        <v>6</v>
      </c>
      <c r="K2484" s="69">
        <f t="shared" si="77"/>
        <v>44</v>
      </c>
      <c r="L2484" s="69">
        <f>VLOOKUP(Table_db1_backend_Daily.accdb[[#This Row],[TradingDate]],canon!B:E,4,0)</f>
        <v>29</v>
      </c>
    </row>
    <row r="2485" spans="1:12" x14ac:dyDescent="0.2">
      <c r="A2485" s="69" t="s">
        <v>44</v>
      </c>
      <c r="B2485" s="70">
        <v>42937</v>
      </c>
      <c r="C2485" s="69">
        <v>2</v>
      </c>
      <c r="D2485" s="69">
        <v>0</v>
      </c>
      <c r="E2485" s="69">
        <v>0</v>
      </c>
      <c r="F2485" s="69">
        <v>0</v>
      </c>
      <c r="G2485" s="69" t="s">
        <v>38</v>
      </c>
      <c r="H2485" s="69" t="str">
        <f>IFERROR(VLOOKUP(Data!$G2485,canon!$I$2:$K$27,2,FALSE),"")</f>
        <v>SHOES</v>
      </c>
      <c r="I2485" s="69" t="str">
        <f>IFERROR(VLOOKUP(Data!$G2485,canon!$I$2:$K$27,3,FALSE),"")</f>
        <v>N.APPAREL</v>
      </c>
      <c r="J2485" s="69">
        <f t="shared" si="76"/>
        <v>6</v>
      </c>
      <c r="K2485" s="69">
        <f t="shared" si="77"/>
        <v>44</v>
      </c>
      <c r="L2485" s="69">
        <f>VLOOKUP(Table_db1_backend_Daily.accdb[[#This Row],[TradingDate]],canon!B:E,4,0)</f>
        <v>29</v>
      </c>
    </row>
    <row r="2486" spans="1:12" x14ac:dyDescent="0.2">
      <c r="A2486" s="69" t="s">
        <v>44</v>
      </c>
      <c r="B2486" s="70">
        <v>42937</v>
      </c>
      <c r="C2486" s="69">
        <v>544</v>
      </c>
      <c r="D2486" s="69">
        <v>9</v>
      </c>
      <c r="E2486" s="69">
        <v>154.54000000000002</v>
      </c>
      <c r="F2486" s="69">
        <v>89.09</v>
      </c>
      <c r="G2486" s="69" t="s">
        <v>35</v>
      </c>
      <c r="H2486" s="69" t="str">
        <f>IFERROR(VLOOKUP(Data!$G2486,canon!$I$2:$K$27,2,FALSE),"")</f>
        <v>DRESS</v>
      </c>
      <c r="I2486" s="69" t="str">
        <f>IFERROR(VLOOKUP(Data!$G2486,canon!$I$2:$K$27,3,FALSE),"")</f>
        <v>APPAREL</v>
      </c>
      <c r="J2486" s="69">
        <f t="shared" si="76"/>
        <v>6</v>
      </c>
      <c r="K2486" s="69">
        <f t="shared" si="77"/>
        <v>44</v>
      </c>
      <c r="L2486" s="69">
        <f>VLOOKUP(Table_db1_backend_Daily.accdb[[#This Row],[TradingDate]],canon!B:E,4,0)</f>
        <v>29</v>
      </c>
    </row>
    <row r="2487" spans="1:12" x14ac:dyDescent="0.2">
      <c r="A2487" s="69" t="s">
        <v>44</v>
      </c>
      <c r="B2487" s="70">
        <v>42937</v>
      </c>
      <c r="C2487" s="69">
        <v>34</v>
      </c>
      <c r="D2487" s="69">
        <v>0</v>
      </c>
      <c r="E2487" s="69">
        <v>0</v>
      </c>
      <c r="F2487" s="69">
        <v>0</v>
      </c>
      <c r="G2487" s="69" t="s">
        <v>10</v>
      </c>
      <c r="H2487" s="69" t="str">
        <f>IFERROR(VLOOKUP(Data!$G2487,canon!$I$2:$K$27,2,FALSE),"")</f>
        <v>ACCESSORY</v>
      </c>
      <c r="I2487" s="69" t="str">
        <f>IFERROR(VLOOKUP(Data!$G2487,canon!$I$2:$K$27,3,FALSE),"")</f>
        <v>N.APPAREL</v>
      </c>
      <c r="J2487" s="69">
        <f t="shared" si="76"/>
        <v>6</v>
      </c>
      <c r="K2487" s="69">
        <f t="shared" si="77"/>
        <v>44</v>
      </c>
      <c r="L2487" s="69">
        <f>VLOOKUP(Table_db1_backend_Daily.accdb[[#This Row],[TradingDate]],canon!B:E,4,0)</f>
        <v>29</v>
      </c>
    </row>
    <row r="2488" spans="1:12" x14ac:dyDescent="0.2">
      <c r="A2488" s="69" t="s">
        <v>44</v>
      </c>
      <c r="B2488" s="70">
        <v>42937</v>
      </c>
      <c r="C2488" s="69">
        <v>2</v>
      </c>
      <c r="D2488" s="69">
        <v>0</v>
      </c>
      <c r="E2488" s="69">
        <v>0</v>
      </c>
      <c r="F2488" s="69">
        <v>0</v>
      </c>
      <c r="G2488" s="69" t="s">
        <v>28</v>
      </c>
      <c r="H2488" s="69" t="str">
        <f>IFERROR(VLOOKUP(Data!$G2488,canon!$I$2:$K$27,2,FALSE),"")</f>
        <v>ACCESSORY</v>
      </c>
      <c r="I2488" s="69" t="str">
        <f>IFERROR(VLOOKUP(Data!$G2488,canon!$I$2:$K$27,3,FALSE),"")</f>
        <v>N.APPAREL</v>
      </c>
      <c r="J2488" s="69">
        <f t="shared" si="76"/>
        <v>6</v>
      </c>
      <c r="K2488" s="69">
        <f t="shared" si="77"/>
        <v>44</v>
      </c>
      <c r="L2488" s="69">
        <f>VLOOKUP(Table_db1_backend_Daily.accdb[[#This Row],[TradingDate]],canon!B:E,4,0)</f>
        <v>29</v>
      </c>
    </row>
    <row r="2489" spans="1:12" x14ac:dyDescent="0.2">
      <c r="A2489" s="69" t="s">
        <v>44</v>
      </c>
      <c r="B2489" s="70">
        <v>42937</v>
      </c>
      <c r="C2489" s="69">
        <v>1964</v>
      </c>
      <c r="D2489" s="69">
        <v>24</v>
      </c>
      <c r="E2489" s="69">
        <v>268.11000000000007</v>
      </c>
      <c r="F2489" s="69">
        <v>80.819999999999993</v>
      </c>
      <c r="G2489" s="69" t="s">
        <v>11</v>
      </c>
      <c r="H2489" s="69" t="str">
        <f>IFERROR(VLOOKUP(Data!$G2489,canon!$I$2:$K$27,2,FALSE),"")</f>
        <v>KNIT</v>
      </c>
      <c r="I2489" s="69" t="str">
        <f>IFERROR(VLOOKUP(Data!$G2489,canon!$I$2:$K$27,3,FALSE),"")</f>
        <v>APPAREL</v>
      </c>
      <c r="J2489" s="69">
        <f t="shared" si="76"/>
        <v>6</v>
      </c>
      <c r="K2489" s="69">
        <f t="shared" si="77"/>
        <v>44</v>
      </c>
      <c r="L2489" s="69">
        <f>VLOOKUP(Table_db1_backend_Daily.accdb[[#This Row],[TradingDate]],canon!B:E,4,0)</f>
        <v>29</v>
      </c>
    </row>
    <row r="2490" spans="1:12" x14ac:dyDescent="0.2">
      <c r="A2490" s="69" t="s">
        <v>44</v>
      </c>
      <c r="B2490" s="70">
        <v>42937</v>
      </c>
      <c r="C2490" s="69">
        <v>480</v>
      </c>
      <c r="D2490" s="69">
        <v>0</v>
      </c>
      <c r="E2490" s="69">
        <v>0</v>
      </c>
      <c r="F2490" s="69">
        <v>0</v>
      </c>
      <c r="G2490" s="69" t="s">
        <v>14</v>
      </c>
      <c r="H2490" s="69" t="str">
        <f>IFERROR(VLOOKUP(Data!$G2490,canon!$I$2:$K$27,2,FALSE),"")</f>
        <v>LEGGING</v>
      </c>
      <c r="I2490" s="69" t="str">
        <f>IFERROR(VLOOKUP(Data!$G2490,canon!$I$2:$K$27,3,FALSE),"")</f>
        <v>APPAREL</v>
      </c>
      <c r="J2490" s="69">
        <f t="shared" si="76"/>
        <v>6</v>
      </c>
      <c r="K2490" s="69">
        <f t="shared" si="77"/>
        <v>44</v>
      </c>
      <c r="L2490" s="69">
        <f>VLOOKUP(Table_db1_backend_Daily.accdb[[#This Row],[TradingDate]],canon!B:E,4,0)</f>
        <v>29</v>
      </c>
    </row>
    <row r="2491" spans="1:12" x14ac:dyDescent="0.2">
      <c r="A2491" s="69" t="s">
        <v>44</v>
      </c>
      <c r="B2491" s="70">
        <v>42937</v>
      </c>
      <c r="C2491" s="69">
        <v>23</v>
      </c>
      <c r="D2491" s="69">
        <v>0</v>
      </c>
      <c r="E2491" s="69">
        <v>0</v>
      </c>
      <c r="F2491" s="69">
        <v>0</v>
      </c>
      <c r="G2491" s="69" t="s">
        <v>37</v>
      </c>
      <c r="H2491" s="69" t="str">
        <f>IFERROR(VLOOKUP(Data!$G2491,canon!$I$2:$K$27,2,FALSE),"")</f>
        <v>SHOES</v>
      </c>
      <c r="I2491" s="69" t="str">
        <f>IFERROR(VLOOKUP(Data!$G2491,canon!$I$2:$K$27,3,FALSE),"")</f>
        <v>N.APPAREL</v>
      </c>
      <c r="J2491" s="69">
        <f t="shared" si="76"/>
        <v>6</v>
      </c>
      <c r="K2491" s="69">
        <f t="shared" si="77"/>
        <v>44</v>
      </c>
      <c r="L2491" s="69">
        <f>VLOOKUP(Table_db1_backend_Daily.accdb[[#This Row],[TradingDate]],canon!B:E,4,0)</f>
        <v>29</v>
      </c>
    </row>
    <row r="2492" spans="1:12" x14ac:dyDescent="0.2">
      <c r="A2492" s="69" t="s">
        <v>44</v>
      </c>
      <c r="B2492" s="70">
        <v>42937</v>
      </c>
      <c r="C2492" s="69">
        <v>65</v>
      </c>
      <c r="D2492" s="69">
        <v>0</v>
      </c>
      <c r="E2492" s="69">
        <v>0</v>
      </c>
      <c r="F2492" s="69">
        <v>0</v>
      </c>
      <c r="G2492" s="69" t="s">
        <v>29</v>
      </c>
      <c r="H2492" s="69" t="str">
        <f>IFERROR(VLOOKUP(Data!$G2492,canon!$I$2:$K$27,2,FALSE),"")</f>
        <v>SHOES</v>
      </c>
      <c r="I2492" s="69" t="str">
        <f>IFERROR(VLOOKUP(Data!$G2492,canon!$I$2:$K$27,3,FALSE),"")</f>
        <v>N.APPAREL</v>
      </c>
      <c r="J2492" s="69">
        <f t="shared" si="76"/>
        <v>6</v>
      </c>
      <c r="K2492" s="69">
        <f t="shared" si="77"/>
        <v>44</v>
      </c>
      <c r="L2492" s="69">
        <f>VLOOKUP(Table_db1_backend_Daily.accdb[[#This Row],[TradingDate]],canon!B:E,4,0)</f>
        <v>29</v>
      </c>
    </row>
    <row r="2493" spans="1:12" x14ac:dyDescent="0.2">
      <c r="A2493" s="69" t="s">
        <v>44</v>
      </c>
      <c r="B2493" s="70">
        <v>42937</v>
      </c>
      <c r="C2493" s="69">
        <v>700</v>
      </c>
      <c r="D2493" s="69">
        <v>14</v>
      </c>
      <c r="E2493" s="69">
        <v>254.52000000000004</v>
      </c>
      <c r="F2493" s="69">
        <v>131.53</v>
      </c>
      <c r="G2493" s="69" t="s">
        <v>17</v>
      </c>
      <c r="H2493" s="69" t="str">
        <f>IFERROR(VLOOKUP(Data!$G2493,canon!$I$2:$K$27,2,FALSE),"")</f>
        <v>OUTER</v>
      </c>
      <c r="I2493" s="69" t="str">
        <f>IFERROR(VLOOKUP(Data!$G2493,canon!$I$2:$K$27,3,FALSE),"")</f>
        <v>APPAREL</v>
      </c>
      <c r="J2493" s="69">
        <f t="shared" si="76"/>
        <v>6</v>
      </c>
      <c r="K2493" s="69">
        <f t="shared" si="77"/>
        <v>44</v>
      </c>
      <c r="L2493" s="69">
        <f>VLOOKUP(Table_db1_backend_Daily.accdb[[#This Row],[TradingDate]],canon!B:E,4,0)</f>
        <v>29</v>
      </c>
    </row>
    <row r="2494" spans="1:12" x14ac:dyDescent="0.2">
      <c r="A2494" s="69" t="s">
        <v>44</v>
      </c>
      <c r="B2494" s="70">
        <v>42937</v>
      </c>
      <c r="C2494" s="69">
        <v>383</v>
      </c>
      <c r="D2494" s="69">
        <v>2</v>
      </c>
      <c r="E2494" s="69">
        <v>18.18</v>
      </c>
      <c r="F2494" s="69">
        <v>6.55</v>
      </c>
      <c r="G2494" s="69" t="s">
        <v>19</v>
      </c>
      <c r="H2494" s="69" t="str">
        <f>IFERROR(VLOOKUP(Data!$G2494,canon!$I$2:$K$27,2,FALSE),"")</f>
        <v>PANT</v>
      </c>
      <c r="I2494" s="69" t="str">
        <f>IFERROR(VLOOKUP(Data!$G2494,canon!$I$2:$K$27,3,FALSE),"")</f>
        <v>APPAREL</v>
      </c>
      <c r="J2494" s="69">
        <f t="shared" si="76"/>
        <v>6</v>
      </c>
      <c r="K2494" s="69">
        <f t="shared" si="77"/>
        <v>44</v>
      </c>
      <c r="L2494" s="69">
        <f>VLOOKUP(Table_db1_backend_Daily.accdb[[#This Row],[TradingDate]],canon!B:E,4,0)</f>
        <v>29</v>
      </c>
    </row>
    <row r="2495" spans="1:12" x14ac:dyDescent="0.2">
      <c r="A2495" s="69" t="s">
        <v>44</v>
      </c>
      <c r="B2495" s="70">
        <v>42937</v>
      </c>
      <c r="C2495" s="69">
        <v>78</v>
      </c>
      <c r="D2495" s="69">
        <v>0</v>
      </c>
      <c r="E2495" s="69">
        <v>0</v>
      </c>
      <c r="F2495" s="69">
        <v>0</v>
      </c>
      <c r="G2495" s="69" t="s">
        <v>21</v>
      </c>
      <c r="H2495" s="69" t="str">
        <f>IFERROR(VLOOKUP(Data!$G2495,canon!$I$2:$K$27,2,FALSE),"")</f>
        <v>ACCESSORY</v>
      </c>
      <c r="I2495" s="69" t="str">
        <f>IFERROR(VLOOKUP(Data!$G2495,canon!$I$2:$K$27,3,FALSE),"")</f>
        <v>N.APPAREL</v>
      </c>
      <c r="J2495" s="69">
        <f t="shared" si="76"/>
        <v>6</v>
      </c>
      <c r="K2495" s="69">
        <f t="shared" si="77"/>
        <v>44</v>
      </c>
      <c r="L2495" s="69">
        <f>VLOOKUP(Table_db1_backend_Daily.accdb[[#This Row],[TradingDate]],canon!B:E,4,0)</f>
        <v>29</v>
      </c>
    </row>
    <row r="2496" spans="1:12" x14ac:dyDescent="0.2">
      <c r="A2496" s="69" t="s">
        <v>44</v>
      </c>
      <c r="B2496" s="70">
        <v>42937</v>
      </c>
      <c r="C2496" s="69">
        <v>1101</v>
      </c>
      <c r="D2496" s="69">
        <v>19</v>
      </c>
      <c r="E2496" s="69">
        <v>121.24000000000001</v>
      </c>
      <c r="F2496" s="69">
        <v>83.909999999999982</v>
      </c>
      <c r="G2496" s="69" t="s">
        <v>22</v>
      </c>
      <c r="H2496" s="69" t="str">
        <f>IFERROR(VLOOKUP(Data!$G2496,canon!$I$2:$K$27,2,FALSE),"")</f>
        <v>SCARF</v>
      </c>
      <c r="I2496" s="69" t="str">
        <f>IFERROR(VLOOKUP(Data!$G2496,canon!$I$2:$K$27,3,FALSE),"")</f>
        <v>N.APPAREL</v>
      </c>
      <c r="J2496" s="69">
        <f t="shared" si="76"/>
        <v>6</v>
      </c>
      <c r="K2496" s="69">
        <f t="shared" si="77"/>
        <v>44</v>
      </c>
      <c r="L2496" s="69">
        <f>VLOOKUP(Table_db1_backend_Daily.accdb[[#This Row],[TradingDate]],canon!B:E,4,0)</f>
        <v>29</v>
      </c>
    </row>
    <row r="2497" spans="1:12" x14ac:dyDescent="0.2">
      <c r="A2497" s="69" t="s">
        <v>44</v>
      </c>
      <c r="B2497" s="70">
        <v>42937</v>
      </c>
      <c r="C2497" s="69">
        <v>152</v>
      </c>
      <c r="D2497" s="69">
        <v>0</v>
      </c>
      <c r="E2497" s="69">
        <v>0</v>
      </c>
      <c r="F2497" s="69">
        <v>0</v>
      </c>
      <c r="G2497" s="69" t="s">
        <v>23</v>
      </c>
      <c r="H2497" s="69" t="str">
        <f>IFERROR(VLOOKUP(Data!$G2497,canon!$I$2:$K$27,2,FALSE),"")</f>
        <v>SH&amp;BL</v>
      </c>
      <c r="I2497" s="69" t="str">
        <f>IFERROR(VLOOKUP(Data!$G2497,canon!$I$2:$K$27,3,FALSE),"")</f>
        <v>APPAREL</v>
      </c>
      <c r="J2497" s="69">
        <f t="shared" si="76"/>
        <v>6</v>
      </c>
      <c r="K2497" s="69">
        <f t="shared" si="77"/>
        <v>44</v>
      </c>
      <c r="L2497" s="69">
        <f>VLOOKUP(Table_db1_backend_Daily.accdb[[#This Row],[TradingDate]],canon!B:E,4,0)</f>
        <v>29</v>
      </c>
    </row>
    <row r="2498" spans="1:12" x14ac:dyDescent="0.2">
      <c r="A2498" s="69" t="s">
        <v>44</v>
      </c>
      <c r="B2498" s="70">
        <v>42937</v>
      </c>
      <c r="C2498" s="69">
        <v>485</v>
      </c>
      <c r="D2498" s="69">
        <v>0</v>
      </c>
      <c r="E2498" s="69">
        <v>0</v>
      </c>
      <c r="F2498" s="69">
        <v>0</v>
      </c>
      <c r="G2498" s="69" t="s">
        <v>32</v>
      </c>
      <c r="H2498" s="69" t="str">
        <f>IFERROR(VLOOKUP(Data!$G2498,canon!$I$2:$K$27,2,FALSE),"")</f>
        <v>SKIRT</v>
      </c>
      <c r="I2498" s="69" t="str">
        <f>IFERROR(VLOOKUP(Data!$G2498,canon!$I$2:$K$27,3,FALSE),"")</f>
        <v>APPAREL</v>
      </c>
      <c r="J2498" s="69">
        <f t="shared" ref="J2498:J2561" si="78">WEEKDAY(B2498)</f>
        <v>6</v>
      </c>
      <c r="K2498" s="69">
        <f t="shared" ref="K2498:K2561" si="79">INT(A2498)</f>
        <v>44</v>
      </c>
      <c r="L2498" s="69">
        <f>VLOOKUP(Table_db1_backend_Daily.accdb[[#This Row],[TradingDate]],canon!B:E,4,0)</f>
        <v>29</v>
      </c>
    </row>
    <row r="2499" spans="1:12" x14ac:dyDescent="0.2">
      <c r="A2499" s="69" t="s">
        <v>44</v>
      </c>
      <c r="B2499" s="70">
        <v>42937</v>
      </c>
      <c r="C2499" s="69">
        <v>1360</v>
      </c>
      <c r="D2499" s="69">
        <v>6</v>
      </c>
      <c r="E2499" s="69">
        <v>63.63</v>
      </c>
      <c r="F2499" s="69">
        <v>32.340000000000003</v>
      </c>
      <c r="G2499" s="69" t="s">
        <v>25</v>
      </c>
      <c r="H2499" s="69" t="str">
        <f>IFERROR(VLOOKUP(Data!$G2499,canon!$I$2:$K$27,2,FALSE),"")</f>
        <v>TOP</v>
      </c>
      <c r="I2499" s="69" t="str">
        <f>IFERROR(VLOOKUP(Data!$G2499,canon!$I$2:$K$27,3,FALSE),"")</f>
        <v>APPAREL</v>
      </c>
      <c r="J2499" s="69">
        <f t="shared" si="78"/>
        <v>6</v>
      </c>
      <c r="K2499" s="69">
        <f t="shared" si="79"/>
        <v>44</v>
      </c>
      <c r="L2499" s="69">
        <f>VLOOKUP(Table_db1_backend_Daily.accdb[[#This Row],[TradingDate]],canon!B:E,4,0)</f>
        <v>29</v>
      </c>
    </row>
    <row r="2500" spans="1:12" x14ac:dyDescent="0.2">
      <c r="A2500" s="69" t="s">
        <v>44</v>
      </c>
      <c r="B2500" s="70">
        <v>42938</v>
      </c>
      <c r="C2500" s="69">
        <v>33</v>
      </c>
      <c r="D2500" s="69">
        <v>0</v>
      </c>
      <c r="E2500" s="69">
        <v>0</v>
      </c>
      <c r="F2500" s="69">
        <v>0</v>
      </c>
      <c r="G2500" s="69" t="s">
        <v>34</v>
      </c>
      <c r="H2500" s="69" t="str">
        <f>IFERROR(VLOOKUP(Data!$G2500,canon!$I$2:$K$27,2,FALSE),"")</f>
        <v>SHOES</v>
      </c>
      <c r="I2500" s="69" t="str">
        <f>IFERROR(VLOOKUP(Data!$G2500,canon!$I$2:$K$27,3,FALSE),"")</f>
        <v>N.APPAREL</v>
      </c>
      <c r="J2500" s="69">
        <f t="shared" si="78"/>
        <v>7</v>
      </c>
      <c r="K2500" s="69">
        <f t="shared" si="79"/>
        <v>44</v>
      </c>
      <c r="L2500" s="69">
        <f>VLOOKUP(Table_db1_backend_Daily.accdb[[#This Row],[TradingDate]],canon!B:E,4,0)</f>
        <v>29</v>
      </c>
    </row>
    <row r="2501" spans="1:12" x14ac:dyDescent="0.2">
      <c r="A2501" s="69" t="s">
        <v>44</v>
      </c>
      <c r="B2501" s="70">
        <v>42938</v>
      </c>
      <c r="C2501" s="69">
        <v>2</v>
      </c>
      <c r="D2501" s="69">
        <v>0</v>
      </c>
      <c r="E2501" s="69">
        <v>0</v>
      </c>
      <c r="F2501" s="69">
        <v>0</v>
      </c>
      <c r="G2501" s="69" t="s">
        <v>38</v>
      </c>
      <c r="H2501" s="69" t="str">
        <f>IFERROR(VLOOKUP(Data!$G2501,canon!$I$2:$K$27,2,FALSE),"")</f>
        <v>SHOES</v>
      </c>
      <c r="I2501" s="69" t="str">
        <f>IFERROR(VLOOKUP(Data!$G2501,canon!$I$2:$K$27,3,FALSE),"")</f>
        <v>N.APPAREL</v>
      </c>
      <c r="J2501" s="69">
        <f t="shared" si="78"/>
        <v>7</v>
      </c>
      <c r="K2501" s="69">
        <f t="shared" si="79"/>
        <v>44</v>
      </c>
      <c r="L2501" s="69">
        <f>VLOOKUP(Table_db1_backend_Daily.accdb[[#This Row],[TradingDate]],canon!B:E,4,0)</f>
        <v>29</v>
      </c>
    </row>
    <row r="2502" spans="1:12" x14ac:dyDescent="0.2">
      <c r="A2502" s="69" t="s">
        <v>44</v>
      </c>
      <c r="B2502" s="70">
        <v>42938</v>
      </c>
      <c r="C2502" s="69">
        <v>536</v>
      </c>
      <c r="D2502" s="69">
        <v>8</v>
      </c>
      <c r="E2502" s="69">
        <v>145.44</v>
      </c>
      <c r="F2502" s="69">
        <v>84.77</v>
      </c>
      <c r="G2502" s="69" t="s">
        <v>35</v>
      </c>
      <c r="H2502" s="69" t="str">
        <f>IFERROR(VLOOKUP(Data!$G2502,canon!$I$2:$K$27,2,FALSE),"")</f>
        <v>DRESS</v>
      </c>
      <c r="I2502" s="69" t="str">
        <f>IFERROR(VLOOKUP(Data!$G2502,canon!$I$2:$K$27,3,FALSE),"")</f>
        <v>APPAREL</v>
      </c>
      <c r="J2502" s="69">
        <f t="shared" si="78"/>
        <v>7</v>
      </c>
      <c r="K2502" s="69">
        <f t="shared" si="79"/>
        <v>44</v>
      </c>
      <c r="L2502" s="69">
        <f>VLOOKUP(Table_db1_backend_Daily.accdb[[#This Row],[TradingDate]],canon!B:E,4,0)</f>
        <v>29</v>
      </c>
    </row>
    <row r="2503" spans="1:12" x14ac:dyDescent="0.2">
      <c r="A2503" s="69" t="s">
        <v>44</v>
      </c>
      <c r="B2503" s="70">
        <v>42938</v>
      </c>
      <c r="C2503" s="69">
        <v>34</v>
      </c>
      <c r="D2503" s="69">
        <v>0</v>
      </c>
      <c r="E2503" s="69">
        <v>0</v>
      </c>
      <c r="F2503" s="69">
        <v>0</v>
      </c>
      <c r="G2503" s="69" t="s">
        <v>10</v>
      </c>
      <c r="H2503" s="69" t="str">
        <f>IFERROR(VLOOKUP(Data!$G2503,canon!$I$2:$K$27,2,FALSE),"")</f>
        <v>ACCESSORY</v>
      </c>
      <c r="I2503" s="69" t="str">
        <f>IFERROR(VLOOKUP(Data!$G2503,canon!$I$2:$K$27,3,FALSE),"")</f>
        <v>N.APPAREL</v>
      </c>
      <c r="J2503" s="69">
        <f t="shared" si="78"/>
        <v>7</v>
      </c>
      <c r="K2503" s="69">
        <f t="shared" si="79"/>
        <v>44</v>
      </c>
      <c r="L2503" s="69">
        <f>VLOOKUP(Table_db1_backend_Daily.accdb[[#This Row],[TradingDate]],canon!B:E,4,0)</f>
        <v>29</v>
      </c>
    </row>
    <row r="2504" spans="1:12" x14ac:dyDescent="0.2">
      <c r="A2504" s="69" t="s">
        <v>44</v>
      </c>
      <c r="B2504" s="70">
        <v>42938</v>
      </c>
      <c r="C2504" s="69">
        <v>2</v>
      </c>
      <c r="D2504" s="69">
        <v>0</v>
      </c>
      <c r="E2504" s="69">
        <v>0</v>
      </c>
      <c r="F2504" s="69">
        <v>0</v>
      </c>
      <c r="G2504" s="69" t="s">
        <v>28</v>
      </c>
      <c r="H2504" s="69" t="str">
        <f>IFERROR(VLOOKUP(Data!$G2504,canon!$I$2:$K$27,2,FALSE),"")</f>
        <v>ACCESSORY</v>
      </c>
      <c r="I2504" s="69" t="str">
        <f>IFERROR(VLOOKUP(Data!$G2504,canon!$I$2:$K$27,3,FALSE),"")</f>
        <v>N.APPAREL</v>
      </c>
      <c r="J2504" s="69">
        <f t="shared" si="78"/>
        <v>7</v>
      </c>
      <c r="K2504" s="69">
        <f t="shared" si="79"/>
        <v>44</v>
      </c>
      <c r="L2504" s="69">
        <f>VLOOKUP(Table_db1_backend_Daily.accdb[[#This Row],[TradingDate]],canon!B:E,4,0)</f>
        <v>29</v>
      </c>
    </row>
    <row r="2505" spans="1:12" x14ac:dyDescent="0.2">
      <c r="A2505" s="69" t="s">
        <v>44</v>
      </c>
      <c r="B2505" s="70">
        <v>42938</v>
      </c>
      <c r="C2505" s="69">
        <v>1933</v>
      </c>
      <c r="D2505" s="69">
        <v>31</v>
      </c>
      <c r="E2505" s="69">
        <v>427.25</v>
      </c>
      <c r="F2505" s="69">
        <v>162.01000000000002</v>
      </c>
      <c r="G2505" s="69" t="s">
        <v>11</v>
      </c>
      <c r="H2505" s="69" t="str">
        <f>IFERROR(VLOOKUP(Data!$G2505,canon!$I$2:$K$27,2,FALSE),"")</f>
        <v>KNIT</v>
      </c>
      <c r="I2505" s="69" t="str">
        <f>IFERROR(VLOOKUP(Data!$G2505,canon!$I$2:$K$27,3,FALSE),"")</f>
        <v>APPAREL</v>
      </c>
      <c r="J2505" s="69">
        <f t="shared" si="78"/>
        <v>7</v>
      </c>
      <c r="K2505" s="69">
        <f t="shared" si="79"/>
        <v>44</v>
      </c>
      <c r="L2505" s="69">
        <f>VLOOKUP(Table_db1_backend_Daily.accdb[[#This Row],[TradingDate]],canon!B:E,4,0)</f>
        <v>29</v>
      </c>
    </row>
    <row r="2506" spans="1:12" x14ac:dyDescent="0.2">
      <c r="A2506" s="69" t="s">
        <v>44</v>
      </c>
      <c r="B2506" s="70">
        <v>42938</v>
      </c>
      <c r="C2506" s="69">
        <v>478</v>
      </c>
      <c r="D2506" s="69">
        <v>2</v>
      </c>
      <c r="E2506" s="69">
        <v>36.36</v>
      </c>
      <c r="F2506" s="69">
        <v>23.1</v>
      </c>
      <c r="G2506" s="69" t="s">
        <v>14</v>
      </c>
      <c r="H2506" s="69" t="str">
        <f>IFERROR(VLOOKUP(Data!$G2506,canon!$I$2:$K$27,2,FALSE),"")</f>
        <v>LEGGING</v>
      </c>
      <c r="I2506" s="69" t="str">
        <f>IFERROR(VLOOKUP(Data!$G2506,canon!$I$2:$K$27,3,FALSE),"")</f>
        <v>APPAREL</v>
      </c>
      <c r="J2506" s="69">
        <f t="shared" si="78"/>
        <v>7</v>
      </c>
      <c r="K2506" s="69">
        <f t="shared" si="79"/>
        <v>44</v>
      </c>
      <c r="L2506" s="69">
        <f>VLOOKUP(Table_db1_backend_Daily.accdb[[#This Row],[TradingDate]],canon!B:E,4,0)</f>
        <v>29</v>
      </c>
    </row>
    <row r="2507" spans="1:12" x14ac:dyDescent="0.2">
      <c r="A2507" s="69" t="s">
        <v>44</v>
      </c>
      <c r="B2507" s="70">
        <v>42938</v>
      </c>
      <c r="C2507" s="69">
        <v>23</v>
      </c>
      <c r="D2507" s="69">
        <v>0</v>
      </c>
      <c r="E2507" s="69">
        <v>0</v>
      </c>
      <c r="F2507" s="69">
        <v>0</v>
      </c>
      <c r="G2507" s="69" t="s">
        <v>37</v>
      </c>
      <c r="H2507" s="69" t="str">
        <f>IFERROR(VLOOKUP(Data!$G2507,canon!$I$2:$K$27,2,FALSE),"")</f>
        <v>SHOES</v>
      </c>
      <c r="I2507" s="69" t="str">
        <f>IFERROR(VLOOKUP(Data!$G2507,canon!$I$2:$K$27,3,FALSE),"")</f>
        <v>N.APPAREL</v>
      </c>
      <c r="J2507" s="69">
        <f t="shared" si="78"/>
        <v>7</v>
      </c>
      <c r="K2507" s="69">
        <f t="shared" si="79"/>
        <v>44</v>
      </c>
      <c r="L2507" s="69">
        <f>VLOOKUP(Table_db1_backend_Daily.accdb[[#This Row],[TradingDate]],canon!B:E,4,0)</f>
        <v>29</v>
      </c>
    </row>
    <row r="2508" spans="1:12" x14ac:dyDescent="0.2">
      <c r="A2508" s="69" t="s">
        <v>44</v>
      </c>
      <c r="B2508" s="70">
        <v>42938</v>
      </c>
      <c r="C2508" s="69">
        <v>65</v>
      </c>
      <c r="D2508" s="69">
        <v>0</v>
      </c>
      <c r="E2508" s="69">
        <v>0</v>
      </c>
      <c r="F2508" s="69">
        <v>0</v>
      </c>
      <c r="G2508" s="69" t="s">
        <v>29</v>
      </c>
      <c r="H2508" s="69" t="str">
        <f>IFERROR(VLOOKUP(Data!$G2508,canon!$I$2:$K$27,2,FALSE),"")</f>
        <v>SHOES</v>
      </c>
      <c r="I2508" s="69" t="str">
        <f>IFERROR(VLOOKUP(Data!$G2508,canon!$I$2:$K$27,3,FALSE),"")</f>
        <v>N.APPAREL</v>
      </c>
      <c r="J2508" s="69">
        <f t="shared" si="78"/>
        <v>7</v>
      </c>
      <c r="K2508" s="69">
        <f t="shared" si="79"/>
        <v>44</v>
      </c>
      <c r="L2508" s="69">
        <f>VLOOKUP(Table_db1_backend_Daily.accdb[[#This Row],[TradingDate]],canon!B:E,4,0)</f>
        <v>29</v>
      </c>
    </row>
    <row r="2509" spans="1:12" x14ac:dyDescent="0.2">
      <c r="A2509" s="69" t="s">
        <v>44</v>
      </c>
      <c r="B2509" s="70">
        <v>42938</v>
      </c>
      <c r="C2509" s="69">
        <v>693</v>
      </c>
      <c r="D2509" s="69">
        <v>7</v>
      </c>
      <c r="E2509" s="69">
        <v>127.26000000000002</v>
      </c>
      <c r="F2509" s="69">
        <v>61.4</v>
      </c>
      <c r="G2509" s="69" t="s">
        <v>17</v>
      </c>
      <c r="H2509" s="69" t="str">
        <f>IFERROR(VLOOKUP(Data!$G2509,canon!$I$2:$K$27,2,FALSE),"")</f>
        <v>OUTER</v>
      </c>
      <c r="I2509" s="69" t="str">
        <f>IFERROR(VLOOKUP(Data!$G2509,canon!$I$2:$K$27,3,FALSE),"")</f>
        <v>APPAREL</v>
      </c>
      <c r="J2509" s="69">
        <f t="shared" si="78"/>
        <v>7</v>
      </c>
      <c r="K2509" s="69">
        <f t="shared" si="79"/>
        <v>44</v>
      </c>
      <c r="L2509" s="69">
        <f>VLOOKUP(Table_db1_backend_Daily.accdb[[#This Row],[TradingDate]],canon!B:E,4,0)</f>
        <v>29</v>
      </c>
    </row>
    <row r="2510" spans="1:12" x14ac:dyDescent="0.2">
      <c r="A2510" s="69" t="s">
        <v>44</v>
      </c>
      <c r="B2510" s="70">
        <v>42938</v>
      </c>
      <c r="C2510" s="69">
        <v>382</v>
      </c>
      <c r="D2510" s="69">
        <v>1</v>
      </c>
      <c r="E2510" s="69">
        <v>9.09</v>
      </c>
      <c r="F2510" s="69">
        <v>3.98</v>
      </c>
      <c r="G2510" s="69" t="s">
        <v>19</v>
      </c>
      <c r="H2510" s="69" t="str">
        <f>IFERROR(VLOOKUP(Data!$G2510,canon!$I$2:$K$27,2,FALSE),"")</f>
        <v>PANT</v>
      </c>
      <c r="I2510" s="69" t="str">
        <f>IFERROR(VLOOKUP(Data!$G2510,canon!$I$2:$K$27,3,FALSE),"")</f>
        <v>APPAREL</v>
      </c>
      <c r="J2510" s="69">
        <f t="shared" si="78"/>
        <v>7</v>
      </c>
      <c r="K2510" s="69">
        <f t="shared" si="79"/>
        <v>44</v>
      </c>
      <c r="L2510" s="69">
        <f>VLOOKUP(Table_db1_backend_Daily.accdb[[#This Row],[TradingDate]],canon!B:E,4,0)</f>
        <v>29</v>
      </c>
    </row>
    <row r="2511" spans="1:12" x14ac:dyDescent="0.2">
      <c r="A2511" s="69" t="s">
        <v>44</v>
      </c>
      <c r="B2511" s="70">
        <v>42938</v>
      </c>
      <c r="C2511" s="69">
        <v>78</v>
      </c>
      <c r="D2511" s="69">
        <v>0</v>
      </c>
      <c r="E2511" s="69">
        <v>0</v>
      </c>
      <c r="F2511" s="69">
        <v>0</v>
      </c>
      <c r="G2511" s="69" t="s">
        <v>21</v>
      </c>
      <c r="H2511" s="69" t="str">
        <f>IFERROR(VLOOKUP(Data!$G2511,canon!$I$2:$K$27,2,FALSE),"")</f>
        <v>ACCESSORY</v>
      </c>
      <c r="I2511" s="69" t="str">
        <f>IFERROR(VLOOKUP(Data!$G2511,canon!$I$2:$K$27,3,FALSE),"")</f>
        <v>N.APPAREL</v>
      </c>
      <c r="J2511" s="69">
        <f t="shared" si="78"/>
        <v>7</v>
      </c>
      <c r="K2511" s="69">
        <f t="shared" si="79"/>
        <v>44</v>
      </c>
      <c r="L2511" s="69">
        <f>VLOOKUP(Table_db1_backend_Daily.accdb[[#This Row],[TradingDate]],canon!B:E,4,0)</f>
        <v>29</v>
      </c>
    </row>
    <row r="2512" spans="1:12" x14ac:dyDescent="0.2">
      <c r="A2512" s="69" t="s">
        <v>44</v>
      </c>
      <c r="B2512" s="70">
        <v>42938</v>
      </c>
      <c r="C2512" s="69">
        <v>1093</v>
      </c>
      <c r="D2512" s="69">
        <v>8</v>
      </c>
      <c r="E2512" s="69">
        <v>57.830000000000005</v>
      </c>
      <c r="F2512" s="69">
        <v>43.710000000000008</v>
      </c>
      <c r="G2512" s="69" t="s">
        <v>22</v>
      </c>
      <c r="H2512" s="69" t="str">
        <f>IFERROR(VLOOKUP(Data!$G2512,canon!$I$2:$K$27,2,FALSE),"")</f>
        <v>SCARF</v>
      </c>
      <c r="I2512" s="69" t="str">
        <f>IFERROR(VLOOKUP(Data!$G2512,canon!$I$2:$K$27,3,FALSE),"")</f>
        <v>N.APPAREL</v>
      </c>
      <c r="J2512" s="69">
        <f t="shared" si="78"/>
        <v>7</v>
      </c>
      <c r="K2512" s="69">
        <f t="shared" si="79"/>
        <v>44</v>
      </c>
      <c r="L2512" s="69">
        <f>VLOOKUP(Table_db1_backend_Daily.accdb[[#This Row],[TradingDate]],canon!B:E,4,0)</f>
        <v>29</v>
      </c>
    </row>
    <row r="2513" spans="1:12" x14ac:dyDescent="0.2">
      <c r="A2513" s="69" t="s">
        <v>44</v>
      </c>
      <c r="B2513" s="70">
        <v>42938</v>
      </c>
      <c r="C2513" s="69">
        <v>151</v>
      </c>
      <c r="D2513" s="69">
        <v>1</v>
      </c>
      <c r="E2513" s="69">
        <v>9.1</v>
      </c>
      <c r="F2513" s="69">
        <v>2.9</v>
      </c>
      <c r="G2513" s="69" t="s">
        <v>23</v>
      </c>
      <c r="H2513" s="69" t="str">
        <f>IFERROR(VLOOKUP(Data!$G2513,canon!$I$2:$K$27,2,FALSE),"")</f>
        <v>SH&amp;BL</v>
      </c>
      <c r="I2513" s="69" t="str">
        <f>IFERROR(VLOOKUP(Data!$G2513,canon!$I$2:$K$27,3,FALSE),"")</f>
        <v>APPAREL</v>
      </c>
      <c r="J2513" s="69">
        <f t="shared" si="78"/>
        <v>7</v>
      </c>
      <c r="K2513" s="69">
        <f t="shared" si="79"/>
        <v>44</v>
      </c>
      <c r="L2513" s="69">
        <f>VLOOKUP(Table_db1_backend_Daily.accdb[[#This Row],[TradingDate]],canon!B:E,4,0)</f>
        <v>29</v>
      </c>
    </row>
    <row r="2514" spans="1:12" x14ac:dyDescent="0.2">
      <c r="A2514" s="69" t="s">
        <v>44</v>
      </c>
      <c r="B2514" s="70">
        <v>42938</v>
      </c>
      <c r="C2514" s="69">
        <v>485</v>
      </c>
      <c r="D2514" s="69">
        <v>0</v>
      </c>
      <c r="E2514" s="69">
        <v>0</v>
      </c>
      <c r="F2514" s="69">
        <v>0</v>
      </c>
      <c r="G2514" s="69" t="s">
        <v>32</v>
      </c>
      <c r="H2514" s="69" t="str">
        <f>IFERROR(VLOOKUP(Data!$G2514,canon!$I$2:$K$27,2,FALSE),"")</f>
        <v>SKIRT</v>
      </c>
      <c r="I2514" s="69" t="str">
        <f>IFERROR(VLOOKUP(Data!$G2514,canon!$I$2:$K$27,3,FALSE),"")</f>
        <v>APPAREL</v>
      </c>
      <c r="J2514" s="69">
        <f t="shared" si="78"/>
        <v>7</v>
      </c>
      <c r="K2514" s="69">
        <f t="shared" si="79"/>
        <v>44</v>
      </c>
      <c r="L2514" s="69">
        <f>VLOOKUP(Table_db1_backend_Daily.accdb[[#This Row],[TradingDate]],canon!B:E,4,0)</f>
        <v>29</v>
      </c>
    </row>
    <row r="2515" spans="1:12" x14ac:dyDescent="0.2">
      <c r="A2515" s="69" t="s">
        <v>44</v>
      </c>
      <c r="B2515" s="70">
        <v>42938</v>
      </c>
      <c r="C2515" s="69">
        <v>1348</v>
      </c>
      <c r="D2515" s="69">
        <v>12</v>
      </c>
      <c r="E2515" s="69">
        <v>122.72</v>
      </c>
      <c r="F2515" s="69">
        <v>61.63</v>
      </c>
      <c r="G2515" s="69" t="s">
        <v>25</v>
      </c>
      <c r="H2515" s="69" t="str">
        <f>IFERROR(VLOOKUP(Data!$G2515,canon!$I$2:$K$27,2,FALSE),"")</f>
        <v>TOP</v>
      </c>
      <c r="I2515" s="69" t="str">
        <f>IFERROR(VLOOKUP(Data!$G2515,canon!$I$2:$K$27,3,FALSE),"")</f>
        <v>APPAREL</v>
      </c>
      <c r="J2515" s="69">
        <f t="shared" si="78"/>
        <v>7</v>
      </c>
      <c r="K2515" s="69">
        <f t="shared" si="79"/>
        <v>44</v>
      </c>
      <c r="L2515" s="69">
        <f>VLOOKUP(Table_db1_backend_Daily.accdb[[#This Row],[TradingDate]],canon!B:E,4,0)</f>
        <v>29</v>
      </c>
    </row>
    <row r="2516" spans="1:12" x14ac:dyDescent="0.2">
      <c r="A2516" s="69" t="s">
        <v>44</v>
      </c>
      <c r="B2516" s="70">
        <v>42939</v>
      </c>
      <c r="C2516" s="69">
        <v>33</v>
      </c>
      <c r="D2516" s="69">
        <v>0</v>
      </c>
      <c r="E2516" s="69">
        <v>0</v>
      </c>
      <c r="F2516" s="69">
        <v>0</v>
      </c>
      <c r="G2516" s="69" t="s">
        <v>34</v>
      </c>
      <c r="H2516" s="69" t="str">
        <f>IFERROR(VLOOKUP(Data!$G2516,canon!$I$2:$K$27,2,FALSE),"")</f>
        <v>SHOES</v>
      </c>
      <c r="I2516" s="69" t="str">
        <f>IFERROR(VLOOKUP(Data!$G2516,canon!$I$2:$K$27,3,FALSE),"")</f>
        <v>N.APPAREL</v>
      </c>
      <c r="J2516" s="69">
        <f t="shared" si="78"/>
        <v>1</v>
      </c>
      <c r="K2516" s="69">
        <f t="shared" si="79"/>
        <v>44</v>
      </c>
      <c r="L2516" s="69">
        <f>VLOOKUP(Table_db1_backend_Daily.accdb[[#This Row],[TradingDate]],canon!B:E,4,0)</f>
        <v>30</v>
      </c>
    </row>
    <row r="2517" spans="1:12" x14ac:dyDescent="0.2">
      <c r="A2517" s="69" t="s">
        <v>44</v>
      </c>
      <c r="B2517" s="70">
        <v>42939</v>
      </c>
      <c r="C2517" s="69">
        <v>2</v>
      </c>
      <c r="D2517" s="69">
        <v>0</v>
      </c>
      <c r="E2517" s="69">
        <v>0</v>
      </c>
      <c r="F2517" s="69">
        <v>0</v>
      </c>
      <c r="G2517" s="69" t="s">
        <v>38</v>
      </c>
      <c r="H2517" s="69" t="str">
        <f>IFERROR(VLOOKUP(Data!$G2517,canon!$I$2:$K$27,2,FALSE),"")</f>
        <v>SHOES</v>
      </c>
      <c r="I2517" s="69" t="str">
        <f>IFERROR(VLOOKUP(Data!$G2517,canon!$I$2:$K$27,3,FALSE),"")</f>
        <v>N.APPAREL</v>
      </c>
      <c r="J2517" s="69">
        <f t="shared" si="78"/>
        <v>1</v>
      </c>
      <c r="K2517" s="69">
        <f t="shared" si="79"/>
        <v>44</v>
      </c>
      <c r="L2517" s="69">
        <f>VLOOKUP(Table_db1_backend_Daily.accdb[[#This Row],[TradingDate]],canon!B:E,4,0)</f>
        <v>30</v>
      </c>
    </row>
    <row r="2518" spans="1:12" x14ac:dyDescent="0.2">
      <c r="A2518" s="69" t="s">
        <v>44</v>
      </c>
      <c r="B2518" s="70">
        <v>42939</v>
      </c>
      <c r="C2518" s="69">
        <v>536</v>
      </c>
      <c r="D2518" s="69">
        <v>0</v>
      </c>
      <c r="E2518" s="69">
        <v>0</v>
      </c>
      <c r="F2518" s="69">
        <v>0</v>
      </c>
      <c r="G2518" s="69" t="s">
        <v>35</v>
      </c>
      <c r="H2518" s="69" t="str">
        <f>IFERROR(VLOOKUP(Data!$G2518,canon!$I$2:$K$27,2,FALSE),"")</f>
        <v>DRESS</v>
      </c>
      <c r="I2518" s="69" t="str">
        <f>IFERROR(VLOOKUP(Data!$G2518,canon!$I$2:$K$27,3,FALSE),"")</f>
        <v>APPAREL</v>
      </c>
      <c r="J2518" s="69">
        <f t="shared" si="78"/>
        <v>1</v>
      </c>
      <c r="K2518" s="69">
        <f t="shared" si="79"/>
        <v>44</v>
      </c>
      <c r="L2518" s="69">
        <f>VLOOKUP(Table_db1_backend_Daily.accdb[[#This Row],[TradingDate]],canon!B:E,4,0)</f>
        <v>30</v>
      </c>
    </row>
    <row r="2519" spans="1:12" x14ac:dyDescent="0.2">
      <c r="A2519" s="69" t="s">
        <v>44</v>
      </c>
      <c r="B2519" s="70">
        <v>42939</v>
      </c>
      <c r="C2519" s="69">
        <v>34</v>
      </c>
      <c r="D2519" s="69">
        <v>0</v>
      </c>
      <c r="E2519" s="69">
        <v>0</v>
      </c>
      <c r="F2519" s="69">
        <v>0</v>
      </c>
      <c r="G2519" s="69" t="s">
        <v>10</v>
      </c>
      <c r="H2519" s="69" t="str">
        <f>IFERROR(VLOOKUP(Data!$G2519,canon!$I$2:$K$27,2,FALSE),"")</f>
        <v>ACCESSORY</v>
      </c>
      <c r="I2519" s="69" t="str">
        <f>IFERROR(VLOOKUP(Data!$G2519,canon!$I$2:$K$27,3,FALSE),"")</f>
        <v>N.APPAREL</v>
      </c>
      <c r="J2519" s="69">
        <f t="shared" si="78"/>
        <v>1</v>
      </c>
      <c r="K2519" s="69">
        <f t="shared" si="79"/>
        <v>44</v>
      </c>
      <c r="L2519" s="69">
        <f>VLOOKUP(Table_db1_backend_Daily.accdb[[#This Row],[TradingDate]],canon!B:E,4,0)</f>
        <v>30</v>
      </c>
    </row>
    <row r="2520" spans="1:12" x14ac:dyDescent="0.2">
      <c r="A2520" s="69" t="s">
        <v>44</v>
      </c>
      <c r="B2520" s="70">
        <v>42939</v>
      </c>
      <c r="C2520" s="69">
        <v>2</v>
      </c>
      <c r="D2520" s="69">
        <v>0</v>
      </c>
      <c r="E2520" s="69">
        <v>0</v>
      </c>
      <c r="F2520" s="69">
        <v>0</v>
      </c>
      <c r="G2520" s="69" t="s">
        <v>28</v>
      </c>
      <c r="H2520" s="69" t="str">
        <f>IFERROR(VLOOKUP(Data!$G2520,canon!$I$2:$K$27,2,FALSE),"")</f>
        <v>ACCESSORY</v>
      </c>
      <c r="I2520" s="69" t="str">
        <f>IFERROR(VLOOKUP(Data!$G2520,canon!$I$2:$K$27,3,FALSE),"")</f>
        <v>N.APPAREL</v>
      </c>
      <c r="J2520" s="69">
        <f t="shared" si="78"/>
        <v>1</v>
      </c>
      <c r="K2520" s="69">
        <f t="shared" si="79"/>
        <v>44</v>
      </c>
      <c r="L2520" s="69">
        <f>VLOOKUP(Table_db1_backend_Daily.accdb[[#This Row],[TradingDate]],canon!B:E,4,0)</f>
        <v>30</v>
      </c>
    </row>
    <row r="2521" spans="1:12" x14ac:dyDescent="0.2">
      <c r="A2521" s="69" t="s">
        <v>44</v>
      </c>
      <c r="B2521" s="70">
        <v>42939</v>
      </c>
      <c r="C2521" s="69">
        <v>1918</v>
      </c>
      <c r="D2521" s="69">
        <v>14</v>
      </c>
      <c r="E2521" s="69">
        <v>181.80000000000004</v>
      </c>
      <c r="F2521" s="69">
        <v>70.430000000000007</v>
      </c>
      <c r="G2521" s="69" t="s">
        <v>11</v>
      </c>
      <c r="H2521" s="69" t="str">
        <f>IFERROR(VLOOKUP(Data!$G2521,canon!$I$2:$K$27,2,FALSE),"")</f>
        <v>KNIT</v>
      </c>
      <c r="I2521" s="69" t="str">
        <f>IFERROR(VLOOKUP(Data!$G2521,canon!$I$2:$K$27,3,FALSE),"")</f>
        <v>APPAREL</v>
      </c>
      <c r="J2521" s="69">
        <f t="shared" si="78"/>
        <v>1</v>
      </c>
      <c r="K2521" s="69">
        <f t="shared" si="79"/>
        <v>44</v>
      </c>
      <c r="L2521" s="69">
        <f>VLOOKUP(Table_db1_backend_Daily.accdb[[#This Row],[TradingDate]],canon!B:E,4,0)</f>
        <v>30</v>
      </c>
    </row>
    <row r="2522" spans="1:12" x14ac:dyDescent="0.2">
      <c r="A2522" s="69" t="s">
        <v>44</v>
      </c>
      <c r="B2522" s="70">
        <v>42939</v>
      </c>
      <c r="C2522" s="69">
        <v>478</v>
      </c>
      <c r="D2522" s="69">
        <v>0</v>
      </c>
      <c r="E2522" s="69">
        <v>0</v>
      </c>
      <c r="F2522" s="69">
        <v>0</v>
      </c>
      <c r="G2522" s="69" t="s">
        <v>14</v>
      </c>
      <c r="H2522" s="69" t="str">
        <f>IFERROR(VLOOKUP(Data!$G2522,canon!$I$2:$K$27,2,FALSE),"")</f>
        <v>LEGGING</v>
      </c>
      <c r="I2522" s="69" t="str">
        <f>IFERROR(VLOOKUP(Data!$G2522,canon!$I$2:$K$27,3,FALSE),"")</f>
        <v>APPAREL</v>
      </c>
      <c r="J2522" s="69">
        <f t="shared" si="78"/>
        <v>1</v>
      </c>
      <c r="K2522" s="69">
        <f t="shared" si="79"/>
        <v>44</v>
      </c>
      <c r="L2522" s="69">
        <f>VLOOKUP(Table_db1_backend_Daily.accdb[[#This Row],[TradingDate]],canon!B:E,4,0)</f>
        <v>30</v>
      </c>
    </row>
    <row r="2523" spans="1:12" x14ac:dyDescent="0.2">
      <c r="A2523" s="69" t="s">
        <v>44</v>
      </c>
      <c r="B2523" s="70">
        <v>42939</v>
      </c>
      <c r="C2523" s="69">
        <v>23</v>
      </c>
      <c r="D2523" s="69">
        <v>0</v>
      </c>
      <c r="E2523" s="69">
        <v>0</v>
      </c>
      <c r="F2523" s="69">
        <v>0</v>
      </c>
      <c r="G2523" s="69" t="s">
        <v>37</v>
      </c>
      <c r="H2523" s="69" t="str">
        <f>IFERROR(VLOOKUP(Data!$G2523,canon!$I$2:$K$27,2,FALSE),"")</f>
        <v>SHOES</v>
      </c>
      <c r="I2523" s="69" t="str">
        <f>IFERROR(VLOOKUP(Data!$G2523,canon!$I$2:$K$27,3,FALSE),"")</f>
        <v>N.APPAREL</v>
      </c>
      <c r="J2523" s="69">
        <f t="shared" si="78"/>
        <v>1</v>
      </c>
      <c r="K2523" s="69">
        <f t="shared" si="79"/>
        <v>44</v>
      </c>
      <c r="L2523" s="69">
        <f>VLOOKUP(Table_db1_backend_Daily.accdb[[#This Row],[TradingDate]],canon!B:E,4,0)</f>
        <v>30</v>
      </c>
    </row>
    <row r="2524" spans="1:12" x14ac:dyDescent="0.2">
      <c r="A2524" s="69" t="s">
        <v>44</v>
      </c>
      <c r="B2524" s="70">
        <v>42939</v>
      </c>
      <c r="C2524" s="69">
        <v>65</v>
      </c>
      <c r="D2524" s="69">
        <v>0</v>
      </c>
      <c r="E2524" s="69">
        <v>0</v>
      </c>
      <c r="F2524" s="69">
        <v>0</v>
      </c>
      <c r="G2524" s="69" t="s">
        <v>29</v>
      </c>
      <c r="H2524" s="69" t="str">
        <f>IFERROR(VLOOKUP(Data!$G2524,canon!$I$2:$K$27,2,FALSE),"")</f>
        <v>SHOES</v>
      </c>
      <c r="I2524" s="69" t="str">
        <f>IFERROR(VLOOKUP(Data!$G2524,canon!$I$2:$K$27,3,FALSE),"")</f>
        <v>N.APPAREL</v>
      </c>
      <c r="J2524" s="69">
        <f t="shared" si="78"/>
        <v>1</v>
      </c>
      <c r="K2524" s="69">
        <f t="shared" si="79"/>
        <v>44</v>
      </c>
      <c r="L2524" s="69">
        <f>VLOOKUP(Table_db1_backend_Daily.accdb[[#This Row],[TradingDate]],canon!B:E,4,0)</f>
        <v>30</v>
      </c>
    </row>
    <row r="2525" spans="1:12" x14ac:dyDescent="0.2">
      <c r="A2525" s="69" t="s">
        <v>44</v>
      </c>
      <c r="B2525" s="70">
        <v>42939</v>
      </c>
      <c r="C2525" s="69">
        <v>681</v>
      </c>
      <c r="D2525" s="69">
        <v>10</v>
      </c>
      <c r="E2525" s="69">
        <v>172.73000000000002</v>
      </c>
      <c r="F2525" s="69">
        <v>84.44</v>
      </c>
      <c r="G2525" s="69" t="s">
        <v>17</v>
      </c>
      <c r="H2525" s="69" t="str">
        <f>IFERROR(VLOOKUP(Data!$G2525,canon!$I$2:$K$27,2,FALSE),"")</f>
        <v>OUTER</v>
      </c>
      <c r="I2525" s="69" t="str">
        <f>IFERROR(VLOOKUP(Data!$G2525,canon!$I$2:$K$27,3,FALSE),"")</f>
        <v>APPAREL</v>
      </c>
      <c r="J2525" s="69">
        <f t="shared" si="78"/>
        <v>1</v>
      </c>
      <c r="K2525" s="69">
        <f t="shared" si="79"/>
        <v>44</v>
      </c>
      <c r="L2525" s="69">
        <f>VLOOKUP(Table_db1_backend_Daily.accdb[[#This Row],[TradingDate]],canon!B:E,4,0)</f>
        <v>30</v>
      </c>
    </row>
    <row r="2526" spans="1:12" x14ac:dyDescent="0.2">
      <c r="A2526" s="69" t="s">
        <v>44</v>
      </c>
      <c r="B2526" s="70">
        <v>42939</v>
      </c>
      <c r="C2526" s="69">
        <v>380</v>
      </c>
      <c r="D2526" s="69">
        <v>2</v>
      </c>
      <c r="E2526" s="69">
        <v>18.18</v>
      </c>
      <c r="F2526" s="69">
        <v>6.22</v>
      </c>
      <c r="G2526" s="69" t="s">
        <v>19</v>
      </c>
      <c r="H2526" s="69" t="str">
        <f>IFERROR(VLOOKUP(Data!$G2526,canon!$I$2:$K$27,2,FALSE),"")</f>
        <v>PANT</v>
      </c>
      <c r="I2526" s="69" t="str">
        <f>IFERROR(VLOOKUP(Data!$G2526,canon!$I$2:$K$27,3,FALSE),"")</f>
        <v>APPAREL</v>
      </c>
      <c r="J2526" s="69">
        <f t="shared" si="78"/>
        <v>1</v>
      </c>
      <c r="K2526" s="69">
        <f t="shared" si="79"/>
        <v>44</v>
      </c>
      <c r="L2526" s="69">
        <f>VLOOKUP(Table_db1_backend_Daily.accdb[[#This Row],[TradingDate]],canon!B:E,4,0)</f>
        <v>30</v>
      </c>
    </row>
    <row r="2527" spans="1:12" x14ac:dyDescent="0.2">
      <c r="A2527" s="69" t="s">
        <v>44</v>
      </c>
      <c r="B2527" s="70">
        <v>42939</v>
      </c>
      <c r="C2527" s="69">
        <v>78</v>
      </c>
      <c r="D2527" s="69">
        <v>0</v>
      </c>
      <c r="E2527" s="69">
        <v>0</v>
      </c>
      <c r="F2527" s="69">
        <v>0</v>
      </c>
      <c r="G2527" s="69" t="s">
        <v>21</v>
      </c>
      <c r="H2527" s="69" t="str">
        <f>IFERROR(VLOOKUP(Data!$G2527,canon!$I$2:$K$27,2,FALSE),"")</f>
        <v>ACCESSORY</v>
      </c>
      <c r="I2527" s="69" t="str">
        <f>IFERROR(VLOOKUP(Data!$G2527,canon!$I$2:$K$27,3,FALSE),"")</f>
        <v>N.APPAREL</v>
      </c>
      <c r="J2527" s="69">
        <f t="shared" si="78"/>
        <v>1</v>
      </c>
      <c r="K2527" s="69">
        <f t="shared" si="79"/>
        <v>44</v>
      </c>
      <c r="L2527" s="69">
        <f>VLOOKUP(Table_db1_backend_Daily.accdb[[#This Row],[TradingDate]],canon!B:E,4,0)</f>
        <v>30</v>
      </c>
    </row>
    <row r="2528" spans="1:12" x14ac:dyDescent="0.2">
      <c r="A2528" s="69" t="s">
        <v>44</v>
      </c>
      <c r="B2528" s="70">
        <v>42939</v>
      </c>
      <c r="C2528" s="69">
        <v>1086</v>
      </c>
      <c r="D2528" s="69">
        <v>6</v>
      </c>
      <c r="E2528" s="69">
        <v>43.370000000000005</v>
      </c>
      <c r="F2528" s="69">
        <v>32.18</v>
      </c>
      <c r="G2528" s="69" t="s">
        <v>22</v>
      </c>
      <c r="H2528" s="69" t="str">
        <f>IFERROR(VLOOKUP(Data!$G2528,canon!$I$2:$K$27,2,FALSE),"")</f>
        <v>SCARF</v>
      </c>
      <c r="I2528" s="69" t="str">
        <f>IFERROR(VLOOKUP(Data!$G2528,canon!$I$2:$K$27,3,FALSE),"")</f>
        <v>N.APPAREL</v>
      </c>
      <c r="J2528" s="69">
        <f t="shared" si="78"/>
        <v>1</v>
      </c>
      <c r="K2528" s="69">
        <f t="shared" si="79"/>
        <v>44</v>
      </c>
      <c r="L2528" s="69">
        <f>VLOOKUP(Table_db1_backend_Daily.accdb[[#This Row],[TradingDate]],canon!B:E,4,0)</f>
        <v>30</v>
      </c>
    </row>
    <row r="2529" spans="1:12" x14ac:dyDescent="0.2">
      <c r="A2529" s="69" t="s">
        <v>44</v>
      </c>
      <c r="B2529" s="70">
        <v>42939</v>
      </c>
      <c r="C2529" s="69">
        <v>151</v>
      </c>
      <c r="D2529" s="69">
        <v>0</v>
      </c>
      <c r="E2529" s="69">
        <v>0</v>
      </c>
      <c r="F2529" s="69">
        <v>0</v>
      </c>
      <c r="G2529" s="69" t="s">
        <v>23</v>
      </c>
      <c r="H2529" s="69" t="str">
        <f>IFERROR(VLOOKUP(Data!$G2529,canon!$I$2:$K$27,2,FALSE),"")</f>
        <v>SH&amp;BL</v>
      </c>
      <c r="I2529" s="69" t="str">
        <f>IFERROR(VLOOKUP(Data!$G2529,canon!$I$2:$K$27,3,FALSE),"")</f>
        <v>APPAREL</v>
      </c>
      <c r="J2529" s="69">
        <f t="shared" si="78"/>
        <v>1</v>
      </c>
      <c r="K2529" s="69">
        <f t="shared" si="79"/>
        <v>44</v>
      </c>
      <c r="L2529" s="69">
        <f>VLOOKUP(Table_db1_backend_Daily.accdb[[#This Row],[TradingDate]],canon!B:E,4,0)</f>
        <v>30</v>
      </c>
    </row>
    <row r="2530" spans="1:12" x14ac:dyDescent="0.2">
      <c r="A2530" s="69" t="s">
        <v>44</v>
      </c>
      <c r="B2530" s="70">
        <v>42939</v>
      </c>
      <c r="C2530" s="69">
        <v>485</v>
      </c>
      <c r="D2530" s="69">
        <v>0</v>
      </c>
      <c r="E2530" s="69">
        <v>0</v>
      </c>
      <c r="F2530" s="69">
        <v>0</v>
      </c>
      <c r="G2530" s="69" t="s">
        <v>32</v>
      </c>
      <c r="H2530" s="69" t="str">
        <f>IFERROR(VLOOKUP(Data!$G2530,canon!$I$2:$K$27,2,FALSE),"")</f>
        <v>SKIRT</v>
      </c>
      <c r="I2530" s="69" t="str">
        <f>IFERROR(VLOOKUP(Data!$G2530,canon!$I$2:$K$27,3,FALSE),"")</f>
        <v>APPAREL</v>
      </c>
      <c r="J2530" s="69">
        <f t="shared" si="78"/>
        <v>1</v>
      </c>
      <c r="K2530" s="69">
        <f t="shared" si="79"/>
        <v>44</v>
      </c>
      <c r="L2530" s="69">
        <f>VLOOKUP(Table_db1_backend_Daily.accdb[[#This Row],[TradingDate]],canon!B:E,4,0)</f>
        <v>30</v>
      </c>
    </row>
    <row r="2531" spans="1:12" x14ac:dyDescent="0.2">
      <c r="A2531" s="69" t="s">
        <v>44</v>
      </c>
      <c r="B2531" s="70">
        <v>42939</v>
      </c>
      <c r="C2531" s="69">
        <v>1343</v>
      </c>
      <c r="D2531" s="69">
        <v>5</v>
      </c>
      <c r="E2531" s="69">
        <v>45.45</v>
      </c>
      <c r="F2531" s="69">
        <v>19.790000000000003</v>
      </c>
      <c r="G2531" s="69" t="s">
        <v>25</v>
      </c>
      <c r="H2531" s="69" t="str">
        <f>IFERROR(VLOOKUP(Data!$G2531,canon!$I$2:$K$27,2,FALSE),"")</f>
        <v>TOP</v>
      </c>
      <c r="I2531" s="69" t="str">
        <f>IFERROR(VLOOKUP(Data!$G2531,canon!$I$2:$K$27,3,FALSE),"")</f>
        <v>APPAREL</v>
      </c>
      <c r="J2531" s="69">
        <f t="shared" si="78"/>
        <v>1</v>
      </c>
      <c r="K2531" s="69">
        <f t="shared" si="79"/>
        <v>44</v>
      </c>
      <c r="L2531" s="69">
        <f>VLOOKUP(Table_db1_backend_Daily.accdb[[#This Row],[TradingDate]],canon!B:E,4,0)</f>
        <v>30</v>
      </c>
    </row>
    <row r="2532" spans="1:12" x14ac:dyDescent="0.2">
      <c r="A2532" s="69" t="s">
        <v>44</v>
      </c>
      <c r="B2532" s="70">
        <v>42940</v>
      </c>
      <c r="C2532" s="69">
        <v>33</v>
      </c>
      <c r="D2532" s="69">
        <v>0</v>
      </c>
      <c r="E2532" s="69">
        <v>0</v>
      </c>
      <c r="F2532" s="69">
        <v>0</v>
      </c>
      <c r="G2532" s="69" t="s">
        <v>34</v>
      </c>
      <c r="H2532" s="69" t="str">
        <f>IFERROR(VLOOKUP(Data!$G2532,canon!$I$2:$K$27,2,FALSE),"")</f>
        <v>SHOES</v>
      </c>
      <c r="I2532" s="69" t="str">
        <f>IFERROR(VLOOKUP(Data!$G2532,canon!$I$2:$K$27,3,FALSE),"")</f>
        <v>N.APPAREL</v>
      </c>
      <c r="J2532" s="69">
        <f t="shared" si="78"/>
        <v>2</v>
      </c>
      <c r="K2532" s="69">
        <f t="shared" si="79"/>
        <v>44</v>
      </c>
      <c r="L2532" s="69">
        <f>VLOOKUP(Table_db1_backend_Daily.accdb[[#This Row],[TradingDate]],canon!B:E,4,0)</f>
        <v>30</v>
      </c>
    </row>
    <row r="2533" spans="1:12" x14ac:dyDescent="0.2">
      <c r="A2533" s="69" t="s">
        <v>44</v>
      </c>
      <c r="B2533" s="70">
        <v>42940</v>
      </c>
      <c r="C2533" s="69">
        <v>2</v>
      </c>
      <c r="D2533" s="69">
        <v>0</v>
      </c>
      <c r="E2533" s="69">
        <v>0</v>
      </c>
      <c r="F2533" s="69">
        <v>0</v>
      </c>
      <c r="G2533" s="69" t="s">
        <v>38</v>
      </c>
      <c r="H2533" s="69" t="str">
        <f>IFERROR(VLOOKUP(Data!$G2533,canon!$I$2:$K$27,2,FALSE),"")</f>
        <v>SHOES</v>
      </c>
      <c r="I2533" s="69" t="str">
        <f>IFERROR(VLOOKUP(Data!$G2533,canon!$I$2:$K$27,3,FALSE),"")</f>
        <v>N.APPAREL</v>
      </c>
      <c r="J2533" s="69">
        <f t="shared" si="78"/>
        <v>2</v>
      </c>
      <c r="K2533" s="69">
        <f t="shared" si="79"/>
        <v>44</v>
      </c>
      <c r="L2533" s="69">
        <f>VLOOKUP(Table_db1_backend_Daily.accdb[[#This Row],[TradingDate]],canon!B:E,4,0)</f>
        <v>30</v>
      </c>
    </row>
    <row r="2534" spans="1:12" x14ac:dyDescent="0.2">
      <c r="A2534" s="69" t="s">
        <v>44</v>
      </c>
      <c r="B2534" s="70">
        <v>42940</v>
      </c>
      <c r="C2534" s="69">
        <v>588</v>
      </c>
      <c r="D2534" s="69">
        <v>2</v>
      </c>
      <c r="E2534" s="69">
        <v>18.18</v>
      </c>
      <c r="F2534" s="69">
        <v>-1.38</v>
      </c>
      <c r="G2534" s="69" t="s">
        <v>35</v>
      </c>
      <c r="H2534" s="69" t="str">
        <f>IFERROR(VLOOKUP(Data!$G2534,canon!$I$2:$K$27,2,FALSE),"")</f>
        <v>DRESS</v>
      </c>
      <c r="I2534" s="69" t="str">
        <f>IFERROR(VLOOKUP(Data!$G2534,canon!$I$2:$K$27,3,FALSE),"")</f>
        <v>APPAREL</v>
      </c>
      <c r="J2534" s="69">
        <f t="shared" si="78"/>
        <v>2</v>
      </c>
      <c r="K2534" s="69">
        <f t="shared" si="79"/>
        <v>44</v>
      </c>
      <c r="L2534" s="69">
        <f>VLOOKUP(Table_db1_backend_Daily.accdb[[#This Row],[TradingDate]],canon!B:E,4,0)</f>
        <v>30</v>
      </c>
    </row>
    <row r="2535" spans="1:12" x14ac:dyDescent="0.2">
      <c r="A2535" s="69" t="s">
        <v>44</v>
      </c>
      <c r="B2535" s="70">
        <v>42940</v>
      </c>
      <c r="C2535" s="69">
        <v>34</v>
      </c>
      <c r="D2535" s="69">
        <v>0</v>
      </c>
      <c r="E2535" s="69">
        <v>0</v>
      </c>
      <c r="F2535" s="69">
        <v>0</v>
      </c>
      <c r="G2535" s="69" t="s">
        <v>10</v>
      </c>
      <c r="H2535" s="69" t="str">
        <f>IFERROR(VLOOKUP(Data!$G2535,canon!$I$2:$K$27,2,FALSE),"")</f>
        <v>ACCESSORY</v>
      </c>
      <c r="I2535" s="69" t="str">
        <f>IFERROR(VLOOKUP(Data!$G2535,canon!$I$2:$K$27,3,FALSE),"")</f>
        <v>N.APPAREL</v>
      </c>
      <c r="J2535" s="69">
        <f t="shared" si="78"/>
        <v>2</v>
      </c>
      <c r="K2535" s="69">
        <f t="shared" si="79"/>
        <v>44</v>
      </c>
      <c r="L2535" s="69">
        <f>VLOOKUP(Table_db1_backend_Daily.accdb[[#This Row],[TradingDate]],canon!B:E,4,0)</f>
        <v>30</v>
      </c>
    </row>
    <row r="2536" spans="1:12" x14ac:dyDescent="0.2">
      <c r="A2536" s="69" t="s">
        <v>44</v>
      </c>
      <c r="B2536" s="70">
        <v>42940</v>
      </c>
      <c r="C2536" s="69">
        <v>2</v>
      </c>
      <c r="D2536" s="69">
        <v>0</v>
      </c>
      <c r="E2536" s="69">
        <v>0</v>
      </c>
      <c r="F2536" s="69">
        <v>0</v>
      </c>
      <c r="G2536" s="69" t="s">
        <v>28</v>
      </c>
      <c r="H2536" s="69" t="str">
        <f>IFERROR(VLOOKUP(Data!$G2536,canon!$I$2:$K$27,2,FALSE),"")</f>
        <v>ACCESSORY</v>
      </c>
      <c r="I2536" s="69" t="str">
        <f>IFERROR(VLOOKUP(Data!$G2536,canon!$I$2:$K$27,3,FALSE),"")</f>
        <v>N.APPAREL</v>
      </c>
      <c r="J2536" s="69">
        <f t="shared" si="78"/>
        <v>2</v>
      </c>
      <c r="K2536" s="69">
        <f t="shared" si="79"/>
        <v>44</v>
      </c>
      <c r="L2536" s="69">
        <f>VLOOKUP(Table_db1_backend_Daily.accdb[[#This Row],[TradingDate]],canon!B:E,4,0)</f>
        <v>30</v>
      </c>
    </row>
    <row r="2537" spans="1:12" x14ac:dyDescent="0.2">
      <c r="A2537" s="69" t="s">
        <v>44</v>
      </c>
      <c r="B2537" s="70">
        <v>42940</v>
      </c>
      <c r="C2537" s="69">
        <v>1912</v>
      </c>
      <c r="D2537" s="69">
        <v>22</v>
      </c>
      <c r="E2537" s="69">
        <v>281.79999999999995</v>
      </c>
      <c r="F2537" s="69">
        <v>117.5</v>
      </c>
      <c r="G2537" s="69" t="s">
        <v>11</v>
      </c>
      <c r="H2537" s="69" t="str">
        <f>IFERROR(VLOOKUP(Data!$G2537,canon!$I$2:$K$27,2,FALSE),"")</f>
        <v>KNIT</v>
      </c>
      <c r="I2537" s="69" t="str">
        <f>IFERROR(VLOOKUP(Data!$G2537,canon!$I$2:$K$27,3,FALSE),"")</f>
        <v>APPAREL</v>
      </c>
      <c r="J2537" s="69">
        <f t="shared" si="78"/>
        <v>2</v>
      </c>
      <c r="K2537" s="69">
        <f t="shared" si="79"/>
        <v>44</v>
      </c>
      <c r="L2537" s="69">
        <f>VLOOKUP(Table_db1_backend_Daily.accdb[[#This Row],[TradingDate]],canon!B:E,4,0)</f>
        <v>30</v>
      </c>
    </row>
    <row r="2538" spans="1:12" x14ac:dyDescent="0.2">
      <c r="A2538" s="69" t="s">
        <v>44</v>
      </c>
      <c r="B2538" s="70">
        <v>42940</v>
      </c>
      <c r="C2538" s="69">
        <v>493</v>
      </c>
      <c r="D2538" s="69">
        <v>3</v>
      </c>
      <c r="E2538" s="69">
        <v>27.27</v>
      </c>
      <c r="F2538" s="69">
        <v>6.51</v>
      </c>
      <c r="G2538" s="69" t="s">
        <v>14</v>
      </c>
      <c r="H2538" s="69" t="str">
        <f>IFERROR(VLOOKUP(Data!$G2538,canon!$I$2:$K$27,2,FALSE),"")</f>
        <v>LEGGING</v>
      </c>
      <c r="I2538" s="69" t="str">
        <f>IFERROR(VLOOKUP(Data!$G2538,canon!$I$2:$K$27,3,FALSE),"")</f>
        <v>APPAREL</v>
      </c>
      <c r="J2538" s="69">
        <f t="shared" si="78"/>
        <v>2</v>
      </c>
      <c r="K2538" s="69">
        <f t="shared" si="79"/>
        <v>44</v>
      </c>
      <c r="L2538" s="69">
        <f>VLOOKUP(Table_db1_backend_Daily.accdb[[#This Row],[TradingDate]],canon!B:E,4,0)</f>
        <v>30</v>
      </c>
    </row>
    <row r="2539" spans="1:12" x14ac:dyDescent="0.2">
      <c r="A2539" s="69" t="s">
        <v>44</v>
      </c>
      <c r="B2539" s="70">
        <v>42940</v>
      </c>
      <c r="C2539" s="69">
        <v>23</v>
      </c>
      <c r="D2539" s="69">
        <v>0</v>
      </c>
      <c r="E2539" s="69">
        <v>0</v>
      </c>
      <c r="F2539" s="69">
        <v>0</v>
      </c>
      <c r="G2539" s="69" t="s">
        <v>37</v>
      </c>
      <c r="H2539" s="69" t="str">
        <f>IFERROR(VLOOKUP(Data!$G2539,canon!$I$2:$K$27,2,FALSE),"")</f>
        <v>SHOES</v>
      </c>
      <c r="I2539" s="69" t="str">
        <f>IFERROR(VLOOKUP(Data!$G2539,canon!$I$2:$K$27,3,FALSE),"")</f>
        <v>N.APPAREL</v>
      </c>
      <c r="J2539" s="69">
        <f t="shared" si="78"/>
        <v>2</v>
      </c>
      <c r="K2539" s="69">
        <f t="shared" si="79"/>
        <v>44</v>
      </c>
      <c r="L2539" s="69">
        <f>VLOOKUP(Table_db1_backend_Daily.accdb[[#This Row],[TradingDate]],canon!B:E,4,0)</f>
        <v>30</v>
      </c>
    </row>
    <row r="2540" spans="1:12" x14ac:dyDescent="0.2">
      <c r="A2540" s="69" t="s">
        <v>44</v>
      </c>
      <c r="B2540" s="70">
        <v>42940</v>
      </c>
      <c r="C2540" s="69">
        <v>65</v>
      </c>
      <c r="D2540" s="69">
        <v>0</v>
      </c>
      <c r="E2540" s="69">
        <v>0</v>
      </c>
      <c r="F2540" s="69">
        <v>0</v>
      </c>
      <c r="G2540" s="69" t="s">
        <v>29</v>
      </c>
      <c r="H2540" s="69" t="str">
        <f>IFERROR(VLOOKUP(Data!$G2540,canon!$I$2:$K$27,2,FALSE),"")</f>
        <v>SHOES</v>
      </c>
      <c r="I2540" s="69" t="str">
        <f>IFERROR(VLOOKUP(Data!$G2540,canon!$I$2:$K$27,3,FALSE),"")</f>
        <v>N.APPAREL</v>
      </c>
      <c r="J2540" s="69">
        <f t="shared" si="78"/>
        <v>2</v>
      </c>
      <c r="K2540" s="69">
        <f t="shared" si="79"/>
        <v>44</v>
      </c>
      <c r="L2540" s="69">
        <f>VLOOKUP(Table_db1_backend_Daily.accdb[[#This Row],[TradingDate]],canon!B:E,4,0)</f>
        <v>30</v>
      </c>
    </row>
    <row r="2541" spans="1:12" x14ac:dyDescent="0.2">
      <c r="A2541" s="69" t="s">
        <v>44</v>
      </c>
      <c r="B2541" s="70">
        <v>42940</v>
      </c>
      <c r="C2541" s="69">
        <v>681</v>
      </c>
      <c r="D2541" s="69">
        <v>12</v>
      </c>
      <c r="E2541" s="69">
        <v>172.71</v>
      </c>
      <c r="F2541" s="69">
        <v>68.900000000000006</v>
      </c>
      <c r="G2541" s="69" t="s">
        <v>17</v>
      </c>
      <c r="H2541" s="69" t="str">
        <f>IFERROR(VLOOKUP(Data!$G2541,canon!$I$2:$K$27,2,FALSE),"")</f>
        <v>OUTER</v>
      </c>
      <c r="I2541" s="69" t="str">
        <f>IFERROR(VLOOKUP(Data!$G2541,canon!$I$2:$K$27,3,FALSE),"")</f>
        <v>APPAREL</v>
      </c>
      <c r="J2541" s="69">
        <f t="shared" si="78"/>
        <v>2</v>
      </c>
      <c r="K2541" s="69">
        <f t="shared" si="79"/>
        <v>44</v>
      </c>
      <c r="L2541" s="69">
        <f>VLOOKUP(Table_db1_backend_Daily.accdb[[#This Row],[TradingDate]],canon!B:E,4,0)</f>
        <v>30</v>
      </c>
    </row>
    <row r="2542" spans="1:12" x14ac:dyDescent="0.2">
      <c r="A2542" s="69" t="s">
        <v>44</v>
      </c>
      <c r="B2542" s="70">
        <v>42940</v>
      </c>
      <c r="C2542" s="69">
        <v>386</v>
      </c>
      <c r="D2542" s="69">
        <v>0</v>
      </c>
      <c r="E2542" s="69">
        <v>0</v>
      </c>
      <c r="F2542" s="69">
        <v>0</v>
      </c>
      <c r="G2542" s="69" t="s">
        <v>19</v>
      </c>
      <c r="H2542" s="69" t="str">
        <f>IFERROR(VLOOKUP(Data!$G2542,canon!$I$2:$K$27,2,FALSE),"")</f>
        <v>PANT</v>
      </c>
      <c r="I2542" s="69" t="str">
        <f>IFERROR(VLOOKUP(Data!$G2542,canon!$I$2:$K$27,3,FALSE),"")</f>
        <v>APPAREL</v>
      </c>
      <c r="J2542" s="69">
        <f t="shared" si="78"/>
        <v>2</v>
      </c>
      <c r="K2542" s="69">
        <f t="shared" si="79"/>
        <v>44</v>
      </c>
      <c r="L2542" s="69">
        <f>VLOOKUP(Table_db1_backend_Daily.accdb[[#This Row],[TradingDate]],canon!B:E,4,0)</f>
        <v>30</v>
      </c>
    </row>
    <row r="2543" spans="1:12" x14ac:dyDescent="0.2">
      <c r="A2543" s="69" t="s">
        <v>44</v>
      </c>
      <c r="B2543" s="70">
        <v>42940</v>
      </c>
      <c r="C2543" s="69">
        <v>78</v>
      </c>
      <c r="D2543" s="69">
        <v>0</v>
      </c>
      <c r="E2543" s="69">
        <v>0</v>
      </c>
      <c r="F2543" s="69">
        <v>0</v>
      </c>
      <c r="G2543" s="69" t="s">
        <v>21</v>
      </c>
      <c r="H2543" s="69" t="str">
        <f>IFERROR(VLOOKUP(Data!$G2543,canon!$I$2:$K$27,2,FALSE),"")</f>
        <v>ACCESSORY</v>
      </c>
      <c r="I2543" s="69" t="str">
        <f>IFERROR(VLOOKUP(Data!$G2543,canon!$I$2:$K$27,3,FALSE),"")</f>
        <v>N.APPAREL</v>
      </c>
      <c r="J2543" s="69">
        <f t="shared" si="78"/>
        <v>2</v>
      </c>
      <c r="K2543" s="69">
        <f t="shared" si="79"/>
        <v>44</v>
      </c>
      <c r="L2543" s="69">
        <f>VLOOKUP(Table_db1_backend_Daily.accdb[[#This Row],[TradingDate]],canon!B:E,4,0)</f>
        <v>30</v>
      </c>
    </row>
    <row r="2544" spans="1:12" x14ac:dyDescent="0.2">
      <c r="A2544" s="69" t="s">
        <v>44</v>
      </c>
      <c r="B2544" s="70">
        <v>42940</v>
      </c>
      <c r="C2544" s="69">
        <v>1085</v>
      </c>
      <c r="D2544" s="69">
        <v>1</v>
      </c>
      <c r="E2544" s="69">
        <v>7.23</v>
      </c>
      <c r="F2544" s="69">
        <v>5.0599999999999996</v>
      </c>
      <c r="G2544" s="69" t="s">
        <v>22</v>
      </c>
      <c r="H2544" s="69" t="str">
        <f>IFERROR(VLOOKUP(Data!$G2544,canon!$I$2:$K$27,2,FALSE),"")</f>
        <v>SCARF</v>
      </c>
      <c r="I2544" s="69" t="str">
        <f>IFERROR(VLOOKUP(Data!$G2544,canon!$I$2:$K$27,3,FALSE),"")</f>
        <v>N.APPAREL</v>
      </c>
      <c r="J2544" s="69">
        <f t="shared" si="78"/>
        <v>2</v>
      </c>
      <c r="K2544" s="69">
        <f t="shared" si="79"/>
        <v>44</v>
      </c>
      <c r="L2544" s="69">
        <f>VLOOKUP(Table_db1_backend_Daily.accdb[[#This Row],[TradingDate]],canon!B:E,4,0)</f>
        <v>30</v>
      </c>
    </row>
    <row r="2545" spans="1:12" x14ac:dyDescent="0.2">
      <c r="A2545" s="69" t="s">
        <v>44</v>
      </c>
      <c r="B2545" s="70">
        <v>42940</v>
      </c>
      <c r="C2545" s="69">
        <v>151</v>
      </c>
      <c r="D2545" s="69">
        <v>0</v>
      </c>
      <c r="E2545" s="69">
        <v>0</v>
      </c>
      <c r="F2545" s="69">
        <v>0</v>
      </c>
      <c r="G2545" s="69" t="s">
        <v>23</v>
      </c>
      <c r="H2545" s="69" t="str">
        <f>IFERROR(VLOOKUP(Data!$G2545,canon!$I$2:$K$27,2,FALSE),"")</f>
        <v>SH&amp;BL</v>
      </c>
      <c r="I2545" s="69" t="str">
        <f>IFERROR(VLOOKUP(Data!$G2545,canon!$I$2:$K$27,3,FALSE),"")</f>
        <v>APPAREL</v>
      </c>
      <c r="J2545" s="69">
        <f t="shared" si="78"/>
        <v>2</v>
      </c>
      <c r="K2545" s="69">
        <f t="shared" si="79"/>
        <v>44</v>
      </c>
      <c r="L2545" s="69">
        <f>VLOOKUP(Table_db1_backend_Daily.accdb[[#This Row],[TradingDate]],canon!B:E,4,0)</f>
        <v>30</v>
      </c>
    </row>
    <row r="2546" spans="1:12" x14ac:dyDescent="0.2">
      <c r="A2546" s="69" t="s">
        <v>44</v>
      </c>
      <c r="B2546" s="70">
        <v>42940</v>
      </c>
      <c r="C2546" s="69">
        <v>485</v>
      </c>
      <c r="D2546" s="69">
        <v>0</v>
      </c>
      <c r="E2546" s="69">
        <v>0</v>
      </c>
      <c r="F2546" s="69">
        <v>0</v>
      </c>
      <c r="G2546" s="69" t="s">
        <v>32</v>
      </c>
      <c r="H2546" s="69" t="str">
        <f>IFERROR(VLOOKUP(Data!$G2546,canon!$I$2:$K$27,2,FALSE),"")</f>
        <v>SKIRT</v>
      </c>
      <c r="I2546" s="69" t="str">
        <f>IFERROR(VLOOKUP(Data!$G2546,canon!$I$2:$K$27,3,FALSE),"")</f>
        <v>APPAREL</v>
      </c>
      <c r="J2546" s="69">
        <f t="shared" si="78"/>
        <v>2</v>
      </c>
      <c r="K2546" s="69">
        <f t="shared" si="79"/>
        <v>44</v>
      </c>
      <c r="L2546" s="69">
        <f>VLOOKUP(Table_db1_backend_Daily.accdb[[#This Row],[TradingDate]],canon!B:E,4,0)</f>
        <v>30</v>
      </c>
    </row>
    <row r="2547" spans="1:12" x14ac:dyDescent="0.2">
      <c r="A2547" s="69" t="s">
        <v>44</v>
      </c>
      <c r="B2547" s="70">
        <v>42940</v>
      </c>
      <c r="C2547" s="69">
        <v>1436</v>
      </c>
      <c r="D2547" s="69">
        <v>15</v>
      </c>
      <c r="E2547" s="69">
        <v>104.46999999999998</v>
      </c>
      <c r="F2547" s="69">
        <v>21.12</v>
      </c>
      <c r="G2547" s="69" t="s">
        <v>25</v>
      </c>
      <c r="H2547" s="69" t="str">
        <f>IFERROR(VLOOKUP(Data!$G2547,canon!$I$2:$K$27,2,FALSE),"")</f>
        <v>TOP</v>
      </c>
      <c r="I2547" s="69" t="str">
        <f>IFERROR(VLOOKUP(Data!$G2547,canon!$I$2:$K$27,3,FALSE),"")</f>
        <v>APPAREL</v>
      </c>
      <c r="J2547" s="69">
        <f t="shared" si="78"/>
        <v>2</v>
      </c>
      <c r="K2547" s="69">
        <f t="shared" si="79"/>
        <v>44</v>
      </c>
      <c r="L2547" s="69">
        <f>VLOOKUP(Table_db1_backend_Daily.accdb[[#This Row],[TradingDate]],canon!B:E,4,0)</f>
        <v>30</v>
      </c>
    </row>
    <row r="2548" spans="1:12" x14ac:dyDescent="0.2">
      <c r="A2548" s="69" t="s">
        <v>44</v>
      </c>
      <c r="B2548" s="70">
        <v>42941</v>
      </c>
      <c r="C2548" s="69">
        <v>33</v>
      </c>
      <c r="D2548" s="69">
        <v>0</v>
      </c>
      <c r="E2548" s="69">
        <v>0</v>
      </c>
      <c r="F2548" s="69">
        <v>0</v>
      </c>
      <c r="G2548" s="69" t="s">
        <v>34</v>
      </c>
      <c r="H2548" s="69" t="str">
        <f>IFERROR(VLOOKUP(Data!$G2548,canon!$I$2:$K$27,2,FALSE),"")</f>
        <v>SHOES</v>
      </c>
      <c r="I2548" s="69" t="str">
        <f>IFERROR(VLOOKUP(Data!$G2548,canon!$I$2:$K$27,3,FALSE),"")</f>
        <v>N.APPAREL</v>
      </c>
      <c r="J2548" s="69">
        <f t="shared" si="78"/>
        <v>3</v>
      </c>
      <c r="K2548" s="69">
        <f t="shared" si="79"/>
        <v>44</v>
      </c>
      <c r="L2548" s="69">
        <f>VLOOKUP(Table_db1_backend_Daily.accdb[[#This Row],[TradingDate]],canon!B:E,4,0)</f>
        <v>30</v>
      </c>
    </row>
    <row r="2549" spans="1:12" x14ac:dyDescent="0.2">
      <c r="A2549" s="69" t="s">
        <v>44</v>
      </c>
      <c r="B2549" s="70">
        <v>42941</v>
      </c>
      <c r="C2549" s="69">
        <v>2</v>
      </c>
      <c r="D2549" s="69">
        <v>0</v>
      </c>
      <c r="E2549" s="69">
        <v>0</v>
      </c>
      <c r="F2549" s="69">
        <v>0</v>
      </c>
      <c r="G2549" s="69" t="s">
        <v>38</v>
      </c>
      <c r="H2549" s="69" t="str">
        <f>IFERROR(VLOOKUP(Data!$G2549,canon!$I$2:$K$27,2,FALSE),"")</f>
        <v>SHOES</v>
      </c>
      <c r="I2549" s="69" t="str">
        <f>IFERROR(VLOOKUP(Data!$G2549,canon!$I$2:$K$27,3,FALSE),"")</f>
        <v>N.APPAREL</v>
      </c>
      <c r="J2549" s="69">
        <f t="shared" si="78"/>
        <v>3</v>
      </c>
      <c r="K2549" s="69">
        <f t="shared" si="79"/>
        <v>44</v>
      </c>
      <c r="L2549" s="69">
        <f>VLOOKUP(Table_db1_backend_Daily.accdb[[#This Row],[TradingDate]],canon!B:E,4,0)</f>
        <v>30</v>
      </c>
    </row>
    <row r="2550" spans="1:12" x14ac:dyDescent="0.2">
      <c r="A2550" s="69" t="s">
        <v>44</v>
      </c>
      <c r="B2550" s="70">
        <v>42941</v>
      </c>
      <c r="C2550" s="69">
        <v>586</v>
      </c>
      <c r="D2550" s="69">
        <v>2</v>
      </c>
      <c r="E2550" s="69">
        <v>27.27</v>
      </c>
      <c r="F2550" s="69">
        <v>8.7900000000000009</v>
      </c>
      <c r="G2550" s="69" t="s">
        <v>35</v>
      </c>
      <c r="H2550" s="69" t="str">
        <f>IFERROR(VLOOKUP(Data!$G2550,canon!$I$2:$K$27,2,FALSE),"")</f>
        <v>DRESS</v>
      </c>
      <c r="I2550" s="69" t="str">
        <f>IFERROR(VLOOKUP(Data!$G2550,canon!$I$2:$K$27,3,FALSE),"")</f>
        <v>APPAREL</v>
      </c>
      <c r="J2550" s="69">
        <f t="shared" si="78"/>
        <v>3</v>
      </c>
      <c r="K2550" s="69">
        <f t="shared" si="79"/>
        <v>44</v>
      </c>
      <c r="L2550" s="69">
        <f>VLOOKUP(Table_db1_backend_Daily.accdb[[#This Row],[TradingDate]],canon!B:E,4,0)</f>
        <v>30</v>
      </c>
    </row>
    <row r="2551" spans="1:12" x14ac:dyDescent="0.2">
      <c r="A2551" s="69" t="s">
        <v>44</v>
      </c>
      <c r="B2551" s="70">
        <v>42941</v>
      </c>
      <c r="C2551" s="69">
        <v>34</v>
      </c>
      <c r="D2551" s="69">
        <v>0</v>
      </c>
      <c r="E2551" s="69">
        <v>0</v>
      </c>
      <c r="F2551" s="69">
        <v>0</v>
      </c>
      <c r="G2551" s="69" t="s">
        <v>10</v>
      </c>
      <c r="H2551" s="69" t="str">
        <f>IFERROR(VLOOKUP(Data!$G2551,canon!$I$2:$K$27,2,FALSE),"")</f>
        <v>ACCESSORY</v>
      </c>
      <c r="I2551" s="69" t="str">
        <f>IFERROR(VLOOKUP(Data!$G2551,canon!$I$2:$K$27,3,FALSE),"")</f>
        <v>N.APPAREL</v>
      </c>
      <c r="J2551" s="69">
        <f t="shared" si="78"/>
        <v>3</v>
      </c>
      <c r="K2551" s="69">
        <f t="shared" si="79"/>
        <v>44</v>
      </c>
      <c r="L2551" s="69">
        <f>VLOOKUP(Table_db1_backend_Daily.accdb[[#This Row],[TradingDate]],canon!B:E,4,0)</f>
        <v>30</v>
      </c>
    </row>
    <row r="2552" spans="1:12" x14ac:dyDescent="0.2">
      <c r="A2552" s="69" t="s">
        <v>44</v>
      </c>
      <c r="B2552" s="70">
        <v>42941</v>
      </c>
      <c r="C2552" s="69">
        <v>2</v>
      </c>
      <c r="D2552" s="69">
        <v>0</v>
      </c>
      <c r="E2552" s="69">
        <v>0</v>
      </c>
      <c r="F2552" s="69">
        <v>0</v>
      </c>
      <c r="G2552" s="69" t="s">
        <v>28</v>
      </c>
      <c r="H2552" s="69" t="str">
        <f>IFERROR(VLOOKUP(Data!$G2552,canon!$I$2:$K$27,2,FALSE),"")</f>
        <v>ACCESSORY</v>
      </c>
      <c r="I2552" s="69" t="str">
        <f>IFERROR(VLOOKUP(Data!$G2552,canon!$I$2:$K$27,3,FALSE),"")</f>
        <v>N.APPAREL</v>
      </c>
      <c r="J2552" s="69">
        <f t="shared" si="78"/>
        <v>3</v>
      </c>
      <c r="K2552" s="69">
        <f t="shared" si="79"/>
        <v>44</v>
      </c>
      <c r="L2552" s="69">
        <f>VLOOKUP(Table_db1_backend_Daily.accdb[[#This Row],[TradingDate]],canon!B:E,4,0)</f>
        <v>30</v>
      </c>
    </row>
    <row r="2553" spans="1:12" x14ac:dyDescent="0.2">
      <c r="A2553" s="69" t="s">
        <v>44</v>
      </c>
      <c r="B2553" s="70">
        <v>42941</v>
      </c>
      <c r="C2553" s="69">
        <v>1932</v>
      </c>
      <c r="D2553" s="69">
        <v>20</v>
      </c>
      <c r="E2553" s="69">
        <v>240.86</v>
      </c>
      <c r="F2553" s="69">
        <v>95.950000000000017</v>
      </c>
      <c r="G2553" s="69" t="s">
        <v>11</v>
      </c>
      <c r="H2553" s="69" t="str">
        <f>IFERROR(VLOOKUP(Data!$G2553,canon!$I$2:$K$27,2,FALSE),"")</f>
        <v>KNIT</v>
      </c>
      <c r="I2553" s="69" t="str">
        <f>IFERROR(VLOOKUP(Data!$G2553,canon!$I$2:$K$27,3,FALSE),"")</f>
        <v>APPAREL</v>
      </c>
      <c r="J2553" s="69">
        <f t="shared" si="78"/>
        <v>3</v>
      </c>
      <c r="K2553" s="69">
        <f t="shared" si="79"/>
        <v>44</v>
      </c>
      <c r="L2553" s="69">
        <f>VLOOKUP(Table_db1_backend_Daily.accdb[[#This Row],[TradingDate]],canon!B:E,4,0)</f>
        <v>30</v>
      </c>
    </row>
    <row r="2554" spans="1:12" x14ac:dyDescent="0.2">
      <c r="A2554" s="69" t="s">
        <v>44</v>
      </c>
      <c r="B2554" s="70">
        <v>42941</v>
      </c>
      <c r="C2554" s="69">
        <v>489</v>
      </c>
      <c r="D2554" s="69">
        <v>4</v>
      </c>
      <c r="E2554" s="69">
        <v>45.44</v>
      </c>
      <c r="F2554" s="69">
        <v>17.52</v>
      </c>
      <c r="G2554" s="69" t="s">
        <v>14</v>
      </c>
      <c r="H2554" s="69" t="str">
        <f>IFERROR(VLOOKUP(Data!$G2554,canon!$I$2:$K$27,2,FALSE),"")</f>
        <v>LEGGING</v>
      </c>
      <c r="I2554" s="69" t="str">
        <f>IFERROR(VLOOKUP(Data!$G2554,canon!$I$2:$K$27,3,FALSE),"")</f>
        <v>APPAREL</v>
      </c>
      <c r="J2554" s="69">
        <f t="shared" si="78"/>
        <v>3</v>
      </c>
      <c r="K2554" s="69">
        <f t="shared" si="79"/>
        <v>44</v>
      </c>
      <c r="L2554" s="69">
        <f>VLOOKUP(Table_db1_backend_Daily.accdb[[#This Row],[TradingDate]],canon!B:E,4,0)</f>
        <v>30</v>
      </c>
    </row>
    <row r="2555" spans="1:12" x14ac:dyDescent="0.2">
      <c r="A2555" s="69" t="s">
        <v>44</v>
      </c>
      <c r="B2555" s="70">
        <v>42941</v>
      </c>
      <c r="C2555" s="69">
        <v>23</v>
      </c>
      <c r="D2555" s="69">
        <v>0</v>
      </c>
      <c r="E2555" s="69">
        <v>0</v>
      </c>
      <c r="F2555" s="69">
        <v>0</v>
      </c>
      <c r="G2555" s="69" t="s">
        <v>37</v>
      </c>
      <c r="H2555" s="69" t="str">
        <f>IFERROR(VLOOKUP(Data!$G2555,canon!$I$2:$K$27,2,FALSE),"")</f>
        <v>SHOES</v>
      </c>
      <c r="I2555" s="69" t="str">
        <f>IFERROR(VLOOKUP(Data!$G2555,canon!$I$2:$K$27,3,FALSE),"")</f>
        <v>N.APPAREL</v>
      </c>
      <c r="J2555" s="69">
        <f t="shared" si="78"/>
        <v>3</v>
      </c>
      <c r="K2555" s="69">
        <f t="shared" si="79"/>
        <v>44</v>
      </c>
      <c r="L2555" s="69">
        <f>VLOOKUP(Table_db1_backend_Daily.accdb[[#This Row],[TradingDate]],canon!B:E,4,0)</f>
        <v>30</v>
      </c>
    </row>
    <row r="2556" spans="1:12" x14ac:dyDescent="0.2">
      <c r="A2556" s="69" t="s">
        <v>44</v>
      </c>
      <c r="B2556" s="70">
        <v>42941</v>
      </c>
      <c r="C2556" s="69">
        <v>65</v>
      </c>
      <c r="D2556" s="69">
        <v>0</v>
      </c>
      <c r="E2556" s="69">
        <v>0</v>
      </c>
      <c r="F2556" s="69">
        <v>0</v>
      </c>
      <c r="G2556" s="69" t="s">
        <v>29</v>
      </c>
      <c r="H2556" s="69" t="str">
        <f>IFERROR(VLOOKUP(Data!$G2556,canon!$I$2:$K$27,2,FALSE),"")</f>
        <v>SHOES</v>
      </c>
      <c r="I2556" s="69" t="str">
        <f>IFERROR(VLOOKUP(Data!$G2556,canon!$I$2:$K$27,3,FALSE),"")</f>
        <v>N.APPAREL</v>
      </c>
      <c r="J2556" s="69">
        <f t="shared" si="78"/>
        <v>3</v>
      </c>
      <c r="K2556" s="69">
        <f t="shared" si="79"/>
        <v>44</v>
      </c>
      <c r="L2556" s="69">
        <f>VLOOKUP(Table_db1_backend_Daily.accdb[[#This Row],[TradingDate]],canon!B:E,4,0)</f>
        <v>30</v>
      </c>
    </row>
    <row r="2557" spans="1:12" x14ac:dyDescent="0.2">
      <c r="A2557" s="69" t="s">
        <v>44</v>
      </c>
      <c r="B2557" s="70">
        <v>42941</v>
      </c>
      <c r="C2557" s="69">
        <v>683</v>
      </c>
      <c r="D2557" s="69">
        <v>4</v>
      </c>
      <c r="E2557" s="69">
        <v>54.53</v>
      </c>
      <c r="F2557" s="69">
        <v>6.2799999999999994</v>
      </c>
      <c r="G2557" s="69" t="s">
        <v>17</v>
      </c>
      <c r="H2557" s="69" t="str">
        <f>IFERROR(VLOOKUP(Data!$G2557,canon!$I$2:$K$27,2,FALSE),"")</f>
        <v>OUTER</v>
      </c>
      <c r="I2557" s="69" t="str">
        <f>IFERROR(VLOOKUP(Data!$G2557,canon!$I$2:$K$27,3,FALSE),"")</f>
        <v>APPAREL</v>
      </c>
      <c r="J2557" s="69">
        <f t="shared" si="78"/>
        <v>3</v>
      </c>
      <c r="K2557" s="69">
        <f t="shared" si="79"/>
        <v>44</v>
      </c>
      <c r="L2557" s="69">
        <f>VLOOKUP(Table_db1_backend_Daily.accdb[[#This Row],[TradingDate]],canon!B:E,4,0)</f>
        <v>30</v>
      </c>
    </row>
    <row r="2558" spans="1:12" x14ac:dyDescent="0.2">
      <c r="A2558" s="69" t="s">
        <v>44</v>
      </c>
      <c r="B2558" s="70">
        <v>42941</v>
      </c>
      <c r="C2558" s="69">
        <v>385</v>
      </c>
      <c r="D2558" s="69">
        <v>1</v>
      </c>
      <c r="E2558" s="69">
        <v>4.55</v>
      </c>
      <c r="F2558" s="69">
        <v>-0.56000000000000005</v>
      </c>
      <c r="G2558" s="69" t="s">
        <v>19</v>
      </c>
      <c r="H2558" s="69" t="str">
        <f>IFERROR(VLOOKUP(Data!$G2558,canon!$I$2:$K$27,2,FALSE),"")</f>
        <v>PANT</v>
      </c>
      <c r="I2558" s="69" t="str">
        <f>IFERROR(VLOOKUP(Data!$G2558,canon!$I$2:$K$27,3,FALSE),"")</f>
        <v>APPAREL</v>
      </c>
      <c r="J2558" s="69">
        <f t="shared" si="78"/>
        <v>3</v>
      </c>
      <c r="K2558" s="69">
        <f t="shared" si="79"/>
        <v>44</v>
      </c>
      <c r="L2558" s="69">
        <f>VLOOKUP(Table_db1_backend_Daily.accdb[[#This Row],[TradingDate]],canon!B:E,4,0)</f>
        <v>30</v>
      </c>
    </row>
    <row r="2559" spans="1:12" x14ac:dyDescent="0.2">
      <c r="A2559" s="69" t="s">
        <v>44</v>
      </c>
      <c r="B2559" s="70">
        <v>42941</v>
      </c>
      <c r="C2559" s="69">
        <v>78</v>
      </c>
      <c r="D2559" s="69">
        <v>0</v>
      </c>
      <c r="E2559" s="69">
        <v>0</v>
      </c>
      <c r="F2559" s="69">
        <v>0</v>
      </c>
      <c r="G2559" s="69" t="s">
        <v>21</v>
      </c>
      <c r="H2559" s="69" t="str">
        <f>IFERROR(VLOOKUP(Data!$G2559,canon!$I$2:$K$27,2,FALSE),"")</f>
        <v>ACCESSORY</v>
      </c>
      <c r="I2559" s="69" t="str">
        <f>IFERROR(VLOOKUP(Data!$G2559,canon!$I$2:$K$27,3,FALSE),"")</f>
        <v>N.APPAREL</v>
      </c>
      <c r="J2559" s="69">
        <f t="shared" si="78"/>
        <v>3</v>
      </c>
      <c r="K2559" s="69">
        <f t="shared" si="79"/>
        <v>44</v>
      </c>
      <c r="L2559" s="69">
        <f>VLOOKUP(Table_db1_backend_Daily.accdb[[#This Row],[TradingDate]],canon!B:E,4,0)</f>
        <v>30</v>
      </c>
    </row>
    <row r="2560" spans="1:12" x14ac:dyDescent="0.2">
      <c r="A2560" s="69" t="s">
        <v>44</v>
      </c>
      <c r="B2560" s="70">
        <v>42941</v>
      </c>
      <c r="C2560" s="69">
        <v>1078</v>
      </c>
      <c r="D2560" s="69">
        <v>7</v>
      </c>
      <c r="E2560" s="69">
        <v>50.600000000000009</v>
      </c>
      <c r="F2560" s="69">
        <v>38.33</v>
      </c>
      <c r="G2560" s="69" t="s">
        <v>22</v>
      </c>
      <c r="H2560" s="69" t="str">
        <f>IFERROR(VLOOKUP(Data!$G2560,canon!$I$2:$K$27,2,FALSE),"")</f>
        <v>SCARF</v>
      </c>
      <c r="I2560" s="69" t="str">
        <f>IFERROR(VLOOKUP(Data!$G2560,canon!$I$2:$K$27,3,FALSE),"")</f>
        <v>N.APPAREL</v>
      </c>
      <c r="J2560" s="69">
        <f t="shared" si="78"/>
        <v>3</v>
      </c>
      <c r="K2560" s="69">
        <f t="shared" si="79"/>
        <v>44</v>
      </c>
      <c r="L2560" s="69">
        <f>VLOOKUP(Table_db1_backend_Daily.accdb[[#This Row],[TradingDate]],canon!B:E,4,0)</f>
        <v>30</v>
      </c>
    </row>
    <row r="2561" spans="1:12" x14ac:dyDescent="0.2">
      <c r="A2561" s="69" t="s">
        <v>44</v>
      </c>
      <c r="B2561" s="70">
        <v>42941</v>
      </c>
      <c r="C2561" s="69">
        <v>147</v>
      </c>
      <c r="D2561" s="69">
        <v>4</v>
      </c>
      <c r="E2561" s="69">
        <v>36.36</v>
      </c>
      <c r="F2561" s="69">
        <v>10.700000000000001</v>
      </c>
      <c r="G2561" s="69" t="s">
        <v>23</v>
      </c>
      <c r="H2561" s="69" t="str">
        <f>IFERROR(VLOOKUP(Data!$G2561,canon!$I$2:$K$27,2,FALSE),"")</f>
        <v>SH&amp;BL</v>
      </c>
      <c r="I2561" s="69" t="str">
        <f>IFERROR(VLOOKUP(Data!$G2561,canon!$I$2:$K$27,3,FALSE),"")</f>
        <v>APPAREL</v>
      </c>
      <c r="J2561" s="69">
        <f t="shared" si="78"/>
        <v>3</v>
      </c>
      <c r="K2561" s="69">
        <f t="shared" si="79"/>
        <v>44</v>
      </c>
      <c r="L2561" s="69">
        <f>VLOOKUP(Table_db1_backend_Daily.accdb[[#This Row],[TradingDate]],canon!B:E,4,0)</f>
        <v>30</v>
      </c>
    </row>
    <row r="2562" spans="1:12" x14ac:dyDescent="0.2">
      <c r="A2562" s="69" t="s">
        <v>44</v>
      </c>
      <c r="B2562" s="70">
        <v>42941</v>
      </c>
      <c r="C2562" s="69">
        <v>484</v>
      </c>
      <c r="D2562" s="69">
        <v>1</v>
      </c>
      <c r="E2562" s="69">
        <v>18.18</v>
      </c>
      <c r="F2562" s="69">
        <v>13.51</v>
      </c>
      <c r="G2562" s="69" t="s">
        <v>32</v>
      </c>
      <c r="H2562" s="69" t="str">
        <f>IFERROR(VLOOKUP(Data!$G2562,canon!$I$2:$K$27,2,FALSE),"")</f>
        <v>SKIRT</v>
      </c>
      <c r="I2562" s="69" t="str">
        <f>IFERROR(VLOOKUP(Data!$G2562,canon!$I$2:$K$27,3,FALSE),"")</f>
        <v>APPAREL</v>
      </c>
      <c r="J2562" s="69">
        <f t="shared" ref="J2562:J2625" si="80">WEEKDAY(B2562)</f>
        <v>3</v>
      </c>
      <c r="K2562" s="69">
        <f t="shared" ref="K2562:K2625" si="81">INT(A2562)</f>
        <v>44</v>
      </c>
      <c r="L2562" s="69">
        <f>VLOOKUP(Table_db1_backend_Daily.accdb[[#This Row],[TradingDate]],canon!B:E,4,0)</f>
        <v>30</v>
      </c>
    </row>
    <row r="2563" spans="1:12" x14ac:dyDescent="0.2">
      <c r="A2563" s="69" t="s">
        <v>44</v>
      </c>
      <c r="B2563" s="70">
        <v>42941</v>
      </c>
      <c r="C2563" s="69">
        <v>1419</v>
      </c>
      <c r="D2563" s="69">
        <v>17</v>
      </c>
      <c r="E2563" s="69">
        <v>104.57</v>
      </c>
      <c r="F2563" s="69">
        <v>21.109999999999996</v>
      </c>
      <c r="G2563" s="69" t="s">
        <v>25</v>
      </c>
      <c r="H2563" s="69" t="str">
        <f>IFERROR(VLOOKUP(Data!$G2563,canon!$I$2:$K$27,2,FALSE),"")</f>
        <v>TOP</v>
      </c>
      <c r="I2563" s="69" t="str">
        <f>IFERROR(VLOOKUP(Data!$G2563,canon!$I$2:$K$27,3,FALSE),"")</f>
        <v>APPAREL</v>
      </c>
      <c r="J2563" s="69">
        <f t="shared" si="80"/>
        <v>3</v>
      </c>
      <c r="K2563" s="69">
        <f t="shared" si="81"/>
        <v>44</v>
      </c>
      <c r="L2563" s="69">
        <f>VLOOKUP(Table_db1_backend_Daily.accdb[[#This Row],[TradingDate]],canon!B:E,4,0)</f>
        <v>30</v>
      </c>
    </row>
    <row r="2564" spans="1:12" x14ac:dyDescent="0.2">
      <c r="A2564" s="69" t="s">
        <v>44</v>
      </c>
      <c r="B2564" s="70">
        <v>42942</v>
      </c>
      <c r="C2564" s="69">
        <v>33</v>
      </c>
      <c r="D2564" s="69">
        <v>0</v>
      </c>
      <c r="E2564" s="69">
        <v>0</v>
      </c>
      <c r="F2564" s="69">
        <v>0</v>
      </c>
      <c r="G2564" s="69" t="s">
        <v>34</v>
      </c>
      <c r="H2564" s="69" t="str">
        <f>IFERROR(VLOOKUP(Data!$G2564,canon!$I$2:$K$27,2,FALSE),"")</f>
        <v>SHOES</v>
      </c>
      <c r="I2564" s="69" t="str">
        <f>IFERROR(VLOOKUP(Data!$G2564,canon!$I$2:$K$27,3,FALSE),"")</f>
        <v>N.APPAREL</v>
      </c>
      <c r="J2564" s="69">
        <f t="shared" si="80"/>
        <v>4</v>
      </c>
      <c r="K2564" s="69">
        <f t="shared" si="81"/>
        <v>44</v>
      </c>
      <c r="L2564" s="69">
        <f>VLOOKUP(Table_db1_backend_Daily.accdb[[#This Row],[TradingDate]],canon!B:E,4,0)</f>
        <v>30</v>
      </c>
    </row>
    <row r="2565" spans="1:12" x14ac:dyDescent="0.2">
      <c r="A2565" s="69" t="s">
        <v>44</v>
      </c>
      <c r="B2565" s="70">
        <v>42942</v>
      </c>
      <c r="C2565" s="69">
        <v>2</v>
      </c>
      <c r="D2565" s="69">
        <v>0</v>
      </c>
      <c r="E2565" s="69">
        <v>0</v>
      </c>
      <c r="F2565" s="69">
        <v>0</v>
      </c>
      <c r="G2565" s="69" t="s">
        <v>38</v>
      </c>
      <c r="H2565" s="69" t="str">
        <f>IFERROR(VLOOKUP(Data!$G2565,canon!$I$2:$K$27,2,FALSE),"")</f>
        <v>SHOES</v>
      </c>
      <c r="I2565" s="69" t="str">
        <f>IFERROR(VLOOKUP(Data!$G2565,canon!$I$2:$K$27,3,FALSE),"")</f>
        <v>N.APPAREL</v>
      </c>
      <c r="J2565" s="69">
        <f t="shared" si="80"/>
        <v>4</v>
      </c>
      <c r="K2565" s="69">
        <f t="shared" si="81"/>
        <v>44</v>
      </c>
      <c r="L2565" s="69">
        <f>VLOOKUP(Table_db1_backend_Daily.accdb[[#This Row],[TradingDate]],canon!B:E,4,0)</f>
        <v>30</v>
      </c>
    </row>
    <row r="2566" spans="1:12" x14ac:dyDescent="0.2">
      <c r="A2566" s="69" t="s">
        <v>44</v>
      </c>
      <c r="B2566" s="70">
        <v>42942</v>
      </c>
      <c r="C2566" s="69">
        <v>585</v>
      </c>
      <c r="D2566" s="69">
        <v>1</v>
      </c>
      <c r="E2566" s="69">
        <v>18.18</v>
      </c>
      <c r="F2566" s="69">
        <v>9.92</v>
      </c>
      <c r="G2566" s="69" t="s">
        <v>35</v>
      </c>
      <c r="H2566" s="69" t="str">
        <f>IFERROR(VLOOKUP(Data!$G2566,canon!$I$2:$K$27,2,FALSE),"")</f>
        <v>DRESS</v>
      </c>
      <c r="I2566" s="69" t="str">
        <f>IFERROR(VLOOKUP(Data!$G2566,canon!$I$2:$K$27,3,FALSE),"")</f>
        <v>APPAREL</v>
      </c>
      <c r="J2566" s="69">
        <f t="shared" si="80"/>
        <v>4</v>
      </c>
      <c r="K2566" s="69">
        <f t="shared" si="81"/>
        <v>44</v>
      </c>
      <c r="L2566" s="69">
        <f>VLOOKUP(Table_db1_backend_Daily.accdb[[#This Row],[TradingDate]],canon!B:E,4,0)</f>
        <v>30</v>
      </c>
    </row>
    <row r="2567" spans="1:12" x14ac:dyDescent="0.2">
      <c r="A2567" s="69" t="s">
        <v>44</v>
      </c>
      <c r="B2567" s="70">
        <v>42942</v>
      </c>
      <c r="C2567" s="69">
        <v>34</v>
      </c>
      <c r="D2567" s="69">
        <v>0</v>
      </c>
      <c r="E2567" s="69">
        <v>0</v>
      </c>
      <c r="F2567" s="69">
        <v>0</v>
      </c>
      <c r="G2567" s="69" t="s">
        <v>10</v>
      </c>
      <c r="H2567" s="69" t="str">
        <f>IFERROR(VLOOKUP(Data!$G2567,canon!$I$2:$K$27,2,FALSE),"")</f>
        <v>ACCESSORY</v>
      </c>
      <c r="I2567" s="69" t="str">
        <f>IFERROR(VLOOKUP(Data!$G2567,canon!$I$2:$K$27,3,FALSE),"")</f>
        <v>N.APPAREL</v>
      </c>
      <c r="J2567" s="69">
        <f t="shared" si="80"/>
        <v>4</v>
      </c>
      <c r="K2567" s="69">
        <f t="shared" si="81"/>
        <v>44</v>
      </c>
      <c r="L2567" s="69">
        <f>VLOOKUP(Table_db1_backend_Daily.accdb[[#This Row],[TradingDate]],canon!B:E,4,0)</f>
        <v>30</v>
      </c>
    </row>
    <row r="2568" spans="1:12" x14ac:dyDescent="0.2">
      <c r="A2568" s="69" t="s">
        <v>44</v>
      </c>
      <c r="B2568" s="70">
        <v>42942</v>
      </c>
      <c r="C2568" s="69">
        <v>2</v>
      </c>
      <c r="D2568" s="69">
        <v>0</v>
      </c>
      <c r="E2568" s="69">
        <v>0</v>
      </c>
      <c r="F2568" s="69">
        <v>0</v>
      </c>
      <c r="G2568" s="69" t="s">
        <v>28</v>
      </c>
      <c r="H2568" s="69" t="str">
        <f>IFERROR(VLOOKUP(Data!$G2568,canon!$I$2:$K$27,2,FALSE),"")</f>
        <v>ACCESSORY</v>
      </c>
      <c r="I2568" s="69" t="str">
        <f>IFERROR(VLOOKUP(Data!$G2568,canon!$I$2:$K$27,3,FALSE),"")</f>
        <v>N.APPAREL</v>
      </c>
      <c r="J2568" s="69">
        <f t="shared" si="80"/>
        <v>4</v>
      </c>
      <c r="K2568" s="69">
        <f t="shared" si="81"/>
        <v>44</v>
      </c>
      <c r="L2568" s="69">
        <f>VLOOKUP(Table_db1_backend_Daily.accdb[[#This Row],[TradingDate]],canon!B:E,4,0)</f>
        <v>30</v>
      </c>
    </row>
    <row r="2569" spans="1:12" x14ac:dyDescent="0.2">
      <c r="A2569" s="69" t="s">
        <v>44</v>
      </c>
      <c r="B2569" s="70">
        <v>42942</v>
      </c>
      <c r="C2569" s="69">
        <v>1922</v>
      </c>
      <c r="D2569" s="69">
        <v>10</v>
      </c>
      <c r="E2569" s="69">
        <v>127.08000000000001</v>
      </c>
      <c r="F2569" s="69">
        <v>43.339999999999996</v>
      </c>
      <c r="G2569" s="69" t="s">
        <v>11</v>
      </c>
      <c r="H2569" s="69" t="str">
        <f>IFERROR(VLOOKUP(Data!$G2569,canon!$I$2:$K$27,2,FALSE),"")</f>
        <v>KNIT</v>
      </c>
      <c r="I2569" s="69" t="str">
        <f>IFERROR(VLOOKUP(Data!$G2569,canon!$I$2:$K$27,3,FALSE),"")</f>
        <v>APPAREL</v>
      </c>
      <c r="J2569" s="69">
        <f t="shared" si="80"/>
        <v>4</v>
      </c>
      <c r="K2569" s="69">
        <f t="shared" si="81"/>
        <v>44</v>
      </c>
      <c r="L2569" s="69">
        <f>VLOOKUP(Table_db1_backend_Daily.accdb[[#This Row],[TradingDate]],canon!B:E,4,0)</f>
        <v>30</v>
      </c>
    </row>
    <row r="2570" spans="1:12" x14ac:dyDescent="0.2">
      <c r="A2570" s="69" t="s">
        <v>44</v>
      </c>
      <c r="B2570" s="70">
        <v>42942</v>
      </c>
      <c r="C2570" s="69">
        <v>489</v>
      </c>
      <c r="D2570" s="69">
        <v>0</v>
      </c>
      <c r="E2570" s="69">
        <v>0</v>
      </c>
      <c r="F2570" s="69">
        <v>0</v>
      </c>
      <c r="G2570" s="69" t="s">
        <v>14</v>
      </c>
      <c r="H2570" s="69" t="str">
        <f>IFERROR(VLOOKUP(Data!$G2570,canon!$I$2:$K$27,2,FALSE),"")</f>
        <v>LEGGING</v>
      </c>
      <c r="I2570" s="69" t="str">
        <f>IFERROR(VLOOKUP(Data!$G2570,canon!$I$2:$K$27,3,FALSE),"")</f>
        <v>APPAREL</v>
      </c>
      <c r="J2570" s="69">
        <f t="shared" si="80"/>
        <v>4</v>
      </c>
      <c r="K2570" s="69">
        <f t="shared" si="81"/>
        <v>44</v>
      </c>
      <c r="L2570" s="69">
        <f>VLOOKUP(Table_db1_backend_Daily.accdb[[#This Row],[TradingDate]],canon!B:E,4,0)</f>
        <v>30</v>
      </c>
    </row>
    <row r="2571" spans="1:12" x14ac:dyDescent="0.2">
      <c r="A2571" s="69" t="s">
        <v>44</v>
      </c>
      <c r="B2571" s="70">
        <v>42942</v>
      </c>
      <c r="C2571" s="69">
        <v>23</v>
      </c>
      <c r="D2571" s="69">
        <v>0</v>
      </c>
      <c r="E2571" s="69">
        <v>0</v>
      </c>
      <c r="F2571" s="69">
        <v>0</v>
      </c>
      <c r="G2571" s="69" t="s">
        <v>37</v>
      </c>
      <c r="H2571" s="69" t="str">
        <f>IFERROR(VLOOKUP(Data!$G2571,canon!$I$2:$K$27,2,FALSE),"")</f>
        <v>SHOES</v>
      </c>
      <c r="I2571" s="69" t="str">
        <f>IFERROR(VLOOKUP(Data!$G2571,canon!$I$2:$K$27,3,FALSE),"")</f>
        <v>N.APPAREL</v>
      </c>
      <c r="J2571" s="69">
        <f t="shared" si="80"/>
        <v>4</v>
      </c>
      <c r="K2571" s="69">
        <f t="shared" si="81"/>
        <v>44</v>
      </c>
      <c r="L2571" s="69">
        <f>VLOOKUP(Table_db1_backend_Daily.accdb[[#This Row],[TradingDate]],canon!B:E,4,0)</f>
        <v>30</v>
      </c>
    </row>
    <row r="2572" spans="1:12" x14ac:dyDescent="0.2">
      <c r="A2572" s="69" t="s">
        <v>44</v>
      </c>
      <c r="B2572" s="70">
        <v>42942</v>
      </c>
      <c r="C2572" s="69">
        <v>65</v>
      </c>
      <c r="D2572" s="69">
        <v>0</v>
      </c>
      <c r="E2572" s="69">
        <v>0</v>
      </c>
      <c r="F2572" s="69">
        <v>0</v>
      </c>
      <c r="G2572" s="69" t="s">
        <v>29</v>
      </c>
      <c r="H2572" s="69" t="str">
        <f>IFERROR(VLOOKUP(Data!$G2572,canon!$I$2:$K$27,2,FALSE),"")</f>
        <v>SHOES</v>
      </c>
      <c r="I2572" s="69" t="str">
        <f>IFERROR(VLOOKUP(Data!$G2572,canon!$I$2:$K$27,3,FALSE),"")</f>
        <v>N.APPAREL</v>
      </c>
      <c r="J2572" s="69">
        <f t="shared" si="80"/>
        <v>4</v>
      </c>
      <c r="K2572" s="69">
        <f t="shared" si="81"/>
        <v>44</v>
      </c>
      <c r="L2572" s="69">
        <f>VLOOKUP(Table_db1_backend_Daily.accdb[[#This Row],[TradingDate]],canon!B:E,4,0)</f>
        <v>30</v>
      </c>
    </row>
    <row r="2573" spans="1:12" x14ac:dyDescent="0.2">
      <c r="A2573" s="69" t="s">
        <v>44</v>
      </c>
      <c r="B2573" s="70">
        <v>42942</v>
      </c>
      <c r="C2573" s="69">
        <v>680</v>
      </c>
      <c r="D2573" s="69">
        <v>3</v>
      </c>
      <c r="E2573" s="69">
        <v>45.42</v>
      </c>
      <c r="F2573" s="69">
        <v>21.08</v>
      </c>
      <c r="G2573" s="69" t="s">
        <v>17</v>
      </c>
      <c r="H2573" s="69" t="str">
        <f>IFERROR(VLOOKUP(Data!$G2573,canon!$I$2:$K$27,2,FALSE),"")</f>
        <v>OUTER</v>
      </c>
      <c r="I2573" s="69" t="str">
        <f>IFERROR(VLOOKUP(Data!$G2573,canon!$I$2:$K$27,3,FALSE),"")</f>
        <v>APPAREL</v>
      </c>
      <c r="J2573" s="69">
        <f t="shared" si="80"/>
        <v>4</v>
      </c>
      <c r="K2573" s="69">
        <f t="shared" si="81"/>
        <v>44</v>
      </c>
      <c r="L2573" s="69">
        <f>VLOOKUP(Table_db1_backend_Daily.accdb[[#This Row],[TradingDate]],canon!B:E,4,0)</f>
        <v>30</v>
      </c>
    </row>
    <row r="2574" spans="1:12" x14ac:dyDescent="0.2">
      <c r="A2574" s="69" t="s">
        <v>44</v>
      </c>
      <c r="B2574" s="70">
        <v>42942</v>
      </c>
      <c r="C2574" s="69">
        <v>384</v>
      </c>
      <c r="D2574" s="69">
        <v>1</v>
      </c>
      <c r="E2574" s="69">
        <v>27.25</v>
      </c>
      <c r="F2574" s="69">
        <v>18.55</v>
      </c>
      <c r="G2574" s="69" t="s">
        <v>19</v>
      </c>
      <c r="H2574" s="69" t="str">
        <f>IFERROR(VLOOKUP(Data!$G2574,canon!$I$2:$K$27,2,FALSE),"")</f>
        <v>PANT</v>
      </c>
      <c r="I2574" s="69" t="str">
        <f>IFERROR(VLOOKUP(Data!$G2574,canon!$I$2:$K$27,3,FALSE),"")</f>
        <v>APPAREL</v>
      </c>
      <c r="J2574" s="69">
        <f t="shared" si="80"/>
        <v>4</v>
      </c>
      <c r="K2574" s="69">
        <f t="shared" si="81"/>
        <v>44</v>
      </c>
      <c r="L2574" s="69">
        <f>VLOOKUP(Table_db1_backend_Daily.accdb[[#This Row],[TradingDate]],canon!B:E,4,0)</f>
        <v>30</v>
      </c>
    </row>
    <row r="2575" spans="1:12" x14ac:dyDescent="0.2">
      <c r="A2575" s="69" t="s">
        <v>44</v>
      </c>
      <c r="B2575" s="70">
        <v>42942</v>
      </c>
      <c r="C2575" s="69">
        <v>78</v>
      </c>
      <c r="D2575" s="69">
        <v>0</v>
      </c>
      <c r="E2575" s="69">
        <v>0</v>
      </c>
      <c r="F2575" s="69">
        <v>0</v>
      </c>
      <c r="G2575" s="69" t="s">
        <v>21</v>
      </c>
      <c r="H2575" s="69" t="str">
        <f>IFERROR(VLOOKUP(Data!$G2575,canon!$I$2:$K$27,2,FALSE),"")</f>
        <v>ACCESSORY</v>
      </c>
      <c r="I2575" s="69" t="str">
        <f>IFERROR(VLOOKUP(Data!$G2575,canon!$I$2:$K$27,3,FALSE),"")</f>
        <v>N.APPAREL</v>
      </c>
      <c r="J2575" s="69">
        <f t="shared" si="80"/>
        <v>4</v>
      </c>
      <c r="K2575" s="69">
        <f t="shared" si="81"/>
        <v>44</v>
      </c>
      <c r="L2575" s="69">
        <f>VLOOKUP(Table_db1_backend_Daily.accdb[[#This Row],[TradingDate]],canon!B:E,4,0)</f>
        <v>30</v>
      </c>
    </row>
    <row r="2576" spans="1:12" x14ac:dyDescent="0.2">
      <c r="A2576" s="69" t="s">
        <v>44</v>
      </c>
      <c r="B2576" s="70">
        <v>42942</v>
      </c>
      <c r="C2576" s="69">
        <v>1070</v>
      </c>
      <c r="D2576" s="69">
        <v>8</v>
      </c>
      <c r="E2576" s="69">
        <v>49.8</v>
      </c>
      <c r="F2576" s="69">
        <v>37.380000000000003</v>
      </c>
      <c r="G2576" s="69" t="s">
        <v>22</v>
      </c>
      <c r="H2576" s="69" t="str">
        <f>IFERROR(VLOOKUP(Data!$G2576,canon!$I$2:$K$27,2,FALSE),"")</f>
        <v>SCARF</v>
      </c>
      <c r="I2576" s="69" t="str">
        <f>IFERROR(VLOOKUP(Data!$G2576,canon!$I$2:$K$27,3,FALSE),"")</f>
        <v>N.APPAREL</v>
      </c>
      <c r="J2576" s="69">
        <f t="shared" si="80"/>
        <v>4</v>
      </c>
      <c r="K2576" s="69">
        <f t="shared" si="81"/>
        <v>44</v>
      </c>
      <c r="L2576" s="69">
        <f>VLOOKUP(Table_db1_backend_Daily.accdb[[#This Row],[TradingDate]],canon!B:E,4,0)</f>
        <v>30</v>
      </c>
    </row>
    <row r="2577" spans="1:12" x14ac:dyDescent="0.2">
      <c r="A2577" s="69" t="s">
        <v>44</v>
      </c>
      <c r="B2577" s="70">
        <v>42942</v>
      </c>
      <c r="C2577" s="69">
        <v>147</v>
      </c>
      <c r="D2577" s="69">
        <v>0</v>
      </c>
      <c r="E2577" s="69">
        <v>0</v>
      </c>
      <c r="F2577" s="69">
        <v>0</v>
      </c>
      <c r="G2577" s="69" t="s">
        <v>23</v>
      </c>
      <c r="H2577" s="69" t="str">
        <f>IFERROR(VLOOKUP(Data!$G2577,canon!$I$2:$K$27,2,FALSE),"")</f>
        <v>SH&amp;BL</v>
      </c>
      <c r="I2577" s="69" t="str">
        <f>IFERROR(VLOOKUP(Data!$G2577,canon!$I$2:$K$27,3,FALSE),"")</f>
        <v>APPAREL</v>
      </c>
      <c r="J2577" s="69">
        <f t="shared" si="80"/>
        <v>4</v>
      </c>
      <c r="K2577" s="69">
        <f t="shared" si="81"/>
        <v>44</v>
      </c>
      <c r="L2577" s="69">
        <f>VLOOKUP(Table_db1_backend_Daily.accdb[[#This Row],[TradingDate]],canon!B:E,4,0)</f>
        <v>30</v>
      </c>
    </row>
    <row r="2578" spans="1:12" x14ac:dyDescent="0.2">
      <c r="A2578" s="69" t="s">
        <v>44</v>
      </c>
      <c r="B2578" s="70">
        <v>42942</v>
      </c>
      <c r="C2578" s="69">
        <v>483</v>
      </c>
      <c r="D2578" s="69">
        <v>1</v>
      </c>
      <c r="E2578" s="69">
        <v>9.09</v>
      </c>
      <c r="F2578" s="69">
        <v>1.26</v>
      </c>
      <c r="G2578" s="69" t="s">
        <v>32</v>
      </c>
      <c r="H2578" s="69" t="str">
        <f>IFERROR(VLOOKUP(Data!$G2578,canon!$I$2:$K$27,2,FALSE),"")</f>
        <v>SKIRT</v>
      </c>
      <c r="I2578" s="69" t="str">
        <f>IFERROR(VLOOKUP(Data!$G2578,canon!$I$2:$K$27,3,FALSE),"")</f>
        <v>APPAREL</v>
      </c>
      <c r="J2578" s="69">
        <f t="shared" si="80"/>
        <v>4</v>
      </c>
      <c r="K2578" s="69">
        <f t="shared" si="81"/>
        <v>44</v>
      </c>
      <c r="L2578" s="69">
        <f>VLOOKUP(Table_db1_backend_Daily.accdb[[#This Row],[TradingDate]],canon!B:E,4,0)</f>
        <v>30</v>
      </c>
    </row>
    <row r="2579" spans="1:12" x14ac:dyDescent="0.2">
      <c r="A2579" s="69" t="s">
        <v>44</v>
      </c>
      <c r="B2579" s="70">
        <v>42942</v>
      </c>
      <c r="C2579" s="69">
        <v>1400</v>
      </c>
      <c r="D2579" s="69">
        <v>19</v>
      </c>
      <c r="E2579" s="69">
        <v>95.44</v>
      </c>
      <c r="F2579" s="69">
        <v>-13.870000000000001</v>
      </c>
      <c r="G2579" s="69" t="s">
        <v>25</v>
      </c>
      <c r="H2579" s="69" t="str">
        <f>IFERROR(VLOOKUP(Data!$G2579,canon!$I$2:$K$27,2,FALSE),"")</f>
        <v>TOP</v>
      </c>
      <c r="I2579" s="69" t="str">
        <f>IFERROR(VLOOKUP(Data!$G2579,canon!$I$2:$K$27,3,FALSE),"")</f>
        <v>APPAREL</v>
      </c>
      <c r="J2579" s="69">
        <f t="shared" si="80"/>
        <v>4</v>
      </c>
      <c r="K2579" s="69">
        <f t="shared" si="81"/>
        <v>44</v>
      </c>
      <c r="L2579" s="69">
        <f>VLOOKUP(Table_db1_backend_Daily.accdb[[#This Row],[TradingDate]],canon!B:E,4,0)</f>
        <v>30</v>
      </c>
    </row>
    <row r="2580" spans="1:12" x14ac:dyDescent="0.2">
      <c r="A2580" s="69" t="s">
        <v>44</v>
      </c>
      <c r="B2580" s="70">
        <v>42943</v>
      </c>
      <c r="C2580" s="69">
        <v>33</v>
      </c>
      <c r="D2580" s="69">
        <v>0</v>
      </c>
      <c r="E2580" s="69">
        <v>0</v>
      </c>
      <c r="F2580" s="69">
        <v>0</v>
      </c>
      <c r="G2580" s="69" t="s">
        <v>34</v>
      </c>
      <c r="H2580" s="69" t="str">
        <f>IFERROR(VLOOKUP(Data!$G2580,canon!$I$2:$K$27,2,FALSE),"")</f>
        <v>SHOES</v>
      </c>
      <c r="I2580" s="69" t="str">
        <f>IFERROR(VLOOKUP(Data!$G2580,canon!$I$2:$K$27,3,FALSE),"")</f>
        <v>N.APPAREL</v>
      </c>
      <c r="J2580" s="69">
        <f t="shared" si="80"/>
        <v>5</v>
      </c>
      <c r="K2580" s="69">
        <f t="shared" si="81"/>
        <v>44</v>
      </c>
      <c r="L2580" s="69">
        <f>VLOOKUP(Table_db1_backend_Daily.accdb[[#This Row],[TradingDate]],canon!B:E,4,0)</f>
        <v>30</v>
      </c>
    </row>
    <row r="2581" spans="1:12" x14ac:dyDescent="0.2">
      <c r="A2581" s="69" t="s">
        <v>44</v>
      </c>
      <c r="B2581" s="70">
        <v>42943</v>
      </c>
      <c r="C2581" s="69">
        <v>2</v>
      </c>
      <c r="D2581" s="69">
        <v>0</v>
      </c>
      <c r="E2581" s="69">
        <v>0</v>
      </c>
      <c r="F2581" s="69">
        <v>0</v>
      </c>
      <c r="G2581" s="69" t="s">
        <v>38</v>
      </c>
      <c r="H2581" s="69" t="str">
        <f>IFERROR(VLOOKUP(Data!$G2581,canon!$I$2:$K$27,2,FALSE),"")</f>
        <v>SHOES</v>
      </c>
      <c r="I2581" s="69" t="str">
        <f>IFERROR(VLOOKUP(Data!$G2581,canon!$I$2:$K$27,3,FALSE),"")</f>
        <v>N.APPAREL</v>
      </c>
      <c r="J2581" s="69">
        <f t="shared" si="80"/>
        <v>5</v>
      </c>
      <c r="K2581" s="69">
        <f t="shared" si="81"/>
        <v>44</v>
      </c>
      <c r="L2581" s="69">
        <f>VLOOKUP(Table_db1_backend_Daily.accdb[[#This Row],[TradingDate]],canon!B:E,4,0)</f>
        <v>30</v>
      </c>
    </row>
    <row r="2582" spans="1:12" x14ac:dyDescent="0.2">
      <c r="A2582" s="69" t="s">
        <v>44</v>
      </c>
      <c r="B2582" s="70">
        <v>42943</v>
      </c>
      <c r="C2582" s="69">
        <v>579</v>
      </c>
      <c r="D2582" s="69">
        <v>6</v>
      </c>
      <c r="E2582" s="69">
        <v>72.61</v>
      </c>
      <c r="F2582" s="69">
        <v>17.29</v>
      </c>
      <c r="G2582" s="69" t="s">
        <v>35</v>
      </c>
      <c r="H2582" s="69" t="str">
        <f>IFERROR(VLOOKUP(Data!$G2582,canon!$I$2:$K$27,2,FALSE),"")</f>
        <v>DRESS</v>
      </c>
      <c r="I2582" s="69" t="str">
        <f>IFERROR(VLOOKUP(Data!$G2582,canon!$I$2:$K$27,3,FALSE),"")</f>
        <v>APPAREL</v>
      </c>
      <c r="J2582" s="69">
        <f t="shared" si="80"/>
        <v>5</v>
      </c>
      <c r="K2582" s="69">
        <f t="shared" si="81"/>
        <v>44</v>
      </c>
      <c r="L2582" s="69">
        <f>VLOOKUP(Table_db1_backend_Daily.accdb[[#This Row],[TradingDate]],canon!B:E,4,0)</f>
        <v>30</v>
      </c>
    </row>
    <row r="2583" spans="1:12" x14ac:dyDescent="0.2">
      <c r="A2583" s="69" t="s">
        <v>44</v>
      </c>
      <c r="B2583" s="70">
        <v>42943</v>
      </c>
      <c r="C2583" s="69">
        <v>34</v>
      </c>
      <c r="D2583" s="69">
        <v>0</v>
      </c>
      <c r="E2583" s="69">
        <v>0</v>
      </c>
      <c r="F2583" s="69">
        <v>0</v>
      </c>
      <c r="G2583" s="69" t="s">
        <v>10</v>
      </c>
      <c r="H2583" s="69" t="str">
        <f>IFERROR(VLOOKUP(Data!$G2583,canon!$I$2:$K$27,2,FALSE),"")</f>
        <v>ACCESSORY</v>
      </c>
      <c r="I2583" s="69" t="str">
        <f>IFERROR(VLOOKUP(Data!$G2583,canon!$I$2:$K$27,3,FALSE),"")</f>
        <v>N.APPAREL</v>
      </c>
      <c r="J2583" s="69">
        <f t="shared" si="80"/>
        <v>5</v>
      </c>
      <c r="K2583" s="69">
        <f t="shared" si="81"/>
        <v>44</v>
      </c>
      <c r="L2583" s="69">
        <f>VLOOKUP(Table_db1_backend_Daily.accdb[[#This Row],[TradingDate]],canon!B:E,4,0)</f>
        <v>30</v>
      </c>
    </row>
    <row r="2584" spans="1:12" x14ac:dyDescent="0.2">
      <c r="A2584" s="69" t="s">
        <v>44</v>
      </c>
      <c r="B2584" s="70">
        <v>42943</v>
      </c>
      <c r="C2584" s="69">
        <v>2</v>
      </c>
      <c r="D2584" s="69">
        <v>0</v>
      </c>
      <c r="E2584" s="69">
        <v>0</v>
      </c>
      <c r="F2584" s="69">
        <v>0</v>
      </c>
      <c r="G2584" s="69" t="s">
        <v>28</v>
      </c>
      <c r="H2584" s="69" t="str">
        <f>IFERROR(VLOOKUP(Data!$G2584,canon!$I$2:$K$27,2,FALSE),"")</f>
        <v>ACCESSORY</v>
      </c>
      <c r="I2584" s="69" t="str">
        <f>IFERROR(VLOOKUP(Data!$G2584,canon!$I$2:$K$27,3,FALSE),"")</f>
        <v>N.APPAREL</v>
      </c>
      <c r="J2584" s="69">
        <f t="shared" si="80"/>
        <v>5</v>
      </c>
      <c r="K2584" s="69">
        <f t="shared" si="81"/>
        <v>44</v>
      </c>
      <c r="L2584" s="69">
        <f>VLOOKUP(Table_db1_backend_Daily.accdb[[#This Row],[TradingDate]],canon!B:E,4,0)</f>
        <v>30</v>
      </c>
    </row>
    <row r="2585" spans="1:12" x14ac:dyDescent="0.2">
      <c r="A2585" s="69" t="s">
        <v>44</v>
      </c>
      <c r="B2585" s="70">
        <v>42943</v>
      </c>
      <c r="C2585" s="69">
        <v>1848</v>
      </c>
      <c r="D2585" s="69">
        <v>74</v>
      </c>
      <c r="E2585" s="69">
        <v>595.02</v>
      </c>
      <c r="F2585" s="69">
        <v>11.840000000000003</v>
      </c>
      <c r="G2585" s="69" t="s">
        <v>11</v>
      </c>
      <c r="H2585" s="69" t="str">
        <f>IFERROR(VLOOKUP(Data!$G2585,canon!$I$2:$K$27,2,FALSE),"")</f>
        <v>KNIT</v>
      </c>
      <c r="I2585" s="69" t="str">
        <f>IFERROR(VLOOKUP(Data!$G2585,canon!$I$2:$K$27,3,FALSE),"")</f>
        <v>APPAREL</v>
      </c>
      <c r="J2585" s="69">
        <f t="shared" si="80"/>
        <v>5</v>
      </c>
      <c r="K2585" s="69">
        <f t="shared" si="81"/>
        <v>44</v>
      </c>
      <c r="L2585" s="69">
        <f>VLOOKUP(Table_db1_backend_Daily.accdb[[#This Row],[TradingDate]],canon!B:E,4,0)</f>
        <v>30</v>
      </c>
    </row>
    <row r="2586" spans="1:12" x14ac:dyDescent="0.2">
      <c r="A2586" s="69" t="s">
        <v>44</v>
      </c>
      <c r="B2586" s="70">
        <v>42943</v>
      </c>
      <c r="C2586" s="69">
        <v>486</v>
      </c>
      <c r="D2586" s="69">
        <v>3</v>
      </c>
      <c r="E2586" s="69">
        <v>40.769999999999996</v>
      </c>
      <c r="F2586" s="69">
        <v>18.93</v>
      </c>
      <c r="G2586" s="69" t="s">
        <v>14</v>
      </c>
      <c r="H2586" s="69" t="str">
        <f>IFERROR(VLOOKUP(Data!$G2586,canon!$I$2:$K$27,2,FALSE),"")</f>
        <v>LEGGING</v>
      </c>
      <c r="I2586" s="69" t="str">
        <f>IFERROR(VLOOKUP(Data!$G2586,canon!$I$2:$K$27,3,FALSE),"")</f>
        <v>APPAREL</v>
      </c>
      <c r="J2586" s="69">
        <f t="shared" si="80"/>
        <v>5</v>
      </c>
      <c r="K2586" s="69">
        <f t="shared" si="81"/>
        <v>44</v>
      </c>
      <c r="L2586" s="69">
        <f>VLOOKUP(Table_db1_backend_Daily.accdb[[#This Row],[TradingDate]],canon!B:E,4,0)</f>
        <v>30</v>
      </c>
    </row>
    <row r="2587" spans="1:12" x14ac:dyDescent="0.2">
      <c r="A2587" s="69" t="s">
        <v>44</v>
      </c>
      <c r="B2587" s="70">
        <v>42943</v>
      </c>
      <c r="C2587" s="69">
        <v>23</v>
      </c>
      <c r="D2587" s="69">
        <v>0</v>
      </c>
      <c r="E2587" s="69">
        <v>0</v>
      </c>
      <c r="F2587" s="69">
        <v>0</v>
      </c>
      <c r="G2587" s="69" t="s">
        <v>37</v>
      </c>
      <c r="H2587" s="69" t="str">
        <f>IFERROR(VLOOKUP(Data!$G2587,canon!$I$2:$K$27,2,FALSE),"")</f>
        <v>SHOES</v>
      </c>
      <c r="I2587" s="69" t="str">
        <f>IFERROR(VLOOKUP(Data!$G2587,canon!$I$2:$K$27,3,FALSE),"")</f>
        <v>N.APPAREL</v>
      </c>
      <c r="J2587" s="69">
        <f t="shared" si="80"/>
        <v>5</v>
      </c>
      <c r="K2587" s="69">
        <f t="shared" si="81"/>
        <v>44</v>
      </c>
      <c r="L2587" s="69">
        <f>VLOOKUP(Table_db1_backend_Daily.accdb[[#This Row],[TradingDate]],canon!B:E,4,0)</f>
        <v>30</v>
      </c>
    </row>
    <row r="2588" spans="1:12" x14ac:dyDescent="0.2">
      <c r="A2588" s="69" t="s">
        <v>44</v>
      </c>
      <c r="B2588" s="70">
        <v>42943</v>
      </c>
      <c r="C2588" s="69">
        <v>65</v>
      </c>
      <c r="D2588" s="69">
        <v>0</v>
      </c>
      <c r="E2588" s="69">
        <v>0</v>
      </c>
      <c r="F2588" s="69">
        <v>0</v>
      </c>
      <c r="G2588" s="69" t="s">
        <v>29</v>
      </c>
      <c r="H2588" s="69" t="str">
        <f>IFERROR(VLOOKUP(Data!$G2588,canon!$I$2:$K$27,2,FALSE),"")</f>
        <v>SHOES</v>
      </c>
      <c r="I2588" s="69" t="str">
        <f>IFERROR(VLOOKUP(Data!$G2588,canon!$I$2:$K$27,3,FALSE),"")</f>
        <v>N.APPAREL</v>
      </c>
      <c r="J2588" s="69">
        <f t="shared" si="80"/>
        <v>5</v>
      </c>
      <c r="K2588" s="69">
        <f t="shared" si="81"/>
        <v>44</v>
      </c>
      <c r="L2588" s="69">
        <f>VLOOKUP(Table_db1_backend_Daily.accdb[[#This Row],[TradingDate]],canon!B:E,4,0)</f>
        <v>30</v>
      </c>
    </row>
    <row r="2589" spans="1:12" x14ac:dyDescent="0.2">
      <c r="A2589" s="69" t="s">
        <v>44</v>
      </c>
      <c r="B2589" s="70">
        <v>42943</v>
      </c>
      <c r="C2589" s="69">
        <v>674</v>
      </c>
      <c r="D2589" s="69">
        <v>6</v>
      </c>
      <c r="E2589" s="69">
        <v>90.89</v>
      </c>
      <c r="F2589" s="69">
        <v>49.81</v>
      </c>
      <c r="G2589" s="69" t="s">
        <v>17</v>
      </c>
      <c r="H2589" s="69" t="str">
        <f>IFERROR(VLOOKUP(Data!$G2589,canon!$I$2:$K$27,2,FALSE),"")</f>
        <v>OUTER</v>
      </c>
      <c r="I2589" s="69" t="str">
        <f>IFERROR(VLOOKUP(Data!$G2589,canon!$I$2:$K$27,3,FALSE),"")</f>
        <v>APPAREL</v>
      </c>
      <c r="J2589" s="69">
        <f t="shared" si="80"/>
        <v>5</v>
      </c>
      <c r="K2589" s="69">
        <f t="shared" si="81"/>
        <v>44</v>
      </c>
      <c r="L2589" s="69">
        <f>VLOOKUP(Table_db1_backend_Daily.accdb[[#This Row],[TradingDate]],canon!B:E,4,0)</f>
        <v>30</v>
      </c>
    </row>
    <row r="2590" spans="1:12" x14ac:dyDescent="0.2">
      <c r="A2590" s="69" t="s">
        <v>44</v>
      </c>
      <c r="B2590" s="70">
        <v>42943</v>
      </c>
      <c r="C2590" s="69">
        <v>382</v>
      </c>
      <c r="D2590" s="69">
        <v>2</v>
      </c>
      <c r="E2590" s="69">
        <v>18.18</v>
      </c>
      <c r="F2590" s="69">
        <v>7.75</v>
      </c>
      <c r="G2590" s="69" t="s">
        <v>19</v>
      </c>
      <c r="H2590" s="69" t="str">
        <f>IFERROR(VLOOKUP(Data!$G2590,canon!$I$2:$K$27,2,FALSE),"")</f>
        <v>PANT</v>
      </c>
      <c r="I2590" s="69" t="str">
        <f>IFERROR(VLOOKUP(Data!$G2590,canon!$I$2:$K$27,3,FALSE),"")</f>
        <v>APPAREL</v>
      </c>
      <c r="J2590" s="69">
        <f t="shared" si="80"/>
        <v>5</v>
      </c>
      <c r="K2590" s="69">
        <f t="shared" si="81"/>
        <v>44</v>
      </c>
      <c r="L2590" s="69">
        <f>VLOOKUP(Table_db1_backend_Daily.accdb[[#This Row],[TradingDate]],canon!B:E,4,0)</f>
        <v>30</v>
      </c>
    </row>
    <row r="2591" spans="1:12" x14ac:dyDescent="0.2">
      <c r="A2591" s="69" t="s">
        <v>44</v>
      </c>
      <c r="B2591" s="70">
        <v>42943</v>
      </c>
      <c r="C2591" s="69">
        <v>78</v>
      </c>
      <c r="D2591" s="69">
        <v>0</v>
      </c>
      <c r="E2591" s="69">
        <v>0</v>
      </c>
      <c r="F2591" s="69">
        <v>0</v>
      </c>
      <c r="G2591" s="69" t="s">
        <v>21</v>
      </c>
      <c r="H2591" s="69" t="str">
        <f>IFERROR(VLOOKUP(Data!$G2591,canon!$I$2:$K$27,2,FALSE),"")</f>
        <v>ACCESSORY</v>
      </c>
      <c r="I2591" s="69" t="str">
        <f>IFERROR(VLOOKUP(Data!$G2591,canon!$I$2:$K$27,3,FALSE),"")</f>
        <v>N.APPAREL</v>
      </c>
      <c r="J2591" s="69">
        <f t="shared" si="80"/>
        <v>5</v>
      </c>
      <c r="K2591" s="69">
        <f t="shared" si="81"/>
        <v>44</v>
      </c>
      <c r="L2591" s="69">
        <f>VLOOKUP(Table_db1_backend_Daily.accdb[[#This Row],[TradingDate]],canon!B:E,4,0)</f>
        <v>30</v>
      </c>
    </row>
    <row r="2592" spans="1:12" x14ac:dyDescent="0.2">
      <c r="A2592" s="69" t="s">
        <v>44</v>
      </c>
      <c r="B2592" s="70">
        <v>42943</v>
      </c>
      <c r="C2592" s="69">
        <v>1064</v>
      </c>
      <c r="D2592" s="69">
        <v>6</v>
      </c>
      <c r="E2592" s="69">
        <v>43.370000000000005</v>
      </c>
      <c r="F2592" s="69">
        <v>34.25</v>
      </c>
      <c r="G2592" s="69" t="s">
        <v>22</v>
      </c>
      <c r="H2592" s="69" t="str">
        <f>IFERROR(VLOOKUP(Data!$G2592,canon!$I$2:$K$27,2,FALSE),"")</f>
        <v>SCARF</v>
      </c>
      <c r="I2592" s="69" t="str">
        <f>IFERROR(VLOOKUP(Data!$G2592,canon!$I$2:$K$27,3,FALSE),"")</f>
        <v>N.APPAREL</v>
      </c>
      <c r="J2592" s="69">
        <f t="shared" si="80"/>
        <v>5</v>
      </c>
      <c r="K2592" s="69">
        <f t="shared" si="81"/>
        <v>44</v>
      </c>
      <c r="L2592" s="69">
        <f>VLOOKUP(Table_db1_backend_Daily.accdb[[#This Row],[TradingDate]],canon!B:E,4,0)</f>
        <v>30</v>
      </c>
    </row>
    <row r="2593" spans="1:12" x14ac:dyDescent="0.2">
      <c r="A2593" s="69" t="s">
        <v>44</v>
      </c>
      <c r="B2593" s="70">
        <v>42943</v>
      </c>
      <c r="C2593" s="69">
        <v>144</v>
      </c>
      <c r="D2593" s="69">
        <v>3</v>
      </c>
      <c r="E2593" s="69">
        <v>22.73</v>
      </c>
      <c r="F2593" s="69">
        <v>2.62</v>
      </c>
      <c r="G2593" s="69" t="s">
        <v>23</v>
      </c>
      <c r="H2593" s="69" t="str">
        <f>IFERROR(VLOOKUP(Data!$G2593,canon!$I$2:$K$27,2,FALSE),"")</f>
        <v>SH&amp;BL</v>
      </c>
      <c r="I2593" s="69" t="str">
        <f>IFERROR(VLOOKUP(Data!$G2593,canon!$I$2:$K$27,3,FALSE),"")</f>
        <v>APPAREL</v>
      </c>
      <c r="J2593" s="69">
        <f t="shared" si="80"/>
        <v>5</v>
      </c>
      <c r="K2593" s="69">
        <f t="shared" si="81"/>
        <v>44</v>
      </c>
      <c r="L2593" s="69">
        <f>VLOOKUP(Table_db1_backend_Daily.accdb[[#This Row],[TradingDate]],canon!B:E,4,0)</f>
        <v>30</v>
      </c>
    </row>
    <row r="2594" spans="1:12" x14ac:dyDescent="0.2">
      <c r="A2594" s="69" t="s">
        <v>44</v>
      </c>
      <c r="B2594" s="70">
        <v>42943</v>
      </c>
      <c r="C2594" s="69">
        <v>480</v>
      </c>
      <c r="D2594" s="69">
        <v>3</v>
      </c>
      <c r="E2594" s="69">
        <v>45.45</v>
      </c>
      <c r="F2594" s="69">
        <v>29.03</v>
      </c>
      <c r="G2594" s="69" t="s">
        <v>32</v>
      </c>
      <c r="H2594" s="69" t="str">
        <f>IFERROR(VLOOKUP(Data!$G2594,canon!$I$2:$K$27,2,FALSE),"")</f>
        <v>SKIRT</v>
      </c>
      <c r="I2594" s="69" t="str">
        <f>IFERROR(VLOOKUP(Data!$G2594,canon!$I$2:$K$27,3,FALSE),"")</f>
        <v>APPAREL</v>
      </c>
      <c r="J2594" s="69">
        <f t="shared" si="80"/>
        <v>5</v>
      </c>
      <c r="K2594" s="69">
        <f t="shared" si="81"/>
        <v>44</v>
      </c>
      <c r="L2594" s="69">
        <f>VLOOKUP(Table_db1_backend_Daily.accdb[[#This Row],[TradingDate]],canon!B:E,4,0)</f>
        <v>30</v>
      </c>
    </row>
    <row r="2595" spans="1:12" x14ac:dyDescent="0.2">
      <c r="A2595" s="69" t="s">
        <v>44</v>
      </c>
      <c r="B2595" s="70">
        <v>42943</v>
      </c>
      <c r="C2595" s="69">
        <v>1382</v>
      </c>
      <c r="D2595" s="69">
        <v>18</v>
      </c>
      <c r="E2595" s="69">
        <v>113.66999999999999</v>
      </c>
      <c r="F2595" s="69">
        <v>22.159999999999989</v>
      </c>
      <c r="G2595" s="69" t="s">
        <v>25</v>
      </c>
      <c r="H2595" s="69" t="str">
        <f>IFERROR(VLOOKUP(Data!$G2595,canon!$I$2:$K$27,2,FALSE),"")</f>
        <v>TOP</v>
      </c>
      <c r="I2595" s="69" t="str">
        <f>IFERROR(VLOOKUP(Data!$G2595,canon!$I$2:$K$27,3,FALSE),"")</f>
        <v>APPAREL</v>
      </c>
      <c r="J2595" s="69">
        <f t="shared" si="80"/>
        <v>5</v>
      </c>
      <c r="K2595" s="69">
        <f t="shared" si="81"/>
        <v>44</v>
      </c>
      <c r="L2595" s="69">
        <f>VLOOKUP(Table_db1_backend_Daily.accdb[[#This Row],[TradingDate]],canon!B:E,4,0)</f>
        <v>30</v>
      </c>
    </row>
    <row r="2596" spans="1:12" x14ac:dyDescent="0.2">
      <c r="A2596" s="69" t="s">
        <v>44</v>
      </c>
      <c r="B2596" s="70">
        <v>42944</v>
      </c>
      <c r="C2596" s="69">
        <v>33</v>
      </c>
      <c r="D2596" s="69">
        <v>0</v>
      </c>
      <c r="E2596" s="69">
        <v>0</v>
      </c>
      <c r="F2596" s="69">
        <v>0</v>
      </c>
      <c r="G2596" s="69" t="s">
        <v>34</v>
      </c>
      <c r="H2596" s="69" t="str">
        <f>IFERROR(VLOOKUP(Data!$G2596,canon!$I$2:$K$27,2,FALSE),"")</f>
        <v>SHOES</v>
      </c>
      <c r="I2596" s="69" t="str">
        <f>IFERROR(VLOOKUP(Data!$G2596,canon!$I$2:$K$27,3,FALSE),"")</f>
        <v>N.APPAREL</v>
      </c>
      <c r="J2596" s="69">
        <f t="shared" si="80"/>
        <v>6</v>
      </c>
      <c r="K2596" s="69">
        <f t="shared" si="81"/>
        <v>44</v>
      </c>
      <c r="L2596" s="69">
        <f>VLOOKUP(Table_db1_backend_Daily.accdb[[#This Row],[TradingDate]],canon!B:E,4,0)</f>
        <v>30</v>
      </c>
    </row>
    <row r="2597" spans="1:12" x14ac:dyDescent="0.2">
      <c r="A2597" s="69" t="s">
        <v>44</v>
      </c>
      <c r="B2597" s="70">
        <v>42944</v>
      </c>
      <c r="C2597" s="69">
        <v>2</v>
      </c>
      <c r="D2597" s="69">
        <v>0</v>
      </c>
      <c r="E2597" s="69">
        <v>0</v>
      </c>
      <c r="F2597" s="69">
        <v>0</v>
      </c>
      <c r="G2597" s="69" t="s">
        <v>38</v>
      </c>
      <c r="H2597" s="69" t="str">
        <f>IFERROR(VLOOKUP(Data!$G2597,canon!$I$2:$K$27,2,FALSE),"")</f>
        <v>SHOES</v>
      </c>
      <c r="I2597" s="69" t="str">
        <f>IFERROR(VLOOKUP(Data!$G2597,canon!$I$2:$K$27,3,FALSE),"")</f>
        <v>N.APPAREL</v>
      </c>
      <c r="J2597" s="69">
        <f t="shared" si="80"/>
        <v>6</v>
      </c>
      <c r="K2597" s="69">
        <f t="shared" si="81"/>
        <v>44</v>
      </c>
      <c r="L2597" s="69">
        <f>VLOOKUP(Table_db1_backend_Daily.accdb[[#This Row],[TradingDate]],canon!B:E,4,0)</f>
        <v>30</v>
      </c>
    </row>
    <row r="2598" spans="1:12" x14ac:dyDescent="0.2">
      <c r="A2598" s="69" t="s">
        <v>44</v>
      </c>
      <c r="B2598" s="70">
        <v>42944</v>
      </c>
      <c r="C2598" s="69">
        <v>578</v>
      </c>
      <c r="D2598" s="69">
        <v>1</v>
      </c>
      <c r="E2598" s="69">
        <v>18.09</v>
      </c>
      <c r="F2598" s="69">
        <v>9.2799999999999994</v>
      </c>
      <c r="G2598" s="69" t="s">
        <v>35</v>
      </c>
      <c r="H2598" s="69" t="str">
        <f>IFERROR(VLOOKUP(Data!$G2598,canon!$I$2:$K$27,2,FALSE),"")</f>
        <v>DRESS</v>
      </c>
      <c r="I2598" s="69" t="str">
        <f>IFERROR(VLOOKUP(Data!$G2598,canon!$I$2:$K$27,3,FALSE),"")</f>
        <v>APPAREL</v>
      </c>
      <c r="J2598" s="69">
        <f t="shared" si="80"/>
        <v>6</v>
      </c>
      <c r="K2598" s="69">
        <f t="shared" si="81"/>
        <v>44</v>
      </c>
      <c r="L2598" s="69">
        <f>VLOOKUP(Table_db1_backend_Daily.accdb[[#This Row],[TradingDate]],canon!B:E,4,0)</f>
        <v>30</v>
      </c>
    </row>
    <row r="2599" spans="1:12" x14ac:dyDescent="0.2">
      <c r="A2599" s="69" t="s">
        <v>44</v>
      </c>
      <c r="B2599" s="70">
        <v>42944</v>
      </c>
      <c r="C2599" s="69">
        <v>34</v>
      </c>
      <c r="D2599" s="69">
        <v>0</v>
      </c>
      <c r="E2599" s="69">
        <v>0</v>
      </c>
      <c r="F2599" s="69">
        <v>0</v>
      </c>
      <c r="G2599" s="69" t="s">
        <v>10</v>
      </c>
      <c r="H2599" s="69" t="str">
        <f>IFERROR(VLOOKUP(Data!$G2599,canon!$I$2:$K$27,2,FALSE),"")</f>
        <v>ACCESSORY</v>
      </c>
      <c r="I2599" s="69" t="str">
        <f>IFERROR(VLOOKUP(Data!$G2599,canon!$I$2:$K$27,3,FALSE),"")</f>
        <v>N.APPAREL</v>
      </c>
      <c r="J2599" s="69">
        <f t="shared" si="80"/>
        <v>6</v>
      </c>
      <c r="K2599" s="69">
        <f t="shared" si="81"/>
        <v>44</v>
      </c>
      <c r="L2599" s="69">
        <f>VLOOKUP(Table_db1_backend_Daily.accdb[[#This Row],[TradingDate]],canon!B:E,4,0)</f>
        <v>30</v>
      </c>
    </row>
    <row r="2600" spans="1:12" x14ac:dyDescent="0.2">
      <c r="A2600" s="69" t="s">
        <v>44</v>
      </c>
      <c r="B2600" s="70">
        <v>42944</v>
      </c>
      <c r="C2600" s="69">
        <v>2</v>
      </c>
      <c r="D2600" s="69">
        <v>0</v>
      </c>
      <c r="E2600" s="69">
        <v>0</v>
      </c>
      <c r="F2600" s="69">
        <v>0</v>
      </c>
      <c r="G2600" s="69" t="s">
        <v>28</v>
      </c>
      <c r="H2600" s="69" t="str">
        <f>IFERROR(VLOOKUP(Data!$G2600,canon!$I$2:$K$27,2,FALSE),"")</f>
        <v>ACCESSORY</v>
      </c>
      <c r="I2600" s="69" t="str">
        <f>IFERROR(VLOOKUP(Data!$G2600,canon!$I$2:$K$27,3,FALSE),"")</f>
        <v>N.APPAREL</v>
      </c>
      <c r="J2600" s="69">
        <f t="shared" si="80"/>
        <v>6</v>
      </c>
      <c r="K2600" s="69">
        <f t="shared" si="81"/>
        <v>44</v>
      </c>
      <c r="L2600" s="69">
        <f>VLOOKUP(Table_db1_backend_Daily.accdb[[#This Row],[TradingDate]],canon!B:E,4,0)</f>
        <v>30</v>
      </c>
    </row>
    <row r="2601" spans="1:12" x14ac:dyDescent="0.2">
      <c r="A2601" s="69" t="s">
        <v>44</v>
      </c>
      <c r="B2601" s="70">
        <v>42944</v>
      </c>
      <c r="C2601" s="69">
        <v>1805</v>
      </c>
      <c r="D2601" s="69">
        <v>43</v>
      </c>
      <c r="E2601" s="69">
        <v>336.01999999999992</v>
      </c>
      <c r="F2601" s="69">
        <v>-4.4800000000000146</v>
      </c>
      <c r="G2601" s="69" t="s">
        <v>11</v>
      </c>
      <c r="H2601" s="69" t="str">
        <f>IFERROR(VLOOKUP(Data!$G2601,canon!$I$2:$K$27,2,FALSE),"")</f>
        <v>KNIT</v>
      </c>
      <c r="I2601" s="69" t="str">
        <f>IFERROR(VLOOKUP(Data!$G2601,canon!$I$2:$K$27,3,FALSE),"")</f>
        <v>APPAREL</v>
      </c>
      <c r="J2601" s="69">
        <f t="shared" si="80"/>
        <v>6</v>
      </c>
      <c r="K2601" s="69">
        <f t="shared" si="81"/>
        <v>44</v>
      </c>
      <c r="L2601" s="69">
        <f>VLOOKUP(Table_db1_backend_Daily.accdb[[#This Row],[TradingDate]],canon!B:E,4,0)</f>
        <v>30</v>
      </c>
    </row>
    <row r="2602" spans="1:12" x14ac:dyDescent="0.2">
      <c r="A2602" s="69" t="s">
        <v>44</v>
      </c>
      <c r="B2602" s="70">
        <v>42944</v>
      </c>
      <c r="C2602" s="69">
        <v>483</v>
      </c>
      <c r="D2602" s="69">
        <v>3</v>
      </c>
      <c r="E2602" s="69">
        <v>27.26</v>
      </c>
      <c r="F2602" s="69">
        <v>8.34</v>
      </c>
      <c r="G2602" s="69" t="s">
        <v>14</v>
      </c>
      <c r="H2602" s="69" t="str">
        <f>IFERROR(VLOOKUP(Data!$G2602,canon!$I$2:$K$27,2,FALSE),"")</f>
        <v>LEGGING</v>
      </c>
      <c r="I2602" s="69" t="str">
        <f>IFERROR(VLOOKUP(Data!$G2602,canon!$I$2:$K$27,3,FALSE),"")</f>
        <v>APPAREL</v>
      </c>
      <c r="J2602" s="69">
        <f t="shared" si="80"/>
        <v>6</v>
      </c>
      <c r="K2602" s="69">
        <f t="shared" si="81"/>
        <v>44</v>
      </c>
      <c r="L2602" s="69">
        <f>VLOOKUP(Table_db1_backend_Daily.accdb[[#This Row],[TradingDate]],canon!B:E,4,0)</f>
        <v>30</v>
      </c>
    </row>
    <row r="2603" spans="1:12" x14ac:dyDescent="0.2">
      <c r="A2603" s="69" t="s">
        <v>44</v>
      </c>
      <c r="B2603" s="70">
        <v>42944</v>
      </c>
      <c r="C2603" s="69">
        <v>23</v>
      </c>
      <c r="D2603" s="69">
        <v>0</v>
      </c>
      <c r="E2603" s="69">
        <v>0</v>
      </c>
      <c r="F2603" s="69">
        <v>0</v>
      </c>
      <c r="G2603" s="69" t="s">
        <v>37</v>
      </c>
      <c r="H2603" s="69" t="str">
        <f>IFERROR(VLOOKUP(Data!$G2603,canon!$I$2:$K$27,2,FALSE),"")</f>
        <v>SHOES</v>
      </c>
      <c r="I2603" s="69" t="str">
        <f>IFERROR(VLOOKUP(Data!$G2603,canon!$I$2:$K$27,3,FALSE),"")</f>
        <v>N.APPAREL</v>
      </c>
      <c r="J2603" s="69">
        <f t="shared" si="80"/>
        <v>6</v>
      </c>
      <c r="K2603" s="69">
        <f t="shared" si="81"/>
        <v>44</v>
      </c>
      <c r="L2603" s="69">
        <f>VLOOKUP(Table_db1_backend_Daily.accdb[[#This Row],[TradingDate]],canon!B:E,4,0)</f>
        <v>30</v>
      </c>
    </row>
    <row r="2604" spans="1:12" x14ac:dyDescent="0.2">
      <c r="A2604" s="69" t="s">
        <v>44</v>
      </c>
      <c r="B2604" s="70">
        <v>42944</v>
      </c>
      <c r="C2604" s="69">
        <v>65</v>
      </c>
      <c r="D2604" s="69">
        <v>0</v>
      </c>
      <c r="E2604" s="69">
        <v>0</v>
      </c>
      <c r="F2604" s="69">
        <v>0</v>
      </c>
      <c r="G2604" s="69" t="s">
        <v>29</v>
      </c>
      <c r="H2604" s="69" t="str">
        <f>IFERROR(VLOOKUP(Data!$G2604,canon!$I$2:$K$27,2,FALSE),"")</f>
        <v>SHOES</v>
      </c>
      <c r="I2604" s="69" t="str">
        <f>IFERROR(VLOOKUP(Data!$G2604,canon!$I$2:$K$27,3,FALSE),"")</f>
        <v>N.APPAREL</v>
      </c>
      <c r="J2604" s="69">
        <f t="shared" si="80"/>
        <v>6</v>
      </c>
      <c r="K2604" s="69">
        <f t="shared" si="81"/>
        <v>44</v>
      </c>
      <c r="L2604" s="69">
        <f>VLOOKUP(Table_db1_backend_Daily.accdb[[#This Row],[TradingDate]],canon!B:E,4,0)</f>
        <v>30</v>
      </c>
    </row>
    <row r="2605" spans="1:12" x14ac:dyDescent="0.2">
      <c r="A2605" s="69" t="s">
        <v>44</v>
      </c>
      <c r="B2605" s="70">
        <v>42944</v>
      </c>
      <c r="C2605" s="69">
        <v>666</v>
      </c>
      <c r="D2605" s="69">
        <v>8</v>
      </c>
      <c r="E2605" s="69">
        <v>99.990000000000009</v>
      </c>
      <c r="F2605" s="69">
        <v>32.559999999999995</v>
      </c>
      <c r="G2605" s="69" t="s">
        <v>17</v>
      </c>
      <c r="H2605" s="69" t="str">
        <f>IFERROR(VLOOKUP(Data!$G2605,canon!$I$2:$K$27,2,FALSE),"")</f>
        <v>OUTER</v>
      </c>
      <c r="I2605" s="69" t="str">
        <f>IFERROR(VLOOKUP(Data!$G2605,canon!$I$2:$K$27,3,FALSE),"")</f>
        <v>APPAREL</v>
      </c>
      <c r="J2605" s="69">
        <f t="shared" si="80"/>
        <v>6</v>
      </c>
      <c r="K2605" s="69">
        <f t="shared" si="81"/>
        <v>44</v>
      </c>
      <c r="L2605" s="69">
        <f>VLOOKUP(Table_db1_backend_Daily.accdb[[#This Row],[TradingDate]],canon!B:E,4,0)</f>
        <v>30</v>
      </c>
    </row>
    <row r="2606" spans="1:12" x14ac:dyDescent="0.2">
      <c r="A2606" s="69" t="s">
        <v>44</v>
      </c>
      <c r="B2606" s="70">
        <v>42944</v>
      </c>
      <c r="C2606" s="69">
        <v>379</v>
      </c>
      <c r="D2606" s="69">
        <v>3</v>
      </c>
      <c r="E2606" s="69">
        <v>45.43</v>
      </c>
      <c r="F2606" s="69">
        <v>26.29</v>
      </c>
      <c r="G2606" s="69" t="s">
        <v>19</v>
      </c>
      <c r="H2606" s="69" t="str">
        <f>IFERROR(VLOOKUP(Data!$G2606,canon!$I$2:$K$27,2,FALSE),"")</f>
        <v>PANT</v>
      </c>
      <c r="I2606" s="69" t="str">
        <f>IFERROR(VLOOKUP(Data!$G2606,canon!$I$2:$K$27,3,FALSE),"")</f>
        <v>APPAREL</v>
      </c>
      <c r="J2606" s="69">
        <f t="shared" si="80"/>
        <v>6</v>
      </c>
      <c r="K2606" s="69">
        <f t="shared" si="81"/>
        <v>44</v>
      </c>
      <c r="L2606" s="69">
        <f>VLOOKUP(Table_db1_backend_Daily.accdb[[#This Row],[TradingDate]],canon!B:E,4,0)</f>
        <v>30</v>
      </c>
    </row>
    <row r="2607" spans="1:12" x14ac:dyDescent="0.2">
      <c r="A2607" s="69" t="s">
        <v>44</v>
      </c>
      <c r="B2607" s="70">
        <v>42944</v>
      </c>
      <c r="C2607" s="69">
        <v>78</v>
      </c>
      <c r="D2607" s="69">
        <v>0</v>
      </c>
      <c r="E2607" s="69">
        <v>0</v>
      </c>
      <c r="F2607" s="69">
        <v>0</v>
      </c>
      <c r="G2607" s="69" t="s">
        <v>21</v>
      </c>
      <c r="H2607" s="69" t="str">
        <f>IFERROR(VLOOKUP(Data!$G2607,canon!$I$2:$K$27,2,FALSE),"")</f>
        <v>ACCESSORY</v>
      </c>
      <c r="I2607" s="69" t="str">
        <f>IFERROR(VLOOKUP(Data!$G2607,canon!$I$2:$K$27,3,FALSE),"")</f>
        <v>N.APPAREL</v>
      </c>
      <c r="J2607" s="69">
        <f t="shared" si="80"/>
        <v>6</v>
      </c>
      <c r="K2607" s="69">
        <f t="shared" si="81"/>
        <v>44</v>
      </c>
      <c r="L2607" s="69">
        <f>VLOOKUP(Table_db1_backend_Daily.accdb[[#This Row],[TradingDate]],canon!B:E,4,0)</f>
        <v>30</v>
      </c>
    </row>
    <row r="2608" spans="1:12" x14ac:dyDescent="0.2">
      <c r="A2608" s="69" t="s">
        <v>44</v>
      </c>
      <c r="B2608" s="70">
        <v>42944</v>
      </c>
      <c r="C2608" s="69">
        <v>1060</v>
      </c>
      <c r="D2608" s="69">
        <v>4</v>
      </c>
      <c r="E2608" s="69">
        <v>28.92</v>
      </c>
      <c r="F2608" s="69">
        <v>23.71</v>
      </c>
      <c r="G2608" s="69" t="s">
        <v>22</v>
      </c>
      <c r="H2608" s="69" t="str">
        <f>IFERROR(VLOOKUP(Data!$G2608,canon!$I$2:$K$27,2,FALSE),"")</f>
        <v>SCARF</v>
      </c>
      <c r="I2608" s="69" t="str">
        <f>IFERROR(VLOOKUP(Data!$G2608,canon!$I$2:$K$27,3,FALSE),"")</f>
        <v>N.APPAREL</v>
      </c>
      <c r="J2608" s="69">
        <f t="shared" si="80"/>
        <v>6</v>
      </c>
      <c r="K2608" s="69">
        <f t="shared" si="81"/>
        <v>44</v>
      </c>
      <c r="L2608" s="69">
        <f>VLOOKUP(Table_db1_backend_Daily.accdb[[#This Row],[TradingDate]],canon!B:E,4,0)</f>
        <v>30</v>
      </c>
    </row>
    <row r="2609" spans="1:12" x14ac:dyDescent="0.2">
      <c r="A2609" s="69" t="s">
        <v>44</v>
      </c>
      <c r="B2609" s="70">
        <v>42944</v>
      </c>
      <c r="C2609" s="69">
        <v>144</v>
      </c>
      <c r="D2609" s="69">
        <v>0</v>
      </c>
      <c r="E2609" s="69">
        <v>0</v>
      </c>
      <c r="F2609" s="69">
        <v>0</v>
      </c>
      <c r="G2609" s="69" t="s">
        <v>23</v>
      </c>
      <c r="H2609" s="69" t="str">
        <f>IFERROR(VLOOKUP(Data!$G2609,canon!$I$2:$K$27,2,FALSE),"")</f>
        <v>SH&amp;BL</v>
      </c>
      <c r="I2609" s="69" t="str">
        <f>IFERROR(VLOOKUP(Data!$G2609,canon!$I$2:$K$27,3,FALSE),"")</f>
        <v>APPAREL</v>
      </c>
      <c r="J2609" s="69">
        <f t="shared" si="80"/>
        <v>6</v>
      </c>
      <c r="K2609" s="69">
        <f t="shared" si="81"/>
        <v>44</v>
      </c>
      <c r="L2609" s="69">
        <f>VLOOKUP(Table_db1_backend_Daily.accdb[[#This Row],[TradingDate]],canon!B:E,4,0)</f>
        <v>30</v>
      </c>
    </row>
    <row r="2610" spans="1:12" x14ac:dyDescent="0.2">
      <c r="A2610" s="69" t="s">
        <v>44</v>
      </c>
      <c r="B2610" s="70">
        <v>42944</v>
      </c>
      <c r="C2610" s="69">
        <v>478</v>
      </c>
      <c r="D2610" s="69">
        <v>2</v>
      </c>
      <c r="E2610" s="69">
        <v>18.18</v>
      </c>
      <c r="F2610" s="69">
        <v>2.52</v>
      </c>
      <c r="G2610" s="69" t="s">
        <v>32</v>
      </c>
      <c r="H2610" s="69" t="str">
        <f>IFERROR(VLOOKUP(Data!$G2610,canon!$I$2:$K$27,2,FALSE),"")</f>
        <v>SKIRT</v>
      </c>
      <c r="I2610" s="69" t="str">
        <f>IFERROR(VLOOKUP(Data!$G2610,canon!$I$2:$K$27,3,FALSE),"")</f>
        <v>APPAREL</v>
      </c>
      <c r="J2610" s="69">
        <f t="shared" si="80"/>
        <v>6</v>
      </c>
      <c r="K2610" s="69">
        <f t="shared" si="81"/>
        <v>44</v>
      </c>
      <c r="L2610" s="69">
        <f>VLOOKUP(Table_db1_backend_Daily.accdb[[#This Row],[TradingDate]],canon!B:E,4,0)</f>
        <v>30</v>
      </c>
    </row>
    <row r="2611" spans="1:12" x14ac:dyDescent="0.2">
      <c r="A2611" s="69" t="s">
        <v>44</v>
      </c>
      <c r="B2611" s="70">
        <v>42944</v>
      </c>
      <c r="C2611" s="69">
        <v>1370</v>
      </c>
      <c r="D2611" s="69">
        <v>12</v>
      </c>
      <c r="E2611" s="69">
        <v>59.13</v>
      </c>
      <c r="F2611" s="69">
        <v>-11.280000000000001</v>
      </c>
      <c r="G2611" s="69" t="s">
        <v>25</v>
      </c>
      <c r="H2611" s="69" t="str">
        <f>IFERROR(VLOOKUP(Data!$G2611,canon!$I$2:$K$27,2,FALSE),"")</f>
        <v>TOP</v>
      </c>
      <c r="I2611" s="69" t="str">
        <f>IFERROR(VLOOKUP(Data!$G2611,canon!$I$2:$K$27,3,FALSE),"")</f>
        <v>APPAREL</v>
      </c>
      <c r="J2611" s="69">
        <f t="shared" si="80"/>
        <v>6</v>
      </c>
      <c r="K2611" s="69">
        <f t="shared" si="81"/>
        <v>44</v>
      </c>
      <c r="L2611" s="69">
        <f>VLOOKUP(Table_db1_backend_Daily.accdb[[#This Row],[TradingDate]],canon!B:E,4,0)</f>
        <v>30</v>
      </c>
    </row>
    <row r="2612" spans="1:12" x14ac:dyDescent="0.2">
      <c r="A2612" s="69" t="s">
        <v>44</v>
      </c>
      <c r="B2612" s="70">
        <v>42945</v>
      </c>
      <c r="C2612" s="69">
        <v>33</v>
      </c>
      <c r="D2612" s="69">
        <v>0</v>
      </c>
      <c r="E2612" s="69">
        <v>0</v>
      </c>
      <c r="F2612" s="69">
        <v>0</v>
      </c>
      <c r="G2612" s="69" t="s">
        <v>34</v>
      </c>
      <c r="H2612" s="69" t="str">
        <f>IFERROR(VLOOKUP(Data!$G2612,canon!$I$2:$K$27,2,FALSE),"")</f>
        <v>SHOES</v>
      </c>
      <c r="I2612" s="69" t="str">
        <f>IFERROR(VLOOKUP(Data!$G2612,canon!$I$2:$K$27,3,FALSE),"")</f>
        <v>N.APPAREL</v>
      </c>
      <c r="J2612" s="69">
        <f t="shared" si="80"/>
        <v>7</v>
      </c>
      <c r="K2612" s="69">
        <f t="shared" si="81"/>
        <v>44</v>
      </c>
      <c r="L2612" s="69">
        <f>VLOOKUP(Table_db1_backend_Daily.accdb[[#This Row],[TradingDate]],canon!B:E,4,0)</f>
        <v>30</v>
      </c>
    </row>
    <row r="2613" spans="1:12" x14ac:dyDescent="0.2">
      <c r="A2613" s="69" t="s">
        <v>44</v>
      </c>
      <c r="B2613" s="70">
        <v>42945</v>
      </c>
      <c r="C2613" s="69">
        <v>2</v>
      </c>
      <c r="D2613" s="69">
        <v>0</v>
      </c>
      <c r="E2613" s="69">
        <v>0</v>
      </c>
      <c r="F2613" s="69">
        <v>0</v>
      </c>
      <c r="G2613" s="69" t="s">
        <v>38</v>
      </c>
      <c r="H2613" s="69" t="str">
        <f>IFERROR(VLOOKUP(Data!$G2613,canon!$I$2:$K$27,2,FALSE),"")</f>
        <v>SHOES</v>
      </c>
      <c r="I2613" s="69" t="str">
        <f>IFERROR(VLOOKUP(Data!$G2613,canon!$I$2:$K$27,3,FALSE),"")</f>
        <v>N.APPAREL</v>
      </c>
      <c r="J2613" s="69">
        <f t="shared" si="80"/>
        <v>7</v>
      </c>
      <c r="K2613" s="69">
        <f t="shared" si="81"/>
        <v>44</v>
      </c>
      <c r="L2613" s="69">
        <f>VLOOKUP(Table_db1_backend_Daily.accdb[[#This Row],[TradingDate]],canon!B:E,4,0)</f>
        <v>30</v>
      </c>
    </row>
    <row r="2614" spans="1:12" x14ac:dyDescent="0.2">
      <c r="A2614" s="69" t="s">
        <v>44</v>
      </c>
      <c r="B2614" s="70">
        <v>42945</v>
      </c>
      <c r="C2614" s="69">
        <v>578</v>
      </c>
      <c r="D2614" s="69">
        <v>0</v>
      </c>
      <c r="E2614" s="69">
        <v>0</v>
      </c>
      <c r="F2614" s="69">
        <v>0</v>
      </c>
      <c r="G2614" s="69" t="s">
        <v>35</v>
      </c>
      <c r="H2614" s="69" t="str">
        <f>IFERROR(VLOOKUP(Data!$G2614,canon!$I$2:$K$27,2,FALSE),"")</f>
        <v>DRESS</v>
      </c>
      <c r="I2614" s="69" t="str">
        <f>IFERROR(VLOOKUP(Data!$G2614,canon!$I$2:$K$27,3,FALSE),"")</f>
        <v>APPAREL</v>
      </c>
      <c r="J2614" s="69">
        <f t="shared" si="80"/>
        <v>7</v>
      </c>
      <c r="K2614" s="69">
        <f t="shared" si="81"/>
        <v>44</v>
      </c>
      <c r="L2614" s="69">
        <f>VLOOKUP(Table_db1_backend_Daily.accdb[[#This Row],[TradingDate]],canon!B:E,4,0)</f>
        <v>30</v>
      </c>
    </row>
    <row r="2615" spans="1:12" x14ac:dyDescent="0.2">
      <c r="A2615" s="69" t="s">
        <v>44</v>
      </c>
      <c r="B2615" s="70">
        <v>42945</v>
      </c>
      <c r="C2615" s="69">
        <v>34</v>
      </c>
      <c r="D2615" s="69">
        <v>0</v>
      </c>
      <c r="E2615" s="69">
        <v>0</v>
      </c>
      <c r="F2615" s="69">
        <v>0</v>
      </c>
      <c r="G2615" s="69" t="s">
        <v>10</v>
      </c>
      <c r="H2615" s="69" t="str">
        <f>IFERROR(VLOOKUP(Data!$G2615,canon!$I$2:$K$27,2,FALSE),"")</f>
        <v>ACCESSORY</v>
      </c>
      <c r="I2615" s="69" t="str">
        <f>IFERROR(VLOOKUP(Data!$G2615,canon!$I$2:$K$27,3,FALSE),"")</f>
        <v>N.APPAREL</v>
      </c>
      <c r="J2615" s="69">
        <f t="shared" si="80"/>
        <v>7</v>
      </c>
      <c r="K2615" s="69">
        <f t="shared" si="81"/>
        <v>44</v>
      </c>
      <c r="L2615" s="69">
        <f>VLOOKUP(Table_db1_backend_Daily.accdb[[#This Row],[TradingDate]],canon!B:E,4,0)</f>
        <v>30</v>
      </c>
    </row>
    <row r="2616" spans="1:12" x14ac:dyDescent="0.2">
      <c r="A2616" s="69" t="s">
        <v>44</v>
      </c>
      <c r="B2616" s="70">
        <v>42945</v>
      </c>
      <c r="C2616" s="69">
        <v>2</v>
      </c>
      <c r="D2616" s="69">
        <v>0</v>
      </c>
      <c r="E2616" s="69">
        <v>0</v>
      </c>
      <c r="F2616" s="69">
        <v>0</v>
      </c>
      <c r="G2616" s="69" t="s">
        <v>28</v>
      </c>
      <c r="H2616" s="69" t="str">
        <f>IFERROR(VLOOKUP(Data!$G2616,canon!$I$2:$K$27,2,FALSE),"")</f>
        <v>ACCESSORY</v>
      </c>
      <c r="I2616" s="69" t="str">
        <f>IFERROR(VLOOKUP(Data!$G2616,canon!$I$2:$K$27,3,FALSE),"")</f>
        <v>N.APPAREL</v>
      </c>
      <c r="J2616" s="69">
        <f t="shared" si="80"/>
        <v>7</v>
      </c>
      <c r="K2616" s="69">
        <f t="shared" si="81"/>
        <v>44</v>
      </c>
      <c r="L2616" s="69">
        <f>VLOOKUP(Table_db1_backend_Daily.accdb[[#This Row],[TradingDate]],canon!B:E,4,0)</f>
        <v>30</v>
      </c>
    </row>
    <row r="2617" spans="1:12" x14ac:dyDescent="0.2">
      <c r="A2617" s="69" t="s">
        <v>44</v>
      </c>
      <c r="B2617" s="70">
        <v>42945</v>
      </c>
      <c r="C2617" s="69">
        <v>1764</v>
      </c>
      <c r="D2617" s="69">
        <v>41</v>
      </c>
      <c r="E2617" s="69">
        <v>354.33</v>
      </c>
      <c r="F2617" s="69">
        <v>33.93</v>
      </c>
      <c r="G2617" s="69" t="s">
        <v>11</v>
      </c>
      <c r="H2617" s="69" t="str">
        <f>IFERROR(VLOOKUP(Data!$G2617,canon!$I$2:$K$27,2,FALSE),"")</f>
        <v>KNIT</v>
      </c>
      <c r="I2617" s="69" t="str">
        <f>IFERROR(VLOOKUP(Data!$G2617,canon!$I$2:$K$27,3,FALSE),"")</f>
        <v>APPAREL</v>
      </c>
      <c r="J2617" s="69">
        <f t="shared" si="80"/>
        <v>7</v>
      </c>
      <c r="K2617" s="69">
        <f t="shared" si="81"/>
        <v>44</v>
      </c>
      <c r="L2617" s="69">
        <f>VLOOKUP(Table_db1_backend_Daily.accdb[[#This Row],[TradingDate]],canon!B:E,4,0)</f>
        <v>30</v>
      </c>
    </row>
    <row r="2618" spans="1:12" x14ac:dyDescent="0.2">
      <c r="A2618" s="69" t="s">
        <v>44</v>
      </c>
      <c r="B2618" s="70">
        <v>42945</v>
      </c>
      <c r="C2618" s="69">
        <v>479</v>
      </c>
      <c r="D2618" s="69">
        <v>4</v>
      </c>
      <c r="E2618" s="69">
        <v>72.67</v>
      </c>
      <c r="F2618" s="69">
        <v>49.42</v>
      </c>
      <c r="G2618" s="69" t="s">
        <v>14</v>
      </c>
      <c r="H2618" s="69" t="str">
        <f>IFERROR(VLOOKUP(Data!$G2618,canon!$I$2:$K$27,2,FALSE),"")</f>
        <v>LEGGING</v>
      </c>
      <c r="I2618" s="69" t="str">
        <f>IFERROR(VLOOKUP(Data!$G2618,canon!$I$2:$K$27,3,FALSE),"")</f>
        <v>APPAREL</v>
      </c>
      <c r="J2618" s="69">
        <f t="shared" si="80"/>
        <v>7</v>
      </c>
      <c r="K2618" s="69">
        <f t="shared" si="81"/>
        <v>44</v>
      </c>
      <c r="L2618" s="69">
        <f>VLOOKUP(Table_db1_backend_Daily.accdb[[#This Row],[TradingDate]],canon!B:E,4,0)</f>
        <v>30</v>
      </c>
    </row>
    <row r="2619" spans="1:12" x14ac:dyDescent="0.2">
      <c r="A2619" s="69" t="s">
        <v>44</v>
      </c>
      <c r="B2619" s="70">
        <v>42945</v>
      </c>
      <c r="C2619" s="69">
        <v>23</v>
      </c>
      <c r="D2619" s="69">
        <v>0</v>
      </c>
      <c r="E2619" s="69">
        <v>0</v>
      </c>
      <c r="F2619" s="69">
        <v>0</v>
      </c>
      <c r="G2619" s="69" t="s">
        <v>37</v>
      </c>
      <c r="H2619" s="69" t="str">
        <f>IFERROR(VLOOKUP(Data!$G2619,canon!$I$2:$K$27,2,FALSE),"")</f>
        <v>SHOES</v>
      </c>
      <c r="I2619" s="69" t="str">
        <f>IFERROR(VLOOKUP(Data!$G2619,canon!$I$2:$K$27,3,FALSE),"")</f>
        <v>N.APPAREL</v>
      </c>
      <c r="J2619" s="69">
        <f t="shared" si="80"/>
        <v>7</v>
      </c>
      <c r="K2619" s="69">
        <f t="shared" si="81"/>
        <v>44</v>
      </c>
      <c r="L2619" s="69">
        <f>VLOOKUP(Table_db1_backend_Daily.accdb[[#This Row],[TradingDate]],canon!B:E,4,0)</f>
        <v>30</v>
      </c>
    </row>
    <row r="2620" spans="1:12" x14ac:dyDescent="0.2">
      <c r="A2620" s="69" t="s">
        <v>44</v>
      </c>
      <c r="B2620" s="70">
        <v>42945</v>
      </c>
      <c r="C2620" s="69">
        <v>65</v>
      </c>
      <c r="D2620" s="69">
        <v>0</v>
      </c>
      <c r="E2620" s="69">
        <v>0</v>
      </c>
      <c r="F2620" s="69">
        <v>0</v>
      </c>
      <c r="G2620" s="69" t="s">
        <v>29</v>
      </c>
      <c r="H2620" s="69" t="str">
        <f>IFERROR(VLOOKUP(Data!$G2620,canon!$I$2:$K$27,2,FALSE),"")</f>
        <v>SHOES</v>
      </c>
      <c r="I2620" s="69" t="str">
        <f>IFERROR(VLOOKUP(Data!$G2620,canon!$I$2:$K$27,3,FALSE),"")</f>
        <v>N.APPAREL</v>
      </c>
      <c r="J2620" s="69">
        <f t="shared" si="80"/>
        <v>7</v>
      </c>
      <c r="K2620" s="69">
        <f t="shared" si="81"/>
        <v>44</v>
      </c>
      <c r="L2620" s="69">
        <f>VLOOKUP(Table_db1_backend_Daily.accdb[[#This Row],[TradingDate]],canon!B:E,4,0)</f>
        <v>30</v>
      </c>
    </row>
    <row r="2621" spans="1:12" x14ac:dyDescent="0.2">
      <c r="A2621" s="69" t="s">
        <v>44</v>
      </c>
      <c r="B2621" s="70">
        <v>42945</v>
      </c>
      <c r="C2621" s="69">
        <v>661</v>
      </c>
      <c r="D2621" s="69">
        <v>5</v>
      </c>
      <c r="E2621" s="69">
        <v>81.81</v>
      </c>
      <c r="F2621" s="69">
        <v>48.769999999999996</v>
      </c>
      <c r="G2621" s="69" t="s">
        <v>17</v>
      </c>
      <c r="H2621" s="69" t="str">
        <f>IFERROR(VLOOKUP(Data!$G2621,canon!$I$2:$K$27,2,FALSE),"")</f>
        <v>OUTER</v>
      </c>
      <c r="I2621" s="69" t="str">
        <f>IFERROR(VLOOKUP(Data!$G2621,canon!$I$2:$K$27,3,FALSE),"")</f>
        <v>APPAREL</v>
      </c>
      <c r="J2621" s="69">
        <f t="shared" si="80"/>
        <v>7</v>
      </c>
      <c r="K2621" s="69">
        <f t="shared" si="81"/>
        <v>44</v>
      </c>
      <c r="L2621" s="69">
        <f>VLOOKUP(Table_db1_backend_Daily.accdb[[#This Row],[TradingDate]],canon!B:E,4,0)</f>
        <v>30</v>
      </c>
    </row>
    <row r="2622" spans="1:12" x14ac:dyDescent="0.2">
      <c r="A2622" s="69" t="s">
        <v>44</v>
      </c>
      <c r="B2622" s="70">
        <v>42945</v>
      </c>
      <c r="C2622" s="69">
        <v>379</v>
      </c>
      <c r="D2622" s="69">
        <v>0</v>
      </c>
      <c r="E2622" s="69">
        <v>0</v>
      </c>
      <c r="F2622" s="69">
        <v>0</v>
      </c>
      <c r="G2622" s="69" t="s">
        <v>19</v>
      </c>
      <c r="H2622" s="69" t="str">
        <f>IFERROR(VLOOKUP(Data!$G2622,canon!$I$2:$K$27,2,FALSE),"")</f>
        <v>PANT</v>
      </c>
      <c r="I2622" s="69" t="str">
        <f>IFERROR(VLOOKUP(Data!$G2622,canon!$I$2:$K$27,3,FALSE),"")</f>
        <v>APPAREL</v>
      </c>
      <c r="J2622" s="69">
        <f t="shared" si="80"/>
        <v>7</v>
      </c>
      <c r="K2622" s="69">
        <f t="shared" si="81"/>
        <v>44</v>
      </c>
      <c r="L2622" s="69">
        <f>VLOOKUP(Table_db1_backend_Daily.accdb[[#This Row],[TradingDate]],canon!B:E,4,0)</f>
        <v>30</v>
      </c>
    </row>
    <row r="2623" spans="1:12" x14ac:dyDescent="0.2">
      <c r="A2623" s="69" t="s">
        <v>44</v>
      </c>
      <c r="B2623" s="70">
        <v>42945</v>
      </c>
      <c r="C2623" s="69">
        <v>78</v>
      </c>
      <c r="D2623" s="69">
        <v>0</v>
      </c>
      <c r="E2623" s="69">
        <v>0</v>
      </c>
      <c r="F2623" s="69">
        <v>0</v>
      </c>
      <c r="G2623" s="69" t="s">
        <v>21</v>
      </c>
      <c r="H2623" s="69" t="str">
        <f>IFERROR(VLOOKUP(Data!$G2623,canon!$I$2:$K$27,2,FALSE),"")</f>
        <v>ACCESSORY</v>
      </c>
      <c r="I2623" s="69" t="str">
        <f>IFERROR(VLOOKUP(Data!$G2623,canon!$I$2:$K$27,3,FALSE),"")</f>
        <v>N.APPAREL</v>
      </c>
      <c r="J2623" s="69">
        <f t="shared" si="80"/>
        <v>7</v>
      </c>
      <c r="K2623" s="69">
        <f t="shared" si="81"/>
        <v>44</v>
      </c>
      <c r="L2623" s="69">
        <f>VLOOKUP(Table_db1_backend_Daily.accdb[[#This Row],[TradingDate]],canon!B:E,4,0)</f>
        <v>30</v>
      </c>
    </row>
    <row r="2624" spans="1:12" x14ac:dyDescent="0.2">
      <c r="A2624" s="69" t="s">
        <v>44</v>
      </c>
      <c r="B2624" s="70">
        <v>42945</v>
      </c>
      <c r="C2624" s="69">
        <v>1051</v>
      </c>
      <c r="D2624" s="69">
        <v>9</v>
      </c>
      <c r="E2624" s="69">
        <v>65.040000000000006</v>
      </c>
      <c r="F2624" s="69">
        <v>48.43</v>
      </c>
      <c r="G2624" s="69" t="s">
        <v>22</v>
      </c>
      <c r="H2624" s="69" t="str">
        <f>IFERROR(VLOOKUP(Data!$G2624,canon!$I$2:$K$27,2,FALSE),"")</f>
        <v>SCARF</v>
      </c>
      <c r="I2624" s="69" t="str">
        <f>IFERROR(VLOOKUP(Data!$G2624,canon!$I$2:$K$27,3,FALSE),"")</f>
        <v>N.APPAREL</v>
      </c>
      <c r="J2624" s="69">
        <f t="shared" si="80"/>
        <v>7</v>
      </c>
      <c r="K2624" s="69">
        <f t="shared" si="81"/>
        <v>44</v>
      </c>
      <c r="L2624" s="69">
        <f>VLOOKUP(Table_db1_backend_Daily.accdb[[#This Row],[TradingDate]],canon!B:E,4,0)</f>
        <v>30</v>
      </c>
    </row>
    <row r="2625" spans="1:12" x14ac:dyDescent="0.2">
      <c r="A2625" s="69" t="s">
        <v>44</v>
      </c>
      <c r="B2625" s="70">
        <v>42945</v>
      </c>
      <c r="C2625" s="69">
        <v>144</v>
      </c>
      <c r="D2625" s="69">
        <v>0</v>
      </c>
      <c r="E2625" s="69">
        <v>0</v>
      </c>
      <c r="F2625" s="69">
        <v>0</v>
      </c>
      <c r="G2625" s="69" t="s">
        <v>23</v>
      </c>
      <c r="H2625" s="69" t="str">
        <f>IFERROR(VLOOKUP(Data!$G2625,canon!$I$2:$K$27,2,FALSE),"")</f>
        <v>SH&amp;BL</v>
      </c>
      <c r="I2625" s="69" t="str">
        <f>IFERROR(VLOOKUP(Data!$G2625,canon!$I$2:$K$27,3,FALSE),"")</f>
        <v>APPAREL</v>
      </c>
      <c r="J2625" s="69">
        <f t="shared" si="80"/>
        <v>7</v>
      </c>
      <c r="K2625" s="69">
        <f t="shared" si="81"/>
        <v>44</v>
      </c>
      <c r="L2625" s="69">
        <f>VLOOKUP(Table_db1_backend_Daily.accdb[[#This Row],[TradingDate]],canon!B:E,4,0)</f>
        <v>30</v>
      </c>
    </row>
    <row r="2626" spans="1:12" x14ac:dyDescent="0.2">
      <c r="A2626" s="69" t="s">
        <v>44</v>
      </c>
      <c r="B2626" s="70">
        <v>42945</v>
      </c>
      <c r="C2626" s="69">
        <v>478</v>
      </c>
      <c r="D2626" s="69">
        <v>0</v>
      </c>
      <c r="E2626" s="69">
        <v>0</v>
      </c>
      <c r="F2626" s="69">
        <v>0</v>
      </c>
      <c r="G2626" s="69" t="s">
        <v>32</v>
      </c>
      <c r="H2626" s="69" t="str">
        <f>IFERROR(VLOOKUP(Data!$G2626,canon!$I$2:$K$27,2,FALSE),"")</f>
        <v>SKIRT</v>
      </c>
      <c r="I2626" s="69" t="str">
        <f>IFERROR(VLOOKUP(Data!$G2626,canon!$I$2:$K$27,3,FALSE),"")</f>
        <v>APPAREL</v>
      </c>
      <c r="J2626" s="69">
        <f t="shared" ref="J2626:J2689" si="82">WEEKDAY(B2626)</f>
        <v>7</v>
      </c>
      <c r="K2626" s="69">
        <f t="shared" ref="K2626:K2689" si="83">INT(A2626)</f>
        <v>44</v>
      </c>
      <c r="L2626" s="69">
        <f>VLOOKUP(Table_db1_backend_Daily.accdb[[#This Row],[TradingDate]],canon!B:E,4,0)</f>
        <v>30</v>
      </c>
    </row>
    <row r="2627" spans="1:12" x14ac:dyDescent="0.2">
      <c r="A2627" s="69" t="s">
        <v>44</v>
      </c>
      <c r="B2627" s="70">
        <v>42945</v>
      </c>
      <c r="C2627" s="69">
        <v>1357</v>
      </c>
      <c r="D2627" s="69">
        <v>13</v>
      </c>
      <c r="E2627" s="69">
        <v>158.92000000000002</v>
      </c>
      <c r="F2627" s="69">
        <v>77.83</v>
      </c>
      <c r="G2627" s="69" t="s">
        <v>25</v>
      </c>
      <c r="H2627" s="69" t="str">
        <f>IFERROR(VLOOKUP(Data!$G2627,canon!$I$2:$K$27,2,FALSE),"")</f>
        <v>TOP</v>
      </c>
      <c r="I2627" s="69" t="str">
        <f>IFERROR(VLOOKUP(Data!$G2627,canon!$I$2:$K$27,3,FALSE),"")</f>
        <v>APPAREL</v>
      </c>
      <c r="J2627" s="69">
        <f t="shared" si="82"/>
        <v>7</v>
      </c>
      <c r="K2627" s="69">
        <f t="shared" si="83"/>
        <v>44</v>
      </c>
      <c r="L2627" s="69">
        <f>VLOOKUP(Table_db1_backend_Daily.accdb[[#This Row],[TradingDate]],canon!B:E,4,0)</f>
        <v>30</v>
      </c>
    </row>
    <row r="2628" spans="1:12" x14ac:dyDescent="0.2">
      <c r="A2628" s="69" t="s">
        <v>44</v>
      </c>
      <c r="B2628" s="70">
        <v>42946</v>
      </c>
      <c r="C2628" s="69">
        <v>33</v>
      </c>
      <c r="D2628" s="69">
        <v>0</v>
      </c>
      <c r="E2628" s="69">
        <v>0</v>
      </c>
      <c r="F2628" s="69">
        <v>0</v>
      </c>
      <c r="G2628" s="69" t="s">
        <v>34</v>
      </c>
      <c r="H2628" s="69" t="str">
        <f>IFERROR(VLOOKUP(Data!$G2628,canon!$I$2:$K$27,2,FALSE),"")</f>
        <v>SHOES</v>
      </c>
      <c r="I2628" s="69" t="str">
        <f>IFERROR(VLOOKUP(Data!$G2628,canon!$I$2:$K$27,3,FALSE),"")</f>
        <v>N.APPAREL</v>
      </c>
      <c r="J2628" s="69">
        <f t="shared" si="82"/>
        <v>1</v>
      </c>
      <c r="K2628" s="69">
        <f t="shared" si="83"/>
        <v>44</v>
      </c>
      <c r="L2628" s="69">
        <f>VLOOKUP(Table_db1_backend_Daily.accdb[[#This Row],[TradingDate]],canon!B:E,4,0)</f>
        <v>31</v>
      </c>
    </row>
    <row r="2629" spans="1:12" x14ac:dyDescent="0.2">
      <c r="A2629" s="69" t="s">
        <v>44</v>
      </c>
      <c r="B2629" s="70">
        <v>42946</v>
      </c>
      <c r="C2629" s="69">
        <v>2</v>
      </c>
      <c r="D2629" s="69">
        <v>0</v>
      </c>
      <c r="E2629" s="69">
        <v>0</v>
      </c>
      <c r="F2629" s="69">
        <v>0</v>
      </c>
      <c r="G2629" s="69" t="s">
        <v>38</v>
      </c>
      <c r="H2629" s="69" t="str">
        <f>IFERROR(VLOOKUP(Data!$G2629,canon!$I$2:$K$27,2,FALSE),"")</f>
        <v>SHOES</v>
      </c>
      <c r="I2629" s="69" t="str">
        <f>IFERROR(VLOOKUP(Data!$G2629,canon!$I$2:$K$27,3,FALSE),"")</f>
        <v>N.APPAREL</v>
      </c>
      <c r="J2629" s="69">
        <f t="shared" si="82"/>
        <v>1</v>
      </c>
      <c r="K2629" s="69">
        <f t="shared" si="83"/>
        <v>44</v>
      </c>
      <c r="L2629" s="69">
        <f>VLOOKUP(Table_db1_backend_Daily.accdb[[#This Row],[TradingDate]],canon!B:E,4,0)</f>
        <v>31</v>
      </c>
    </row>
    <row r="2630" spans="1:12" x14ac:dyDescent="0.2">
      <c r="A2630" s="69" t="s">
        <v>44</v>
      </c>
      <c r="B2630" s="70">
        <v>42946</v>
      </c>
      <c r="C2630" s="69">
        <v>578</v>
      </c>
      <c r="D2630" s="69">
        <v>0</v>
      </c>
      <c r="E2630" s="69">
        <v>0</v>
      </c>
      <c r="F2630" s="69">
        <v>0</v>
      </c>
      <c r="G2630" s="69" t="s">
        <v>35</v>
      </c>
      <c r="H2630" s="69" t="str">
        <f>IFERROR(VLOOKUP(Data!$G2630,canon!$I$2:$K$27,2,FALSE),"")</f>
        <v>DRESS</v>
      </c>
      <c r="I2630" s="69" t="str">
        <f>IFERROR(VLOOKUP(Data!$G2630,canon!$I$2:$K$27,3,FALSE),"")</f>
        <v>APPAREL</v>
      </c>
      <c r="J2630" s="69">
        <f t="shared" si="82"/>
        <v>1</v>
      </c>
      <c r="K2630" s="69">
        <f t="shared" si="83"/>
        <v>44</v>
      </c>
      <c r="L2630" s="69">
        <f>VLOOKUP(Table_db1_backend_Daily.accdb[[#This Row],[TradingDate]],canon!B:E,4,0)</f>
        <v>31</v>
      </c>
    </row>
    <row r="2631" spans="1:12" x14ac:dyDescent="0.2">
      <c r="A2631" s="69" t="s">
        <v>44</v>
      </c>
      <c r="B2631" s="70">
        <v>42946</v>
      </c>
      <c r="C2631" s="69">
        <v>34</v>
      </c>
      <c r="D2631" s="69">
        <v>0</v>
      </c>
      <c r="E2631" s="69">
        <v>0</v>
      </c>
      <c r="F2631" s="69">
        <v>0</v>
      </c>
      <c r="G2631" s="69" t="s">
        <v>10</v>
      </c>
      <c r="H2631" s="69" t="str">
        <f>IFERROR(VLOOKUP(Data!$G2631,canon!$I$2:$K$27,2,FALSE),"")</f>
        <v>ACCESSORY</v>
      </c>
      <c r="I2631" s="69" t="str">
        <f>IFERROR(VLOOKUP(Data!$G2631,canon!$I$2:$K$27,3,FALSE),"")</f>
        <v>N.APPAREL</v>
      </c>
      <c r="J2631" s="69">
        <f t="shared" si="82"/>
        <v>1</v>
      </c>
      <c r="K2631" s="69">
        <f t="shared" si="83"/>
        <v>44</v>
      </c>
      <c r="L2631" s="69">
        <f>VLOOKUP(Table_db1_backend_Daily.accdb[[#This Row],[TradingDate]],canon!B:E,4,0)</f>
        <v>31</v>
      </c>
    </row>
    <row r="2632" spans="1:12" x14ac:dyDescent="0.2">
      <c r="A2632" s="69" t="s">
        <v>44</v>
      </c>
      <c r="B2632" s="70">
        <v>42946</v>
      </c>
      <c r="C2632" s="69">
        <v>2</v>
      </c>
      <c r="D2632" s="69">
        <v>0</v>
      </c>
      <c r="E2632" s="69">
        <v>0</v>
      </c>
      <c r="F2632" s="69">
        <v>0</v>
      </c>
      <c r="G2632" s="69" t="s">
        <v>28</v>
      </c>
      <c r="H2632" s="69" t="str">
        <f>IFERROR(VLOOKUP(Data!$G2632,canon!$I$2:$K$27,2,FALSE),"")</f>
        <v>ACCESSORY</v>
      </c>
      <c r="I2632" s="69" t="str">
        <f>IFERROR(VLOOKUP(Data!$G2632,canon!$I$2:$K$27,3,FALSE),"")</f>
        <v>N.APPAREL</v>
      </c>
      <c r="J2632" s="69">
        <f t="shared" si="82"/>
        <v>1</v>
      </c>
      <c r="K2632" s="69">
        <f t="shared" si="83"/>
        <v>44</v>
      </c>
      <c r="L2632" s="69">
        <f>VLOOKUP(Table_db1_backend_Daily.accdb[[#This Row],[TradingDate]],canon!B:E,4,0)</f>
        <v>31</v>
      </c>
    </row>
    <row r="2633" spans="1:12" x14ac:dyDescent="0.2">
      <c r="A2633" s="69" t="s">
        <v>44</v>
      </c>
      <c r="B2633" s="70">
        <v>42946</v>
      </c>
      <c r="C2633" s="69">
        <v>1745</v>
      </c>
      <c r="D2633" s="69">
        <v>19</v>
      </c>
      <c r="E2633" s="69">
        <v>136.32</v>
      </c>
      <c r="F2633" s="69">
        <v>-12.559999999999997</v>
      </c>
      <c r="G2633" s="69" t="s">
        <v>11</v>
      </c>
      <c r="H2633" s="69" t="str">
        <f>IFERROR(VLOOKUP(Data!$G2633,canon!$I$2:$K$27,2,FALSE),"")</f>
        <v>KNIT</v>
      </c>
      <c r="I2633" s="69" t="str">
        <f>IFERROR(VLOOKUP(Data!$G2633,canon!$I$2:$K$27,3,FALSE),"")</f>
        <v>APPAREL</v>
      </c>
      <c r="J2633" s="69">
        <f t="shared" si="82"/>
        <v>1</v>
      </c>
      <c r="K2633" s="69">
        <f t="shared" si="83"/>
        <v>44</v>
      </c>
      <c r="L2633" s="69">
        <f>VLOOKUP(Table_db1_backend_Daily.accdb[[#This Row],[TradingDate]],canon!B:E,4,0)</f>
        <v>31</v>
      </c>
    </row>
    <row r="2634" spans="1:12" x14ac:dyDescent="0.2">
      <c r="A2634" s="69" t="s">
        <v>44</v>
      </c>
      <c r="B2634" s="70">
        <v>42946</v>
      </c>
      <c r="C2634" s="69">
        <v>479</v>
      </c>
      <c r="D2634" s="69">
        <v>0</v>
      </c>
      <c r="E2634" s="69">
        <v>0</v>
      </c>
      <c r="F2634" s="69">
        <v>0</v>
      </c>
      <c r="G2634" s="69" t="s">
        <v>14</v>
      </c>
      <c r="H2634" s="69" t="str">
        <f>IFERROR(VLOOKUP(Data!$G2634,canon!$I$2:$K$27,2,FALSE),"")</f>
        <v>LEGGING</v>
      </c>
      <c r="I2634" s="69" t="str">
        <f>IFERROR(VLOOKUP(Data!$G2634,canon!$I$2:$K$27,3,FALSE),"")</f>
        <v>APPAREL</v>
      </c>
      <c r="J2634" s="69">
        <f t="shared" si="82"/>
        <v>1</v>
      </c>
      <c r="K2634" s="69">
        <f t="shared" si="83"/>
        <v>44</v>
      </c>
      <c r="L2634" s="69">
        <f>VLOOKUP(Table_db1_backend_Daily.accdb[[#This Row],[TradingDate]],canon!B:E,4,0)</f>
        <v>31</v>
      </c>
    </row>
    <row r="2635" spans="1:12" x14ac:dyDescent="0.2">
      <c r="A2635" s="69" t="s">
        <v>44</v>
      </c>
      <c r="B2635" s="70">
        <v>42946</v>
      </c>
      <c r="C2635" s="69">
        <v>23</v>
      </c>
      <c r="D2635" s="69">
        <v>0</v>
      </c>
      <c r="E2635" s="69">
        <v>0</v>
      </c>
      <c r="F2635" s="69">
        <v>0</v>
      </c>
      <c r="G2635" s="69" t="s">
        <v>37</v>
      </c>
      <c r="H2635" s="69" t="str">
        <f>IFERROR(VLOOKUP(Data!$G2635,canon!$I$2:$K$27,2,FALSE),"")</f>
        <v>SHOES</v>
      </c>
      <c r="I2635" s="69" t="str">
        <f>IFERROR(VLOOKUP(Data!$G2635,canon!$I$2:$K$27,3,FALSE),"")</f>
        <v>N.APPAREL</v>
      </c>
      <c r="J2635" s="69">
        <f t="shared" si="82"/>
        <v>1</v>
      </c>
      <c r="K2635" s="69">
        <f t="shared" si="83"/>
        <v>44</v>
      </c>
      <c r="L2635" s="69">
        <f>VLOOKUP(Table_db1_backend_Daily.accdb[[#This Row],[TradingDate]],canon!B:E,4,0)</f>
        <v>31</v>
      </c>
    </row>
    <row r="2636" spans="1:12" x14ac:dyDescent="0.2">
      <c r="A2636" s="69" t="s">
        <v>44</v>
      </c>
      <c r="B2636" s="70">
        <v>42946</v>
      </c>
      <c r="C2636" s="69">
        <v>65</v>
      </c>
      <c r="D2636" s="69">
        <v>0</v>
      </c>
      <c r="E2636" s="69">
        <v>0</v>
      </c>
      <c r="F2636" s="69">
        <v>0</v>
      </c>
      <c r="G2636" s="69" t="s">
        <v>29</v>
      </c>
      <c r="H2636" s="69" t="str">
        <f>IFERROR(VLOOKUP(Data!$G2636,canon!$I$2:$K$27,2,FALSE),"")</f>
        <v>SHOES</v>
      </c>
      <c r="I2636" s="69" t="str">
        <f>IFERROR(VLOOKUP(Data!$G2636,canon!$I$2:$K$27,3,FALSE),"")</f>
        <v>N.APPAREL</v>
      </c>
      <c r="J2636" s="69">
        <f t="shared" si="82"/>
        <v>1</v>
      </c>
      <c r="K2636" s="69">
        <f t="shared" si="83"/>
        <v>44</v>
      </c>
      <c r="L2636" s="69">
        <f>VLOOKUP(Table_db1_backend_Daily.accdb[[#This Row],[TradingDate]],canon!B:E,4,0)</f>
        <v>31</v>
      </c>
    </row>
    <row r="2637" spans="1:12" x14ac:dyDescent="0.2">
      <c r="A2637" s="69" t="s">
        <v>44</v>
      </c>
      <c r="B2637" s="70">
        <v>42946</v>
      </c>
      <c r="C2637" s="69">
        <v>660</v>
      </c>
      <c r="D2637" s="69">
        <v>1</v>
      </c>
      <c r="E2637" s="69">
        <v>18.18</v>
      </c>
      <c r="F2637" s="69">
        <v>11.66</v>
      </c>
      <c r="G2637" s="69" t="s">
        <v>17</v>
      </c>
      <c r="H2637" s="69" t="str">
        <f>IFERROR(VLOOKUP(Data!$G2637,canon!$I$2:$K$27,2,FALSE),"")</f>
        <v>OUTER</v>
      </c>
      <c r="I2637" s="69" t="str">
        <f>IFERROR(VLOOKUP(Data!$G2637,canon!$I$2:$K$27,3,FALSE),"")</f>
        <v>APPAREL</v>
      </c>
      <c r="J2637" s="69">
        <f t="shared" si="82"/>
        <v>1</v>
      </c>
      <c r="K2637" s="69">
        <f t="shared" si="83"/>
        <v>44</v>
      </c>
      <c r="L2637" s="69">
        <f>VLOOKUP(Table_db1_backend_Daily.accdb[[#This Row],[TradingDate]],canon!B:E,4,0)</f>
        <v>31</v>
      </c>
    </row>
    <row r="2638" spans="1:12" x14ac:dyDescent="0.2">
      <c r="A2638" s="69" t="s">
        <v>44</v>
      </c>
      <c r="B2638" s="70">
        <v>42946</v>
      </c>
      <c r="C2638" s="69">
        <v>378</v>
      </c>
      <c r="D2638" s="69">
        <v>1</v>
      </c>
      <c r="E2638" s="69">
        <v>9.09</v>
      </c>
      <c r="F2638" s="69">
        <v>3.33</v>
      </c>
      <c r="G2638" s="69" t="s">
        <v>19</v>
      </c>
      <c r="H2638" s="69" t="str">
        <f>IFERROR(VLOOKUP(Data!$G2638,canon!$I$2:$K$27,2,FALSE),"")</f>
        <v>PANT</v>
      </c>
      <c r="I2638" s="69" t="str">
        <f>IFERROR(VLOOKUP(Data!$G2638,canon!$I$2:$K$27,3,FALSE),"")</f>
        <v>APPAREL</v>
      </c>
      <c r="J2638" s="69">
        <f t="shared" si="82"/>
        <v>1</v>
      </c>
      <c r="K2638" s="69">
        <f t="shared" si="83"/>
        <v>44</v>
      </c>
      <c r="L2638" s="69">
        <f>VLOOKUP(Table_db1_backend_Daily.accdb[[#This Row],[TradingDate]],canon!B:E,4,0)</f>
        <v>31</v>
      </c>
    </row>
    <row r="2639" spans="1:12" x14ac:dyDescent="0.2">
      <c r="A2639" s="69" t="s">
        <v>44</v>
      </c>
      <c r="B2639" s="70">
        <v>42946</v>
      </c>
      <c r="C2639" s="69">
        <v>78</v>
      </c>
      <c r="D2639" s="69">
        <v>0</v>
      </c>
      <c r="E2639" s="69">
        <v>0</v>
      </c>
      <c r="F2639" s="69">
        <v>0</v>
      </c>
      <c r="G2639" s="69" t="s">
        <v>21</v>
      </c>
      <c r="H2639" s="69" t="str">
        <f>IFERROR(VLOOKUP(Data!$G2639,canon!$I$2:$K$27,2,FALSE),"")</f>
        <v>ACCESSORY</v>
      </c>
      <c r="I2639" s="69" t="str">
        <f>IFERROR(VLOOKUP(Data!$G2639,canon!$I$2:$K$27,3,FALSE),"")</f>
        <v>N.APPAREL</v>
      </c>
      <c r="J2639" s="69">
        <f t="shared" si="82"/>
        <v>1</v>
      </c>
      <c r="K2639" s="69">
        <f t="shared" si="83"/>
        <v>44</v>
      </c>
      <c r="L2639" s="69">
        <f>VLOOKUP(Table_db1_backend_Daily.accdb[[#This Row],[TradingDate]],canon!B:E,4,0)</f>
        <v>31</v>
      </c>
    </row>
    <row r="2640" spans="1:12" x14ac:dyDescent="0.2">
      <c r="A2640" s="69" t="s">
        <v>44</v>
      </c>
      <c r="B2640" s="70">
        <v>42946</v>
      </c>
      <c r="C2640" s="69">
        <v>1050</v>
      </c>
      <c r="D2640" s="69">
        <v>1</v>
      </c>
      <c r="E2640" s="69">
        <v>7.23</v>
      </c>
      <c r="F2640" s="69">
        <v>5.93</v>
      </c>
      <c r="G2640" s="69" t="s">
        <v>22</v>
      </c>
      <c r="H2640" s="69" t="str">
        <f>IFERROR(VLOOKUP(Data!$G2640,canon!$I$2:$K$27,2,FALSE),"")</f>
        <v>SCARF</v>
      </c>
      <c r="I2640" s="69" t="str">
        <f>IFERROR(VLOOKUP(Data!$G2640,canon!$I$2:$K$27,3,FALSE),"")</f>
        <v>N.APPAREL</v>
      </c>
      <c r="J2640" s="69">
        <f t="shared" si="82"/>
        <v>1</v>
      </c>
      <c r="K2640" s="69">
        <f t="shared" si="83"/>
        <v>44</v>
      </c>
      <c r="L2640" s="69">
        <f>VLOOKUP(Table_db1_backend_Daily.accdb[[#This Row],[TradingDate]],canon!B:E,4,0)</f>
        <v>31</v>
      </c>
    </row>
    <row r="2641" spans="1:12" x14ac:dyDescent="0.2">
      <c r="A2641" s="69" t="s">
        <v>44</v>
      </c>
      <c r="B2641" s="70">
        <v>42946</v>
      </c>
      <c r="C2641" s="69">
        <v>144</v>
      </c>
      <c r="D2641" s="69">
        <v>0</v>
      </c>
      <c r="E2641" s="69">
        <v>0</v>
      </c>
      <c r="F2641" s="69">
        <v>0</v>
      </c>
      <c r="G2641" s="69" t="s">
        <v>23</v>
      </c>
      <c r="H2641" s="69" t="str">
        <f>IFERROR(VLOOKUP(Data!$G2641,canon!$I$2:$K$27,2,FALSE),"")</f>
        <v>SH&amp;BL</v>
      </c>
      <c r="I2641" s="69" t="str">
        <f>IFERROR(VLOOKUP(Data!$G2641,canon!$I$2:$K$27,3,FALSE),"")</f>
        <v>APPAREL</v>
      </c>
      <c r="J2641" s="69">
        <f t="shared" si="82"/>
        <v>1</v>
      </c>
      <c r="K2641" s="69">
        <f t="shared" si="83"/>
        <v>44</v>
      </c>
      <c r="L2641" s="69">
        <f>VLOOKUP(Table_db1_backend_Daily.accdb[[#This Row],[TradingDate]],canon!B:E,4,0)</f>
        <v>31</v>
      </c>
    </row>
    <row r="2642" spans="1:12" x14ac:dyDescent="0.2">
      <c r="A2642" s="69" t="s">
        <v>44</v>
      </c>
      <c r="B2642" s="70">
        <v>42946</v>
      </c>
      <c r="C2642" s="69">
        <v>477</v>
      </c>
      <c r="D2642" s="69">
        <v>1</v>
      </c>
      <c r="E2642" s="69">
        <v>18.18</v>
      </c>
      <c r="F2642" s="69">
        <v>13.83</v>
      </c>
      <c r="G2642" s="69" t="s">
        <v>32</v>
      </c>
      <c r="H2642" s="69" t="str">
        <f>IFERROR(VLOOKUP(Data!$G2642,canon!$I$2:$K$27,2,FALSE),"")</f>
        <v>SKIRT</v>
      </c>
      <c r="I2642" s="69" t="str">
        <f>IFERROR(VLOOKUP(Data!$G2642,canon!$I$2:$K$27,3,FALSE),"")</f>
        <v>APPAREL</v>
      </c>
      <c r="J2642" s="69">
        <f t="shared" si="82"/>
        <v>1</v>
      </c>
      <c r="K2642" s="69">
        <f t="shared" si="83"/>
        <v>44</v>
      </c>
      <c r="L2642" s="69">
        <f>VLOOKUP(Table_db1_backend_Daily.accdb[[#This Row],[TradingDate]],canon!B:E,4,0)</f>
        <v>31</v>
      </c>
    </row>
    <row r="2643" spans="1:12" x14ac:dyDescent="0.2">
      <c r="A2643" s="69" t="s">
        <v>44</v>
      </c>
      <c r="B2643" s="70">
        <v>42946</v>
      </c>
      <c r="C2643" s="69">
        <v>1356</v>
      </c>
      <c r="D2643" s="69">
        <v>1</v>
      </c>
      <c r="E2643" s="69">
        <v>4.55</v>
      </c>
      <c r="F2643" s="69">
        <v>-2.41</v>
      </c>
      <c r="G2643" s="69" t="s">
        <v>25</v>
      </c>
      <c r="H2643" s="69" t="str">
        <f>IFERROR(VLOOKUP(Data!$G2643,canon!$I$2:$K$27,2,FALSE),"")</f>
        <v>TOP</v>
      </c>
      <c r="I2643" s="69" t="str">
        <f>IFERROR(VLOOKUP(Data!$G2643,canon!$I$2:$K$27,3,FALSE),"")</f>
        <v>APPAREL</v>
      </c>
      <c r="J2643" s="69">
        <f t="shared" si="82"/>
        <v>1</v>
      </c>
      <c r="K2643" s="69">
        <f t="shared" si="83"/>
        <v>44</v>
      </c>
      <c r="L2643" s="69">
        <f>VLOOKUP(Table_db1_backend_Daily.accdb[[#This Row],[TradingDate]],canon!B:E,4,0)</f>
        <v>31</v>
      </c>
    </row>
    <row r="2644" spans="1:12" x14ac:dyDescent="0.2">
      <c r="A2644" s="69" t="s">
        <v>44</v>
      </c>
      <c r="B2644" s="70">
        <v>42947</v>
      </c>
      <c r="C2644" s="69">
        <v>33</v>
      </c>
      <c r="D2644" s="69">
        <v>0</v>
      </c>
      <c r="E2644" s="69">
        <v>0</v>
      </c>
      <c r="F2644" s="69">
        <v>0</v>
      </c>
      <c r="G2644" s="69" t="s">
        <v>34</v>
      </c>
      <c r="H2644" s="69" t="str">
        <f>IFERROR(VLOOKUP(Data!$G2644,canon!$I$2:$K$27,2,FALSE),"")</f>
        <v>SHOES</v>
      </c>
      <c r="I2644" s="69" t="str">
        <f>IFERROR(VLOOKUP(Data!$G2644,canon!$I$2:$K$27,3,FALSE),"")</f>
        <v>N.APPAREL</v>
      </c>
      <c r="J2644" s="69">
        <f t="shared" si="82"/>
        <v>2</v>
      </c>
      <c r="K2644" s="69">
        <f t="shared" si="83"/>
        <v>44</v>
      </c>
      <c r="L2644" s="69">
        <f>VLOOKUP(Table_db1_backend_Daily.accdb[[#This Row],[TradingDate]],canon!B:E,4,0)</f>
        <v>31</v>
      </c>
    </row>
    <row r="2645" spans="1:12" x14ac:dyDescent="0.2">
      <c r="A2645" s="69" t="s">
        <v>44</v>
      </c>
      <c r="B2645" s="70">
        <v>42947</v>
      </c>
      <c r="C2645" s="69">
        <v>2</v>
      </c>
      <c r="D2645" s="69">
        <v>0</v>
      </c>
      <c r="E2645" s="69">
        <v>0</v>
      </c>
      <c r="F2645" s="69">
        <v>0</v>
      </c>
      <c r="G2645" s="69" t="s">
        <v>38</v>
      </c>
      <c r="H2645" s="69" t="str">
        <f>IFERROR(VLOOKUP(Data!$G2645,canon!$I$2:$K$27,2,FALSE),"")</f>
        <v>SHOES</v>
      </c>
      <c r="I2645" s="69" t="str">
        <f>IFERROR(VLOOKUP(Data!$G2645,canon!$I$2:$K$27,3,FALSE),"")</f>
        <v>N.APPAREL</v>
      </c>
      <c r="J2645" s="69">
        <f t="shared" si="82"/>
        <v>2</v>
      </c>
      <c r="K2645" s="69">
        <f t="shared" si="83"/>
        <v>44</v>
      </c>
      <c r="L2645" s="69">
        <f>VLOOKUP(Table_db1_backend_Daily.accdb[[#This Row],[TradingDate]],canon!B:E,4,0)</f>
        <v>31</v>
      </c>
    </row>
    <row r="2646" spans="1:12" x14ac:dyDescent="0.2">
      <c r="A2646" s="69" t="s">
        <v>44</v>
      </c>
      <c r="B2646" s="70">
        <v>42947</v>
      </c>
      <c r="C2646" s="69">
        <v>598</v>
      </c>
      <c r="D2646" s="69">
        <v>4</v>
      </c>
      <c r="E2646" s="69">
        <v>63.540000000000006</v>
      </c>
      <c r="F2646" s="69">
        <v>31.47</v>
      </c>
      <c r="G2646" s="69" t="s">
        <v>35</v>
      </c>
      <c r="H2646" s="69" t="str">
        <f>IFERROR(VLOOKUP(Data!$G2646,canon!$I$2:$K$27,2,FALSE),"")</f>
        <v>DRESS</v>
      </c>
      <c r="I2646" s="69" t="str">
        <f>IFERROR(VLOOKUP(Data!$G2646,canon!$I$2:$K$27,3,FALSE),"")</f>
        <v>APPAREL</v>
      </c>
      <c r="J2646" s="69">
        <f t="shared" si="82"/>
        <v>2</v>
      </c>
      <c r="K2646" s="69">
        <f t="shared" si="83"/>
        <v>44</v>
      </c>
      <c r="L2646" s="69">
        <f>VLOOKUP(Table_db1_backend_Daily.accdb[[#This Row],[TradingDate]],canon!B:E,4,0)</f>
        <v>31</v>
      </c>
    </row>
    <row r="2647" spans="1:12" x14ac:dyDescent="0.2">
      <c r="A2647" s="69" t="s">
        <v>44</v>
      </c>
      <c r="B2647" s="70">
        <v>42947</v>
      </c>
      <c r="C2647" s="69">
        <v>34</v>
      </c>
      <c r="D2647" s="69">
        <v>0</v>
      </c>
      <c r="E2647" s="69">
        <v>0</v>
      </c>
      <c r="F2647" s="69">
        <v>0</v>
      </c>
      <c r="G2647" s="69" t="s">
        <v>10</v>
      </c>
      <c r="H2647" s="69" t="str">
        <f>IFERROR(VLOOKUP(Data!$G2647,canon!$I$2:$K$27,2,FALSE),"")</f>
        <v>ACCESSORY</v>
      </c>
      <c r="I2647" s="69" t="str">
        <f>IFERROR(VLOOKUP(Data!$G2647,canon!$I$2:$K$27,3,FALSE),"")</f>
        <v>N.APPAREL</v>
      </c>
      <c r="J2647" s="69">
        <f t="shared" si="82"/>
        <v>2</v>
      </c>
      <c r="K2647" s="69">
        <f t="shared" si="83"/>
        <v>44</v>
      </c>
      <c r="L2647" s="69">
        <f>VLOOKUP(Table_db1_backend_Daily.accdb[[#This Row],[TradingDate]],canon!B:E,4,0)</f>
        <v>31</v>
      </c>
    </row>
    <row r="2648" spans="1:12" x14ac:dyDescent="0.2">
      <c r="A2648" s="69" t="s">
        <v>44</v>
      </c>
      <c r="B2648" s="70">
        <v>42947</v>
      </c>
      <c r="C2648" s="69">
        <v>2</v>
      </c>
      <c r="D2648" s="69">
        <v>0</v>
      </c>
      <c r="E2648" s="69">
        <v>0</v>
      </c>
      <c r="F2648" s="69">
        <v>0</v>
      </c>
      <c r="G2648" s="69" t="s">
        <v>28</v>
      </c>
      <c r="H2648" s="69" t="str">
        <f>IFERROR(VLOOKUP(Data!$G2648,canon!$I$2:$K$27,2,FALSE),"")</f>
        <v>ACCESSORY</v>
      </c>
      <c r="I2648" s="69" t="str">
        <f>IFERROR(VLOOKUP(Data!$G2648,canon!$I$2:$K$27,3,FALSE),"")</f>
        <v>N.APPAREL</v>
      </c>
      <c r="J2648" s="69">
        <f t="shared" si="82"/>
        <v>2</v>
      </c>
      <c r="K2648" s="69">
        <f t="shared" si="83"/>
        <v>44</v>
      </c>
      <c r="L2648" s="69">
        <f>VLOOKUP(Table_db1_backend_Daily.accdb[[#This Row],[TradingDate]],canon!B:E,4,0)</f>
        <v>31</v>
      </c>
    </row>
    <row r="2649" spans="1:12" x14ac:dyDescent="0.2">
      <c r="A2649" s="69" t="s">
        <v>44</v>
      </c>
      <c r="B2649" s="70">
        <v>42947</v>
      </c>
      <c r="C2649" s="69">
        <v>1774</v>
      </c>
      <c r="D2649" s="69">
        <v>31</v>
      </c>
      <c r="E2649" s="69">
        <v>259.00000000000006</v>
      </c>
      <c r="F2649" s="69">
        <v>32</v>
      </c>
      <c r="G2649" s="69" t="s">
        <v>11</v>
      </c>
      <c r="H2649" s="69" t="str">
        <f>IFERROR(VLOOKUP(Data!$G2649,canon!$I$2:$K$27,2,FALSE),"")</f>
        <v>KNIT</v>
      </c>
      <c r="I2649" s="69" t="str">
        <f>IFERROR(VLOOKUP(Data!$G2649,canon!$I$2:$K$27,3,FALSE),"")</f>
        <v>APPAREL</v>
      </c>
      <c r="J2649" s="69">
        <f t="shared" si="82"/>
        <v>2</v>
      </c>
      <c r="K2649" s="69">
        <f t="shared" si="83"/>
        <v>44</v>
      </c>
      <c r="L2649" s="69">
        <f>VLOOKUP(Table_db1_backend_Daily.accdb[[#This Row],[TradingDate]],canon!B:E,4,0)</f>
        <v>31</v>
      </c>
    </row>
    <row r="2650" spans="1:12" x14ac:dyDescent="0.2">
      <c r="A2650" s="69" t="s">
        <v>44</v>
      </c>
      <c r="B2650" s="70">
        <v>42947</v>
      </c>
      <c r="C2650" s="69">
        <v>490</v>
      </c>
      <c r="D2650" s="69">
        <v>1</v>
      </c>
      <c r="E2650" s="69">
        <v>18.170000000000002</v>
      </c>
      <c r="F2650" s="69">
        <v>11.21</v>
      </c>
      <c r="G2650" s="69" t="s">
        <v>14</v>
      </c>
      <c r="H2650" s="69" t="str">
        <f>IFERROR(VLOOKUP(Data!$G2650,canon!$I$2:$K$27,2,FALSE),"")</f>
        <v>LEGGING</v>
      </c>
      <c r="I2650" s="69" t="str">
        <f>IFERROR(VLOOKUP(Data!$G2650,canon!$I$2:$K$27,3,FALSE),"")</f>
        <v>APPAREL</v>
      </c>
      <c r="J2650" s="69">
        <f t="shared" si="82"/>
        <v>2</v>
      </c>
      <c r="K2650" s="69">
        <f t="shared" si="83"/>
        <v>44</v>
      </c>
      <c r="L2650" s="69">
        <f>VLOOKUP(Table_db1_backend_Daily.accdb[[#This Row],[TradingDate]],canon!B:E,4,0)</f>
        <v>31</v>
      </c>
    </row>
    <row r="2651" spans="1:12" x14ac:dyDescent="0.2">
      <c r="A2651" s="69" t="s">
        <v>44</v>
      </c>
      <c r="B2651" s="70">
        <v>42947</v>
      </c>
      <c r="C2651" s="69">
        <v>23</v>
      </c>
      <c r="D2651" s="69">
        <v>0</v>
      </c>
      <c r="E2651" s="69">
        <v>0</v>
      </c>
      <c r="F2651" s="69">
        <v>0</v>
      </c>
      <c r="G2651" s="69" t="s">
        <v>37</v>
      </c>
      <c r="H2651" s="69" t="str">
        <f>IFERROR(VLOOKUP(Data!$G2651,canon!$I$2:$K$27,2,FALSE),"")</f>
        <v>SHOES</v>
      </c>
      <c r="I2651" s="69" t="str">
        <f>IFERROR(VLOOKUP(Data!$G2651,canon!$I$2:$K$27,3,FALSE),"")</f>
        <v>N.APPAREL</v>
      </c>
      <c r="J2651" s="69">
        <f t="shared" si="82"/>
        <v>2</v>
      </c>
      <c r="K2651" s="69">
        <f t="shared" si="83"/>
        <v>44</v>
      </c>
      <c r="L2651" s="69">
        <f>VLOOKUP(Table_db1_backend_Daily.accdb[[#This Row],[TradingDate]],canon!B:E,4,0)</f>
        <v>31</v>
      </c>
    </row>
    <row r="2652" spans="1:12" x14ac:dyDescent="0.2">
      <c r="A2652" s="69" t="s">
        <v>44</v>
      </c>
      <c r="B2652" s="70">
        <v>42947</v>
      </c>
      <c r="C2652" s="69">
        <v>65</v>
      </c>
      <c r="D2652" s="69">
        <v>0</v>
      </c>
      <c r="E2652" s="69">
        <v>0</v>
      </c>
      <c r="F2652" s="69">
        <v>0</v>
      </c>
      <c r="G2652" s="69" t="s">
        <v>29</v>
      </c>
      <c r="H2652" s="69" t="str">
        <f>IFERROR(VLOOKUP(Data!$G2652,canon!$I$2:$K$27,2,FALSE),"")</f>
        <v>SHOES</v>
      </c>
      <c r="I2652" s="69" t="str">
        <f>IFERROR(VLOOKUP(Data!$G2652,canon!$I$2:$K$27,3,FALSE),"")</f>
        <v>N.APPAREL</v>
      </c>
      <c r="J2652" s="69">
        <f t="shared" si="82"/>
        <v>2</v>
      </c>
      <c r="K2652" s="69">
        <f t="shared" si="83"/>
        <v>44</v>
      </c>
      <c r="L2652" s="69">
        <f>VLOOKUP(Table_db1_backend_Daily.accdb[[#This Row],[TradingDate]],canon!B:E,4,0)</f>
        <v>31</v>
      </c>
    </row>
    <row r="2653" spans="1:12" x14ac:dyDescent="0.2">
      <c r="A2653" s="69" t="s">
        <v>44</v>
      </c>
      <c r="B2653" s="70">
        <v>42947</v>
      </c>
      <c r="C2653" s="69">
        <v>657</v>
      </c>
      <c r="D2653" s="69">
        <v>2</v>
      </c>
      <c r="E2653" s="69">
        <v>36.36</v>
      </c>
      <c r="F2653" s="69">
        <v>23.32</v>
      </c>
      <c r="G2653" s="69" t="s">
        <v>17</v>
      </c>
      <c r="H2653" s="69" t="str">
        <f>IFERROR(VLOOKUP(Data!$G2653,canon!$I$2:$K$27,2,FALSE),"")</f>
        <v>OUTER</v>
      </c>
      <c r="I2653" s="69" t="str">
        <f>IFERROR(VLOOKUP(Data!$G2653,canon!$I$2:$K$27,3,FALSE),"")</f>
        <v>APPAREL</v>
      </c>
      <c r="J2653" s="69">
        <f t="shared" si="82"/>
        <v>2</v>
      </c>
      <c r="K2653" s="69">
        <f t="shared" si="83"/>
        <v>44</v>
      </c>
      <c r="L2653" s="69">
        <f>VLOOKUP(Table_db1_backend_Daily.accdb[[#This Row],[TradingDate]],canon!B:E,4,0)</f>
        <v>31</v>
      </c>
    </row>
    <row r="2654" spans="1:12" x14ac:dyDescent="0.2">
      <c r="A2654" s="69" t="s">
        <v>44</v>
      </c>
      <c r="B2654" s="70">
        <v>42947</v>
      </c>
      <c r="C2654" s="69">
        <v>377</v>
      </c>
      <c r="D2654" s="69">
        <v>1</v>
      </c>
      <c r="E2654" s="69">
        <v>9.09</v>
      </c>
      <c r="F2654" s="69">
        <v>2.79</v>
      </c>
      <c r="G2654" s="69" t="s">
        <v>19</v>
      </c>
      <c r="H2654" s="69" t="str">
        <f>IFERROR(VLOOKUP(Data!$G2654,canon!$I$2:$K$27,2,FALSE),"")</f>
        <v>PANT</v>
      </c>
      <c r="I2654" s="69" t="str">
        <f>IFERROR(VLOOKUP(Data!$G2654,canon!$I$2:$K$27,3,FALSE),"")</f>
        <v>APPAREL</v>
      </c>
      <c r="J2654" s="69">
        <f t="shared" si="82"/>
        <v>2</v>
      </c>
      <c r="K2654" s="69">
        <f t="shared" si="83"/>
        <v>44</v>
      </c>
      <c r="L2654" s="69">
        <f>VLOOKUP(Table_db1_backend_Daily.accdb[[#This Row],[TradingDate]],canon!B:E,4,0)</f>
        <v>31</v>
      </c>
    </row>
    <row r="2655" spans="1:12" x14ac:dyDescent="0.2">
      <c r="A2655" s="69" t="s">
        <v>44</v>
      </c>
      <c r="B2655" s="70">
        <v>42947</v>
      </c>
      <c r="C2655" s="69">
        <v>78</v>
      </c>
      <c r="D2655" s="69">
        <v>0</v>
      </c>
      <c r="E2655" s="69">
        <v>0</v>
      </c>
      <c r="F2655" s="69">
        <v>0</v>
      </c>
      <c r="G2655" s="69" t="s">
        <v>21</v>
      </c>
      <c r="H2655" s="69" t="str">
        <f>IFERROR(VLOOKUP(Data!$G2655,canon!$I$2:$K$27,2,FALSE),"")</f>
        <v>ACCESSORY</v>
      </c>
      <c r="I2655" s="69" t="str">
        <f>IFERROR(VLOOKUP(Data!$G2655,canon!$I$2:$K$27,3,FALSE),"")</f>
        <v>N.APPAREL</v>
      </c>
      <c r="J2655" s="69">
        <f t="shared" si="82"/>
        <v>2</v>
      </c>
      <c r="K2655" s="69">
        <f t="shared" si="83"/>
        <v>44</v>
      </c>
      <c r="L2655" s="69">
        <f>VLOOKUP(Table_db1_backend_Daily.accdb[[#This Row],[TradingDate]],canon!B:E,4,0)</f>
        <v>31</v>
      </c>
    </row>
    <row r="2656" spans="1:12" x14ac:dyDescent="0.2">
      <c r="A2656" s="69" t="s">
        <v>44</v>
      </c>
      <c r="B2656" s="70">
        <v>42947</v>
      </c>
      <c r="C2656" s="69">
        <v>1049</v>
      </c>
      <c r="D2656" s="69">
        <v>1</v>
      </c>
      <c r="E2656" s="69">
        <v>4.55</v>
      </c>
      <c r="F2656" s="69">
        <v>3.25</v>
      </c>
      <c r="G2656" s="69" t="s">
        <v>22</v>
      </c>
      <c r="H2656" s="69" t="str">
        <f>IFERROR(VLOOKUP(Data!$G2656,canon!$I$2:$K$27,2,FALSE),"")</f>
        <v>SCARF</v>
      </c>
      <c r="I2656" s="69" t="str">
        <f>IFERROR(VLOOKUP(Data!$G2656,canon!$I$2:$K$27,3,FALSE),"")</f>
        <v>N.APPAREL</v>
      </c>
      <c r="J2656" s="69">
        <f t="shared" si="82"/>
        <v>2</v>
      </c>
      <c r="K2656" s="69">
        <f t="shared" si="83"/>
        <v>44</v>
      </c>
      <c r="L2656" s="69">
        <f>VLOOKUP(Table_db1_backend_Daily.accdb[[#This Row],[TradingDate]],canon!B:E,4,0)</f>
        <v>31</v>
      </c>
    </row>
    <row r="2657" spans="1:12" x14ac:dyDescent="0.2">
      <c r="A2657" s="69" t="s">
        <v>44</v>
      </c>
      <c r="B2657" s="70">
        <v>42947</v>
      </c>
      <c r="C2657" s="69">
        <v>252</v>
      </c>
      <c r="D2657" s="69">
        <v>0</v>
      </c>
      <c r="E2657" s="69">
        <v>0</v>
      </c>
      <c r="F2657" s="69">
        <v>0</v>
      </c>
      <c r="G2657" s="69" t="s">
        <v>23</v>
      </c>
      <c r="H2657" s="69" t="str">
        <f>IFERROR(VLOOKUP(Data!$G2657,canon!$I$2:$K$27,2,FALSE),"")</f>
        <v>SH&amp;BL</v>
      </c>
      <c r="I2657" s="69" t="str">
        <f>IFERROR(VLOOKUP(Data!$G2657,canon!$I$2:$K$27,3,FALSE),"")</f>
        <v>APPAREL</v>
      </c>
      <c r="J2657" s="69">
        <f t="shared" si="82"/>
        <v>2</v>
      </c>
      <c r="K2657" s="69">
        <f t="shared" si="83"/>
        <v>44</v>
      </c>
      <c r="L2657" s="69">
        <f>VLOOKUP(Table_db1_backend_Daily.accdb[[#This Row],[TradingDate]],canon!B:E,4,0)</f>
        <v>31</v>
      </c>
    </row>
    <row r="2658" spans="1:12" x14ac:dyDescent="0.2">
      <c r="A2658" s="69" t="s">
        <v>44</v>
      </c>
      <c r="B2658" s="70">
        <v>42947</v>
      </c>
      <c r="C2658" s="69">
        <v>499</v>
      </c>
      <c r="D2658" s="69">
        <v>2</v>
      </c>
      <c r="E2658" s="69">
        <v>13.64</v>
      </c>
      <c r="F2658" s="69">
        <v>5.38</v>
      </c>
      <c r="G2658" s="69" t="s">
        <v>32</v>
      </c>
      <c r="H2658" s="69" t="str">
        <f>IFERROR(VLOOKUP(Data!$G2658,canon!$I$2:$K$27,2,FALSE),"")</f>
        <v>SKIRT</v>
      </c>
      <c r="I2658" s="69" t="str">
        <f>IFERROR(VLOOKUP(Data!$G2658,canon!$I$2:$K$27,3,FALSE),"")</f>
        <v>APPAREL</v>
      </c>
      <c r="J2658" s="69">
        <f t="shared" si="82"/>
        <v>2</v>
      </c>
      <c r="K2658" s="69">
        <f t="shared" si="83"/>
        <v>44</v>
      </c>
      <c r="L2658" s="69">
        <f>VLOOKUP(Table_db1_backend_Daily.accdb[[#This Row],[TradingDate]],canon!B:E,4,0)</f>
        <v>31</v>
      </c>
    </row>
    <row r="2659" spans="1:12" x14ac:dyDescent="0.2">
      <c r="A2659" s="69" t="s">
        <v>44</v>
      </c>
      <c r="B2659" s="70">
        <v>42947</v>
      </c>
      <c r="C2659" s="69">
        <v>1576</v>
      </c>
      <c r="D2659" s="69">
        <v>14</v>
      </c>
      <c r="E2659" s="69">
        <v>113.64999999999999</v>
      </c>
      <c r="F2659" s="69">
        <v>38.649999999999984</v>
      </c>
      <c r="G2659" s="69" t="s">
        <v>25</v>
      </c>
      <c r="H2659" s="69" t="str">
        <f>IFERROR(VLOOKUP(Data!$G2659,canon!$I$2:$K$27,2,FALSE),"")</f>
        <v>TOP</v>
      </c>
      <c r="I2659" s="69" t="str">
        <f>IFERROR(VLOOKUP(Data!$G2659,canon!$I$2:$K$27,3,FALSE),"")</f>
        <v>APPAREL</v>
      </c>
      <c r="J2659" s="69">
        <f t="shared" si="82"/>
        <v>2</v>
      </c>
      <c r="K2659" s="69">
        <f t="shared" si="83"/>
        <v>44</v>
      </c>
      <c r="L2659" s="69">
        <f>VLOOKUP(Table_db1_backend_Daily.accdb[[#This Row],[TradingDate]],canon!B:E,4,0)</f>
        <v>31</v>
      </c>
    </row>
    <row r="2660" spans="1:12" x14ac:dyDescent="0.2">
      <c r="A2660" s="69" t="s">
        <v>44</v>
      </c>
      <c r="B2660" s="70">
        <v>42948</v>
      </c>
      <c r="C2660" s="69">
        <v>33</v>
      </c>
      <c r="D2660" s="69">
        <v>0</v>
      </c>
      <c r="E2660" s="69">
        <v>0</v>
      </c>
      <c r="F2660" s="69">
        <v>0</v>
      </c>
      <c r="G2660" s="69" t="s">
        <v>34</v>
      </c>
      <c r="H2660" s="69" t="str">
        <f>IFERROR(VLOOKUP(Data!$G2660,canon!$I$2:$K$27,2,FALSE),"")</f>
        <v>SHOES</v>
      </c>
      <c r="I2660" s="69" t="str">
        <f>IFERROR(VLOOKUP(Data!$G2660,canon!$I$2:$K$27,3,FALSE),"")</f>
        <v>N.APPAREL</v>
      </c>
      <c r="J2660" s="69">
        <f t="shared" si="82"/>
        <v>3</v>
      </c>
      <c r="K2660" s="69">
        <f t="shared" si="83"/>
        <v>44</v>
      </c>
      <c r="L2660" s="69">
        <f>VLOOKUP(Table_db1_backend_Daily.accdb[[#This Row],[TradingDate]],canon!B:E,4,0)</f>
        <v>31</v>
      </c>
    </row>
    <row r="2661" spans="1:12" x14ac:dyDescent="0.2">
      <c r="A2661" s="69" t="s">
        <v>44</v>
      </c>
      <c r="B2661" s="70">
        <v>42948</v>
      </c>
      <c r="C2661" s="69">
        <v>2</v>
      </c>
      <c r="D2661" s="69">
        <v>0</v>
      </c>
      <c r="E2661" s="69">
        <v>0</v>
      </c>
      <c r="F2661" s="69">
        <v>0</v>
      </c>
      <c r="G2661" s="69" t="s">
        <v>38</v>
      </c>
      <c r="H2661" s="69" t="str">
        <f>IFERROR(VLOOKUP(Data!$G2661,canon!$I$2:$K$27,2,FALSE),"")</f>
        <v>SHOES</v>
      </c>
      <c r="I2661" s="69" t="str">
        <f>IFERROR(VLOOKUP(Data!$G2661,canon!$I$2:$K$27,3,FALSE),"")</f>
        <v>N.APPAREL</v>
      </c>
      <c r="J2661" s="69">
        <f t="shared" si="82"/>
        <v>3</v>
      </c>
      <c r="K2661" s="69">
        <f t="shared" si="83"/>
        <v>44</v>
      </c>
      <c r="L2661" s="69">
        <f>VLOOKUP(Table_db1_backend_Daily.accdb[[#This Row],[TradingDate]],canon!B:E,4,0)</f>
        <v>31</v>
      </c>
    </row>
    <row r="2662" spans="1:12" x14ac:dyDescent="0.2">
      <c r="A2662" s="69" t="s">
        <v>44</v>
      </c>
      <c r="B2662" s="70">
        <v>42948</v>
      </c>
      <c r="C2662" s="69">
        <v>602</v>
      </c>
      <c r="D2662" s="69">
        <v>2</v>
      </c>
      <c r="E2662" s="69">
        <v>31.77</v>
      </c>
      <c r="F2662" s="69">
        <v>16.55</v>
      </c>
      <c r="G2662" s="69" t="s">
        <v>35</v>
      </c>
      <c r="H2662" s="69" t="str">
        <f>IFERROR(VLOOKUP(Data!$G2662,canon!$I$2:$K$27,2,FALSE),"")</f>
        <v>DRESS</v>
      </c>
      <c r="I2662" s="69" t="str">
        <f>IFERROR(VLOOKUP(Data!$G2662,canon!$I$2:$K$27,3,FALSE),"")</f>
        <v>APPAREL</v>
      </c>
      <c r="J2662" s="69">
        <f t="shared" si="82"/>
        <v>3</v>
      </c>
      <c r="K2662" s="69">
        <f t="shared" si="83"/>
        <v>44</v>
      </c>
      <c r="L2662" s="69">
        <f>VLOOKUP(Table_db1_backend_Daily.accdb[[#This Row],[TradingDate]],canon!B:E,4,0)</f>
        <v>31</v>
      </c>
    </row>
    <row r="2663" spans="1:12" x14ac:dyDescent="0.2">
      <c r="A2663" s="69" t="s">
        <v>44</v>
      </c>
      <c r="B2663" s="70">
        <v>42948</v>
      </c>
      <c r="C2663" s="69">
        <v>34</v>
      </c>
      <c r="D2663" s="69">
        <v>0</v>
      </c>
      <c r="E2663" s="69">
        <v>0</v>
      </c>
      <c r="F2663" s="69">
        <v>0</v>
      </c>
      <c r="G2663" s="69" t="s">
        <v>10</v>
      </c>
      <c r="H2663" s="69" t="str">
        <f>IFERROR(VLOOKUP(Data!$G2663,canon!$I$2:$K$27,2,FALSE),"")</f>
        <v>ACCESSORY</v>
      </c>
      <c r="I2663" s="69" t="str">
        <f>IFERROR(VLOOKUP(Data!$G2663,canon!$I$2:$K$27,3,FALSE),"")</f>
        <v>N.APPAREL</v>
      </c>
      <c r="J2663" s="69">
        <f t="shared" si="82"/>
        <v>3</v>
      </c>
      <c r="K2663" s="69">
        <f t="shared" si="83"/>
        <v>44</v>
      </c>
      <c r="L2663" s="69">
        <f>VLOOKUP(Table_db1_backend_Daily.accdb[[#This Row],[TradingDate]],canon!B:E,4,0)</f>
        <v>31</v>
      </c>
    </row>
    <row r="2664" spans="1:12" x14ac:dyDescent="0.2">
      <c r="A2664" s="69" t="s">
        <v>44</v>
      </c>
      <c r="B2664" s="70">
        <v>42948</v>
      </c>
      <c r="C2664" s="69">
        <v>2</v>
      </c>
      <c r="D2664" s="69">
        <v>0</v>
      </c>
      <c r="E2664" s="69">
        <v>0</v>
      </c>
      <c r="F2664" s="69">
        <v>0</v>
      </c>
      <c r="G2664" s="69" t="s">
        <v>28</v>
      </c>
      <c r="H2664" s="69" t="str">
        <f>IFERROR(VLOOKUP(Data!$G2664,canon!$I$2:$K$27,2,FALSE),"")</f>
        <v>ACCESSORY</v>
      </c>
      <c r="I2664" s="69" t="str">
        <f>IFERROR(VLOOKUP(Data!$G2664,canon!$I$2:$K$27,3,FALSE),"")</f>
        <v>N.APPAREL</v>
      </c>
      <c r="J2664" s="69">
        <f t="shared" si="82"/>
        <v>3</v>
      </c>
      <c r="K2664" s="69">
        <f t="shared" si="83"/>
        <v>44</v>
      </c>
      <c r="L2664" s="69">
        <f>VLOOKUP(Table_db1_backend_Daily.accdb[[#This Row],[TradingDate]],canon!B:E,4,0)</f>
        <v>31</v>
      </c>
    </row>
    <row r="2665" spans="1:12" x14ac:dyDescent="0.2">
      <c r="A2665" s="69" t="s">
        <v>44</v>
      </c>
      <c r="B2665" s="70">
        <v>42948</v>
      </c>
      <c r="C2665" s="69">
        <v>1733</v>
      </c>
      <c r="D2665" s="69">
        <v>41</v>
      </c>
      <c r="E2665" s="69">
        <v>313.39000000000004</v>
      </c>
      <c r="F2665" s="69">
        <v>-8.9299999999999926</v>
      </c>
      <c r="G2665" s="69" t="s">
        <v>11</v>
      </c>
      <c r="H2665" s="69" t="str">
        <f>IFERROR(VLOOKUP(Data!$G2665,canon!$I$2:$K$27,2,FALSE),"")</f>
        <v>KNIT</v>
      </c>
      <c r="I2665" s="69" t="str">
        <f>IFERROR(VLOOKUP(Data!$G2665,canon!$I$2:$K$27,3,FALSE),"")</f>
        <v>APPAREL</v>
      </c>
      <c r="J2665" s="69">
        <f t="shared" si="82"/>
        <v>3</v>
      </c>
      <c r="K2665" s="69">
        <f t="shared" si="83"/>
        <v>44</v>
      </c>
      <c r="L2665" s="69">
        <f>VLOOKUP(Table_db1_backend_Daily.accdb[[#This Row],[TradingDate]],canon!B:E,4,0)</f>
        <v>31</v>
      </c>
    </row>
    <row r="2666" spans="1:12" x14ac:dyDescent="0.2">
      <c r="A2666" s="69" t="s">
        <v>44</v>
      </c>
      <c r="B2666" s="70">
        <v>42948</v>
      </c>
      <c r="C2666" s="69">
        <v>487</v>
      </c>
      <c r="D2666" s="69">
        <v>3</v>
      </c>
      <c r="E2666" s="69">
        <v>18.18</v>
      </c>
      <c r="F2666" s="69">
        <v>-2.15</v>
      </c>
      <c r="G2666" s="69" t="s">
        <v>14</v>
      </c>
      <c r="H2666" s="69" t="str">
        <f>IFERROR(VLOOKUP(Data!$G2666,canon!$I$2:$K$27,2,FALSE),"")</f>
        <v>LEGGING</v>
      </c>
      <c r="I2666" s="69" t="str">
        <f>IFERROR(VLOOKUP(Data!$G2666,canon!$I$2:$K$27,3,FALSE),"")</f>
        <v>APPAREL</v>
      </c>
      <c r="J2666" s="69">
        <f t="shared" si="82"/>
        <v>3</v>
      </c>
      <c r="K2666" s="69">
        <f t="shared" si="83"/>
        <v>44</v>
      </c>
      <c r="L2666" s="69">
        <f>VLOOKUP(Table_db1_backend_Daily.accdb[[#This Row],[TradingDate]],canon!B:E,4,0)</f>
        <v>31</v>
      </c>
    </row>
    <row r="2667" spans="1:12" x14ac:dyDescent="0.2">
      <c r="A2667" s="69" t="s">
        <v>44</v>
      </c>
      <c r="B2667" s="70">
        <v>42948</v>
      </c>
      <c r="C2667" s="69">
        <v>23</v>
      </c>
      <c r="D2667" s="69">
        <v>0</v>
      </c>
      <c r="E2667" s="69">
        <v>0</v>
      </c>
      <c r="F2667" s="69">
        <v>0</v>
      </c>
      <c r="G2667" s="69" t="s">
        <v>37</v>
      </c>
      <c r="H2667" s="69" t="str">
        <f>IFERROR(VLOOKUP(Data!$G2667,canon!$I$2:$K$27,2,FALSE),"")</f>
        <v>SHOES</v>
      </c>
      <c r="I2667" s="69" t="str">
        <f>IFERROR(VLOOKUP(Data!$G2667,canon!$I$2:$K$27,3,FALSE),"")</f>
        <v>N.APPAREL</v>
      </c>
      <c r="J2667" s="69">
        <f t="shared" si="82"/>
        <v>3</v>
      </c>
      <c r="K2667" s="69">
        <f t="shared" si="83"/>
        <v>44</v>
      </c>
      <c r="L2667" s="69">
        <f>VLOOKUP(Table_db1_backend_Daily.accdb[[#This Row],[TradingDate]],canon!B:E,4,0)</f>
        <v>31</v>
      </c>
    </row>
    <row r="2668" spans="1:12" x14ac:dyDescent="0.2">
      <c r="A2668" s="69" t="s">
        <v>44</v>
      </c>
      <c r="B2668" s="70">
        <v>42948</v>
      </c>
      <c r="C2668" s="69">
        <v>65</v>
      </c>
      <c r="D2668" s="69">
        <v>0</v>
      </c>
      <c r="E2668" s="69">
        <v>0</v>
      </c>
      <c r="F2668" s="69">
        <v>0</v>
      </c>
      <c r="G2668" s="69" t="s">
        <v>29</v>
      </c>
      <c r="H2668" s="69" t="str">
        <f>IFERROR(VLOOKUP(Data!$G2668,canon!$I$2:$K$27,2,FALSE),"")</f>
        <v>SHOES</v>
      </c>
      <c r="I2668" s="69" t="str">
        <f>IFERROR(VLOOKUP(Data!$G2668,canon!$I$2:$K$27,3,FALSE),"")</f>
        <v>N.APPAREL</v>
      </c>
      <c r="J2668" s="69">
        <f t="shared" si="82"/>
        <v>3</v>
      </c>
      <c r="K2668" s="69">
        <f t="shared" si="83"/>
        <v>44</v>
      </c>
      <c r="L2668" s="69">
        <f>VLOOKUP(Table_db1_backend_Daily.accdb[[#This Row],[TradingDate]],canon!B:E,4,0)</f>
        <v>31</v>
      </c>
    </row>
    <row r="2669" spans="1:12" x14ac:dyDescent="0.2">
      <c r="A2669" s="69" t="s">
        <v>44</v>
      </c>
      <c r="B2669" s="70">
        <v>42948</v>
      </c>
      <c r="C2669" s="69">
        <v>679</v>
      </c>
      <c r="D2669" s="69">
        <v>2</v>
      </c>
      <c r="E2669" s="69">
        <v>27.27</v>
      </c>
      <c r="F2669" s="69">
        <v>5.25</v>
      </c>
      <c r="G2669" s="69" t="s">
        <v>17</v>
      </c>
      <c r="H2669" s="69" t="str">
        <f>IFERROR(VLOOKUP(Data!$G2669,canon!$I$2:$K$27,2,FALSE),"")</f>
        <v>OUTER</v>
      </c>
      <c r="I2669" s="69" t="str">
        <f>IFERROR(VLOOKUP(Data!$G2669,canon!$I$2:$K$27,3,FALSE),"")</f>
        <v>APPAREL</v>
      </c>
      <c r="J2669" s="69">
        <f t="shared" si="82"/>
        <v>3</v>
      </c>
      <c r="K2669" s="69">
        <f t="shared" si="83"/>
        <v>44</v>
      </c>
      <c r="L2669" s="69">
        <f>VLOOKUP(Table_db1_backend_Daily.accdb[[#This Row],[TradingDate]],canon!B:E,4,0)</f>
        <v>31</v>
      </c>
    </row>
    <row r="2670" spans="1:12" x14ac:dyDescent="0.2">
      <c r="A2670" s="69" t="s">
        <v>44</v>
      </c>
      <c r="B2670" s="70">
        <v>42948</v>
      </c>
      <c r="C2670" s="69">
        <v>374</v>
      </c>
      <c r="D2670" s="69">
        <v>3</v>
      </c>
      <c r="E2670" s="69">
        <v>31.82</v>
      </c>
      <c r="F2670" s="69">
        <v>9.9699999999999989</v>
      </c>
      <c r="G2670" s="69" t="s">
        <v>19</v>
      </c>
      <c r="H2670" s="69" t="str">
        <f>IFERROR(VLOOKUP(Data!$G2670,canon!$I$2:$K$27,2,FALSE),"")</f>
        <v>PANT</v>
      </c>
      <c r="I2670" s="69" t="str">
        <f>IFERROR(VLOOKUP(Data!$G2670,canon!$I$2:$K$27,3,FALSE),"")</f>
        <v>APPAREL</v>
      </c>
      <c r="J2670" s="69">
        <f t="shared" si="82"/>
        <v>3</v>
      </c>
      <c r="K2670" s="69">
        <f t="shared" si="83"/>
        <v>44</v>
      </c>
      <c r="L2670" s="69">
        <f>VLOOKUP(Table_db1_backend_Daily.accdb[[#This Row],[TradingDate]],canon!B:E,4,0)</f>
        <v>31</v>
      </c>
    </row>
    <row r="2671" spans="1:12" x14ac:dyDescent="0.2">
      <c r="A2671" s="69" t="s">
        <v>44</v>
      </c>
      <c r="B2671" s="70">
        <v>42948</v>
      </c>
      <c r="C2671" s="69">
        <v>78</v>
      </c>
      <c r="D2671" s="69">
        <v>0</v>
      </c>
      <c r="E2671" s="69">
        <v>0</v>
      </c>
      <c r="F2671" s="69">
        <v>0</v>
      </c>
      <c r="G2671" s="69" t="s">
        <v>21</v>
      </c>
      <c r="H2671" s="69" t="str">
        <f>IFERROR(VLOOKUP(Data!$G2671,canon!$I$2:$K$27,2,FALSE),"")</f>
        <v>ACCESSORY</v>
      </c>
      <c r="I2671" s="69" t="str">
        <f>IFERROR(VLOOKUP(Data!$G2671,canon!$I$2:$K$27,3,FALSE),"")</f>
        <v>N.APPAREL</v>
      </c>
      <c r="J2671" s="69">
        <f t="shared" si="82"/>
        <v>3</v>
      </c>
      <c r="K2671" s="69">
        <f t="shared" si="83"/>
        <v>44</v>
      </c>
      <c r="L2671" s="69">
        <f>VLOOKUP(Table_db1_backend_Daily.accdb[[#This Row],[TradingDate]],canon!B:E,4,0)</f>
        <v>31</v>
      </c>
    </row>
    <row r="2672" spans="1:12" x14ac:dyDescent="0.2">
      <c r="A2672" s="69" t="s">
        <v>44</v>
      </c>
      <c r="B2672" s="70">
        <v>42948</v>
      </c>
      <c r="C2672" s="69">
        <v>1047</v>
      </c>
      <c r="D2672" s="69">
        <v>2</v>
      </c>
      <c r="E2672" s="69">
        <v>14.46</v>
      </c>
      <c r="F2672" s="69">
        <v>11.42</v>
      </c>
      <c r="G2672" s="69" t="s">
        <v>22</v>
      </c>
      <c r="H2672" s="69" t="str">
        <f>IFERROR(VLOOKUP(Data!$G2672,canon!$I$2:$K$27,2,FALSE),"")</f>
        <v>SCARF</v>
      </c>
      <c r="I2672" s="69" t="str">
        <f>IFERROR(VLOOKUP(Data!$G2672,canon!$I$2:$K$27,3,FALSE),"")</f>
        <v>N.APPAREL</v>
      </c>
      <c r="J2672" s="69">
        <f t="shared" si="82"/>
        <v>3</v>
      </c>
      <c r="K2672" s="69">
        <f t="shared" si="83"/>
        <v>44</v>
      </c>
      <c r="L2672" s="69">
        <f>VLOOKUP(Table_db1_backend_Daily.accdb[[#This Row],[TradingDate]],canon!B:E,4,0)</f>
        <v>31</v>
      </c>
    </row>
    <row r="2673" spans="1:12" x14ac:dyDescent="0.2">
      <c r="A2673" s="69" t="s">
        <v>44</v>
      </c>
      <c r="B2673" s="70">
        <v>42948</v>
      </c>
      <c r="C2673" s="69">
        <v>252</v>
      </c>
      <c r="D2673" s="69">
        <v>0</v>
      </c>
      <c r="E2673" s="69">
        <v>0</v>
      </c>
      <c r="F2673" s="69">
        <v>0</v>
      </c>
      <c r="G2673" s="69" t="s">
        <v>23</v>
      </c>
      <c r="H2673" s="69" t="str">
        <f>IFERROR(VLOOKUP(Data!$G2673,canon!$I$2:$K$27,2,FALSE),"")</f>
        <v>SH&amp;BL</v>
      </c>
      <c r="I2673" s="69" t="str">
        <f>IFERROR(VLOOKUP(Data!$G2673,canon!$I$2:$K$27,3,FALSE),"")</f>
        <v>APPAREL</v>
      </c>
      <c r="J2673" s="69">
        <f t="shared" si="82"/>
        <v>3</v>
      </c>
      <c r="K2673" s="69">
        <f t="shared" si="83"/>
        <v>44</v>
      </c>
      <c r="L2673" s="69">
        <f>VLOOKUP(Table_db1_backend_Daily.accdb[[#This Row],[TradingDate]],canon!B:E,4,0)</f>
        <v>31</v>
      </c>
    </row>
    <row r="2674" spans="1:12" x14ac:dyDescent="0.2">
      <c r="A2674" s="69" t="s">
        <v>44</v>
      </c>
      <c r="B2674" s="70">
        <v>42948</v>
      </c>
      <c r="C2674" s="69">
        <v>498</v>
      </c>
      <c r="D2674" s="69">
        <v>1</v>
      </c>
      <c r="E2674" s="69">
        <v>9.09</v>
      </c>
      <c r="F2674" s="69">
        <v>4.09</v>
      </c>
      <c r="G2674" s="69" t="s">
        <v>32</v>
      </c>
      <c r="H2674" s="69" t="str">
        <f>IFERROR(VLOOKUP(Data!$G2674,canon!$I$2:$K$27,2,FALSE),"")</f>
        <v>SKIRT</v>
      </c>
      <c r="I2674" s="69" t="str">
        <f>IFERROR(VLOOKUP(Data!$G2674,canon!$I$2:$K$27,3,FALSE),"")</f>
        <v>APPAREL</v>
      </c>
      <c r="J2674" s="69">
        <f t="shared" si="82"/>
        <v>3</v>
      </c>
      <c r="K2674" s="69">
        <f t="shared" si="83"/>
        <v>44</v>
      </c>
      <c r="L2674" s="69">
        <f>VLOOKUP(Table_db1_backend_Daily.accdb[[#This Row],[TradingDate]],canon!B:E,4,0)</f>
        <v>31</v>
      </c>
    </row>
    <row r="2675" spans="1:12" x14ac:dyDescent="0.2">
      <c r="A2675" s="69" t="s">
        <v>44</v>
      </c>
      <c r="B2675" s="70">
        <v>42948</v>
      </c>
      <c r="C2675" s="69">
        <v>1585</v>
      </c>
      <c r="D2675" s="69">
        <v>9</v>
      </c>
      <c r="E2675" s="69">
        <v>72.63000000000001</v>
      </c>
      <c r="F2675" s="69">
        <v>29.269999999999996</v>
      </c>
      <c r="G2675" s="69" t="s">
        <v>25</v>
      </c>
      <c r="H2675" s="69" t="str">
        <f>IFERROR(VLOOKUP(Data!$G2675,canon!$I$2:$K$27,2,FALSE),"")</f>
        <v>TOP</v>
      </c>
      <c r="I2675" s="69" t="str">
        <f>IFERROR(VLOOKUP(Data!$G2675,canon!$I$2:$K$27,3,FALSE),"")</f>
        <v>APPAREL</v>
      </c>
      <c r="J2675" s="69">
        <f t="shared" si="82"/>
        <v>3</v>
      </c>
      <c r="K2675" s="69">
        <f t="shared" si="83"/>
        <v>44</v>
      </c>
      <c r="L2675" s="69">
        <f>VLOOKUP(Table_db1_backend_Daily.accdb[[#This Row],[TradingDate]],canon!B:E,4,0)</f>
        <v>31</v>
      </c>
    </row>
    <row r="2676" spans="1:12" x14ac:dyDescent="0.2">
      <c r="A2676" s="69" t="s">
        <v>44</v>
      </c>
      <c r="B2676" s="70">
        <v>42949</v>
      </c>
      <c r="C2676" s="69">
        <v>-4</v>
      </c>
      <c r="D2676" s="69">
        <v>0</v>
      </c>
      <c r="E2676" s="69">
        <v>0</v>
      </c>
      <c r="F2676" s="69">
        <v>0</v>
      </c>
      <c r="G2676" s="69" t="s">
        <v>34</v>
      </c>
      <c r="H2676" s="69" t="str">
        <f>IFERROR(VLOOKUP(Data!$G2676,canon!$I$2:$K$27,2,FALSE),"")</f>
        <v>SHOES</v>
      </c>
      <c r="I2676" s="69" t="str">
        <f>IFERROR(VLOOKUP(Data!$G2676,canon!$I$2:$K$27,3,FALSE),"")</f>
        <v>N.APPAREL</v>
      </c>
      <c r="J2676" s="69">
        <f t="shared" si="82"/>
        <v>4</v>
      </c>
      <c r="K2676" s="69">
        <f t="shared" si="83"/>
        <v>44</v>
      </c>
      <c r="L2676" s="69">
        <f>VLOOKUP(Table_db1_backend_Daily.accdb[[#This Row],[TradingDate]],canon!B:E,4,0)</f>
        <v>31</v>
      </c>
    </row>
    <row r="2677" spans="1:12" x14ac:dyDescent="0.2">
      <c r="A2677" s="69" t="s">
        <v>44</v>
      </c>
      <c r="B2677" s="70">
        <v>42949</v>
      </c>
      <c r="C2677" s="69">
        <v>476</v>
      </c>
      <c r="D2677" s="69">
        <v>9</v>
      </c>
      <c r="E2677" s="69">
        <v>163.47000000000003</v>
      </c>
      <c r="F2677" s="69">
        <v>95.64</v>
      </c>
      <c r="G2677" s="69" t="s">
        <v>35</v>
      </c>
      <c r="H2677" s="69" t="str">
        <f>IFERROR(VLOOKUP(Data!$G2677,canon!$I$2:$K$27,2,FALSE),"")</f>
        <v>DRESS</v>
      </c>
      <c r="I2677" s="69" t="str">
        <f>IFERROR(VLOOKUP(Data!$G2677,canon!$I$2:$K$27,3,FALSE),"")</f>
        <v>APPAREL</v>
      </c>
      <c r="J2677" s="69">
        <f t="shared" si="82"/>
        <v>4</v>
      </c>
      <c r="K2677" s="69">
        <f t="shared" si="83"/>
        <v>44</v>
      </c>
      <c r="L2677" s="69">
        <f>VLOOKUP(Table_db1_backend_Daily.accdb[[#This Row],[TradingDate]],canon!B:E,4,0)</f>
        <v>31</v>
      </c>
    </row>
    <row r="2678" spans="1:12" x14ac:dyDescent="0.2">
      <c r="A2678" s="69" t="s">
        <v>44</v>
      </c>
      <c r="B2678" s="70">
        <v>42949</v>
      </c>
      <c r="C2678" s="69">
        <v>33</v>
      </c>
      <c r="D2678" s="69">
        <v>0</v>
      </c>
      <c r="E2678" s="69">
        <v>0</v>
      </c>
      <c r="F2678" s="69">
        <v>0</v>
      </c>
      <c r="G2678" s="69" t="s">
        <v>10</v>
      </c>
      <c r="H2678" s="69" t="str">
        <f>IFERROR(VLOOKUP(Data!$G2678,canon!$I$2:$K$27,2,FALSE),"")</f>
        <v>ACCESSORY</v>
      </c>
      <c r="I2678" s="69" t="str">
        <f>IFERROR(VLOOKUP(Data!$G2678,canon!$I$2:$K$27,3,FALSE),"")</f>
        <v>N.APPAREL</v>
      </c>
      <c r="J2678" s="69">
        <f t="shared" si="82"/>
        <v>4</v>
      </c>
      <c r="K2678" s="69">
        <f t="shared" si="83"/>
        <v>44</v>
      </c>
      <c r="L2678" s="69">
        <f>VLOOKUP(Table_db1_backend_Daily.accdb[[#This Row],[TradingDate]],canon!B:E,4,0)</f>
        <v>31</v>
      </c>
    </row>
    <row r="2679" spans="1:12" x14ac:dyDescent="0.2">
      <c r="A2679" s="69" t="s">
        <v>44</v>
      </c>
      <c r="B2679" s="70">
        <v>42949</v>
      </c>
      <c r="C2679" s="69">
        <v>2</v>
      </c>
      <c r="D2679" s="69">
        <v>0</v>
      </c>
      <c r="E2679" s="69">
        <v>0</v>
      </c>
      <c r="F2679" s="69">
        <v>0</v>
      </c>
      <c r="G2679" s="69" t="s">
        <v>28</v>
      </c>
      <c r="H2679" s="69" t="str">
        <f>IFERROR(VLOOKUP(Data!$G2679,canon!$I$2:$K$27,2,FALSE),"")</f>
        <v>ACCESSORY</v>
      </c>
      <c r="I2679" s="69" t="str">
        <f>IFERROR(VLOOKUP(Data!$G2679,canon!$I$2:$K$27,3,FALSE),"")</f>
        <v>N.APPAREL</v>
      </c>
      <c r="J2679" s="69">
        <f t="shared" si="82"/>
        <v>4</v>
      </c>
      <c r="K2679" s="69">
        <f t="shared" si="83"/>
        <v>44</v>
      </c>
      <c r="L2679" s="69">
        <f>VLOOKUP(Table_db1_backend_Daily.accdb[[#This Row],[TradingDate]],canon!B:E,4,0)</f>
        <v>31</v>
      </c>
    </row>
    <row r="2680" spans="1:12" x14ac:dyDescent="0.2">
      <c r="A2680" s="69" t="s">
        <v>44</v>
      </c>
      <c r="B2680" s="70">
        <v>42949</v>
      </c>
      <c r="C2680" s="69">
        <v>1672</v>
      </c>
      <c r="D2680" s="69">
        <v>59</v>
      </c>
      <c r="E2680" s="69">
        <v>526.86999999999978</v>
      </c>
      <c r="F2680" s="69">
        <v>62.38</v>
      </c>
      <c r="G2680" s="69" t="s">
        <v>11</v>
      </c>
      <c r="H2680" s="69" t="str">
        <f>IFERROR(VLOOKUP(Data!$G2680,canon!$I$2:$K$27,2,FALSE),"")</f>
        <v>KNIT</v>
      </c>
      <c r="I2680" s="69" t="str">
        <f>IFERROR(VLOOKUP(Data!$G2680,canon!$I$2:$K$27,3,FALSE),"")</f>
        <v>APPAREL</v>
      </c>
      <c r="J2680" s="69">
        <f t="shared" si="82"/>
        <v>4</v>
      </c>
      <c r="K2680" s="69">
        <f t="shared" si="83"/>
        <v>44</v>
      </c>
      <c r="L2680" s="69">
        <f>VLOOKUP(Table_db1_backend_Daily.accdb[[#This Row],[TradingDate]],canon!B:E,4,0)</f>
        <v>31</v>
      </c>
    </row>
    <row r="2681" spans="1:12" x14ac:dyDescent="0.2">
      <c r="A2681" s="69" t="s">
        <v>44</v>
      </c>
      <c r="B2681" s="70">
        <v>42949</v>
      </c>
      <c r="C2681" s="69">
        <v>454</v>
      </c>
      <c r="D2681" s="69">
        <v>3</v>
      </c>
      <c r="E2681" s="69">
        <v>18.189999999999998</v>
      </c>
      <c r="F2681" s="69">
        <v>-2.6900000000000004</v>
      </c>
      <c r="G2681" s="69" t="s">
        <v>14</v>
      </c>
      <c r="H2681" s="69" t="str">
        <f>IFERROR(VLOOKUP(Data!$G2681,canon!$I$2:$K$27,2,FALSE),"")</f>
        <v>LEGGING</v>
      </c>
      <c r="I2681" s="69" t="str">
        <f>IFERROR(VLOOKUP(Data!$G2681,canon!$I$2:$K$27,3,FALSE),"")</f>
        <v>APPAREL</v>
      </c>
      <c r="J2681" s="69">
        <f t="shared" si="82"/>
        <v>4</v>
      </c>
      <c r="K2681" s="69">
        <f t="shared" si="83"/>
        <v>44</v>
      </c>
      <c r="L2681" s="69">
        <f>VLOOKUP(Table_db1_backend_Daily.accdb[[#This Row],[TradingDate]],canon!B:E,4,0)</f>
        <v>31</v>
      </c>
    </row>
    <row r="2682" spans="1:12" x14ac:dyDescent="0.2">
      <c r="A2682" s="69" t="s">
        <v>44</v>
      </c>
      <c r="B2682" s="70">
        <v>42949</v>
      </c>
      <c r="C2682" s="69">
        <v>-2</v>
      </c>
      <c r="D2682" s="69">
        <v>0</v>
      </c>
      <c r="E2682" s="69">
        <v>0</v>
      </c>
      <c r="F2682" s="69">
        <v>0</v>
      </c>
      <c r="G2682" s="69" t="s">
        <v>37</v>
      </c>
      <c r="H2682" s="69" t="str">
        <f>IFERROR(VLOOKUP(Data!$G2682,canon!$I$2:$K$27,2,FALSE),"")</f>
        <v>SHOES</v>
      </c>
      <c r="I2682" s="69" t="str">
        <f>IFERROR(VLOOKUP(Data!$G2682,canon!$I$2:$K$27,3,FALSE),"")</f>
        <v>N.APPAREL</v>
      </c>
      <c r="J2682" s="69">
        <f t="shared" si="82"/>
        <v>4</v>
      </c>
      <c r="K2682" s="69">
        <f t="shared" si="83"/>
        <v>44</v>
      </c>
      <c r="L2682" s="69">
        <f>VLOOKUP(Table_db1_backend_Daily.accdb[[#This Row],[TradingDate]],canon!B:E,4,0)</f>
        <v>31</v>
      </c>
    </row>
    <row r="2683" spans="1:12" x14ac:dyDescent="0.2">
      <c r="A2683" s="69" t="s">
        <v>44</v>
      </c>
      <c r="B2683" s="70">
        <v>42949</v>
      </c>
      <c r="C2683" s="69">
        <v>40</v>
      </c>
      <c r="D2683" s="69">
        <v>0</v>
      </c>
      <c r="E2683" s="69">
        <v>0</v>
      </c>
      <c r="F2683" s="69">
        <v>0</v>
      </c>
      <c r="G2683" s="69" t="s">
        <v>29</v>
      </c>
      <c r="H2683" s="69" t="str">
        <f>IFERROR(VLOOKUP(Data!$G2683,canon!$I$2:$K$27,2,FALSE),"")</f>
        <v>SHOES</v>
      </c>
      <c r="I2683" s="69" t="str">
        <f>IFERROR(VLOOKUP(Data!$G2683,canon!$I$2:$K$27,3,FALSE),"")</f>
        <v>N.APPAREL</v>
      </c>
      <c r="J2683" s="69">
        <f t="shared" si="82"/>
        <v>4</v>
      </c>
      <c r="K2683" s="69">
        <f t="shared" si="83"/>
        <v>44</v>
      </c>
      <c r="L2683" s="69">
        <f>VLOOKUP(Table_db1_backend_Daily.accdb[[#This Row],[TradingDate]],canon!B:E,4,0)</f>
        <v>31</v>
      </c>
    </row>
    <row r="2684" spans="1:12" x14ac:dyDescent="0.2">
      <c r="A2684" s="69" t="s">
        <v>44</v>
      </c>
      <c r="B2684" s="70">
        <v>42949</v>
      </c>
      <c r="C2684" s="69">
        <v>639</v>
      </c>
      <c r="D2684" s="69">
        <v>10</v>
      </c>
      <c r="E2684" s="69">
        <v>168.16000000000003</v>
      </c>
      <c r="F2684" s="69">
        <v>76.19</v>
      </c>
      <c r="G2684" s="69" t="s">
        <v>17</v>
      </c>
      <c r="H2684" s="69" t="str">
        <f>IFERROR(VLOOKUP(Data!$G2684,canon!$I$2:$K$27,2,FALSE),"")</f>
        <v>OUTER</v>
      </c>
      <c r="I2684" s="69" t="str">
        <f>IFERROR(VLOOKUP(Data!$G2684,canon!$I$2:$K$27,3,FALSE),"")</f>
        <v>APPAREL</v>
      </c>
      <c r="J2684" s="69">
        <f t="shared" si="82"/>
        <v>4</v>
      </c>
      <c r="K2684" s="69">
        <f t="shared" si="83"/>
        <v>44</v>
      </c>
      <c r="L2684" s="69">
        <f>VLOOKUP(Table_db1_backend_Daily.accdb[[#This Row],[TradingDate]],canon!B:E,4,0)</f>
        <v>31</v>
      </c>
    </row>
    <row r="2685" spans="1:12" x14ac:dyDescent="0.2">
      <c r="A2685" s="69" t="s">
        <v>44</v>
      </c>
      <c r="B2685" s="70">
        <v>42949</v>
      </c>
      <c r="C2685" s="69">
        <v>313</v>
      </c>
      <c r="D2685" s="69">
        <v>4</v>
      </c>
      <c r="E2685" s="69">
        <v>36.36</v>
      </c>
      <c r="F2685" s="69">
        <v>13.639999999999999</v>
      </c>
      <c r="G2685" s="69" t="s">
        <v>19</v>
      </c>
      <c r="H2685" s="69" t="str">
        <f>IFERROR(VLOOKUP(Data!$G2685,canon!$I$2:$K$27,2,FALSE),"")</f>
        <v>PANT</v>
      </c>
      <c r="I2685" s="69" t="str">
        <f>IFERROR(VLOOKUP(Data!$G2685,canon!$I$2:$K$27,3,FALSE),"")</f>
        <v>APPAREL</v>
      </c>
      <c r="J2685" s="69">
        <f t="shared" si="82"/>
        <v>4</v>
      </c>
      <c r="K2685" s="69">
        <f t="shared" si="83"/>
        <v>44</v>
      </c>
      <c r="L2685" s="69">
        <f>VLOOKUP(Table_db1_backend_Daily.accdb[[#This Row],[TradingDate]],canon!B:E,4,0)</f>
        <v>31</v>
      </c>
    </row>
    <row r="2686" spans="1:12" x14ac:dyDescent="0.2">
      <c r="A2686" s="69" t="s">
        <v>44</v>
      </c>
      <c r="B2686" s="70">
        <v>42949</v>
      </c>
      <c r="C2686" s="69">
        <v>63</v>
      </c>
      <c r="D2686" s="69">
        <v>0</v>
      </c>
      <c r="E2686" s="69">
        <v>0</v>
      </c>
      <c r="F2686" s="69">
        <v>0</v>
      </c>
      <c r="G2686" s="69" t="s">
        <v>21</v>
      </c>
      <c r="H2686" s="69" t="str">
        <f>IFERROR(VLOOKUP(Data!$G2686,canon!$I$2:$K$27,2,FALSE),"")</f>
        <v>ACCESSORY</v>
      </c>
      <c r="I2686" s="69" t="str">
        <f>IFERROR(VLOOKUP(Data!$G2686,canon!$I$2:$K$27,3,FALSE),"")</f>
        <v>N.APPAREL</v>
      </c>
      <c r="J2686" s="69">
        <f t="shared" si="82"/>
        <v>4</v>
      </c>
      <c r="K2686" s="69">
        <f t="shared" si="83"/>
        <v>44</v>
      </c>
      <c r="L2686" s="69">
        <f>VLOOKUP(Table_db1_backend_Daily.accdb[[#This Row],[TradingDate]],canon!B:E,4,0)</f>
        <v>31</v>
      </c>
    </row>
    <row r="2687" spans="1:12" x14ac:dyDescent="0.2">
      <c r="A2687" s="69" t="s">
        <v>44</v>
      </c>
      <c r="B2687" s="70">
        <v>42949</v>
      </c>
      <c r="C2687" s="69">
        <v>929</v>
      </c>
      <c r="D2687" s="69">
        <v>3</v>
      </c>
      <c r="E2687" s="69">
        <v>19</v>
      </c>
      <c r="F2687" s="69">
        <v>13.79</v>
      </c>
      <c r="G2687" s="69" t="s">
        <v>22</v>
      </c>
      <c r="H2687" s="69" t="str">
        <f>IFERROR(VLOOKUP(Data!$G2687,canon!$I$2:$K$27,2,FALSE),"")</f>
        <v>SCARF</v>
      </c>
      <c r="I2687" s="69" t="str">
        <f>IFERROR(VLOOKUP(Data!$G2687,canon!$I$2:$K$27,3,FALSE),"")</f>
        <v>N.APPAREL</v>
      </c>
      <c r="J2687" s="69">
        <f t="shared" si="82"/>
        <v>4</v>
      </c>
      <c r="K2687" s="69">
        <f t="shared" si="83"/>
        <v>44</v>
      </c>
      <c r="L2687" s="69">
        <f>VLOOKUP(Table_db1_backend_Daily.accdb[[#This Row],[TradingDate]],canon!B:E,4,0)</f>
        <v>31</v>
      </c>
    </row>
    <row r="2688" spans="1:12" x14ac:dyDescent="0.2">
      <c r="A2688" s="69" t="s">
        <v>44</v>
      </c>
      <c r="B2688" s="70">
        <v>42949</v>
      </c>
      <c r="C2688" s="69">
        <v>230</v>
      </c>
      <c r="D2688" s="69">
        <v>4</v>
      </c>
      <c r="E2688" s="69">
        <v>54.54</v>
      </c>
      <c r="F2688" s="69">
        <v>28.44</v>
      </c>
      <c r="G2688" s="69" t="s">
        <v>23</v>
      </c>
      <c r="H2688" s="69" t="str">
        <f>IFERROR(VLOOKUP(Data!$G2688,canon!$I$2:$K$27,2,FALSE),"")</f>
        <v>SH&amp;BL</v>
      </c>
      <c r="I2688" s="69" t="str">
        <f>IFERROR(VLOOKUP(Data!$G2688,canon!$I$2:$K$27,3,FALSE),"")</f>
        <v>APPAREL</v>
      </c>
      <c r="J2688" s="69">
        <f t="shared" si="82"/>
        <v>4</v>
      </c>
      <c r="K2688" s="69">
        <f t="shared" si="83"/>
        <v>44</v>
      </c>
      <c r="L2688" s="69">
        <f>VLOOKUP(Table_db1_backend_Daily.accdb[[#This Row],[TradingDate]],canon!B:E,4,0)</f>
        <v>31</v>
      </c>
    </row>
    <row r="2689" spans="1:12" x14ac:dyDescent="0.2">
      <c r="A2689" s="69" t="s">
        <v>44</v>
      </c>
      <c r="B2689" s="70">
        <v>42949</v>
      </c>
      <c r="C2689" s="69">
        <v>448</v>
      </c>
      <c r="D2689" s="69">
        <v>2</v>
      </c>
      <c r="E2689" s="69">
        <v>18.18</v>
      </c>
      <c r="F2689" s="69">
        <v>5.5699999999999994</v>
      </c>
      <c r="G2689" s="69" t="s">
        <v>32</v>
      </c>
      <c r="H2689" s="69" t="str">
        <f>IFERROR(VLOOKUP(Data!$G2689,canon!$I$2:$K$27,2,FALSE),"")</f>
        <v>SKIRT</v>
      </c>
      <c r="I2689" s="69" t="str">
        <f>IFERROR(VLOOKUP(Data!$G2689,canon!$I$2:$K$27,3,FALSE),"")</f>
        <v>APPAREL</v>
      </c>
      <c r="J2689" s="69">
        <f t="shared" si="82"/>
        <v>4</v>
      </c>
      <c r="K2689" s="69">
        <f t="shared" si="83"/>
        <v>44</v>
      </c>
      <c r="L2689" s="69">
        <f>VLOOKUP(Table_db1_backend_Daily.accdb[[#This Row],[TradingDate]],canon!B:E,4,0)</f>
        <v>31</v>
      </c>
    </row>
    <row r="2690" spans="1:12" x14ac:dyDescent="0.2">
      <c r="A2690" s="69" t="s">
        <v>44</v>
      </c>
      <c r="B2690" s="70">
        <v>42949</v>
      </c>
      <c r="C2690" s="69">
        <v>1478</v>
      </c>
      <c r="D2690" s="69">
        <v>12</v>
      </c>
      <c r="E2690" s="69">
        <v>113.52000000000001</v>
      </c>
      <c r="F2690" s="69">
        <v>55.26</v>
      </c>
      <c r="G2690" s="69" t="s">
        <v>25</v>
      </c>
      <c r="H2690" s="69" t="str">
        <f>IFERROR(VLOOKUP(Data!$G2690,canon!$I$2:$K$27,2,FALSE),"")</f>
        <v>TOP</v>
      </c>
      <c r="I2690" s="69" t="str">
        <f>IFERROR(VLOOKUP(Data!$G2690,canon!$I$2:$K$27,3,FALSE),"")</f>
        <v>APPAREL</v>
      </c>
      <c r="J2690" s="69">
        <f t="shared" ref="J2690:J2753" si="84">WEEKDAY(B2690)</f>
        <v>4</v>
      </c>
      <c r="K2690" s="69">
        <f t="shared" ref="K2690:K2753" si="85">INT(A2690)</f>
        <v>44</v>
      </c>
      <c r="L2690" s="69">
        <f>VLOOKUP(Table_db1_backend_Daily.accdb[[#This Row],[TradingDate]],canon!B:E,4,0)</f>
        <v>31</v>
      </c>
    </row>
    <row r="2691" spans="1:12" x14ac:dyDescent="0.2">
      <c r="A2691" s="69" t="s">
        <v>44</v>
      </c>
      <c r="B2691" s="70">
        <v>42950</v>
      </c>
      <c r="C2691" s="69">
        <v>33</v>
      </c>
      <c r="D2691" s="69">
        <v>0</v>
      </c>
      <c r="E2691" s="69">
        <v>0</v>
      </c>
      <c r="F2691" s="69">
        <v>0</v>
      </c>
      <c r="G2691" s="69" t="s">
        <v>34</v>
      </c>
      <c r="H2691" s="69" t="str">
        <f>IFERROR(VLOOKUP(Data!$G2691,canon!$I$2:$K$27,2,FALSE),"")</f>
        <v>SHOES</v>
      </c>
      <c r="I2691" s="69" t="str">
        <f>IFERROR(VLOOKUP(Data!$G2691,canon!$I$2:$K$27,3,FALSE),"")</f>
        <v>N.APPAREL</v>
      </c>
      <c r="J2691" s="69">
        <f t="shared" si="84"/>
        <v>5</v>
      </c>
      <c r="K2691" s="69">
        <f t="shared" si="85"/>
        <v>44</v>
      </c>
      <c r="L2691" s="69">
        <f>VLOOKUP(Table_db1_backend_Daily.accdb[[#This Row],[TradingDate]],canon!B:E,4,0)</f>
        <v>31</v>
      </c>
    </row>
    <row r="2692" spans="1:12" x14ac:dyDescent="0.2">
      <c r="A2692" s="69" t="s">
        <v>44</v>
      </c>
      <c r="B2692" s="70">
        <v>42950</v>
      </c>
      <c r="C2692" s="69">
        <v>2</v>
      </c>
      <c r="D2692" s="69">
        <v>0</v>
      </c>
      <c r="E2692" s="69">
        <v>0</v>
      </c>
      <c r="F2692" s="69">
        <v>0</v>
      </c>
      <c r="G2692" s="69" t="s">
        <v>38</v>
      </c>
      <c r="H2692" s="69" t="str">
        <f>IFERROR(VLOOKUP(Data!$G2692,canon!$I$2:$K$27,2,FALSE),"")</f>
        <v>SHOES</v>
      </c>
      <c r="I2692" s="69" t="str">
        <f>IFERROR(VLOOKUP(Data!$G2692,canon!$I$2:$K$27,3,FALSE),"")</f>
        <v>N.APPAREL</v>
      </c>
      <c r="J2692" s="69">
        <f t="shared" si="84"/>
        <v>5</v>
      </c>
      <c r="K2692" s="69">
        <f t="shared" si="85"/>
        <v>44</v>
      </c>
      <c r="L2692" s="69">
        <f>VLOOKUP(Table_db1_backend_Daily.accdb[[#This Row],[TradingDate]],canon!B:E,4,0)</f>
        <v>31</v>
      </c>
    </row>
    <row r="2693" spans="1:12" x14ac:dyDescent="0.2">
      <c r="A2693" s="69" t="s">
        <v>44</v>
      </c>
      <c r="B2693" s="70">
        <v>42950</v>
      </c>
      <c r="C2693" s="69">
        <v>591</v>
      </c>
      <c r="D2693" s="69">
        <v>2</v>
      </c>
      <c r="E2693" s="69">
        <v>18.18</v>
      </c>
      <c r="F2693" s="69">
        <v>2.52</v>
      </c>
      <c r="G2693" s="69" t="s">
        <v>35</v>
      </c>
      <c r="H2693" s="69" t="str">
        <f>IFERROR(VLOOKUP(Data!$G2693,canon!$I$2:$K$27,2,FALSE),"")</f>
        <v>DRESS</v>
      </c>
      <c r="I2693" s="69" t="str">
        <f>IFERROR(VLOOKUP(Data!$G2693,canon!$I$2:$K$27,3,FALSE),"")</f>
        <v>APPAREL</v>
      </c>
      <c r="J2693" s="69">
        <f t="shared" si="84"/>
        <v>5</v>
      </c>
      <c r="K2693" s="69">
        <f t="shared" si="85"/>
        <v>44</v>
      </c>
      <c r="L2693" s="69">
        <f>VLOOKUP(Table_db1_backend_Daily.accdb[[#This Row],[TradingDate]],canon!B:E,4,0)</f>
        <v>31</v>
      </c>
    </row>
    <row r="2694" spans="1:12" x14ac:dyDescent="0.2">
      <c r="A2694" s="69" t="s">
        <v>44</v>
      </c>
      <c r="B2694" s="70">
        <v>42950</v>
      </c>
      <c r="C2694" s="69">
        <v>34</v>
      </c>
      <c r="D2694" s="69">
        <v>0</v>
      </c>
      <c r="E2694" s="69">
        <v>0</v>
      </c>
      <c r="F2694" s="69">
        <v>0</v>
      </c>
      <c r="G2694" s="69" t="s">
        <v>10</v>
      </c>
      <c r="H2694" s="69" t="str">
        <f>IFERROR(VLOOKUP(Data!$G2694,canon!$I$2:$K$27,2,FALSE),"")</f>
        <v>ACCESSORY</v>
      </c>
      <c r="I2694" s="69" t="str">
        <f>IFERROR(VLOOKUP(Data!$G2694,canon!$I$2:$K$27,3,FALSE),"")</f>
        <v>N.APPAREL</v>
      </c>
      <c r="J2694" s="69">
        <f t="shared" si="84"/>
        <v>5</v>
      </c>
      <c r="K2694" s="69">
        <f t="shared" si="85"/>
        <v>44</v>
      </c>
      <c r="L2694" s="69">
        <f>VLOOKUP(Table_db1_backend_Daily.accdb[[#This Row],[TradingDate]],canon!B:E,4,0)</f>
        <v>31</v>
      </c>
    </row>
    <row r="2695" spans="1:12" x14ac:dyDescent="0.2">
      <c r="A2695" s="69" t="s">
        <v>44</v>
      </c>
      <c r="B2695" s="70">
        <v>42950</v>
      </c>
      <c r="C2695" s="69">
        <v>2</v>
      </c>
      <c r="D2695" s="69">
        <v>0</v>
      </c>
      <c r="E2695" s="69">
        <v>0</v>
      </c>
      <c r="F2695" s="69">
        <v>0</v>
      </c>
      <c r="G2695" s="69" t="s">
        <v>28</v>
      </c>
      <c r="H2695" s="69" t="str">
        <f>IFERROR(VLOOKUP(Data!$G2695,canon!$I$2:$K$27,2,FALSE),"")</f>
        <v>ACCESSORY</v>
      </c>
      <c r="I2695" s="69" t="str">
        <f>IFERROR(VLOOKUP(Data!$G2695,canon!$I$2:$K$27,3,FALSE),"")</f>
        <v>N.APPAREL</v>
      </c>
      <c r="J2695" s="69">
        <f t="shared" si="84"/>
        <v>5</v>
      </c>
      <c r="K2695" s="69">
        <f t="shared" si="85"/>
        <v>44</v>
      </c>
      <c r="L2695" s="69">
        <f>VLOOKUP(Table_db1_backend_Daily.accdb[[#This Row],[TradingDate]],canon!B:E,4,0)</f>
        <v>31</v>
      </c>
    </row>
    <row r="2696" spans="1:12" x14ac:dyDescent="0.2">
      <c r="A2696" s="69" t="s">
        <v>44</v>
      </c>
      <c r="B2696" s="70">
        <v>42950</v>
      </c>
      <c r="C2696" s="69">
        <v>1622</v>
      </c>
      <c r="D2696" s="69">
        <v>52</v>
      </c>
      <c r="E2696" s="69">
        <v>431.52999999999992</v>
      </c>
      <c r="F2696" s="69">
        <v>25.099999999999994</v>
      </c>
      <c r="G2696" s="69" t="s">
        <v>11</v>
      </c>
      <c r="H2696" s="69" t="str">
        <f>IFERROR(VLOOKUP(Data!$G2696,canon!$I$2:$K$27,2,FALSE),"")</f>
        <v>KNIT</v>
      </c>
      <c r="I2696" s="69" t="str">
        <f>IFERROR(VLOOKUP(Data!$G2696,canon!$I$2:$K$27,3,FALSE),"")</f>
        <v>APPAREL</v>
      </c>
      <c r="J2696" s="69">
        <f t="shared" si="84"/>
        <v>5</v>
      </c>
      <c r="K2696" s="69">
        <f t="shared" si="85"/>
        <v>44</v>
      </c>
      <c r="L2696" s="69">
        <f>VLOOKUP(Table_db1_backend_Daily.accdb[[#This Row],[TradingDate]],canon!B:E,4,0)</f>
        <v>31</v>
      </c>
    </row>
    <row r="2697" spans="1:12" x14ac:dyDescent="0.2">
      <c r="A2697" s="69" t="s">
        <v>44</v>
      </c>
      <c r="B2697" s="70">
        <v>42950</v>
      </c>
      <c r="C2697" s="69">
        <v>482</v>
      </c>
      <c r="D2697" s="69">
        <v>2</v>
      </c>
      <c r="E2697" s="69">
        <v>13.629999999999999</v>
      </c>
      <c r="F2697" s="69">
        <v>-0.40000000000000036</v>
      </c>
      <c r="G2697" s="69" t="s">
        <v>14</v>
      </c>
      <c r="H2697" s="69" t="str">
        <f>IFERROR(VLOOKUP(Data!$G2697,canon!$I$2:$K$27,2,FALSE),"")</f>
        <v>LEGGING</v>
      </c>
      <c r="I2697" s="69" t="str">
        <f>IFERROR(VLOOKUP(Data!$G2697,canon!$I$2:$K$27,3,FALSE),"")</f>
        <v>APPAREL</v>
      </c>
      <c r="J2697" s="69">
        <f t="shared" si="84"/>
        <v>5</v>
      </c>
      <c r="K2697" s="69">
        <f t="shared" si="85"/>
        <v>44</v>
      </c>
      <c r="L2697" s="69">
        <f>VLOOKUP(Table_db1_backend_Daily.accdb[[#This Row],[TradingDate]],canon!B:E,4,0)</f>
        <v>31</v>
      </c>
    </row>
    <row r="2698" spans="1:12" x14ac:dyDescent="0.2">
      <c r="A2698" s="69" t="s">
        <v>44</v>
      </c>
      <c r="B2698" s="70">
        <v>42950</v>
      </c>
      <c r="C2698" s="69">
        <v>23</v>
      </c>
      <c r="D2698" s="69">
        <v>0</v>
      </c>
      <c r="E2698" s="69">
        <v>0</v>
      </c>
      <c r="F2698" s="69">
        <v>0</v>
      </c>
      <c r="G2698" s="69" t="s">
        <v>37</v>
      </c>
      <c r="H2698" s="69" t="str">
        <f>IFERROR(VLOOKUP(Data!$G2698,canon!$I$2:$K$27,2,FALSE),"")</f>
        <v>SHOES</v>
      </c>
      <c r="I2698" s="69" t="str">
        <f>IFERROR(VLOOKUP(Data!$G2698,canon!$I$2:$K$27,3,FALSE),"")</f>
        <v>N.APPAREL</v>
      </c>
      <c r="J2698" s="69">
        <f t="shared" si="84"/>
        <v>5</v>
      </c>
      <c r="K2698" s="69">
        <f t="shared" si="85"/>
        <v>44</v>
      </c>
      <c r="L2698" s="69">
        <f>VLOOKUP(Table_db1_backend_Daily.accdb[[#This Row],[TradingDate]],canon!B:E,4,0)</f>
        <v>31</v>
      </c>
    </row>
    <row r="2699" spans="1:12" x14ac:dyDescent="0.2">
      <c r="A2699" s="69" t="s">
        <v>44</v>
      </c>
      <c r="B2699" s="70">
        <v>42950</v>
      </c>
      <c r="C2699" s="69">
        <v>65</v>
      </c>
      <c r="D2699" s="69">
        <v>0</v>
      </c>
      <c r="E2699" s="69">
        <v>0</v>
      </c>
      <c r="F2699" s="69">
        <v>0</v>
      </c>
      <c r="G2699" s="69" t="s">
        <v>29</v>
      </c>
      <c r="H2699" s="69" t="str">
        <f>IFERROR(VLOOKUP(Data!$G2699,canon!$I$2:$K$27,2,FALSE),"")</f>
        <v>SHOES</v>
      </c>
      <c r="I2699" s="69" t="str">
        <f>IFERROR(VLOOKUP(Data!$G2699,canon!$I$2:$K$27,3,FALSE),"")</f>
        <v>N.APPAREL</v>
      </c>
      <c r="J2699" s="69">
        <f t="shared" si="84"/>
        <v>5</v>
      </c>
      <c r="K2699" s="69">
        <f t="shared" si="85"/>
        <v>44</v>
      </c>
      <c r="L2699" s="69">
        <f>VLOOKUP(Table_db1_backend_Daily.accdb[[#This Row],[TradingDate]],canon!B:E,4,0)</f>
        <v>31</v>
      </c>
    </row>
    <row r="2700" spans="1:12" x14ac:dyDescent="0.2">
      <c r="A2700" s="69" t="s">
        <v>44</v>
      </c>
      <c r="B2700" s="70">
        <v>42950</v>
      </c>
      <c r="C2700" s="69">
        <v>668</v>
      </c>
      <c r="D2700" s="69">
        <v>1</v>
      </c>
      <c r="E2700" s="69">
        <v>9.08</v>
      </c>
      <c r="F2700" s="69">
        <v>-1.35</v>
      </c>
      <c r="G2700" s="69" t="s">
        <v>17</v>
      </c>
      <c r="H2700" s="69" t="str">
        <f>IFERROR(VLOOKUP(Data!$G2700,canon!$I$2:$K$27,2,FALSE),"")</f>
        <v>OUTER</v>
      </c>
      <c r="I2700" s="69" t="str">
        <f>IFERROR(VLOOKUP(Data!$G2700,canon!$I$2:$K$27,3,FALSE),"")</f>
        <v>APPAREL</v>
      </c>
      <c r="J2700" s="69">
        <f t="shared" si="84"/>
        <v>5</v>
      </c>
      <c r="K2700" s="69">
        <f t="shared" si="85"/>
        <v>44</v>
      </c>
      <c r="L2700" s="69">
        <f>VLOOKUP(Table_db1_backend_Daily.accdb[[#This Row],[TradingDate]],canon!B:E,4,0)</f>
        <v>31</v>
      </c>
    </row>
    <row r="2701" spans="1:12" x14ac:dyDescent="0.2">
      <c r="A2701" s="69" t="s">
        <v>44</v>
      </c>
      <c r="B2701" s="70">
        <v>42950</v>
      </c>
      <c r="C2701" s="69">
        <v>368</v>
      </c>
      <c r="D2701" s="69">
        <v>2</v>
      </c>
      <c r="E2701" s="69">
        <v>22.73</v>
      </c>
      <c r="F2701" s="69">
        <v>9.36</v>
      </c>
      <c r="G2701" s="69" t="s">
        <v>19</v>
      </c>
      <c r="H2701" s="69" t="str">
        <f>IFERROR(VLOOKUP(Data!$G2701,canon!$I$2:$K$27,2,FALSE),"")</f>
        <v>PANT</v>
      </c>
      <c r="I2701" s="69" t="str">
        <f>IFERROR(VLOOKUP(Data!$G2701,canon!$I$2:$K$27,3,FALSE),"")</f>
        <v>APPAREL</v>
      </c>
      <c r="J2701" s="69">
        <f t="shared" si="84"/>
        <v>5</v>
      </c>
      <c r="K2701" s="69">
        <f t="shared" si="85"/>
        <v>44</v>
      </c>
      <c r="L2701" s="69">
        <f>VLOOKUP(Table_db1_backend_Daily.accdb[[#This Row],[TradingDate]],canon!B:E,4,0)</f>
        <v>31</v>
      </c>
    </row>
    <row r="2702" spans="1:12" x14ac:dyDescent="0.2">
      <c r="A2702" s="69" t="s">
        <v>44</v>
      </c>
      <c r="B2702" s="70">
        <v>42950</v>
      </c>
      <c r="C2702" s="69">
        <v>78</v>
      </c>
      <c r="D2702" s="69">
        <v>0</v>
      </c>
      <c r="E2702" s="69">
        <v>0</v>
      </c>
      <c r="F2702" s="69">
        <v>0</v>
      </c>
      <c r="G2702" s="69" t="s">
        <v>21</v>
      </c>
      <c r="H2702" s="69" t="str">
        <f>IFERROR(VLOOKUP(Data!$G2702,canon!$I$2:$K$27,2,FALSE),"")</f>
        <v>ACCESSORY</v>
      </c>
      <c r="I2702" s="69" t="str">
        <f>IFERROR(VLOOKUP(Data!$G2702,canon!$I$2:$K$27,3,FALSE),"")</f>
        <v>N.APPAREL</v>
      </c>
      <c r="J2702" s="69">
        <f t="shared" si="84"/>
        <v>5</v>
      </c>
      <c r="K2702" s="69">
        <f t="shared" si="85"/>
        <v>44</v>
      </c>
      <c r="L2702" s="69">
        <f>VLOOKUP(Table_db1_backend_Daily.accdb[[#This Row],[TradingDate]],canon!B:E,4,0)</f>
        <v>31</v>
      </c>
    </row>
    <row r="2703" spans="1:12" x14ac:dyDescent="0.2">
      <c r="A2703" s="69" t="s">
        <v>44</v>
      </c>
      <c r="B2703" s="70">
        <v>42950</v>
      </c>
      <c r="C2703" s="69">
        <v>1234</v>
      </c>
      <c r="D2703" s="69">
        <v>10</v>
      </c>
      <c r="E2703" s="69">
        <v>72.280000000000015</v>
      </c>
      <c r="F2703" s="69">
        <v>55.13000000000001</v>
      </c>
      <c r="G2703" s="69" t="s">
        <v>22</v>
      </c>
      <c r="H2703" s="69" t="str">
        <f>IFERROR(VLOOKUP(Data!$G2703,canon!$I$2:$K$27,2,FALSE),"")</f>
        <v>SCARF</v>
      </c>
      <c r="I2703" s="69" t="str">
        <f>IFERROR(VLOOKUP(Data!$G2703,canon!$I$2:$K$27,3,FALSE),"")</f>
        <v>N.APPAREL</v>
      </c>
      <c r="J2703" s="69">
        <f t="shared" si="84"/>
        <v>5</v>
      </c>
      <c r="K2703" s="69">
        <f t="shared" si="85"/>
        <v>44</v>
      </c>
      <c r="L2703" s="69">
        <f>VLOOKUP(Table_db1_backend_Daily.accdb[[#This Row],[TradingDate]],canon!B:E,4,0)</f>
        <v>31</v>
      </c>
    </row>
    <row r="2704" spans="1:12" x14ac:dyDescent="0.2">
      <c r="A2704" s="69" t="s">
        <v>44</v>
      </c>
      <c r="B2704" s="70">
        <v>42950</v>
      </c>
      <c r="C2704" s="69">
        <v>244</v>
      </c>
      <c r="D2704" s="69">
        <v>4</v>
      </c>
      <c r="E2704" s="69">
        <v>40.82</v>
      </c>
      <c r="F2704" s="69">
        <v>10.059999999999999</v>
      </c>
      <c r="G2704" s="69" t="s">
        <v>23</v>
      </c>
      <c r="H2704" s="69" t="str">
        <f>IFERROR(VLOOKUP(Data!$G2704,canon!$I$2:$K$27,2,FALSE),"")</f>
        <v>SH&amp;BL</v>
      </c>
      <c r="I2704" s="69" t="str">
        <f>IFERROR(VLOOKUP(Data!$G2704,canon!$I$2:$K$27,3,FALSE),"")</f>
        <v>APPAREL</v>
      </c>
      <c r="J2704" s="69">
        <f t="shared" si="84"/>
        <v>5</v>
      </c>
      <c r="K2704" s="69">
        <f t="shared" si="85"/>
        <v>44</v>
      </c>
      <c r="L2704" s="69">
        <f>VLOOKUP(Table_db1_backend_Daily.accdb[[#This Row],[TradingDate]],canon!B:E,4,0)</f>
        <v>31</v>
      </c>
    </row>
    <row r="2705" spans="1:12" x14ac:dyDescent="0.2">
      <c r="A2705" s="69" t="s">
        <v>44</v>
      </c>
      <c r="B2705" s="70">
        <v>42950</v>
      </c>
      <c r="C2705" s="69">
        <v>494</v>
      </c>
      <c r="D2705" s="69">
        <v>2</v>
      </c>
      <c r="E2705" s="69">
        <v>45.45</v>
      </c>
      <c r="F2705" s="69">
        <v>36.31</v>
      </c>
      <c r="G2705" s="69" t="s">
        <v>32</v>
      </c>
      <c r="H2705" s="69" t="str">
        <f>IFERROR(VLOOKUP(Data!$G2705,canon!$I$2:$K$27,2,FALSE),"")</f>
        <v>SKIRT</v>
      </c>
      <c r="I2705" s="69" t="str">
        <f>IFERROR(VLOOKUP(Data!$G2705,canon!$I$2:$K$27,3,FALSE),"")</f>
        <v>APPAREL</v>
      </c>
      <c r="J2705" s="69">
        <f t="shared" si="84"/>
        <v>5</v>
      </c>
      <c r="K2705" s="69">
        <f t="shared" si="85"/>
        <v>44</v>
      </c>
      <c r="L2705" s="69">
        <f>VLOOKUP(Table_db1_backend_Daily.accdb[[#This Row],[TradingDate]],canon!B:E,4,0)</f>
        <v>31</v>
      </c>
    </row>
    <row r="2706" spans="1:12" x14ac:dyDescent="0.2">
      <c r="A2706" s="69" t="s">
        <v>44</v>
      </c>
      <c r="B2706" s="70">
        <v>42950</v>
      </c>
      <c r="C2706" s="69">
        <v>1554</v>
      </c>
      <c r="D2706" s="69">
        <v>19</v>
      </c>
      <c r="E2706" s="69">
        <v>122.65</v>
      </c>
      <c r="F2706" s="69">
        <v>25.389999999999997</v>
      </c>
      <c r="G2706" s="69" t="s">
        <v>25</v>
      </c>
      <c r="H2706" s="69" t="str">
        <f>IFERROR(VLOOKUP(Data!$G2706,canon!$I$2:$K$27,2,FALSE),"")</f>
        <v>TOP</v>
      </c>
      <c r="I2706" s="69" t="str">
        <f>IFERROR(VLOOKUP(Data!$G2706,canon!$I$2:$K$27,3,FALSE),"")</f>
        <v>APPAREL</v>
      </c>
      <c r="J2706" s="69">
        <f t="shared" si="84"/>
        <v>5</v>
      </c>
      <c r="K2706" s="69">
        <f t="shared" si="85"/>
        <v>44</v>
      </c>
      <c r="L2706" s="69">
        <f>VLOOKUP(Table_db1_backend_Daily.accdb[[#This Row],[TradingDate]],canon!B:E,4,0)</f>
        <v>31</v>
      </c>
    </row>
    <row r="2707" spans="1:12" x14ac:dyDescent="0.2">
      <c r="A2707" s="69" t="s">
        <v>44</v>
      </c>
      <c r="B2707" s="70">
        <v>42951</v>
      </c>
      <c r="C2707" s="69">
        <v>33</v>
      </c>
      <c r="D2707" s="69">
        <v>0</v>
      </c>
      <c r="E2707" s="69">
        <v>0</v>
      </c>
      <c r="F2707" s="69">
        <v>0</v>
      </c>
      <c r="G2707" s="69" t="s">
        <v>34</v>
      </c>
      <c r="H2707" s="69" t="str">
        <f>IFERROR(VLOOKUP(Data!$G2707,canon!$I$2:$K$27,2,FALSE),"")</f>
        <v>SHOES</v>
      </c>
      <c r="I2707" s="69" t="str">
        <f>IFERROR(VLOOKUP(Data!$G2707,canon!$I$2:$K$27,3,FALSE),"")</f>
        <v>N.APPAREL</v>
      </c>
      <c r="J2707" s="69">
        <f t="shared" si="84"/>
        <v>6</v>
      </c>
      <c r="K2707" s="69">
        <f t="shared" si="85"/>
        <v>44</v>
      </c>
      <c r="L2707" s="69">
        <f>VLOOKUP(Table_db1_backend_Daily.accdb[[#This Row],[TradingDate]],canon!B:E,4,0)</f>
        <v>31</v>
      </c>
    </row>
    <row r="2708" spans="1:12" x14ac:dyDescent="0.2">
      <c r="A2708" s="69" t="s">
        <v>44</v>
      </c>
      <c r="B2708" s="70">
        <v>42951</v>
      </c>
      <c r="C2708" s="69">
        <v>2</v>
      </c>
      <c r="D2708" s="69">
        <v>0</v>
      </c>
      <c r="E2708" s="69">
        <v>0</v>
      </c>
      <c r="F2708" s="69">
        <v>0</v>
      </c>
      <c r="G2708" s="69" t="s">
        <v>38</v>
      </c>
      <c r="H2708" s="69" t="str">
        <f>IFERROR(VLOOKUP(Data!$G2708,canon!$I$2:$K$27,2,FALSE),"")</f>
        <v>SHOES</v>
      </c>
      <c r="I2708" s="69" t="str">
        <f>IFERROR(VLOOKUP(Data!$G2708,canon!$I$2:$K$27,3,FALSE),"")</f>
        <v>N.APPAREL</v>
      </c>
      <c r="J2708" s="69">
        <f t="shared" si="84"/>
        <v>6</v>
      </c>
      <c r="K2708" s="69">
        <f t="shared" si="85"/>
        <v>44</v>
      </c>
      <c r="L2708" s="69">
        <f>VLOOKUP(Table_db1_backend_Daily.accdb[[#This Row],[TradingDate]],canon!B:E,4,0)</f>
        <v>31</v>
      </c>
    </row>
    <row r="2709" spans="1:12" x14ac:dyDescent="0.2">
      <c r="A2709" s="69" t="s">
        <v>44</v>
      </c>
      <c r="B2709" s="70">
        <v>42951</v>
      </c>
      <c r="C2709" s="69">
        <v>576</v>
      </c>
      <c r="D2709" s="69">
        <v>15</v>
      </c>
      <c r="E2709" s="69">
        <v>177.34</v>
      </c>
      <c r="F2709" s="69">
        <v>54.290000000000006</v>
      </c>
      <c r="G2709" s="69" t="s">
        <v>35</v>
      </c>
      <c r="H2709" s="69" t="str">
        <f>IFERROR(VLOOKUP(Data!$G2709,canon!$I$2:$K$27,2,FALSE),"")</f>
        <v>DRESS</v>
      </c>
      <c r="I2709" s="69" t="str">
        <f>IFERROR(VLOOKUP(Data!$G2709,canon!$I$2:$K$27,3,FALSE),"")</f>
        <v>APPAREL</v>
      </c>
      <c r="J2709" s="69">
        <f t="shared" si="84"/>
        <v>6</v>
      </c>
      <c r="K2709" s="69">
        <f t="shared" si="85"/>
        <v>44</v>
      </c>
      <c r="L2709" s="69">
        <f>VLOOKUP(Table_db1_backend_Daily.accdb[[#This Row],[TradingDate]],canon!B:E,4,0)</f>
        <v>31</v>
      </c>
    </row>
    <row r="2710" spans="1:12" x14ac:dyDescent="0.2">
      <c r="A2710" s="69" t="s">
        <v>44</v>
      </c>
      <c r="B2710" s="70">
        <v>42951</v>
      </c>
      <c r="C2710" s="69">
        <v>34</v>
      </c>
      <c r="D2710" s="69">
        <v>0</v>
      </c>
      <c r="E2710" s="69">
        <v>0</v>
      </c>
      <c r="F2710" s="69">
        <v>0</v>
      </c>
      <c r="G2710" s="69" t="s">
        <v>10</v>
      </c>
      <c r="H2710" s="69" t="str">
        <f>IFERROR(VLOOKUP(Data!$G2710,canon!$I$2:$K$27,2,FALSE),"")</f>
        <v>ACCESSORY</v>
      </c>
      <c r="I2710" s="69" t="str">
        <f>IFERROR(VLOOKUP(Data!$G2710,canon!$I$2:$K$27,3,FALSE),"")</f>
        <v>N.APPAREL</v>
      </c>
      <c r="J2710" s="69">
        <f t="shared" si="84"/>
        <v>6</v>
      </c>
      <c r="K2710" s="69">
        <f t="shared" si="85"/>
        <v>44</v>
      </c>
      <c r="L2710" s="69">
        <f>VLOOKUP(Table_db1_backend_Daily.accdb[[#This Row],[TradingDate]],canon!B:E,4,0)</f>
        <v>31</v>
      </c>
    </row>
    <row r="2711" spans="1:12" x14ac:dyDescent="0.2">
      <c r="A2711" s="69" t="s">
        <v>44</v>
      </c>
      <c r="B2711" s="70">
        <v>42951</v>
      </c>
      <c r="C2711" s="69">
        <v>2</v>
      </c>
      <c r="D2711" s="69">
        <v>0</v>
      </c>
      <c r="E2711" s="69">
        <v>0</v>
      </c>
      <c r="F2711" s="69">
        <v>0</v>
      </c>
      <c r="G2711" s="69" t="s">
        <v>28</v>
      </c>
      <c r="H2711" s="69" t="str">
        <f>IFERROR(VLOOKUP(Data!$G2711,canon!$I$2:$K$27,2,FALSE),"")</f>
        <v>ACCESSORY</v>
      </c>
      <c r="I2711" s="69" t="str">
        <f>IFERROR(VLOOKUP(Data!$G2711,canon!$I$2:$K$27,3,FALSE),"")</f>
        <v>N.APPAREL</v>
      </c>
      <c r="J2711" s="69">
        <f t="shared" si="84"/>
        <v>6</v>
      </c>
      <c r="K2711" s="69">
        <f t="shared" si="85"/>
        <v>44</v>
      </c>
      <c r="L2711" s="69">
        <f>VLOOKUP(Table_db1_backend_Daily.accdb[[#This Row],[TradingDate]],canon!B:E,4,0)</f>
        <v>31</v>
      </c>
    </row>
    <row r="2712" spans="1:12" x14ac:dyDescent="0.2">
      <c r="A2712" s="69" t="s">
        <v>44</v>
      </c>
      <c r="B2712" s="70">
        <v>42951</v>
      </c>
      <c r="C2712" s="69">
        <v>1564</v>
      </c>
      <c r="D2712" s="69">
        <v>58</v>
      </c>
      <c r="E2712" s="69">
        <v>416.86999999999983</v>
      </c>
      <c r="F2712" s="69">
        <v>-49.129999999999988</v>
      </c>
      <c r="G2712" s="69" t="s">
        <v>11</v>
      </c>
      <c r="H2712" s="69" t="str">
        <f>IFERROR(VLOOKUP(Data!$G2712,canon!$I$2:$K$27,2,FALSE),"")</f>
        <v>KNIT</v>
      </c>
      <c r="I2712" s="69" t="str">
        <f>IFERROR(VLOOKUP(Data!$G2712,canon!$I$2:$K$27,3,FALSE),"")</f>
        <v>APPAREL</v>
      </c>
      <c r="J2712" s="69">
        <f t="shared" si="84"/>
        <v>6</v>
      </c>
      <c r="K2712" s="69">
        <f t="shared" si="85"/>
        <v>44</v>
      </c>
      <c r="L2712" s="69">
        <f>VLOOKUP(Table_db1_backend_Daily.accdb[[#This Row],[TradingDate]],canon!B:E,4,0)</f>
        <v>31</v>
      </c>
    </row>
    <row r="2713" spans="1:12" x14ac:dyDescent="0.2">
      <c r="A2713" s="69" t="s">
        <v>44</v>
      </c>
      <c r="B2713" s="70">
        <v>42951</v>
      </c>
      <c r="C2713" s="69">
        <v>478</v>
      </c>
      <c r="D2713" s="69">
        <v>4</v>
      </c>
      <c r="E2713" s="69">
        <v>33.96</v>
      </c>
      <c r="F2713" s="69">
        <v>6.68</v>
      </c>
      <c r="G2713" s="69" t="s">
        <v>14</v>
      </c>
      <c r="H2713" s="69" t="str">
        <f>IFERROR(VLOOKUP(Data!$G2713,canon!$I$2:$K$27,2,FALSE),"")</f>
        <v>LEGGING</v>
      </c>
      <c r="I2713" s="69" t="str">
        <f>IFERROR(VLOOKUP(Data!$G2713,canon!$I$2:$K$27,3,FALSE),"")</f>
        <v>APPAREL</v>
      </c>
      <c r="J2713" s="69">
        <f t="shared" si="84"/>
        <v>6</v>
      </c>
      <c r="K2713" s="69">
        <f t="shared" si="85"/>
        <v>44</v>
      </c>
      <c r="L2713" s="69">
        <f>VLOOKUP(Table_db1_backend_Daily.accdb[[#This Row],[TradingDate]],canon!B:E,4,0)</f>
        <v>31</v>
      </c>
    </row>
    <row r="2714" spans="1:12" x14ac:dyDescent="0.2">
      <c r="A2714" s="69" t="s">
        <v>44</v>
      </c>
      <c r="B2714" s="70">
        <v>42951</v>
      </c>
      <c r="C2714" s="69">
        <v>23</v>
      </c>
      <c r="D2714" s="69">
        <v>0</v>
      </c>
      <c r="E2714" s="69">
        <v>0</v>
      </c>
      <c r="F2714" s="69">
        <v>0</v>
      </c>
      <c r="G2714" s="69" t="s">
        <v>37</v>
      </c>
      <c r="H2714" s="69" t="str">
        <f>IFERROR(VLOOKUP(Data!$G2714,canon!$I$2:$K$27,2,FALSE),"")</f>
        <v>SHOES</v>
      </c>
      <c r="I2714" s="69" t="str">
        <f>IFERROR(VLOOKUP(Data!$G2714,canon!$I$2:$K$27,3,FALSE),"")</f>
        <v>N.APPAREL</v>
      </c>
      <c r="J2714" s="69">
        <f t="shared" si="84"/>
        <v>6</v>
      </c>
      <c r="K2714" s="69">
        <f t="shared" si="85"/>
        <v>44</v>
      </c>
      <c r="L2714" s="69">
        <f>VLOOKUP(Table_db1_backend_Daily.accdb[[#This Row],[TradingDate]],canon!B:E,4,0)</f>
        <v>31</v>
      </c>
    </row>
    <row r="2715" spans="1:12" x14ac:dyDescent="0.2">
      <c r="A2715" s="69" t="s">
        <v>44</v>
      </c>
      <c r="B2715" s="70">
        <v>42951</v>
      </c>
      <c r="C2715" s="69">
        <v>65</v>
      </c>
      <c r="D2715" s="69">
        <v>0</v>
      </c>
      <c r="E2715" s="69">
        <v>0</v>
      </c>
      <c r="F2715" s="69">
        <v>0</v>
      </c>
      <c r="G2715" s="69" t="s">
        <v>29</v>
      </c>
      <c r="H2715" s="69" t="str">
        <f>IFERROR(VLOOKUP(Data!$G2715,canon!$I$2:$K$27,2,FALSE),"")</f>
        <v>SHOES</v>
      </c>
      <c r="I2715" s="69" t="str">
        <f>IFERROR(VLOOKUP(Data!$G2715,canon!$I$2:$K$27,3,FALSE),"")</f>
        <v>N.APPAREL</v>
      </c>
      <c r="J2715" s="69">
        <f t="shared" si="84"/>
        <v>6</v>
      </c>
      <c r="K2715" s="69">
        <f t="shared" si="85"/>
        <v>44</v>
      </c>
      <c r="L2715" s="69">
        <f>VLOOKUP(Table_db1_backend_Daily.accdb[[#This Row],[TradingDate]],canon!B:E,4,0)</f>
        <v>31</v>
      </c>
    </row>
    <row r="2716" spans="1:12" x14ac:dyDescent="0.2">
      <c r="A2716" s="69" t="s">
        <v>44</v>
      </c>
      <c r="B2716" s="70">
        <v>42951</v>
      </c>
      <c r="C2716" s="69">
        <v>652</v>
      </c>
      <c r="D2716" s="69">
        <v>16</v>
      </c>
      <c r="E2716" s="69">
        <v>173.9</v>
      </c>
      <c r="F2716" s="69">
        <v>12.640000000000004</v>
      </c>
      <c r="G2716" s="69" t="s">
        <v>17</v>
      </c>
      <c r="H2716" s="69" t="str">
        <f>IFERROR(VLOOKUP(Data!$G2716,canon!$I$2:$K$27,2,FALSE),"")</f>
        <v>OUTER</v>
      </c>
      <c r="I2716" s="69" t="str">
        <f>IFERROR(VLOOKUP(Data!$G2716,canon!$I$2:$K$27,3,FALSE),"")</f>
        <v>APPAREL</v>
      </c>
      <c r="J2716" s="69">
        <f t="shared" si="84"/>
        <v>6</v>
      </c>
      <c r="K2716" s="69">
        <f t="shared" si="85"/>
        <v>44</v>
      </c>
      <c r="L2716" s="69">
        <f>VLOOKUP(Table_db1_backend_Daily.accdb[[#This Row],[TradingDate]],canon!B:E,4,0)</f>
        <v>31</v>
      </c>
    </row>
    <row r="2717" spans="1:12" x14ac:dyDescent="0.2">
      <c r="A2717" s="69" t="s">
        <v>44</v>
      </c>
      <c r="B2717" s="70">
        <v>42951</v>
      </c>
      <c r="C2717" s="69">
        <v>363</v>
      </c>
      <c r="D2717" s="69">
        <v>5</v>
      </c>
      <c r="E2717" s="69">
        <v>27.29</v>
      </c>
      <c r="F2717" s="69">
        <v>-6.8000000000000007</v>
      </c>
      <c r="G2717" s="69" t="s">
        <v>19</v>
      </c>
      <c r="H2717" s="69" t="str">
        <f>IFERROR(VLOOKUP(Data!$G2717,canon!$I$2:$K$27,2,FALSE),"")</f>
        <v>PANT</v>
      </c>
      <c r="I2717" s="69" t="str">
        <f>IFERROR(VLOOKUP(Data!$G2717,canon!$I$2:$K$27,3,FALSE),"")</f>
        <v>APPAREL</v>
      </c>
      <c r="J2717" s="69">
        <f t="shared" si="84"/>
        <v>6</v>
      </c>
      <c r="K2717" s="69">
        <f t="shared" si="85"/>
        <v>44</v>
      </c>
      <c r="L2717" s="69">
        <f>VLOOKUP(Table_db1_backend_Daily.accdb[[#This Row],[TradingDate]],canon!B:E,4,0)</f>
        <v>31</v>
      </c>
    </row>
    <row r="2718" spans="1:12" x14ac:dyDescent="0.2">
      <c r="A2718" s="69" t="s">
        <v>44</v>
      </c>
      <c r="B2718" s="70">
        <v>42951</v>
      </c>
      <c r="C2718" s="69">
        <v>78</v>
      </c>
      <c r="D2718" s="69">
        <v>0</v>
      </c>
      <c r="E2718" s="69">
        <v>0</v>
      </c>
      <c r="F2718" s="69">
        <v>0</v>
      </c>
      <c r="G2718" s="69" t="s">
        <v>21</v>
      </c>
      <c r="H2718" s="69" t="str">
        <f>IFERROR(VLOOKUP(Data!$G2718,canon!$I$2:$K$27,2,FALSE),"")</f>
        <v>ACCESSORY</v>
      </c>
      <c r="I2718" s="69" t="str">
        <f>IFERROR(VLOOKUP(Data!$G2718,canon!$I$2:$K$27,3,FALSE),"")</f>
        <v>N.APPAREL</v>
      </c>
      <c r="J2718" s="69">
        <f t="shared" si="84"/>
        <v>6</v>
      </c>
      <c r="K2718" s="69">
        <f t="shared" si="85"/>
        <v>44</v>
      </c>
      <c r="L2718" s="69">
        <f>VLOOKUP(Table_db1_backend_Daily.accdb[[#This Row],[TradingDate]],canon!B:E,4,0)</f>
        <v>31</v>
      </c>
    </row>
    <row r="2719" spans="1:12" x14ac:dyDescent="0.2">
      <c r="A2719" s="69" t="s">
        <v>44</v>
      </c>
      <c r="B2719" s="70">
        <v>42951</v>
      </c>
      <c r="C2719" s="69">
        <v>1230</v>
      </c>
      <c r="D2719" s="69">
        <v>4</v>
      </c>
      <c r="E2719" s="69">
        <v>28.91</v>
      </c>
      <c r="F2719" s="69">
        <v>22.39</v>
      </c>
      <c r="G2719" s="69" t="s">
        <v>22</v>
      </c>
      <c r="H2719" s="69" t="str">
        <f>IFERROR(VLOOKUP(Data!$G2719,canon!$I$2:$K$27,2,FALSE),"")</f>
        <v>SCARF</v>
      </c>
      <c r="I2719" s="69" t="str">
        <f>IFERROR(VLOOKUP(Data!$G2719,canon!$I$2:$K$27,3,FALSE),"")</f>
        <v>N.APPAREL</v>
      </c>
      <c r="J2719" s="69">
        <f t="shared" si="84"/>
        <v>6</v>
      </c>
      <c r="K2719" s="69">
        <f t="shared" si="85"/>
        <v>44</v>
      </c>
      <c r="L2719" s="69">
        <f>VLOOKUP(Table_db1_backend_Daily.accdb[[#This Row],[TradingDate]],canon!B:E,4,0)</f>
        <v>31</v>
      </c>
    </row>
    <row r="2720" spans="1:12" x14ac:dyDescent="0.2">
      <c r="A2720" s="69" t="s">
        <v>44</v>
      </c>
      <c r="B2720" s="70">
        <v>42951</v>
      </c>
      <c r="C2720" s="69">
        <v>241</v>
      </c>
      <c r="D2720" s="69">
        <v>3</v>
      </c>
      <c r="E2720" s="69">
        <v>21.23</v>
      </c>
      <c r="F2720" s="69">
        <v>-2.89</v>
      </c>
      <c r="G2720" s="69" t="s">
        <v>23</v>
      </c>
      <c r="H2720" s="69" t="str">
        <f>IFERROR(VLOOKUP(Data!$G2720,canon!$I$2:$K$27,2,FALSE),"")</f>
        <v>SH&amp;BL</v>
      </c>
      <c r="I2720" s="69" t="str">
        <f>IFERROR(VLOOKUP(Data!$G2720,canon!$I$2:$K$27,3,FALSE),"")</f>
        <v>APPAREL</v>
      </c>
      <c r="J2720" s="69">
        <f t="shared" si="84"/>
        <v>6</v>
      </c>
      <c r="K2720" s="69">
        <f t="shared" si="85"/>
        <v>44</v>
      </c>
      <c r="L2720" s="69">
        <f>VLOOKUP(Table_db1_backend_Daily.accdb[[#This Row],[TradingDate]],canon!B:E,4,0)</f>
        <v>31</v>
      </c>
    </row>
    <row r="2721" spans="1:12" x14ac:dyDescent="0.2">
      <c r="A2721" s="69" t="s">
        <v>44</v>
      </c>
      <c r="B2721" s="70">
        <v>42951</v>
      </c>
      <c r="C2721" s="69">
        <v>484</v>
      </c>
      <c r="D2721" s="69">
        <v>10</v>
      </c>
      <c r="E2721" s="69">
        <v>131.74</v>
      </c>
      <c r="F2721" s="69">
        <v>75.86</v>
      </c>
      <c r="G2721" s="69" t="s">
        <v>32</v>
      </c>
      <c r="H2721" s="69" t="str">
        <f>IFERROR(VLOOKUP(Data!$G2721,canon!$I$2:$K$27,2,FALSE),"")</f>
        <v>SKIRT</v>
      </c>
      <c r="I2721" s="69" t="str">
        <f>IFERROR(VLOOKUP(Data!$G2721,canon!$I$2:$K$27,3,FALSE),"")</f>
        <v>APPAREL</v>
      </c>
      <c r="J2721" s="69">
        <f t="shared" si="84"/>
        <v>6</v>
      </c>
      <c r="K2721" s="69">
        <f t="shared" si="85"/>
        <v>44</v>
      </c>
      <c r="L2721" s="69">
        <f>VLOOKUP(Table_db1_backend_Daily.accdb[[#This Row],[TradingDate]],canon!B:E,4,0)</f>
        <v>31</v>
      </c>
    </row>
    <row r="2722" spans="1:12" x14ac:dyDescent="0.2">
      <c r="A2722" s="69" t="s">
        <v>44</v>
      </c>
      <c r="B2722" s="70">
        <v>42951</v>
      </c>
      <c r="C2722" s="69">
        <v>1516</v>
      </c>
      <c r="D2722" s="69">
        <v>38</v>
      </c>
      <c r="E2722" s="69">
        <v>362.81000000000006</v>
      </c>
      <c r="F2722" s="69">
        <v>156.99</v>
      </c>
      <c r="G2722" s="69" t="s">
        <v>25</v>
      </c>
      <c r="H2722" s="69" t="str">
        <f>IFERROR(VLOOKUP(Data!$G2722,canon!$I$2:$K$27,2,FALSE),"")</f>
        <v>TOP</v>
      </c>
      <c r="I2722" s="69" t="str">
        <f>IFERROR(VLOOKUP(Data!$G2722,canon!$I$2:$K$27,3,FALSE),"")</f>
        <v>APPAREL</v>
      </c>
      <c r="J2722" s="69">
        <f t="shared" si="84"/>
        <v>6</v>
      </c>
      <c r="K2722" s="69">
        <f t="shared" si="85"/>
        <v>44</v>
      </c>
      <c r="L2722" s="69">
        <f>VLOOKUP(Table_db1_backend_Daily.accdb[[#This Row],[TradingDate]],canon!B:E,4,0)</f>
        <v>31</v>
      </c>
    </row>
    <row r="2723" spans="1:12" x14ac:dyDescent="0.2">
      <c r="A2723" s="69" t="s">
        <v>44</v>
      </c>
      <c r="B2723" s="70">
        <v>42952</v>
      </c>
      <c r="C2723" s="69">
        <v>33</v>
      </c>
      <c r="D2723" s="69">
        <v>0</v>
      </c>
      <c r="E2723" s="69">
        <v>0</v>
      </c>
      <c r="F2723" s="69">
        <v>0</v>
      </c>
      <c r="G2723" s="69" t="s">
        <v>34</v>
      </c>
      <c r="H2723" s="69" t="str">
        <f>IFERROR(VLOOKUP(Data!$G2723,canon!$I$2:$K$27,2,FALSE),"")</f>
        <v>SHOES</v>
      </c>
      <c r="I2723" s="69" t="str">
        <f>IFERROR(VLOOKUP(Data!$G2723,canon!$I$2:$K$27,3,FALSE),"")</f>
        <v>N.APPAREL</v>
      </c>
      <c r="J2723" s="69">
        <f t="shared" si="84"/>
        <v>7</v>
      </c>
      <c r="K2723" s="69">
        <f t="shared" si="85"/>
        <v>44</v>
      </c>
      <c r="L2723" s="69">
        <f>VLOOKUP(Table_db1_backend_Daily.accdb[[#This Row],[TradingDate]],canon!B:E,4,0)</f>
        <v>31</v>
      </c>
    </row>
    <row r="2724" spans="1:12" x14ac:dyDescent="0.2">
      <c r="A2724" s="69" t="s">
        <v>44</v>
      </c>
      <c r="B2724" s="70">
        <v>42952</v>
      </c>
      <c r="C2724" s="69">
        <v>2</v>
      </c>
      <c r="D2724" s="69">
        <v>0</v>
      </c>
      <c r="E2724" s="69">
        <v>0</v>
      </c>
      <c r="F2724" s="69">
        <v>0</v>
      </c>
      <c r="G2724" s="69" t="s">
        <v>38</v>
      </c>
      <c r="H2724" s="69" t="str">
        <f>IFERROR(VLOOKUP(Data!$G2724,canon!$I$2:$K$27,2,FALSE),"")</f>
        <v>SHOES</v>
      </c>
      <c r="I2724" s="69" t="str">
        <f>IFERROR(VLOOKUP(Data!$G2724,canon!$I$2:$K$27,3,FALSE),"")</f>
        <v>N.APPAREL</v>
      </c>
      <c r="J2724" s="69">
        <f t="shared" si="84"/>
        <v>7</v>
      </c>
      <c r="K2724" s="69">
        <f t="shared" si="85"/>
        <v>44</v>
      </c>
      <c r="L2724" s="69">
        <f>VLOOKUP(Table_db1_backend_Daily.accdb[[#This Row],[TradingDate]],canon!B:E,4,0)</f>
        <v>31</v>
      </c>
    </row>
    <row r="2725" spans="1:12" x14ac:dyDescent="0.2">
      <c r="A2725" s="69" t="s">
        <v>44</v>
      </c>
      <c r="B2725" s="70">
        <v>42952</v>
      </c>
      <c r="C2725" s="69">
        <v>562</v>
      </c>
      <c r="D2725" s="69">
        <v>14</v>
      </c>
      <c r="E2725" s="69">
        <v>194.16000000000003</v>
      </c>
      <c r="F2725" s="69">
        <v>83.94</v>
      </c>
      <c r="G2725" s="69" t="s">
        <v>35</v>
      </c>
      <c r="H2725" s="69" t="str">
        <f>IFERROR(VLOOKUP(Data!$G2725,canon!$I$2:$K$27,2,FALSE),"")</f>
        <v>DRESS</v>
      </c>
      <c r="I2725" s="69" t="str">
        <f>IFERROR(VLOOKUP(Data!$G2725,canon!$I$2:$K$27,3,FALSE),"")</f>
        <v>APPAREL</v>
      </c>
      <c r="J2725" s="69">
        <f t="shared" si="84"/>
        <v>7</v>
      </c>
      <c r="K2725" s="69">
        <f t="shared" si="85"/>
        <v>44</v>
      </c>
      <c r="L2725" s="69">
        <f>VLOOKUP(Table_db1_backend_Daily.accdb[[#This Row],[TradingDate]],canon!B:E,4,0)</f>
        <v>31</v>
      </c>
    </row>
    <row r="2726" spans="1:12" x14ac:dyDescent="0.2">
      <c r="A2726" s="69" t="s">
        <v>44</v>
      </c>
      <c r="B2726" s="70">
        <v>42952</v>
      </c>
      <c r="C2726" s="69">
        <v>34</v>
      </c>
      <c r="D2726" s="69">
        <v>0</v>
      </c>
      <c r="E2726" s="69">
        <v>0</v>
      </c>
      <c r="F2726" s="69">
        <v>0</v>
      </c>
      <c r="G2726" s="69" t="s">
        <v>10</v>
      </c>
      <c r="H2726" s="69" t="str">
        <f>IFERROR(VLOOKUP(Data!$G2726,canon!$I$2:$K$27,2,FALSE),"")</f>
        <v>ACCESSORY</v>
      </c>
      <c r="I2726" s="69" t="str">
        <f>IFERROR(VLOOKUP(Data!$G2726,canon!$I$2:$K$27,3,FALSE),"")</f>
        <v>N.APPAREL</v>
      </c>
      <c r="J2726" s="69">
        <f t="shared" si="84"/>
        <v>7</v>
      </c>
      <c r="K2726" s="69">
        <f t="shared" si="85"/>
        <v>44</v>
      </c>
      <c r="L2726" s="69">
        <f>VLOOKUP(Table_db1_backend_Daily.accdb[[#This Row],[TradingDate]],canon!B:E,4,0)</f>
        <v>31</v>
      </c>
    </row>
    <row r="2727" spans="1:12" x14ac:dyDescent="0.2">
      <c r="A2727" s="69" t="s">
        <v>44</v>
      </c>
      <c r="B2727" s="70">
        <v>42952</v>
      </c>
      <c r="C2727" s="69">
        <v>2</v>
      </c>
      <c r="D2727" s="69">
        <v>0</v>
      </c>
      <c r="E2727" s="69">
        <v>0</v>
      </c>
      <c r="F2727" s="69">
        <v>0</v>
      </c>
      <c r="G2727" s="69" t="s">
        <v>28</v>
      </c>
      <c r="H2727" s="69" t="str">
        <f>IFERROR(VLOOKUP(Data!$G2727,canon!$I$2:$K$27,2,FALSE),"")</f>
        <v>ACCESSORY</v>
      </c>
      <c r="I2727" s="69" t="str">
        <f>IFERROR(VLOOKUP(Data!$G2727,canon!$I$2:$K$27,3,FALSE),"")</f>
        <v>N.APPAREL</v>
      </c>
      <c r="J2727" s="69">
        <f t="shared" si="84"/>
        <v>7</v>
      </c>
      <c r="K2727" s="69">
        <f t="shared" si="85"/>
        <v>44</v>
      </c>
      <c r="L2727" s="69">
        <f>VLOOKUP(Table_db1_backend_Daily.accdb[[#This Row],[TradingDate]],canon!B:E,4,0)</f>
        <v>31</v>
      </c>
    </row>
    <row r="2728" spans="1:12" x14ac:dyDescent="0.2">
      <c r="A2728" s="69" t="s">
        <v>44</v>
      </c>
      <c r="B2728" s="70">
        <v>42952</v>
      </c>
      <c r="C2728" s="69">
        <v>1486</v>
      </c>
      <c r="D2728" s="69">
        <v>78</v>
      </c>
      <c r="E2728" s="69">
        <v>606.63999999999987</v>
      </c>
      <c r="F2728" s="69">
        <v>-9.0400000000000063</v>
      </c>
      <c r="G2728" s="69" t="s">
        <v>11</v>
      </c>
      <c r="H2728" s="69" t="str">
        <f>IFERROR(VLOOKUP(Data!$G2728,canon!$I$2:$K$27,2,FALSE),"")</f>
        <v>KNIT</v>
      </c>
      <c r="I2728" s="69" t="str">
        <f>IFERROR(VLOOKUP(Data!$G2728,canon!$I$2:$K$27,3,FALSE),"")</f>
        <v>APPAREL</v>
      </c>
      <c r="J2728" s="69">
        <f t="shared" si="84"/>
        <v>7</v>
      </c>
      <c r="K2728" s="69">
        <f t="shared" si="85"/>
        <v>44</v>
      </c>
      <c r="L2728" s="69">
        <f>VLOOKUP(Table_db1_backend_Daily.accdb[[#This Row],[TradingDate]],canon!B:E,4,0)</f>
        <v>31</v>
      </c>
    </row>
    <row r="2729" spans="1:12" x14ac:dyDescent="0.2">
      <c r="A2729" s="69" t="s">
        <v>44</v>
      </c>
      <c r="B2729" s="70">
        <v>42952</v>
      </c>
      <c r="C2729" s="69">
        <v>474</v>
      </c>
      <c r="D2729" s="69">
        <v>4</v>
      </c>
      <c r="E2729" s="69">
        <v>36.36</v>
      </c>
      <c r="F2729" s="69">
        <v>7.33</v>
      </c>
      <c r="G2729" s="69" t="s">
        <v>14</v>
      </c>
      <c r="H2729" s="69" t="str">
        <f>IFERROR(VLOOKUP(Data!$G2729,canon!$I$2:$K$27,2,FALSE),"")</f>
        <v>LEGGING</v>
      </c>
      <c r="I2729" s="69" t="str">
        <f>IFERROR(VLOOKUP(Data!$G2729,canon!$I$2:$K$27,3,FALSE),"")</f>
        <v>APPAREL</v>
      </c>
      <c r="J2729" s="69">
        <f t="shared" si="84"/>
        <v>7</v>
      </c>
      <c r="K2729" s="69">
        <f t="shared" si="85"/>
        <v>44</v>
      </c>
      <c r="L2729" s="69">
        <f>VLOOKUP(Table_db1_backend_Daily.accdb[[#This Row],[TradingDate]],canon!B:E,4,0)</f>
        <v>31</v>
      </c>
    </row>
    <row r="2730" spans="1:12" x14ac:dyDescent="0.2">
      <c r="A2730" s="69" t="s">
        <v>44</v>
      </c>
      <c r="B2730" s="70">
        <v>42952</v>
      </c>
      <c r="C2730" s="69">
        <v>23</v>
      </c>
      <c r="D2730" s="69">
        <v>0</v>
      </c>
      <c r="E2730" s="69">
        <v>0</v>
      </c>
      <c r="F2730" s="69">
        <v>0</v>
      </c>
      <c r="G2730" s="69" t="s">
        <v>37</v>
      </c>
      <c r="H2730" s="69" t="str">
        <f>IFERROR(VLOOKUP(Data!$G2730,canon!$I$2:$K$27,2,FALSE),"")</f>
        <v>SHOES</v>
      </c>
      <c r="I2730" s="69" t="str">
        <f>IFERROR(VLOOKUP(Data!$G2730,canon!$I$2:$K$27,3,FALSE),"")</f>
        <v>N.APPAREL</v>
      </c>
      <c r="J2730" s="69">
        <f t="shared" si="84"/>
        <v>7</v>
      </c>
      <c r="K2730" s="69">
        <f t="shared" si="85"/>
        <v>44</v>
      </c>
      <c r="L2730" s="69">
        <f>VLOOKUP(Table_db1_backend_Daily.accdb[[#This Row],[TradingDate]],canon!B:E,4,0)</f>
        <v>31</v>
      </c>
    </row>
    <row r="2731" spans="1:12" x14ac:dyDescent="0.2">
      <c r="A2731" s="69" t="s">
        <v>44</v>
      </c>
      <c r="B2731" s="70">
        <v>42952</v>
      </c>
      <c r="C2731" s="69">
        <v>65</v>
      </c>
      <c r="D2731" s="69">
        <v>0</v>
      </c>
      <c r="E2731" s="69">
        <v>0</v>
      </c>
      <c r="F2731" s="69">
        <v>0</v>
      </c>
      <c r="G2731" s="69" t="s">
        <v>29</v>
      </c>
      <c r="H2731" s="69" t="str">
        <f>IFERROR(VLOOKUP(Data!$G2731,canon!$I$2:$K$27,2,FALSE),"")</f>
        <v>SHOES</v>
      </c>
      <c r="I2731" s="69" t="str">
        <f>IFERROR(VLOOKUP(Data!$G2731,canon!$I$2:$K$27,3,FALSE),"")</f>
        <v>N.APPAREL</v>
      </c>
      <c r="J2731" s="69">
        <f t="shared" si="84"/>
        <v>7</v>
      </c>
      <c r="K2731" s="69">
        <f t="shared" si="85"/>
        <v>44</v>
      </c>
      <c r="L2731" s="69">
        <f>VLOOKUP(Table_db1_backend_Daily.accdb[[#This Row],[TradingDate]],canon!B:E,4,0)</f>
        <v>31</v>
      </c>
    </row>
    <row r="2732" spans="1:12" x14ac:dyDescent="0.2">
      <c r="A2732" s="69" t="s">
        <v>44</v>
      </c>
      <c r="B2732" s="70">
        <v>42952</v>
      </c>
      <c r="C2732" s="69">
        <v>630</v>
      </c>
      <c r="D2732" s="69">
        <v>22</v>
      </c>
      <c r="E2732" s="69">
        <v>296.84999999999997</v>
      </c>
      <c r="F2732" s="69">
        <v>74.649999999999991</v>
      </c>
      <c r="G2732" s="69" t="s">
        <v>17</v>
      </c>
      <c r="H2732" s="69" t="str">
        <f>IFERROR(VLOOKUP(Data!$G2732,canon!$I$2:$K$27,2,FALSE),"")</f>
        <v>OUTER</v>
      </c>
      <c r="I2732" s="69" t="str">
        <f>IFERROR(VLOOKUP(Data!$G2732,canon!$I$2:$K$27,3,FALSE),"")</f>
        <v>APPAREL</v>
      </c>
      <c r="J2732" s="69">
        <f t="shared" si="84"/>
        <v>7</v>
      </c>
      <c r="K2732" s="69">
        <f t="shared" si="85"/>
        <v>44</v>
      </c>
      <c r="L2732" s="69">
        <f>VLOOKUP(Table_db1_backend_Daily.accdb[[#This Row],[TradingDate]],canon!B:E,4,0)</f>
        <v>31</v>
      </c>
    </row>
    <row r="2733" spans="1:12" x14ac:dyDescent="0.2">
      <c r="A2733" s="69" t="s">
        <v>44</v>
      </c>
      <c r="B2733" s="70">
        <v>42952</v>
      </c>
      <c r="C2733" s="69">
        <v>356</v>
      </c>
      <c r="D2733" s="69">
        <v>7</v>
      </c>
      <c r="E2733" s="69">
        <v>59.820000000000007</v>
      </c>
      <c r="F2733" s="69">
        <v>13.010000000000002</v>
      </c>
      <c r="G2733" s="69" t="s">
        <v>19</v>
      </c>
      <c r="H2733" s="69" t="str">
        <f>IFERROR(VLOOKUP(Data!$G2733,canon!$I$2:$K$27,2,FALSE),"")</f>
        <v>PANT</v>
      </c>
      <c r="I2733" s="69" t="str">
        <f>IFERROR(VLOOKUP(Data!$G2733,canon!$I$2:$K$27,3,FALSE),"")</f>
        <v>APPAREL</v>
      </c>
      <c r="J2733" s="69">
        <f t="shared" si="84"/>
        <v>7</v>
      </c>
      <c r="K2733" s="69">
        <f t="shared" si="85"/>
        <v>44</v>
      </c>
      <c r="L2733" s="69">
        <f>VLOOKUP(Table_db1_backend_Daily.accdb[[#This Row],[TradingDate]],canon!B:E,4,0)</f>
        <v>31</v>
      </c>
    </row>
    <row r="2734" spans="1:12" x14ac:dyDescent="0.2">
      <c r="A2734" s="69" t="s">
        <v>44</v>
      </c>
      <c r="B2734" s="70">
        <v>42952</v>
      </c>
      <c r="C2734" s="69">
        <v>78</v>
      </c>
      <c r="D2734" s="69">
        <v>0</v>
      </c>
      <c r="E2734" s="69">
        <v>0</v>
      </c>
      <c r="F2734" s="69">
        <v>0</v>
      </c>
      <c r="G2734" s="69" t="s">
        <v>21</v>
      </c>
      <c r="H2734" s="69" t="str">
        <f>IFERROR(VLOOKUP(Data!$G2734,canon!$I$2:$K$27,2,FALSE),"")</f>
        <v>ACCESSORY</v>
      </c>
      <c r="I2734" s="69" t="str">
        <f>IFERROR(VLOOKUP(Data!$G2734,canon!$I$2:$K$27,3,FALSE),"")</f>
        <v>N.APPAREL</v>
      </c>
      <c r="J2734" s="69">
        <f t="shared" si="84"/>
        <v>7</v>
      </c>
      <c r="K2734" s="69">
        <f t="shared" si="85"/>
        <v>44</v>
      </c>
      <c r="L2734" s="69">
        <f>VLOOKUP(Table_db1_backend_Daily.accdb[[#This Row],[TradingDate]],canon!B:E,4,0)</f>
        <v>31</v>
      </c>
    </row>
    <row r="2735" spans="1:12" x14ac:dyDescent="0.2">
      <c r="A2735" s="69" t="s">
        <v>44</v>
      </c>
      <c r="B2735" s="70">
        <v>42952</v>
      </c>
      <c r="C2735" s="69">
        <v>1217</v>
      </c>
      <c r="D2735" s="69">
        <v>13</v>
      </c>
      <c r="E2735" s="69">
        <v>91.31</v>
      </c>
      <c r="F2735" s="69">
        <v>68.739999999999995</v>
      </c>
      <c r="G2735" s="69" t="s">
        <v>22</v>
      </c>
      <c r="H2735" s="69" t="str">
        <f>IFERROR(VLOOKUP(Data!$G2735,canon!$I$2:$K$27,2,FALSE),"")</f>
        <v>SCARF</v>
      </c>
      <c r="I2735" s="69" t="str">
        <f>IFERROR(VLOOKUP(Data!$G2735,canon!$I$2:$K$27,3,FALSE),"")</f>
        <v>N.APPAREL</v>
      </c>
      <c r="J2735" s="69">
        <f t="shared" si="84"/>
        <v>7</v>
      </c>
      <c r="K2735" s="69">
        <f t="shared" si="85"/>
        <v>44</v>
      </c>
      <c r="L2735" s="69">
        <f>VLOOKUP(Table_db1_backend_Daily.accdb[[#This Row],[TradingDate]],canon!B:E,4,0)</f>
        <v>31</v>
      </c>
    </row>
    <row r="2736" spans="1:12" x14ac:dyDescent="0.2">
      <c r="A2736" s="69" t="s">
        <v>44</v>
      </c>
      <c r="B2736" s="70">
        <v>42952</v>
      </c>
      <c r="C2736" s="69">
        <v>233</v>
      </c>
      <c r="D2736" s="69">
        <v>8</v>
      </c>
      <c r="E2736" s="69">
        <v>86.34</v>
      </c>
      <c r="F2736" s="69">
        <v>31.11</v>
      </c>
      <c r="G2736" s="69" t="s">
        <v>23</v>
      </c>
      <c r="H2736" s="69" t="str">
        <f>IFERROR(VLOOKUP(Data!$G2736,canon!$I$2:$K$27,2,FALSE),"")</f>
        <v>SH&amp;BL</v>
      </c>
      <c r="I2736" s="69" t="str">
        <f>IFERROR(VLOOKUP(Data!$G2736,canon!$I$2:$K$27,3,FALSE),"")</f>
        <v>APPAREL</v>
      </c>
      <c r="J2736" s="69">
        <f t="shared" si="84"/>
        <v>7</v>
      </c>
      <c r="K2736" s="69">
        <f t="shared" si="85"/>
        <v>44</v>
      </c>
      <c r="L2736" s="69">
        <f>VLOOKUP(Table_db1_backend_Daily.accdb[[#This Row],[TradingDate]],canon!B:E,4,0)</f>
        <v>31</v>
      </c>
    </row>
    <row r="2737" spans="1:12" x14ac:dyDescent="0.2">
      <c r="A2737" s="69" t="s">
        <v>44</v>
      </c>
      <c r="B2737" s="70">
        <v>42952</v>
      </c>
      <c r="C2737" s="69">
        <v>479</v>
      </c>
      <c r="D2737" s="69">
        <v>5</v>
      </c>
      <c r="E2737" s="69">
        <v>76.27</v>
      </c>
      <c r="F2737" s="69">
        <v>48.010000000000005</v>
      </c>
      <c r="G2737" s="69" t="s">
        <v>32</v>
      </c>
      <c r="H2737" s="69" t="str">
        <f>IFERROR(VLOOKUP(Data!$G2737,canon!$I$2:$K$27,2,FALSE),"")</f>
        <v>SKIRT</v>
      </c>
      <c r="I2737" s="69" t="str">
        <f>IFERROR(VLOOKUP(Data!$G2737,canon!$I$2:$K$27,3,FALSE),"")</f>
        <v>APPAREL</v>
      </c>
      <c r="J2737" s="69">
        <f t="shared" si="84"/>
        <v>7</v>
      </c>
      <c r="K2737" s="69">
        <f t="shared" si="85"/>
        <v>44</v>
      </c>
      <c r="L2737" s="69">
        <f>VLOOKUP(Table_db1_backend_Daily.accdb[[#This Row],[TradingDate]],canon!B:E,4,0)</f>
        <v>31</v>
      </c>
    </row>
    <row r="2738" spans="1:12" x14ac:dyDescent="0.2">
      <c r="A2738" s="69" t="s">
        <v>44</v>
      </c>
      <c r="B2738" s="70">
        <v>42952</v>
      </c>
      <c r="C2738" s="69">
        <v>1478</v>
      </c>
      <c r="D2738" s="69">
        <v>38</v>
      </c>
      <c r="E2738" s="69">
        <v>238.83</v>
      </c>
      <c r="F2738" s="69">
        <v>15.739999999999988</v>
      </c>
      <c r="G2738" s="69" t="s">
        <v>25</v>
      </c>
      <c r="H2738" s="69" t="str">
        <f>IFERROR(VLOOKUP(Data!$G2738,canon!$I$2:$K$27,2,FALSE),"")</f>
        <v>TOP</v>
      </c>
      <c r="I2738" s="69" t="str">
        <f>IFERROR(VLOOKUP(Data!$G2738,canon!$I$2:$K$27,3,FALSE),"")</f>
        <v>APPAREL</v>
      </c>
      <c r="J2738" s="69">
        <f t="shared" si="84"/>
        <v>7</v>
      </c>
      <c r="K2738" s="69">
        <f t="shared" si="85"/>
        <v>44</v>
      </c>
      <c r="L2738" s="69">
        <f>VLOOKUP(Table_db1_backend_Daily.accdb[[#This Row],[TradingDate]],canon!B:E,4,0)</f>
        <v>31</v>
      </c>
    </row>
    <row r="2739" spans="1:12" x14ac:dyDescent="0.2">
      <c r="A2739" s="69" t="s">
        <v>45</v>
      </c>
      <c r="B2739" s="70">
        <v>42925</v>
      </c>
      <c r="C2739" s="69">
        <v>-30</v>
      </c>
      <c r="D2739" s="69">
        <v>0</v>
      </c>
      <c r="E2739" s="69">
        <v>0</v>
      </c>
      <c r="F2739" s="69">
        <v>0</v>
      </c>
      <c r="G2739" s="69" t="s">
        <v>34</v>
      </c>
      <c r="H2739" s="69" t="str">
        <f>IFERROR(VLOOKUP(Data!$G2739,canon!$I$2:$K$27,2,FALSE),"")</f>
        <v>SHOES</v>
      </c>
      <c r="I2739" s="69" t="str">
        <f>IFERROR(VLOOKUP(Data!$G2739,canon!$I$2:$K$27,3,FALSE),"")</f>
        <v>N.APPAREL</v>
      </c>
      <c r="J2739" s="69">
        <f t="shared" si="84"/>
        <v>1</v>
      </c>
      <c r="K2739" s="69">
        <f t="shared" si="85"/>
        <v>103</v>
      </c>
      <c r="L2739" s="69">
        <f>VLOOKUP(Table_db1_backend_Daily.accdb[[#This Row],[TradingDate]],canon!B:E,4,0)</f>
        <v>28</v>
      </c>
    </row>
    <row r="2740" spans="1:12" x14ac:dyDescent="0.2">
      <c r="A2740" s="69" t="s">
        <v>45</v>
      </c>
      <c r="B2740" s="70">
        <v>42925</v>
      </c>
      <c r="C2740" s="69">
        <v>591</v>
      </c>
      <c r="D2740" s="69">
        <v>2</v>
      </c>
      <c r="E2740" s="69">
        <v>18.18</v>
      </c>
      <c r="F2740" s="69">
        <v>-1.38</v>
      </c>
      <c r="G2740" s="69" t="s">
        <v>35</v>
      </c>
      <c r="H2740" s="69" t="str">
        <f>IFERROR(VLOOKUP(Data!$G2740,canon!$I$2:$K$27,2,FALSE),"")</f>
        <v>DRESS</v>
      </c>
      <c r="I2740" s="69" t="str">
        <f>IFERROR(VLOOKUP(Data!$G2740,canon!$I$2:$K$27,3,FALSE),"")</f>
        <v>APPAREL</v>
      </c>
      <c r="J2740" s="69">
        <f t="shared" si="84"/>
        <v>1</v>
      </c>
      <c r="K2740" s="69">
        <f t="shared" si="85"/>
        <v>103</v>
      </c>
      <c r="L2740" s="69">
        <f>VLOOKUP(Table_db1_backend_Daily.accdb[[#This Row],[TradingDate]],canon!B:E,4,0)</f>
        <v>28</v>
      </c>
    </row>
    <row r="2741" spans="1:12" x14ac:dyDescent="0.2">
      <c r="A2741" s="69" t="s">
        <v>45</v>
      </c>
      <c r="B2741" s="70">
        <v>42925</v>
      </c>
      <c r="C2741" s="69">
        <v>464</v>
      </c>
      <c r="D2741" s="69">
        <v>0</v>
      </c>
      <c r="E2741" s="69">
        <v>0</v>
      </c>
      <c r="F2741" s="69">
        <v>0</v>
      </c>
      <c r="G2741" s="69" t="s">
        <v>10</v>
      </c>
      <c r="H2741" s="69" t="str">
        <f>IFERROR(VLOOKUP(Data!$G2741,canon!$I$2:$K$27,2,FALSE),"")</f>
        <v>ACCESSORY</v>
      </c>
      <c r="I2741" s="69" t="str">
        <f>IFERROR(VLOOKUP(Data!$G2741,canon!$I$2:$K$27,3,FALSE),"")</f>
        <v>N.APPAREL</v>
      </c>
      <c r="J2741" s="69">
        <f t="shared" si="84"/>
        <v>1</v>
      </c>
      <c r="K2741" s="69">
        <f t="shared" si="85"/>
        <v>103</v>
      </c>
      <c r="L2741" s="69">
        <f>VLOOKUP(Table_db1_backend_Daily.accdb[[#This Row],[TradingDate]],canon!B:E,4,0)</f>
        <v>28</v>
      </c>
    </row>
    <row r="2742" spans="1:12" x14ac:dyDescent="0.2">
      <c r="A2742" s="69" t="s">
        <v>45</v>
      </c>
      <c r="B2742" s="70">
        <v>42925</v>
      </c>
      <c r="C2742" s="69">
        <v>2391</v>
      </c>
      <c r="D2742" s="69">
        <v>26</v>
      </c>
      <c r="E2742" s="69">
        <v>327.11999999999995</v>
      </c>
      <c r="F2742" s="69">
        <v>135.81</v>
      </c>
      <c r="G2742" s="69" t="s">
        <v>11</v>
      </c>
      <c r="H2742" s="69" t="str">
        <f>IFERROR(VLOOKUP(Data!$G2742,canon!$I$2:$K$27,2,FALSE),"")</f>
        <v>KNIT</v>
      </c>
      <c r="I2742" s="69" t="str">
        <f>IFERROR(VLOOKUP(Data!$G2742,canon!$I$2:$K$27,3,FALSE),"")</f>
        <v>APPAREL</v>
      </c>
      <c r="J2742" s="69">
        <f t="shared" si="84"/>
        <v>1</v>
      </c>
      <c r="K2742" s="69">
        <f t="shared" si="85"/>
        <v>103</v>
      </c>
      <c r="L2742" s="69">
        <f>VLOOKUP(Table_db1_backend_Daily.accdb[[#This Row],[TradingDate]],canon!B:E,4,0)</f>
        <v>28</v>
      </c>
    </row>
    <row r="2743" spans="1:12" x14ac:dyDescent="0.2">
      <c r="A2743" s="69" t="s">
        <v>45</v>
      </c>
      <c r="B2743" s="70">
        <v>42925</v>
      </c>
      <c r="C2743" s="69">
        <v>406</v>
      </c>
      <c r="D2743" s="69">
        <v>1</v>
      </c>
      <c r="E2743" s="69">
        <v>9.09</v>
      </c>
      <c r="F2743" s="69">
        <v>1.92</v>
      </c>
      <c r="G2743" s="69" t="s">
        <v>14</v>
      </c>
      <c r="H2743" s="69" t="str">
        <f>IFERROR(VLOOKUP(Data!$G2743,canon!$I$2:$K$27,2,FALSE),"")</f>
        <v>LEGGING</v>
      </c>
      <c r="I2743" s="69" t="str">
        <f>IFERROR(VLOOKUP(Data!$G2743,canon!$I$2:$K$27,3,FALSE),"")</f>
        <v>APPAREL</v>
      </c>
      <c r="J2743" s="69">
        <f t="shared" si="84"/>
        <v>1</v>
      </c>
      <c r="K2743" s="69">
        <f t="shared" si="85"/>
        <v>103</v>
      </c>
      <c r="L2743" s="69">
        <f>VLOOKUP(Table_db1_backend_Daily.accdb[[#This Row],[TradingDate]],canon!B:E,4,0)</f>
        <v>28</v>
      </c>
    </row>
    <row r="2744" spans="1:12" x14ac:dyDescent="0.2">
      <c r="A2744" s="69" t="s">
        <v>45</v>
      </c>
      <c r="B2744" s="70">
        <v>42925</v>
      </c>
      <c r="C2744" s="69">
        <v>-116</v>
      </c>
      <c r="D2744" s="69">
        <v>0</v>
      </c>
      <c r="E2744" s="69">
        <v>0</v>
      </c>
      <c r="F2744" s="69">
        <v>0</v>
      </c>
      <c r="G2744" s="69" t="s">
        <v>37</v>
      </c>
      <c r="H2744" s="69" t="str">
        <f>IFERROR(VLOOKUP(Data!$G2744,canon!$I$2:$K$27,2,FALSE),"")</f>
        <v>SHOES</v>
      </c>
      <c r="I2744" s="69" t="str">
        <f>IFERROR(VLOOKUP(Data!$G2744,canon!$I$2:$K$27,3,FALSE),"")</f>
        <v>N.APPAREL</v>
      </c>
      <c r="J2744" s="69">
        <f t="shared" si="84"/>
        <v>1</v>
      </c>
      <c r="K2744" s="69">
        <f t="shared" si="85"/>
        <v>103</v>
      </c>
      <c r="L2744" s="69">
        <f>VLOOKUP(Table_db1_backend_Daily.accdb[[#This Row],[TradingDate]],canon!B:E,4,0)</f>
        <v>28</v>
      </c>
    </row>
    <row r="2745" spans="1:12" x14ac:dyDescent="0.2">
      <c r="A2745" s="69" t="s">
        <v>45</v>
      </c>
      <c r="B2745" s="70">
        <v>42925</v>
      </c>
      <c r="C2745" s="69">
        <v>-1</v>
      </c>
      <c r="D2745" s="69">
        <v>0</v>
      </c>
      <c r="E2745" s="69">
        <v>0</v>
      </c>
      <c r="F2745" s="69">
        <v>0</v>
      </c>
      <c r="G2745" s="69" t="s">
        <v>29</v>
      </c>
      <c r="H2745" s="69" t="str">
        <f>IFERROR(VLOOKUP(Data!$G2745,canon!$I$2:$K$27,2,FALSE),"")</f>
        <v>SHOES</v>
      </c>
      <c r="I2745" s="69" t="str">
        <f>IFERROR(VLOOKUP(Data!$G2745,canon!$I$2:$K$27,3,FALSE),"")</f>
        <v>N.APPAREL</v>
      </c>
      <c r="J2745" s="69">
        <f t="shared" si="84"/>
        <v>1</v>
      </c>
      <c r="K2745" s="69">
        <f t="shared" si="85"/>
        <v>103</v>
      </c>
      <c r="L2745" s="69">
        <f>VLOOKUP(Table_db1_backend_Daily.accdb[[#This Row],[TradingDate]],canon!B:E,4,0)</f>
        <v>28</v>
      </c>
    </row>
    <row r="2746" spans="1:12" x14ac:dyDescent="0.2">
      <c r="A2746" s="69" t="s">
        <v>45</v>
      </c>
      <c r="B2746" s="70">
        <v>42925</v>
      </c>
      <c r="C2746" s="69">
        <v>709</v>
      </c>
      <c r="D2746" s="69">
        <v>13</v>
      </c>
      <c r="E2746" s="69">
        <v>254.20000000000002</v>
      </c>
      <c r="F2746" s="69">
        <v>119.69</v>
      </c>
      <c r="G2746" s="69" t="s">
        <v>17</v>
      </c>
      <c r="H2746" s="69" t="str">
        <f>IFERROR(VLOOKUP(Data!$G2746,canon!$I$2:$K$27,2,FALSE),"")</f>
        <v>OUTER</v>
      </c>
      <c r="I2746" s="69" t="str">
        <f>IFERROR(VLOOKUP(Data!$G2746,canon!$I$2:$K$27,3,FALSE),"")</f>
        <v>APPAREL</v>
      </c>
      <c r="J2746" s="69">
        <f t="shared" si="84"/>
        <v>1</v>
      </c>
      <c r="K2746" s="69">
        <f t="shared" si="85"/>
        <v>103</v>
      </c>
      <c r="L2746" s="69">
        <f>VLOOKUP(Table_db1_backend_Daily.accdb[[#This Row],[TradingDate]],canon!B:E,4,0)</f>
        <v>28</v>
      </c>
    </row>
    <row r="2747" spans="1:12" x14ac:dyDescent="0.2">
      <c r="A2747" s="69" t="s">
        <v>45</v>
      </c>
      <c r="B2747" s="70">
        <v>42925</v>
      </c>
      <c r="C2747" s="69">
        <v>302</v>
      </c>
      <c r="D2747" s="69">
        <v>2</v>
      </c>
      <c r="E2747" s="69">
        <v>22.73</v>
      </c>
      <c r="F2747" s="69">
        <v>10.130000000000001</v>
      </c>
      <c r="G2747" s="69" t="s">
        <v>19</v>
      </c>
      <c r="H2747" s="69" t="str">
        <f>IFERROR(VLOOKUP(Data!$G2747,canon!$I$2:$K$27,2,FALSE),"")</f>
        <v>PANT</v>
      </c>
      <c r="I2747" s="69" t="str">
        <f>IFERROR(VLOOKUP(Data!$G2747,canon!$I$2:$K$27,3,FALSE),"")</f>
        <v>APPAREL</v>
      </c>
      <c r="J2747" s="69">
        <f t="shared" si="84"/>
        <v>1</v>
      </c>
      <c r="K2747" s="69">
        <f t="shared" si="85"/>
        <v>103</v>
      </c>
      <c r="L2747" s="69">
        <f>VLOOKUP(Table_db1_backend_Daily.accdb[[#This Row],[TradingDate]],canon!B:E,4,0)</f>
        <v>28</v>
      </c>
    </row>
    <row r="2748" spans="1:12" x14ac:dyDescent="0.2">
      <c r="A2748" s="69" t="s">
        <v>45</v>
      </c>
      <c r="B2748" s="70">
        <v>42925</v>
      </c>
      <c r="C2748" s="69">
        <v>-573</v>
      </c>
      <c r="D2748" s="69">
        <v>8</v>
      </c>
      <c r="E2748" s="69">
        <v>44.430000000000007</v>
      </c>
      <c r="F2748" s="69">
        <v>31.84</v>
      </c>
      <c r="G2748" s="69" t="s">
        <v>22</v>
      </c>
      <c r="H2748" s="69" t="str">
        <f>IFERROR(VLOOKUP(Data!$G2748,canon!$I$2:$K$27,2,FALSE),"")</f>
        <v>SCARF</v>
      </c>
      <c r="I2748" s="69" t="str">
        <f>IFERROR(VLOOKUP(Data!$G2748,canon!$I$2:$K$27,3,FALSE),"")</f>
        <v>N.APPAREL</v>
      </c>
      <c r="J2748" s="69">
        <f t="shared" si="84"/>
        <v>1</v>
      </c>
      <c r="K2748" s="69">
        <f t="shared" si="85"/>
        <v>103</v>
      </c>
      <c r="L2748" s="69">
        <f>VLOOKUP(Table_db1_backend_Daily.accdb[[#This Row],[TradingDate]],canon!B:E,4,0)</f>
        <v>28</v>
      </c>
    </row>
    <row r="2749" spans="1:12" x14ac:dyDescent="0.2">
      <c r="A2749" s="69" t="s">
        <v>45</v>
      </c>
      <c r="B2749" s="70">
        <v>42925</v>
      </c>
      <c r="C2749" s="69">
        <v>216</v>
      </c>
      <c r="D2749" s="69">
        <v>0</v>
      </c>
      <c r="E2749" s="69">
        <v>0</v>
      </c>
      <c r="F2749" s="69">
        <v>0</v>
      </c>
      <c r="G2749" s="69" t="s">
        <v>23</v>
      </c>
      <c r="H2749" s="69" t="str">
        <f>IFERROR(VLOOKUP(Data!$G2749,canon!$I$2:$K$27,2,FALSE),"")</f>
        <v>SH&amp;BL</v>
      </c>
      <c r="I2749" s="69" t="str">
        <f>IFERROR(VLOOKUP(Data!$G2749,canon!$I$2:$K$27,3,FALSE),"")</f>
        <v>APPAREL</v>
      </c>
      <c r="J2749" s="69">
        <f t="shared" si="84"/>
        <v>1</v>
      </c>
      <c r="K2749" s="69">
        <f t="shared" si="85"/>
        <v>103</v>
      </c>
      <c r="L2749" s="69">
        <f>VLOOKUP(Table_db1_backend_Daily.accdb[[#This Row],[TradingDate]],canon!B:E,4,0)</f>
        <v>28</v>
      </c>
    </row>
    <row r="2750" spans="1:12" x14ac:dyDescent="0.2">
      <c r="A2750" s="69" t="s">
        <v>45</v>
      </c>
      <c r="B2750" s="70">
        <v>42925</v>
      </c>
      <c r="C2750" s="69">
        <v>417</v>
      </c>
      <c r="D2750" s="69">
        <v>1</v>
      </c>
      <c r="E2750" s="69">
        <v>9.09</v>
      </c>
      <c r="F2750" s="69">
        <v>1.2700000000000005</v>
      </c>
      <c r="G2750" s="69" t="s">
        <v>32</v>
      </c>
      <c r="H2750" s="69" t="str">
        <f>IFERROR(VLOOKUP(Data!$G2750,canon!$I$2:$K$27,2,FALSE),"")</f>
        <v>SKIRT</v>
      </c>
      <c r="I2750" s="69" t="str">
        <f>IFERROR(VLOOKUP(Data!$G2750,canon!$I$2:$K$27,3,FALSE),"")</f>
        <v>APPAREL</v>
      </c>
      <c r="J2750" s="69">
        <f t="shared" si="84"/>
        <v>1</v>
      </c>
      <c r="K2750" s="69">
        <f t="shared" si="85"/>
        <v>103</v>
      </c>
      <c r="L2750" s="69">
        <f>VLOOKUP(Table_db1_backend_Daily.accdb[[#This Row],[TradingDate]],canon!B:E,4,0)</f>
        <v>28</v>
      </c>
    </row>
    <row r="2751" spans="1:12" x14ac:dyDescent="0.2">
      <c r="A2751" s="69" t="s">
        <v>45</v>
      </c>
      <c r="B2751" s="70">
        <v>42925</v>
      </c>
      <c r="C2751" s="69">
        <v>2911</v>
      </c>
      <c r="D2751" s="69">
        <v>51</v>
      </c>
      <c r="E2751" s="69">
        <v>268.21999999999997</v>
      </c>
      <c r="F2751" s="69">
        <v>34.61</v>
      </c>
      <c r="G2751" s="69" t="s">
        <v>25</v>
      </c>
      <c r="H2751" s="69" t="str">
        <f>IFERROR(VLOOKUP(Data!$G2751,canon!$I$2:$K$27,2,FALSE),"")</f>
        <v>TOP</v>
      </c>
      <c r="I2751" s="69" t="str">
        <f>IFERROR(VLOOKUP(Data!$G2751,canon!$I$2:$K$27,3,FALSE),"")</f>
        <v>APPAREL</v>
      </c>
      <c r="J2751" s="69">
        <f t="shared" si="84"/>
        <v>1</v>
      </c>
      <c r="K2751" s="69">
        <f t="shared" si="85"/>
        <v>103</v>
      </c>
      <c r="L2751" s="69">
        <f>VLOOKUP(Table_db1_backend_Daily.accdb[[#This Row],[TradingDate]],canon!B:E,4,0)</f>
        <v>28</v>
      </c>
    </row>
    <row r="2752" spans="1:12" x14ac:dyDescent="0.2">
      <c r="A2752" s="69" t="s">
        <v>45</v>
      </c>
      <c r="B2752" s="70">
        <v>42926</v>
      </c>
      <c r="C2752" s="69">
        <v>-30</v>
      </c>
      <c r="D2752" s="69">
        <v>0</v>
      </c>
      <c r="E2752" s="69">
        <v>0</v>
      </c>
      <c r="F2752" s="69">
        <v>0</v>
      </c>
      <c r="G2752" s="69" t="s">
        <v>34</v>
      </c>
      <c r="H2752" s="69" t="str">
        <f>IFERROR(VLOOKUP(Data!$G2752,canon!$I$2:$K$27,2,FALSE),"")</f>
        <v>SHOES</v>
      </c>
      <c r="I2752" s="69" t="str">
        <f>IFERROR(VLOOKUP(Data!$G2752,canon!$I$2:$K$27,3,FALSE),"")</f>
        <v>N.APPAREL</v>
      </c>
      <c r="J2752" s="69">
        <f t="shared" si="84"/>
        <v>2</v>
      </c>
      <c r="K2752" s="69">
        <f t="shared" si="85"/>
        <v>103</v>
      </c>
      <c r="L2752" s="69">
        <f>VLOOKUP(Table_db1_backend_Daily.accdb[[#This Row],[TradingDate]],canon!B:E,4,0)</f>
        <v>28</v>
      </c>
    </row>
    <row r="2753" spans="1:12" x14ac:dyDescent="0.2">
      <c r="A2753" s="69" t="s">
        <v>45</v>
      </c>
      <c r="B2753" s="70">
        <v>42926</v>
      </c>
      <c r="C2753" s="69">
        <v>591</v>
      </c>
      <c r="D2753" s="69">
        <v>0</v>
      </c>
      <c r="E2753" s="69">
        <v>0</v>
      </c>
      <c r="F2753" s="69">
        <v>0</v>
      </c>
      <c r="G2753" s="69" t="s">
        <v>35</v>
      </c>
      <c r="H2753" s="69" t="str">
        <f>IFERROR(VLOOKUP(Data!$G2753,canon!$I$2:$K$27,2,FALSE),"")</f>
        <v>DRESS</v>
      </c>
      <c r="I2753" s="69" t="str">
        <f>IFERROR(VLOOKUP(Data!$G2753,canon!$I$2:$K$27,3,FALSE),"")</f>
        <v>APPAREL</v>
      </c>
      <c r="J2753" s="69">
        <f t="shared" si="84"/>
        <v>2</v>
      </c>
      <c r="K2753" s="69">
        <f t="shared" si="85"/>
        <v>103</v>
      </c>
      <c r="L2753" s="69">
        <f>VLOOKUP(Table_db1_backend_Daily.accdb[[#This Row],[TradingDate]],canon!B:E,4,0)</f>
        <v>28</v>
      </c>
    </row>
    <row r="2754" spans="1:12" x14ac:dyDescent="0.2">
      <c r="A2754" s="69" t="s">
        <v>45</v>
      </c>
      <c r="B2754" s="70">
        <v>42926</v>
      </c>
      <c r="C2754" s="69">
        <v>464</v>
      </c>
      <c r="D2754" s="69">
        <v>0</v>
      </c>
      <c r="E2754" s="69">
        <v>0</v>
      </c>
      <c r="F2754" s="69">
        <v>0</v>
      </c>
      <c r="G2754" s="69" t="s">
        <v>10</v>
      </c>
      <c r="H2754" s="69" t="str">
        <f>IFERROR(VLOOKUP(Data!$G2754,canon!$I$2:$K$27,2,FALSE),"")</f>
        <v>ACCESSORY</v>
      </c>
      <c r="I2754" s="69" t="str">
        <f>IFERROR(VLOOKUP(Data!$G2754,canon!$I$2:$K$27,3,FALSE),"")</f>
        <v>N.APPAREL</v>
      </c>
      <c r="J2754" s="69">
        <f t="shared" ref="J2754:J2817" si="86">WEEKDAY(B2754)</f>
        <v>2</v>
      </c>
      <c r="K2754" s="69">
        <f t="shared" ref="K2754:K2817" si="87">INT(A2754)</f>
        <v>103</v>
      </c>
      <c r="L2754" s="69">
        <f>VLOOKUP(Table_db1_backend_Daily.accdb[[#This Row],[TradingDate]],canon!B:E,4,0)</f>
        <v>28</v>
      </c>
    </row>
    <row r="2755" spans="1:12" x14ac:dyDescent="0.2">
      <c r="A2755" s="69" t="s">
        <v>45</v>
      </c>
      <c r="B2755" s="70">
        <v>42926</v>
      </c>
      <c r="C2755" s="69">
        <v>2690</v>
      </c>
      <c r="D2755" s="69">
        <v>53</v>
      </c>
      <c r="E2755" s="69">
        <v>635.77</v>
      </c>
      <c r="F2755" s="69">
        <v>213.12999999999994</v>
      </c>
      <c r="G2755" s="69" t="s">
        <v>11</v>
      </c>
      <c r="H2755" s="69" t="str">
        <f>IFERROR(VLOOKUP(Data!$G2755,canon!$I$2:$K$27,2,FALSE),"")</f>
        <v>KNIT</v>
      </c>
      <c r="I2755" s="69" t="str">
        <f>IFERROR(VLOOKUP(Data!$G2755,canon!$I$2:$K$27,3,FALSE),"")</f>
        <v>APPAREL</v>
      </c>
      <c r="J2755" s="69">
        <f t="shared" si="86"/>
        <v>2</v>
      </c>
      <c r="K2755" s="69">
        <f t="shared" si="87"/>
        <v>103</v>
      </c>
      <c r="L2755" s="69">
        <f>VLOOKUP(Table_db1_backend_Daily.accdb[[#This Row],[TradingDate]],canon!B:E,4,0)</f>
        <v>28</v>
      </c>
    </row>
    <row r="2756" spans="1:12" x14ac:dyDescent="0.2">
      <c r="A2756" s="69" t="s">
        <v>45</v>
      </c>
      <c r="B2756" s="70">
        <v>42926</v>
      </c>
      <c r="C2756" s="69">
        <v>404</v>
      </c>
      <c r="D2756" s="69">
        <v>2</v>
      </c>
      <c r="E2756" s="69">
        <v>20.46</v>
      </c>
      <c r="F2756" s="69">
        <v>5.5699999999999994</v>
      </c>
      <c r="G2756" s="69" t="s">
        <v>14</v>
      </c>
      <c r="H2756" s="69" t="str">
        <f>IFERROR(VLOOKUP(Data!$G2756,canon!$I$2:$K$27,2,FALSE),"")</f>
        <v>LEGGING</v>
      </c>
      <c r="I2756" s="69" t="str">
        <f>IFERROR(VLOOKUP(Data!$G2756,canon!$I$2:$K$27,3,FALSE),"")</f>
        <v>APPAREL</v>
      </c>
      <c r="J2756" s="69">
        <f t="shared" si="86"/>
        <v>2</v>
      </c>
      <c r="K2756" s="69">
        <f t="shared" si="87"/>
        <v>103</v>
      </c>
      <c r="L2756" s="69">
        <f>VLOOKUP(Table_db1_backend_Daily.accdb[[#This Row],[TradingDate]],canon!B:E,4,0)</f>
        <v>28</v>
      </c>
    </row>
    <row r="2757" spans="1:12" x14ac:dyDescent="0.2">
      <c r="A2757" s="69" t="s">
        <v>45</v>
      </c>
      <c r="B2757" s="70">
        <v>42926</v>
      </c>
      <c r="C2757" s="69">
        <v>-116</v>
      </c>
      <c r="D2757" s="69">
        <v>0</v>
      </c>
      <c r="E2757" s="69">
        <v>0</v>
      </c>
      <c r="F2757" s="69">
        <v>0</v>
      </c>
      <c r="G2757" s="69" t="s">
        <v>37</v>
      </c>
      <c r="H2757" s="69" t="str">
        <f>IFERROR(VLOOKUP(Data!$G2757,canon!$I$2:$K$27,2,FALSE),"")</f>
        <v>SHOES</v>
      </c>
      <c r="I2757" s="69" t="str">
        <f>IFERROR(VLOOKUP(Data!$G2757,canon!$I$2:$K$27,3,FALSE),"")</f>
        <v>N.APPAREL</v>
      </c>
      <c r="J2757" s="69">
        <f t="shared" si="86"/>
        <v>2</v>
      </c>
      <c r="K2757" s="69">
        <f t="shared" si="87"/>
        <v>103</v>
      </c>
      <c r="L2757" s="69">
        <f>VLOOKUP(Table_db1_backend_Daily.accdb[[#This Row],[TradingDate]],canon!B:E,4,0)</f>
        <v>28</v>
      </c>
    </row>
    <row r="2758" spans="1:12" x14ac:dyDescent="0.2">
      <c r="A2758" s="69" t="s">
        <v>45</v>
      </c>
      <c r="B2758" s="70">
        <v>42926</v>
      </c>
      <c r="C2758" s="69">
        <v>-1</v>
      </c>
      <c r="D2758" s="69">
        <v>0</v>
      </c>
      <c r="E2758" s="69">
        <v>0</v>
      </c>
      <c r="F2758" s="69">
        <v>0</v>
      </c>
      <c r="G2758" s="69" t="s">
        <v>29</v>
      </c>
      <c r="H2758" s="69" t="str">
        <f>IFERROR(VLOOKUP(Data!$G2758,canon!$I$2:$K$27,2,FALSE),"")</f>
        <v>SHOES</v>
      </c>
      <c r="I2758" s="69" t="str">
        <f>IFERROR(VLOOKUP(Data!$G2758,canon!$I$2:$K$27,3,FALSE),"")</f>
        <v>N.APPAREL</v>
      </c>
      <c r="J2758" s="69">
        <f t="shared" si="86"/>
        <v>2</v>
      </c>
      <c r="K2758" s="69">
        <f t="shared" si="87"/>
        <v>103</v>
      </c>
      <c r="L2758" s="69">
        <f>VLOOKUP(Table_db1_backend_Daily.accdb[[#This Row],[TradingDate]],canon!B:E,4,0)</f>
        <v>28</v>
      </c>
    </row>
    <row r="2759" spans="1:12" x14ac:dyDescent="0.2">
      <c r="A2759" s="69" t="s">
        <v>45</v>
      </c>
      <c r="B2759" s="70">
        <v>42926</v>
      </c>
      <c r="C2759" s="69">
        <v>697</v>
      </c>
      <c r="D2759" s="69">
        <v>12</v>
      </c>
      <c r="E2759" s="69">
        <v>188.81</v>
      </c>
      <c r="F2759" s="69">
        <v>74.240000000000009</v>
      </c>
      <c r="G2759" s="69" t="s">
        <v>17</v>
      </c>
      <c r="H2759" s="69" t="str">
        <f>IFERROR(VLOOKUP(Data!$G2759,canon!$I$2:$K$27,2,FALSE),"")</f>
        <v>OUTER</v>
      </c>
      <c r="I2759" s="69" t="str">
        <f>IFERROR(VLOOKUP(Data!$G2759,canon!$I$2:$K$27,3,FALSE),"")</f>
        <v>APPAREL</v>
      </c>
      <c r="J2759" s="69">
        <f t="shared" si="86"/>
        <v>2</v>
      </c>
      <c r="K2759" s="69">
        <f t="shared" si="87"/>
        <v>103</v>
      </c>
      <c r="L2759" s="69">
        <f>VLOOKUP(Table_db1_backend_Daily.accdb[[#This Row],[TradingDate]],canon!B:E,4,0)</f>
        <v>28</v>
      </c>
    </row>
    <row r="2760" spans="1:12" x14ac:dyDescent="0.2">
      <c r="A2760" s="69" t="s">
        <v>45</v>
      </c>
      <c r="B2760" s="70">
        <v>42926</v>
      </c>
      <c r="C2760" s="69">
        <v>299</v>
      </c>
      <c r="D2760" s="69">
        <v>3</v>
      </c>
      <c r="E2760" s="69">
        <v>27.27</v>
      </c>
      <c r="F2760" s="69">
        <v>7.27</v>
      </c>
      <c r="G2760" s="69" t="s">
        <v>19</v>
      </c>
      <c r="H2760" s="69" t="str">
        <f>IFERROR(VLOOKUP(Data!$G2760,canon!$I$2:$K$27,2,FALSE),"")</f>
        <v>PANT</v>
      </c>
      <c r="I2760" s="69" t="str">
        <f>IFERROR(VLOOKUP(Data!$G2760,canon!$I$2:$K$27,3,FALSE),"")</f>
        <v>APPAREL</v>
      </c>
      <c r="J2760" s="69">
        <f t="shared" si="86"/>
        <v>2</v>
      </c>
      <c r="K2760" s="69">
        <f t="shared" si="87"/>
        <v>103</v>
      </c>
      <c r="L2760" s="69">
        <f>VLOOKUP(Table_db1_backend_Daily.accdb[[#This Row],[TradingDate]],canon!B:E,4,0)</f>
        <v>28</v>
      </c>
    </row>
    <row r="2761" spans="1:12" x14ac:dyDescent="0.2">
      <c r="A2761" s="69" t="s">
        <v>45</v>
      </c>
      <c r="B2761" s="70">
        <v>42926</v>
      </c>
      <c r="C2761" s="69">
        <v>-592</v>
      </c>
      <c r="D2761" s="69">
        <v>19</v>
      </c>
      <c r="E2761" s="69">
        <v>113.22</v>
      </c>
      <c r="F2761" s="69">
        <v>81.27000000000001</v>
      </c>
      <c r="G2761" s="69" t="s">
        <v>22</v>
      </c>
      <c r="H2761" s="69" t="str">
        <f>IFERROR(VLOOKUP(Data!$G2761,canon!$I$2:$K$27,2,FALSE),"")</f>
        <v>SCARF</v>
      </c>
      <c r="I2761" s="69" t="str">
        <f>IFERROR(VLOOKUP(Data!$G2761,canon!$I$2:$K$27,3,FALSE),"")</f>
        <v>N.APPAREL</v>
      </c>
      <c r="J2761" s="69">
        <f t="shared" si="86"/>
        <v>2</v>
      </c>
      <c r="K2761" s="69">
        <f t="shared" si="87"/>
        <v>103</v>
      </c>
      <c r="L2761" s="69">
        <f>VLOOKUP(Table_db1_backend_Daily.accdb[[#This Row],[TradingDate]],canon!B:E,4,0)</f>
        <v>28</v>
      </c>
    </row>
    <row r="2762" spans="1:12" x14ac:dyDescent="0.2">
      <c r="A2762" s="69" t="s">
        <v>45</v>
      </c>
      <c r="B2762" s="70">
        <v>42926</v>
      </c>
      <c r="C2762" s="69">
        <v>214</v>
      </c>
      <c r="D2762" s="69">
        <v>2</v>
      </c>
      <c r="E2762" s="69">
        <v>18.18</v>
      </c>
      <c r="F2762" s="69">
        <v>3.1799999999999997</v>
      </c>
      <c r="G2762" s="69" t="s">
        <v>23</v>
      </c>
      <c r="H2762" s="69" t="str">
        <f>IFERROR(VLOOKUP(Data!$G2762,canon!$I$2:$K$27,2,FALSE),"")</f>
        <v>SH&amp;BL</v>
      </c>
      <c r="I2762" s="69" t="str">
        <f>IFERROR(VLOOKUP(Data!$G2762,canon!$I$2:$K$27,3,FALSE),"")</f>
        <v>APPAREL</v>
      </c>
      <c r="J2762" s="69">
        <f t="shared" si="86"/>
        <v>2</v>
      </c>
      <c r="K2762" s="69">
        <f t="shared" si="87"/>
        <v>103</v>
      </c>
      <c r="L2762" s="69">
        <f>VLOOKUP(Table_db1_backend_Daily.accdb[[#This Row],[TradingDate]],canon!B:E,4,0)</f>
        <v>28</v>
      </c>
    </row>
    <row r="2763" spans="1:12" x14ac:dyDescent="0.2">
      <c r="A2763" s="69" t="s">
        <v>45</v>
      </c>
      <c r="B2763" s="70">
        <v>42926</v>
      </c>
      <c r="C2763" s="69">
        <v>413</v>
      </c>
      <c r="D2763" s="69">
        <v>4</v>
      </c>
      <c r="E2763" s="69">
        <v>36.36</v>
      </c>
      <c r="F2763" s="69">
        <v>16.799999999999997</v>
      </c>
      <c r="G2763" s="69" t="s">
        <v>32</v>
      </c>
      <c r="H2763" s="69" t="str">
        <f>IFERROR(VLOOKUP(Data!$G2763,canon!$I$2:$K$27,2,FALSE),"")</f>
        <v>SKIRT</v>
      </c>
      <c r="I2763" s="69" t="str">
        <f>IFERROR(VLOOKUP(Data!$G2763,canon!$I$2:$K$27,3,FALSE),"")</f>
        <v>APPAREL</v>
      </c>
      <c r="J2763" s="69">
        <f t="shared" si="86"/>
        <v>2</v>
      </c>
      <c r="K2763" s="69">
        <f t="shared" si="87"/>
        <v>103</v>
      </c>
      <c r="L2763" s="69">
        <f>VLOOKUP(Table_db1_backend_Daily.accdb[[#This Row],[TradingDate]],canon!B:E,4,0)</f>
        <v>28</v>
      </c>
    </row>
    <row r="2764" spans="1:12" x14ac:dyDescent="0.2">
      <c r="A2764" s="69" t="s">
        <v>45</v>
      </c>
      <c r="B2764" s="70">
        <v>42926</v>
      </c>
      <c r="C2764" s="69">
        <v>2843</v>
      </c>
      <c r="D2764" s="69">
        <v>68</v>
      </c>
      <c r="E2764" s="69">
        <v>359.22</v>
      </c>
      <c r="F2764" s="69">
        <v>12.750000000000004</v>
      </c>
      <c r="G2764" s="69" t="s">
        <v>25</v>
      </c>
      <c r="H2764" s="69" t="str">
        <f>IFERROR(VLOOKUP(Data!$G2764,canon!$I$2:$K$27,2,FALSE),"")</f>
        <v>TOP</v>
      </c>
      <c r="I2764" s="69" t="str">
        <f>IFERROR(VLOOKUP(Data!$G2764,canon!$I$2:$K$27,3,FALSE),"")</f>
        <v>APPAREL</v>
      </c>
      <c r="J2764" s="69">
        <f t="shared" si="86"/>
        <v>2</v>
      </c>
      <c r="K2764" s="69">
        <f t="shared" si="87"/>
        <v>103</v>
      </c>
      <c r="L2764" s="69">
        <f>VLOOKUP(Table_db1_backend_Daily.accdb[[#This Row],[TradingDate]],canon!B:E,4,0)</f>
        <v>28</v>
      </c>
    </row>
    <row r="2765" spans="1:12" x14ac:dyDescent="0.2">
      <c r="A2765" s="69" t="s">
        <v>45</v>
      </c>
      <c r="B2765" s="70">
        <v>42927</v>
      </c>
      <c r="C2765" s="69">
        <v>-30</v>
      </c>
      <c r="D2765" s="69">
        <v>0</v>
      </c>
      <c r="E2765" s="69">
        <v>0</v>
      </c>
      <c r="F2765" s="69">
        <v>0</v>
      </c>
      <c r="G2765" s="69" t="s">
        <v>34</v>
      </c>
      <c r="H2765" s="69" t="str">
        <f>IFERROR(VLOOKUP(Data!$G2765,canon!$I$2:$K$27,2,FALSE),"")</f>
        <v>SHOES</v>
      </c>
      <c r="I2765" s="69" t="str">
        <f>IFERROR(VLOOKUP(Data!$G2765,canon!$I$2:$K$27,3,FALSE),"")</f>
        <v>N.APPAREL</v>
      </c>
      <c r="J2765" s="69">
        <f t="shared" si="86"/>
        <v>3</v>
      </c>
      <c r="K2765" s="69">
        <f t="shared" si="87"/>
        <v>103</v>
      </c>
      <c r="L2765" s="69">
        <f>VLOOKUP(Table_db1_backend_Daily.accdb[[#This Row],[TradingDate]],canon!B:E,4,0)</f>
        <v>28</v>
      </c>
    </row>
    <row r="2766" spans="1:12" x14ac:dyDescent="0.2">
      <c r="A2766" s="69" t="s">
        <v>45</v>
      </c>
      <c r="B2766" s="70">
        <v>42927</v>
      </c>
      <c r="C2766" s="69">
        <v>584</v>
      </c>
      <c r="D2766" s="69">
        <v>7</v>
      </c>
      <c r="E2766" s="69">
        <v>131.80000000000001</v>
      </c>
      <c r="F2766" s="69">
        <v>72.88</v>
      </c>
      <c r="G2766" s="69" t="s">
        <v>35</v>
      </c>
      <c r="H2766" s="69" t="str">
        <f>IFERROR(VLOOKUP(Data!$G2766,canon!$I$2:$K$27,2,FALSE),"")</f>
        <v>DRESS</v>
      </c>
      <c r="I2766" s="69" t="str">
        <f>IFERROR(VLOOKUP(Data!$G2766,canon!$I$2:$K$27,3,FALSE),"")</f>
        <v>APPAREL</v>
      </c>
      <c r="J2766" s="69">
        <f t="shared" si="86"/>
        <v>3</v>
      </c>
      <c r="K2766" s="69">
        <f t="shared" si="87"/>
        <v>103</v>
      </c>
      <c r="L2766" s="69">
        <f>VLOOKUP(Table_db1_backend_Daily.accdb[[#This Row],[TradingDate]],canon!B:E,4,0)</f>
        <v>28</v>
      </c>
    </row>
    <row r="2767" spans="1:12" x14ac:dyDescent="0.2">
      <c r="A2767" s="69" t="s">
        <v>45</v>
      </c>
      <c r="B2767" s="70">
        <v>42927</v>
      </c>
      <c r="C2767" s="69">
        <v>464</v>
      </c>
      <c r="D2767" s="69">
        <v>0</v>
      </c>
      <c r="E2767" s="69">
        <v>0</v>
      </c>
      <c r="F2767" s="69">
        <v>0</v>
      </c>
      <c r="G2767" s="69" t="s">
        <v>10</v>
      </c>
      <c r="H2767" s="69" t="str">
        <f>IFERROR(VLOOKUP(Data!$G2767,canon!$I$2:$K$27,2,FALSE),"")</f>
        <v>ACCESSORY</v>
      </c>
      <c r="I2767" s="69" t="str">
        <f>IFERROR(VLOOKUP(Data!$G2767,canon!$I$2:$K$27,3,FALSE),"")</f>
        <v>N.APPAREL</v>
      </c>
      <c r="J2767" s="69">
        <f t="shared" si="86"/>
        <v>3</v>
      </c>
      <c r="K2767" s="69">
        <f t="shared" si="87"/>
        <v>103</v>
      </c>
      <c r="L2767" s="69">
        <f>VLOOKUP(Table_db1_backend_Daily.accdb[[#This Row],[TradingDate]],canon!B:E,4,0)</f>
        <v>28</v>
      </c>
    </row>
    <row r="2768" spans="1:12" x14ac:dyDescent="0.2">
      <c r="A2768" s="69" t="s">
        <v>45</v>
      </c>
      <c r="B2768" s="70">
        <v>42927</v>
      </c>
      <c r="C2768" s="69">
        <v>2683</v>
      </c>
      <c r="D2768" s="69">
        <v>77</v>
      </c>
      <c r="E2768" s="69">
        <v>788.53999999999974</v>
      </c>
      <c r="F2768" s="69">
        <v>176.79000000000002</v>
      </c>
      <c r="G2768" s="69" t="s">
        <v>11</v>
      </c>
      <c r="H2768" s="69" t="str">
        <f>IFERROR(VLOOKUP(Data!$G2768,canon!$I$2:$K$27,2,FALSE),"")</f>
        <v>KNIT</v>
      </c>
      <c r="I2768" s="69" t="str">
        <f>IFERROR(VLOOKUP(Data!$G2768,canon!$I$2:$K$27,3,FALSE),"")</f>
        <v>APPAREL</v>
      </c>
      <c r="J2768" s="69">
        <f t="shared" si="86"/>
        <v>3</v>
      </c>
      <c r="K2768" s="69">
        <f t="shared" si="87"/>
        <v>103</v>
      </c>
      <c r="L2768" s="69">
        <f>VLOOKUP(Table_db1_backend_Daily.accdb[[#This Row],[TradingDate]],canon!B:E,4,0)</f>
        <v>28</v>
      </c>
    </row>
    <row r="2769" spans="1:12" x14ac:dyDescent="0.2">
      <c r="A2769" s="69" t="s">
        <v>45</v>
      </c>
      <c r="B2769" s="70">
        <v>42927</v>
      </c>
      <c r="C2769" s="69">
        <v>394</v>
      </c>
      <c r="D2769" s="69">
        <v>9</v>
      </c>
      <c r="E2769" s="69">
        <v>109.04000000000002</v>
      </c>
      <c r="F2769" s="69">
        <v>48.610000000000007</v>
      </c>
      <c r="G2769" s="69" t="s">
        <v>14</v>
      </c>
      <c r="H2769" s="69" t="str">
        <f>IFERROR(VLOOKUP(Data!$G2769,canon!$I$2:$K$27,2,FALSE),"")</f>
        <v>LEGGING</v>
      </c>
      <c r="I2769" s="69" t="str">
        <f>IFERROR(VLOOKUP(Data!$G2769,canon!$I$2:$K$27,3,FALSE),"")</f>
        <v>APPAREL</v>
      </c>
      <c r="J2769" s="69">
        <f t="shared" si="86"/>
        <v>3</v>
      </c>
      <c r="K2769" s="69">
        <f t="shared" si="87"/>
        <v>103</v>
      </c>
      <c r="L2769" s="69">
        <f>VLOOKUP(Table_db1_backend_Daily.accdb[[#This Row],[TradingDate]],canon!B:E,4,0)</f>
        <v>28</v>
      </c>
    </row>
    <row r="2770" spans="1:12" x14ac:dyDescent="0.2">
      <c r="A2770" s="69" t="s">
        <v>45</v>
      </c>
      <c r="B2770" s="70">
        <v>42927</v>
      </c>
      <c r="C2770" s="69">
        <v>-116</v>
      </c>
      <c r="D2770" s="69">
        <v>0</v>
      </c>
      <c r="E2770" s="69">
        <v>0</v>
      </c>
      <c r="F2770" s="69">
        <v>0</v>
      </c>
      <c r="G2770" s="69" t="s">
        <v>37</v>
      </c>
      <c r="H2770" s="69" t="str">
        <f>IFERROR(VLOOKUP(Data!$G2770,canon!$I$2:$K$27,2,FALSE),"")</f>
        <v>SHOES</v>
      </c>
      <c r="I2770" s="69" t="str">
        <f>IFERROR(VLOOKUP(Data!$G2770,canon!$I$2:$K$27,3,FALSE),"")</f>
        <v>N.APPAREL</v>
      </c>
      <c r="J2770" s="69">
        <f t="shared" si="86"/>
        <v>3</v>
      </c>
      <c r="K2770" s="69">
        <f t="shared" si="87"/>
        <v>103</v>
      </c>
      <c r="L2770" s="69">
        <f>VLOOKUP(Table_db1_backend_Daily.accdb[[#This Row],[TradingDate]],canon!B:E,4,0)</f>
        <v>28</v>
      </c>
    </row>
    <row r="2771" spans="1:12" x14ac:dyDescent="0.2">
      <c r="A2771" s="69" t="s">
        <v>45</v>
      </c>
      <c r="B2771" s="70">
        <v>42927</v>
      </c>
      <c r="C2771" s="69">
        <v>-1</v>
      </c>
      <c r="D2771" s="69">
        <v>0</v>
      </c>
      <c r="E2771" s="69">
        <v>0</v>
      </c>
      <c r="F2771" s="69">
        <v>0</v>
      </c>
      <c r="G2771" s="69" t="s">
        <v>29</v>
      </c>
      <c r="H2771" s="69" t="str">
        <f>IFERROR(VLOOKUP(Data!$G2771,canon!$I$2:$K$27,2,FALSE),"")</f>
        <v>SHOES</v>
      </c>
      <c r="I2771" s="69" t="str">
        <f>IFERROR(VLOOKUP(Data!$G2771,canon!$I$2:$K$27,3,FALSE),"")</f>
        <v>N.APPAREL</v>
      </c>
      <c r="J2771" s="69">
        <f t="shared" si="86"/>
        <v>3</v>
      </c>
      <c r="K2771" s="69">
        <f t="shared" si="87"/>
        <v>103</v>
      </c>
      <c r="L2771" s="69">
        <f>VLOOKUP(Table_db1_backend_Daily.accdb[[#This Row],[TradingDate]],canon!B:E,4,0)</f>
        <v>28</v>
      </c>
    </row>
    <row r="2772" spans="1:12" x14ac:dyDescent="0.2">
      <c r="A2772" s="69" t="s">
        <v>45</v>
      </c>
      <c r="B2772" s="70">
        <v>42927</v>
      </c>
      <c r="C2772" s="69">
        <v>733</v>
      </c>
      <c r="D2772" s="69">
        <v>24</v>
      </c>
      <c r="E2772" s="69">
        <v>362.9899999999999</v>
      </c>
      <c r="F2772" s="69">
        <v>132.44</v>
      </c>
      <c r="G2772" s="69" t="s">
        <v>17</v>
      </c>
      <c r="H2772" s="69" t="str">
        <f>IFERROR(VLOOKUP(Data!$G2772,canon!$I$2:$K$27,2,FALSE),"")</f>
        <v>OUTER</v>
      </c>
      <c r="I2772" s="69" t="str">
        <f>IFERROR(VLOOKUP(Data!$G2772,canon!$I$2:$K$27,3,FALSE),"")</f>
        <v>APPAREL</v>
      </c>
      <c r="J2772" s="69">
        <f t="shared" si="86"/>
        <v>3</v>
      </c>
      <c r="K2772" s="69">
        <f t="shared" si="87"/>
        <v>103</v>
      </c>
      <c r="L2772" s="69">
        <f>VLOOKUP(Table_db1_backend_Daily.accdb[[#This Row],[TradingDate]],canon!B:E,4,0)</f>
        <v>28</v>
      </c>
    </row>
    <row r="2773" spans="1:12" x14ac:dyDescent="0.2">
      <c r="A2773" s="69" t="s">
        <v>45</v>
      </c>
      <c r="B2773" s="70">
        <v>42927</v>
      </c>
      <c r="C2773" s="69">
        <v>292</v>
      </c>
      <c r="D2773" s="69">
        <v>5</v>
      </c>
      <c r="E2773" s="69">
        <v>63.55</v>
      </c>
      <c r="F2773" s="69">
        <v>32.14</v>
      </c>
      <c r="G2773" s="69" t="s">
        <v>19</v>
      </c>
      <c r="H2773" s="69" t="str">
        <f>IFERROR(VLOOKUP(Data!$G2773,canon!$I$2:$K$27,2,FALSE),"")</f>
        <v>PANT</v>
      </c>
      <c r="I2773" s="69" t="str">
        <f>IFERROR(VLOOKUP(Data!$G2773,canon!$I$2:$K$27,3,FALSE),"")</f>
        <v>APPAREL</v>
      </c>
      <c r="J2773" s="69">
        <f t="shared" si="86"/>
        <v>3</v>
      </c>
      <c r="K2773" s="69">
        <f t="shared" si="87"/>
        <v>103</v>
      </c>
      <c r="L2773" s="69">
        <f>VLOOKUP(Table_db1_backend_Daily.accdb[[#This Row],[TradingDate]],canon!B:E,4,0)</f>
        <v>28</v>
      </c>
    </row>
    <row r="2774" spans="1:12" x14ac:dyDescent="0.2">
      <c r="A2774" s="69" t="s">
        <v>45</v>
      </c>
      <c r="B2774" s="70">
        <v>42927</v>
      </c>
      <c r="C2774" s="69">
        <v>-612</v>
      </c>
      <c r="D2774" s="69">
        <v>20</v>
      </c>
      <c r="E2774" s="69">
        <v>98.999999999999986</v>
      </c>
      <c r="F2774" s="69">
        <v>61.699999999999989</v>
      </c>
      <c r="G2774" s="69" t="s">
        <v>22</v>
      </c>
      <c r="H2774" s="69" t="str">
        <f>IFERROR(VLOOKUP(Data!$G2774,canon!$I$2:$K$27,2,FALSE),"")</f>
        <v>SCARF</v>
      </c>
      <c r="I2774" s="69" t="str">
        <f>IFERROR(VLOOKUP(Data!$G2774,canon!$I$2:$K$27,3,FALSE),"")</f>
        <v>N.APPAREL</v>
      </c>
      <c r="J2774" s="69">
        <f t="shared" si="86"/>
        <v>3</v>
      </c>
      <c r="K2774" s="69">
        <f t="shared" si="87"/>
        <v>103</v>
      </c>
      <c r="L2774" s="69">
        <f>VLOOKUP(Table_db1_backend_Daily.accdb[[#This Row],[TradingDate]],canon!B:E,4,0)</f>
        <v>28</v>
      </c>
    </row>
    <row r="2775" spans="1:12" x14ac:dyDescent="0.2">
      <c r="A2775" s="69" t="s">
        <v>45</v>
      </c>
      <c r="B2775" s="70">
        <v>42927</v>
      </c>
      <c r="C2775" s="69">
        <v>200</v>
      </c>
      <c r="D2775" s="69">
        <v>14</v>
      </c>
      <c r="E2775" s="69">
        <v>122.7</v>
      </c>
      <c r="F2775" s="69">
        <v>12.4</v>
      </c>
      <c r="G2775" s="69" t="s">
        <v>23</v>
      </c>
      <c r="H2775" s="69" t="str">
        <f>IFERROR(VLOOKUP(Data!$G2775,canon!$I$2:$K$27,2,FALSE),"")</f>
        <v>SH&amp;BL</v>
      </c>
      <c r="I2775" s="69" t="str">
        <f>IFERROR(VLOOKUP(Data!$G2775,canon!$I$2:$K$27,3,FALSE),"")</f>
        <v>APPAREL</v>
      </c>
      <c r="J2775" s="69">
        <f t="shared" si="86"/>
        <v>3</v>
      </c>
      <c r="K2775" s="69">
        <f t="shared" si="87"/>
        <v>103</v>
      </c>
      <c r="L2775" s="69">
        <f>VLOOKUP(Table_db1_backend_Daily.accdb[[#This Row],[TradingDate]],canon!B:E,4,0)</f>
        <v>28</v>
      </c>
    </row>
    <row r="2776" spans="1:12" x14ac:dyDescent="0.2">
      <c r="A2776" s="69" t="s">
        <v>45</v>
      </c>
      <c r="B2776" s="70">
        <v>42927</v>
      </c>
      <c r="C2776" s="69">
        <v>385</v>
      </c>
      <c r="D2776" s="69">
        <v>28</v>
      </c>
      <c r="E2776" s="69">
        <v>295.14000000000004</v>
      </c>
      <c r="F2776" s="69">
        <v>155.14000000000001</v>
      </c>
      <c r="G2776" s="69" t="s">
        <v>32</v>
      </c>
      <c r="H2776" s="69" t="str">
        <f>IFERROR(VLOOKUP(Data!$G2776,canon!$I$2:$K$27,2,FALSE),"")</f>
        <v>SKIRT</v>
      </c>
      <c r="I2776" s="69" t="str">
        <f>IFERROR(VLOOKUP(Data!$G2776,canon!$I$2:$K$27,3,FALSE),"")</f>
        <v>APPAREL</v>
      </c>
      <c r="J2776" s="69">
        <f t="shared" si="86"/>
        <v>3</v>
      </c>
      <c r="K2776" s="69">
        <f t="shared" si="87"/>
        <v>103</v>
      </c>
      <c r="L2776" s="69">
        <f>VLOOKUP(Table_db1_backend_Daily.accdb[[#This Row],[TradingDate]],canon!B:E,4,0)</f>
        <v>28</v>
      </c>
    </row>
    <row r="2777" spans="1:12" x14ac:dyDescent="0.2">
      <c r="A2777" s="69" t="s">
        <v>45</v>
      </c>
      <c r="B2777" s="70">
        <v>42927</v>
      </c>
      <c r="C2777" s="69">
        <v>2756</v>
      </c>
      <c r="D2777" s="69">
        <v>87</v>
      </c>
      <c r="E2777" s="69">
        <v>500.09000000000003</v>
      </c>
      <c r="F2777" s="69">
        <v>55.889999999999993</v>
      </c>
      <c r="G2777" s="69" t="s">
        <v>25</v>
      </c>
      <c r="H2777" s="69" t="str">
        <f>IFERROR(VLOOKUP(Data!$G2777,canon!$I$2:$K$27,2,FALSE),"")</f>
        <v>TOP</v>
      </c>
      <c r="I2777" s="69" t="str">
        <f>IFERROR(VLOOKUP(Data!$G2777,canon!$I$2:$K$27,3,FALSE),"")</f>
        <v>APPAREL</v>
      </c>
      <c r="J2777" s="69">
        <f t="shared" si="86"/>
        <v>3</v>
      </c>
      <c r="K2777" s="69">
        <f t="shared" si="87"/>
        <v>103</v>
      </c>
      <c r="L2777" s="69">
        <f>VLOOKUP(Table_db1_backend_Daily.accdb[[#This Row],[TradingDate]],canon!B:E,4,0)</f>
        <v>28</v>
      </c>
    </row>
    <row r="2778" spans="1:12" x14ac:dyDescent="0.2">
      <c r="A2778" s="69" t="s">
        <v>45</v>
      </c>
      <c r="B2778" s="70">
        <v>42928</v>
      </c>
      <c r="C2778" s="69">
        <v>-30</v>
      </c>
      <c r="D2778" s="69">
        <v>0</v>
      </c>
      <c r="E2778" s="69">
        <v>0</v>
      </c>
      <c r="F2778" s="69">
        <v>0</v>
      </c>
      <c r="G2778" s="69" t="s">
        <v>34</v>
      </c>
      <c r="H2778" s="69" t="str">
        <f>IFERROR(VLOOKUP(Data!$G2778,canon!$I$2:$K$27,2,FALSE),"")</f>
        <v>SHOES</v>
      </c>
      <c r="I2778" s="69" t="str">
        <f>IFERROR(VLOOKUP(Data!$G2778,canon!$I$2:$K$27,3,FALSE),"")</f>
        <v>N.APPAREL</v>
      </c>
      <c r="J2778" s="69">
        <f t="shared" si="86"/>
        <v>4</v>
      </c>
      <c r="K2778" s="69">
        <f t="shared" si="87"/>
        <v>103</v>
      </c>
      <c r="L2778" s="69">
        <f>VLOOKUP(Table_db1_backend_Daily.accdb[[#This Row],[TradingDate]],canon!B:E,4,0)</f>
        <v>28</v>
      </c>
    </row>
    <row r="2779" spans="1:12" x14ac:dyDescent="0.2">
      <c r="A2779" s="69" t="s">
        <v>45</v>
      </c>
      <c r="B2779" s="70">
        <v>42928</v>
      </c>
      <c r="C2779" s="69">
        <v>574</v>
      </c>
      <c r="D2779" s="69">
        <v>10</v>
      </c>
      <c r="E2779" s="69">
        <v>127.19000000000001</v>
      </c>
      <c r="F2779" s="69">
        <v>45.45</v>
      </c>
      <c r="G2779" s="69" t="s">
        <v>35</v>
      </c>
      <c r="H2779" s="69" t="str">
        <f>IFERROR(VLOOKUP(Data!$G2779,canon!$I$2:$K$27,2,FALSE),"")</f>
        <v>DRESS</v>
      </c>
      <c r="I2779" s="69" t="str">
        <f>IFERROR(VLOOKUP(Data!$G2779,canon!$I$2:$K$27,3,FALSE),"")</f>
        <v>APPAREL</v>
      </c>
      <c r="J2779" s="69">
        <f t="shared" si="86"/>
        <v>4</v>
      </c>
      <c r="K2779" s="69">
        <f t="shared" si="87"/>
        <v>103</v>
      </c>
      <c r="L2779" s="69">
        <f>VLOOKUP(Table_db1_backend_Daily.accdb[[#This Row],[TradingDate]],canon!B:E,4,0)</f>
        <v>28</v>
      </c>
    </row>
    <row r="2780" spans="1:12" x14ac:dyDescent="0.2">
      <c r="A2780" s="69" t="s">
        <v>45</v>
      </c>
      <c r="B2780" s="70">
        <v>42928</v>
      </c>
      <c r="C2780" s="69">
        <v>464</v>
      </c>
      <c r="D2780" s="69">
        <v>0</v>
      </c>
      <c r="E2780" s="69">
        <v>0</v>
      </c>
      <c r="F2780" s="69">
        <v>0</v>
      </c>
      <c r="G2780" s="69" t="s">
        <v>10</v>
      </c>
      <c r="H2780" s="69" t="str">
        <f>IFERROR(VLOOKUP(Data!$G2780,canon!$I$2:$K$27,2,FALSE),"")</f>
        <v>ACCESSORY</v>
      </c>
      <c r="I2780" s="69" t="str">
        <f>IFERROR(VLOOKUP(Data!$G2780,canon!$I$2:$K$27,3,FALSE),"")</f>
        <v>N.APPAREL</v>
      </c>
      <c r="J2780" s="69">
        <f t="shared" si="86"/>
        <v>4</v>
      </c>
      <c r="K2780" s="69">
        <f t="shared" si="87"/>
        <v>103</v>
      </c>
      <c r="L2780" s="69">
        <f>VLOOKUP(Table_db1_backend_Daily.accdb[[#This Row],[TradingDate]],canon!B:E,4,0)</f>
        <v>28</v>
      </c>
    </row>
    <row r="2781" spans="1:12" x14ac:dyDescent="0.2">
      <c r="A2781" s="69" t="s">
        <v>45</v>
      </c>
      <c r="B2781" s="70">
        <v>42928</v>
      </c>
      <c r="C2781" s="69">
        <v>2604</v>
      </c>
      <c r="D2781" s="69">
        <v>79</v>
      </c>
      <c r="E2781" s="69">
        <v>931.27999999999986</v>
      </c>
      <c r="F2781" s="69">
        <v>286.37</v>
      </c>
      <c r="G2781" s="69" t="s">
        <v>11</v>
      </c>
      <c r="H2781" s="69" t="str">
        <f>IFERROR(VLOOKUP(Data!$G2781,canon!$I$2:$K$27,2,FALSE),"")</f>
        <v>KNIT</v>
      </c>
      <c r="I2781" s="69" t="str">
        <f>IFERROR(VLOOKUP(Data!$G2781,canon!$I$2:$K$27,3,FALSE),"")</f>
        <v>APPAREL</v>
      </c>
      <c r="J2781" s="69">
        <f t="shared" si="86"/>
        <v>4</v>
      </c>
      <c r="K2781" s="69">
        <f t="shared" si="87"/>
        <v>103</v>
      </c>
      <c r="L2781" s="69">
        <f>VLOOKUP(Table_db1_backend_Daily.accdb[[#This Row],[TradingDate]],canon!B:E,4,0)</f>
        <v>28</v>
      </c>
    </row>
    <row r="2782" spans="1:12" x14ac:dyDescent="0.2">
      <c r="A2782" s="69" t="s">
        <v>45</v>
      </c>
      <c r="B2782" s="70">
        <v>42928</v>
      </c>
      <c r="C2782" s="69">
        <v>384</v>
      </c>
      <c r="D2782" s="69">
        <v>10</v>
      </c>
      <c r="E2782" s="69">
        <v>122.66000000000003</v>
      </c>
      <c r="F2782" s="69">
        <v>55.92</v>
      </c>
      <c r="G2782" s="69" t="s">
        <v>14</v>
      </c>
      <c r="H2782" s="69" t="str">
        <f>IFERROR(VLOOKUP(Data!$G2782,canon!$I$2:$K$27,2,FALSE),"")</f>
        <v>LEGGING</v>
      </c>
      <c r="I2782" s="69" t="str">
        <f>IFERROR(VLOOKUP(Data!$G2782,canon!$I$2:$K$27,3,FALSE),"")</f>
        <v>APPAREL</v>
      </c>
      <c r="J2782" s="69">
        <f t="shared" si="86"/>
        <v>4</v>
      </c>
      <c r="K2782" s="69">
        <f t="shared" si="87"/>
        <v>103</v>
      </c>
      <c r="L2782" s="69">
        <f>VLOOKUP(Table_db1_backend_Daily.accdb[[#This Row],[TradingDate]],canon!B:E,4,0)</f>
        <v>28</v>
      </c>
    </row>
    <row r="2783" spans="1:12" x14ac:dyDescent="0.2">
      <c r="A2783" s="69" t="s">
        <v>45</v>
      </c>
      <c r="B2783" s="70">
        <v>42928</v>
      </c>
      <c r="C2783" s="69">
        <v>-116</v>
      </c>
      <c r="D2783" s="69">
        <v>0</v>
      </c>
      <c r="E2783" s="69">
        <v>0</v>
      </c>
      <c r="F2783" s="69">
        <v>0</v>
      </c>
      <c r="G2783" s="69" t="s">
        <v>37</v>
      </c>
      <c r="H2783" s="69" t="str">
        <f>IFERROR(VLOOKUP(Data!$G2783,canon!$I$2:$K$27,2,FALSE),"")</f>
        <v>SHOES</v>
      </c>
      <c r="I2783" s="69" t="str">
        <f>IFERROR(VLOOKUP(Data!$G2783,canon!$I$2:$K$27,3,FALSE),"")</f>
        <v>N.APPAREL</v>
      </c>
      <c r="J2783" s="69">
        <f t="shared" si="86"/>
        <v>4</v>
      </c>
      <c r="K2783" s="69">
        <f t="shared" si="87"/>
        <v>103</v>
      </c>
      <c r="L2783" s="69">
        <f>VLOOKUP(Table_db1_backend_Daily.accdb[[#This Row],[TradingDate]],canon!B:E,4,0)</f>
        <v>28</v>
      </c>
    </row>
    <row r="2784" spans="1:12" x14ac:dyDescent="0.2">
      <c r="A2784" s="69" t="s">
        <v>45</v>
      </c>
      <c r="B2784" s="70">
        <v>42928</v>
      </c>
      <c r="C2784" s="69">
        <v>-1</v>
      </c>
      <c r="D2784" s="69">
        <v>0</v>
      </c>
      <c r="E2784" s="69">
        <v>0</v>
      </c>
      <c r="F2784" s="69">
        <v>0</v>
      </c>
      <c r="G2784" s="69" t="s">
        <v>29</v>
      </c>
      <c r="H2784" s="69" t="str">
        <f>IFERROR(VLOOKUP(Data!$G2784,canon!$I$2:$K$27,2,FALSE),"")</f>
        <v>SHOES</v>
      </c>
      <c r="I2784" s="69" t="str">
        <f>IFERROR(VLOOKUP(Data!$G2784,canon!$I$2:$K$27,3,FALSE),"")</f>
        <v>N.APPAREL</v>
      </c>
      <c r="J2784" s="69">
        <f t="shared" si="86"/>
        <v>4</v>
      </c>
      <c r="K2784" s="69">
        <f t="shared" si="87"/>
        <v>103</v>
      </c>
      <c r="L2784" s="69">
        <f>VLOOKUP(Table_db1_backend_Daily.accdb[[#This Row],[TradingDate]],canon!B:E,4,0)</f>
        <v>28</v>
      </c>
    </row>
    <row r="2785" spans="1:12" x14ac:dyDescent="0.2">
      <c r="A2785" s="69" t="s">
        <v>45</v>
      </c>
      <c r="B2785" s="70">
        <v>42928</v>
      </c>
      <c r="C2785" s="69">
        <v>715</v>
      </c>
      <c r="D2785" s="69">
        <v>18</v>
      </c>
      <c r="E2785" s="69">
        <v>308.5</v>
      </c>
      <c r="F2785" s="69">
        <v>151.03</v>
      </c>
      <c r="G2785" s="69" t="s">
        <v>17</v>
      </c>
      <c r="H2785" s="69" t="str">
        <f>IFERROR(VLOOKUP(Data!$G2785,canon!$I$2:$K$27,2,FALSE),"")</f>
        <v>OUTER</v>
      </c>
      <c r="I2785" s="69" t="str">
        <f>IFERROR(VLOOKUP(Data!$G2785,canon!$I$2:$K$27,3,FALSE),"")</f>
        <v>APPAREL</v>
      </c>
      <c r="J2785" s="69">
        <f t="shared" si="86"/>
        <v>4</v>
      </c>
      <c r="K2785" s="69">
        <f t="shared" si="87"/>
        <v>103</v>
      </c>
      <c r="L2785" s="69">
        <f>VLOOKUP(Table_db1_backend_Daily.accdb[[#This Row],[TradingDate]],canon!B:E,4,0)</f>
        <v>28</v>
      </c>
    </row>
    <row r="2786" spans="1:12" x14ac:dyDescent="0.2">
      <c r="A2786" s="69" t="s">
        <v>45</v>
      </c>
      <c r="B2786" s="70">
        <v>42928</v>
      </c>
      <c r="C2786" s="69">
        <v>291</v>
      </c>
      <c r="D2786" s="69">
        <v>1</v>
      </c>
      <c r="E2786" s="69">
        <v>27.25</v>
      </c>
      <c r="F2786" s="69">
        <v>19.47</v>
      </c>
      <c r="G2786" s="69" t="s">
        <v>19</v>
      </c>
      <c r="H2786" s="69" t="str">
        <f>IFERROR(VLOOKUP(Data!$G2786,canon!$I$2:$K$27,2,FALSE),"")</f>
        <v>PANT</v>
      </c>
      <c r="I2786" s="69" t="str">
        <f>IFERROR(VLOOKUP(Data!$G2786,canon!$I$2:$K$27,3,FALSE),"")</f>
        <v>APPAREL</v>
      </c>
      <c r="J2786" s="69">
        <f t="shared" si="86"/>
        <v>4</v>
      </c>
      <c r="K2786" s="69">
        <f t="shared" si="87"/>
        <v>103</v>
      </c>
      <c r="L2786" s="69">
        <f>VLOOKUP(Table_db1_backend_Daily.accdb[[#This Row],[TradingDate]],canon!B:E,4,0)</f>
        <v>28</v>
      </c>
    </row>
    <row r="2787" spans="1:12" x14ac:dyDescent="0.2">
      <c r="A2787" s="69" t="s">
        <v>45</v>
      </c>
      <c r="B2787" s="70">
        <v>42928</v>
      </c>
      <c r="C2787" s="69">
        <v>-636</v>
      </c>
      <c r="D2787" s="69">
        <v>24</v>
      </c>
      <c r="E2787" s="69">
        <v>122.53999999999996</v>
      </c>
      <c r="F2787" s="69">
        <v>80.05</v>
      </c>
      <c r="G2787" s="69" t="s">
        <v>22</v>
      </c>
      <c r="H2787" s="69" t="str">
        <f>IFERROR(VLOOKUP(Data!$G2787,canon!$I$2:$K$27,2,FALSE),"")</f>
        <v>SCARF</v>
      </c>
      <c r="I2787" s="69" t="str">
        <f>IFERROR(VLOOKUP(Data!$G2787,canon!$I$2:$K$27,3,FALSE),"")</f>
        <v>N.APPAREL</v>
      </c>
      <c r="J2787" s="69">
        <f t="shared" si="86"/>
        <v>4</v>
      </c>
      <c r="K2787" s="69">
        <f t="shared" si="87"/>
        <v>103</v>
      </c>
      <c r="L2787" s="69">
        <f>VLOOKUP(Table_db1_backend_Daily.accdb[[#This Row],[TradingDate]],canon!B:E,4,0)</f>
        <v>28</v>
      </c>
    </row>
    <row r="2788" spans="1:12" x14ac:dyDescent="0.2">
      <c r="A2788" s="69" t="s">
        <v>45</v>
      </c>
      <c r="B2788" s="70">
        <v>42928</v>
      </c>
      <c r="C2788" s="69">
        <v>196</v>
      </c>
      <c r="D2788" s="69">
        <v>4</v>
      </c>
      <c r="E2788" s="69">
        <v>36.36</v>
      </c>
      <c r="F2788" s="69">
        <v>2.0100000000000002</v>
      </c>
      <c r="G2788" s="69" t="s">
        <v>23</v>
      </c>
      <c r="H2788" s="69" t="str">
        <f>IFERROR(VLOOKUP(Data!$G2788,canon!$I$2:$K$27,2,FALSE),"")</f>
        <v>SH&amp;BL</v>
      </c>
      <c r="I2788" s="69" t="str">
        <f>IFERROR(VLOOKUP(Data!$G2788,canon!$I$2:$K$27,3,FALSE),"")</f>
        <v>APPAREL</v>
      </c>
      <c r="J2788" s="69">
        <f t="shared" si="86"/>
        <v>4</v>
      </c>
      <c r="K2788" s="69">
        <f t="shared" si="87"/>
        <v>103</v>
      </c>
      <c r="L2788" s="69">
        <f>VLOOKUP(Table_db1_backend_Daily.accdb[[#This Row],[TradingDate]],canon!B:E,4,0)</f>
        <v>28</v>
      </c>
    </row>
    <row r="2789" spans="1:12" x14ac:dyDescent="0.2">
      <c r="A2789" s="69" t="s">
        <v>45</v>
      </c>
      <c r="B2789" s="70">
        <v>42928</v>
      </c>
      <c r="C2789" s="69">
        <v>379</v>
      </c>
      <c r="D2789" s="69">
        <v>6</v>
      </c>
      <c r="E2789" s="69">
        <v>90.740000000000009</v>
      </c>
      <c r="F2789" s="69">
        <v>56.83</v>
      </c>
      <c r="G2789" s="69" t="s">
        <v>32</v>
      </c>
      <c r="H2789" s="69" t="str">
        <f>IFERROR(VLOOKUP(Data!$G2789,canon!$I$2:$K$27,2,FALSE),"")</f>
        <v>SKIRT</v>
      </c>
      <c r="I2789" s="69" t="str">
        <f>IFERROR(VLOOKUP(Data!$G2789,canon!$I$2:$K$27,3,FALSE),"")</f>
        <v>APPAREL</v>
      </c>
      <c r="J2789" s="69">
        <f t="shared" si="86"/>
        <v>4</v>
      </c>
      <c r="K2789" s="69">
        <f t="shared" si="87"/>
        <v>103</v>
      </c>
      <c r="L2789" s="69">
        <f>VLOOKUP(Table_db1_backend_Daily.accdb[[#This Row],[TradingDate]],canon!B:E,4,0)</f>
        <v>28</v>
      </c>
    </row>
    <row r="2790" spans="1:12" x14ac:dyDescent="0.2">
      <c r="A2790" s="69" t="s">
        <v>45</v>
      </c>
      <c r="B2790" s="70">
        <v>42928</v>
      </c>
      <c r="C2790" s="69">
        <v>2695</v>
      </c>
      <c r="D2790" s="69">
        <v>61</v>
      </c>
      <c r="E2790" s="69">
        <v>309.17</v>
      </c>
      <c r="F2790" s="69">
        <v>1.1200000000000028</v>
      </c>
      <c r="G2790" s="69" t="s">
        <v>25</v>
      </c>
      <c r="H2790" s="69" t="str">
        <f>IFERROR(VLOOKUP(Data!$G2790,canon!$I$2:$K$27,2,FALSE),"")</f>
        <v>TOP</v>
      </c>
      <c r="I2790" s="69" t="str">
        <f>IFERROR(VLOOKUP(Data!$G2790,canon!$I$2:$K$27,3,FALSE),"")</f>
        <v>APPAREL</v>
      </c>
      <c r="J2790" s="69">
        <f t="shared" si="86"/>
        <v>4</v>
      </c>
      <c r="K2790" s="69">
        <f t="shared" si="87"/>
        <v>103</v>
      </c>
      <c r="L2790" s="69">
        <f>VLOOKUP(Table_db1_backend_Daily.accdb[[#This Row],[TradingDate]],canon!B:E,4,0)</f>
        <v>28</v>
      </c>
    </row>
    <row r="2791" spans="1:12" x14ac:dyDescent="0.2">
      <c r="A2791" s="69" t="s">
        <v>45</v>
      </c>
      <c r="B2791" s="70">
        <v>42929</v>
      </c>
      <c r="C2791" s="69">
        <v>-30</v>
      </c>
      <c r="D2791" s="69">
        <v>0</v>
      </c>
      <c r="E2791" s="69">
        <v>0</v>
      </c>
      <c r="F2791" s="69">
        <v>0</v>
      </c>
      <c r="G2791" s="69" t="s">
        <v>34</v>
      </c>
      <c r="H2791" s="69" t="str">
        <f>IFERROR(VLOOKUP(Data!$G2791,canon!$I$2:$K$27,2,FALSE),"")</f>
        <v>SHOES</v>
      </c>
      <c r="I2791" s="69" t="str">
        <f>IFERROR(VLOOKUP(Data!$G2791,canon!$I$2:$K$27,3,FALSE),"")</f>
        <v>N.APPAREL</v>
      </c>
      <c r="J2791" s="69">
        <f t="shared" si="86"/>
        <v>5</v>
      </c>
      <c r="K2791" s="69">
        <f t="shared" si="87"/>
        <v>103</v>
      </c>
      <c r="L2791" s="69">
        <f>VLOOKUP(Table_db1_backend_Daily.accdb[[#This Row],[TradingDate]],canon!B:E,4,0)</f>
        <v>28</v>
      </c>
    </row>
    <row r="2792" spans="1:12" x14ac:dyDescent="0.2">
      <c r="A2792" s="69" t="s">
        <v>45</v>
      </c>
      <c r="B2792" s="70">
        <v>42929</v>
      </c>
      <c r="C2792" s="69">
        <v>565</v>
      </c>
      <c r="D2792" s="69">
        <v>9</v>
      </c>
      <c r="E2792" s="69">
        <v>90.85</v>
      </c>
      <c r="F2792" s="69">
        <v>12.590000000000003</v>
      </c>
      <c r="G2792" s="69" t="s">
        <v>35</v>
      </c>
      <c r="H2792" s="69" t="str">
        <f>IFERROR(VLOOKUP(Data!$G2792,canon!$I$2:$K$27,2,FALSE),"")</f>
        <v>DRESS</v>
      </c>
      <c r="I2792" s="69" t="str">
        <f>IFERROR(VLOOKUP(Data!$G2792,canon!$I$2:$K$27,3,FALSE),"")</f>
        <v>APPAREL</v>
      </c>
      <c r="J2792" s="69">
        <f t="shared" si="86"/>
        <v>5</v>
      </c>
      <c r="K2792" s="69">
        <f t="shared" si="87"/>
        <v>103</v>
      </c>
      <c r="L2792" s="69">
        <f>VLOOKUP(Table_db1_backend_Daily.accdb[[#This Row],[TradingDate]],canon!B:E,4,0)</f>
        <v>28</v>
      </c>
    </row>
    <row r="2793" spans="1:12" x14ac:dyDescent="0.2">
      <c r="A2793" s="69" t="s">
        <v>45</v>
      </c>
      <c r="B2793" s="70">
        <v>42929</v>
      </c>
      <c r="C2793" s="69">
        <v>464</v>
      </c>
      <c r="D2793" s="69">
        <v>0</v>
      </c>
      <c r="E2793" s="69">
        <v>0</v>
      </c>
      <c r="F2793" s="69">
        <v>0</v>
      </c>
      <c r="G2793" s="69" t="s">
        <v>10</v>
      </c>
      <c r="H2793" s="69" t="str">
        <f>IFERROR(VLOOKUP(Data!$G2793,canon!$I$2:$K$27,2,FALSE),"")</f>
        <v>ACCESSORY</v>
      </c>
      <c r="I2793" s="69" t="str">
        <f>IFERROR(VLOOKUP(Data!$G2793,canon!$I$2:$K$27,3,FALSE),"")</f>
        <v>N.APPAREL</v>
      </c>
      <c r="J2793" s="69">
        <f t="shared" si="86"/>
        <v>5</v>
      </c>
      <c r="K2793" s="69">
        <f t="shared" si="87"/>
        <v>103</v>
      </c>
      <c r="L2793" s="69">
        <f>VLOOKUP(Table_db1_backend_Daily.accdb[[#This Row],[TradingDate]],canon!B:E,4,0)</f>
        <v>28</v>
      </c>
    </row>
    <row r="2794" spans="1:12" x14ac:dyDescent="0.2">
      <c r="A2794" s="69" t="s">
        <v>45</v>
      </c>
      <c r="B2794" s="70">
        <v>42929</v>
      </c>
      <c r="C2794" s="69">
        <v>2466</v>
      </c>
      <c r="D2794" s="69">
        <v>138</v>
      </c>
      <c r="E2794" s="69">
        <v>1430.9700000000003</v>
      </c>
      <c r="F2794" s="69">
        <v>389.05000000000013</v>
      </c>
      <c r="G2794" s="69" t="s">
        <v>11</v>
      </c>
      <c r="H2794" s="69" t="str">
        <f>IFERROR(VLOOKUP(Data!$G2794,canon!$I$2:$K$27,2,FALSE),"")</f>
        <v>KNIT</v>
      </c>
      <c r="I2794" s="69" t="str">
        <f>IFERROR(VLOOKUP(Data!$G2794,canon!$I$2:$K$27,3,FALSE),"")</f>
        <v>APPAREL</v>
      </c>
      <c r="J2794" s="69">
        <f t="shared" si="86"/>
        <v>5</v>
      </c>
      <c r="K2794" s="69">
        <f t="shared" si="87"/>
        <v>103</v>
      </c>
      <c r="L2794" s="69">
        <f>VLOOKUP(Table_db1_backend_Daily.accdb[[#This Row],[TradingDate]],canon!B:E,4,0)</f>
        <v>28</v>
      </c>
    </row>
    <row r="2795" spans="1:12" x14ac:dyDescent="0.2">
      <c r="A2795" s="69" t="s">
        <v>45</v>
      </c>
      <c r="B2795" s="70">
        <v>42929</v>
      </c>
      <c r="C2795" s="69">
        <v>377</v>
      </c>
      <c r="D2795" s="69">
        <v>7</v>
      </c>
      <c r="E2795" s="69">
        <v>90.81</v>
      </c>
      <c r="F2795" s="69">
        <v>42.029999999999994</v>
      </c>
      <c r="G2795" s="69" t="s">
        <v>14</v>
      </c>
      <c r="H2795" s="69" t="str">
        <f>IFERROR(VLOOKUP(Data!$G2795,canon!$I$2:$K$27,2,FALSE),"")</f>
        <v>LEGGING</v>
      </c>
      <c r="I2795" s="69" t="str">
        <f>IFERROR(VLOOKUP(Data!$G2795,canon!$I$2:$K$27,3,FALSE),"")</f>
        <v>APPAREL</v>
      </c>
      <c r="J2795" s="69">
        <f t="shared" si="86"/>
        <v>5</v>
      </c>
      <c r="K2795" s="69">
        <f t="shared" si="87"/>
        <v>103</v>
      </c>
      <c r="L2795" s="69">
        <f>VLOOKUP(Table_db1_backend_Daily.accdb[[#This Row],[TradingDate]],canon!B:E,4,0)</f>
        <v>28</v>
      </c>
    </row>
    <row r="2796" spans="1:12" x14ac:dyDescent="0.2">
      <c r="A2796" s="69" t="s">
        <v>45</v>
      </c>
      <c r="B2796" s="70">
        <v>42929</v>
      </c>
      <c r="C2796" s="69">
        <v>-116</v>
      </c>
      <c r="D2796" s="69">
        <v>0</v>
      </c>
      <c r="E2796" s="69">
        <v>0</v>
      </c>
      <c r="F2796" s="69">
        <v>0</v>
      </c>
      <c r="G2796" s="69" t="s">
        <v>37</v>
      </c>
      <c r="H2796" s="69" t="str">
        <f>IFERROR(VLOOKUP(Data!$G2796,canon!$I$2:$K$27,2,FALSE),"")</f>
        <v>SHOES</v>
      </c>
      <c r="I2796" s="69" t="str">
        <f>IFERROR(VLOOKUP(Data!$G2796,canon!$I$2:$K$27,3,FALSE),"")</f>
        <v>N.APPAREL</v>
      </c>
      <c r="J2796" s="69">
        <f t="shared" si="86"/>
        <v>5</v>
      </c>
      <c r="K2796" s="69">
        <f t="shared" si="87"/>
        <v>103</v>
      </c>
      <c r="L2796" s="69">
        <f>VLOOKUP(Table_db1_backend_Daily.accdb[[#This Row],[TradingDate]],canon!B:E,4,0)</f>
        <v>28</v>
      </c>
    </row>
    <row r="2797" spans="1:12" x14ac:dyDescent="0.2">
      <c r="A2797" s="69" t="s">
        <v>45</v>
      </c>
      <c r="B2797" s="70">
        <v>42929</v>
      </c>
      <c r="C2797" s="69">
        <v>-1</v>
      </c>
      <c r="D2797" s="69">
        <v>0</v>
      </c>
      <c r="E2797" s="69">
        <v>0</v>
      </c>
      <c r="F2797" s="69">
        <v>0</v>
      </c>
      <c r="G2797" s="69" t="s">
        <v>29</v>
      </c>
      <c r="H2797" s="69" t="str">
        <f>IFERROR(VLOOKUP(Data!$G2797,canon!$I$2:$K$27,2,FALSE),"")</f>
        <v>SHOES</v>
      </c>
      <c r="I2797" s="69" t="str">
        <f>IFERROR(VLOOKUP(Data!$G2797,canon!$I$2:$K$27,3,FALSE),"")</f>
        <v>N.APPAREL</v>
      </c>
      <c r="J2797" s="69">
        <f t="shared" si="86"/>
        <v>5</v>
      </c>
      <c r="K2797" s="69">
        <f t="shared" si="87"/>
        <v>103</v>
      </c>
      <c r="L2797" s="69">
        <f>VLOOKUP(Table_db1_backend_Daily.accdb[[#This Row],[TradingDate]],canon!B:E,4,0)</f>
        <v>28</v>
      </c>
    </row>
    <row r="2798" spans="1:12" x14ac:dyDescent="0.2">
      <c r="A2798" s="69" t="s">
        <v>45</v>
      </c>
      <c r="B2798" s="70">
        <v>42929</v>
      </c>
      <c r="C2798" s="69">
        <v>680</v>
      </c>
      <c r="D2798" s="69">
        <v>35</v>
      </c>
      <c r="E2798" s="69">
        <v>567.23</v>
      </c>
      <c r="F2798" s="69">
        <v>256.69</v>
      </c>
      <c r="G2798" s="69" t="s">
        <v>17</v>
      </c>
      <c r="H2798" s="69" t="str">
        <f>IFERROR(VLOOKUP(Data!$G2798,canon!$I$2:$K$27,2,FALSE),"")</f>
        <v>OUTER</v>
      </c>
      <c r="I2798" s="69" t="str">
        <f>IFERROR(VLOOKUP(Data!$G2798,canon!$I$2:$K$27,3,FALSE),"")</f>
        <v>APPAREL</v>
      </c>
      <c r="J2798" s="69">
        <f t="shared" si="86"/>
        <v>5</v>
      </c>
      <c r="K2798" s="69">
        <f t="shared" si="87"/>
        <v>103</v>
      </c>
      <c r="L2798" s="69">
        <f>VLOOKUP(Table_db1_backend_Daily.accdb[[#This Row],[TradingDate]],canon!B:E,4,0)</f>
        <v>28</v>
      </c>
    </row>
    <row r="2799" spans="1:12" x14ac:dyDescent="0.2">
      <c r="A2799" s="69" t="s">
        <v>45</v>
      </c>
      <c r="B2799" s="70">
        <v>42929</v>
      </c>
      <c r="C2799" s="69">
        <v>282</v>
      </c>
      <c r="D2799" s="69">
        <v>9</v>
      </c>
      <c r="E2799" s="69">
        <v>95.41</v>
      </c>
      <c r="F2799" s="69">
        <v>40.300000000000004</v>
      </c>
      <c r="G2799" s="69" t="s">
        <v>19</v>
      </c>
      <c r="H2799" s="69" t="str">
        <f>IFERROR(VLOOKUP(Data!$G2799,canon!$I$2:$K$27,2,FALSE),"")</f>
        <v>PANT</v>
      </c>
      <c r="I2799" s="69" t="str">
        <f>IFERROR(VLOOKUP(Data!$G2799,canon!$I$2:$K$27,3,FALSE),"")</f>
        <v>APPAREL</v>
      </c>
      <c r="J2799" s="69">
        <f t="shared" si="86"/>
        <v>5</v>
      </c>
      <c r="K2799" s="69">
        <f t="shared" si="87"/>
        <v>103</v>
      </c>
      <c r="L2799" s="69">
        <f>VLOOKUP(Table_db1_backend_Daily.accdb[[#This Row],[TradingDate]],canon!B:E,4,0)</f>
        <v>28</v>
      </c>
    </row>
    <row r="2800" spans="1:12" x14ac:dyDescent="0.2">
      <c r="A2800" s="69" t="s">
        <v>45</v>
      </c>
      <c r="B2800" s="70">
        <v>42929</v>
      </c>
      <c r="C2800" s="69">
        <v>-670</v>
      </c>
      <c r="D2800" s="69">
        <v>34</v>
      </c>
      <c r="E2800" s="69">
        <v>170.72</v>
      </c>
      <c r="F2800" s="69">
        <v>109.67000000000002</v>
      </c>
      <c r="G2800" s="69" t="s">
        <v>22</v>
      </c>
      <c r="H2800" s="69" t="str">
        <f>IFERROR(VLOOKUP(Data!$G2800,canon!$I$2:$K$27,2,FALSE),"")</f>
        <v>SCARF</v>
      </c>
      <c r="I2800" s="69" t="str">
        <f>IFERROR(VLOOKUP(Data!$G2800,canon!$I$2:$K$27,3,FALSE),"")</f>
        <v>N.APPAREL</v>
      </c>
      <c r="J2800" s="69">
        <f t="shared" si="86"/>
        <v>5</v>
      </c>
      <c r="K2800" s="69">
        <f t="shared" si="87"/>
        <v>103</v>
      </c>
      <c r="L2800" s="69">
        <f>VLOOKUP(Table_db1_backend_Daily.accdb[[#This Row],[TradingDate]],canon!B:E,4,0)</f>
        <v>28</v>
      </c>
    </row>
    <row r="2801" spans="1:12" x14ac:dyDescent="0.2">
      <c r="A2801" s="69" t="s">
        <v>45</v>
      </c>
      <c r="B2801" s="70">
        <v>42929</v>
      </c>
      <c r="C2801" s="69">
        <v>186</v>
      </c>
      <c r="D2801" s="69">
        <v>10</v>
      </c>
      <c r="E2801" s="69">
        <v>90.9</v>
      </c>
      <c r="F2801" s="69">
        <v>4.8</v>
      </c>
      <c r="G2801" s="69" t="s">
        <v>23</v>
      </c>
      <c r="H2801" s="69" t="str">
        <f>IFERROR(VLOOKUP(Data!$G2801,canon!$I$2:$K$27,2,FALSE),"")</f>
        <v>SH&amp;BL</v>
      </c>
      <c r="I2801" s="69" t="str">
        <f>IFERROR(VLOOKUP(Data!$G2801,canon!$I$2:$K$27,3,FALSE),"")</f>
        <v>APPAREL</v>
      </c>
      <c r="J2801" s="69">
        <f t="shared" si="86"/>
        <v>5</v>
      </c>
      <c r="K2801" s="69">
        <f t="shared" si="87"/>
        <v>103</v>
      </c>
      <c r="L2801" s="69">
        <f>VLOOKUP(Table_db1_backend_Daily.accdb[[#This Row],[TradingDate]],canon!B:E,4,0)</f>
        <v>28</v>
      </c>
    </row>
    <row r="2802" spans="1:12" x14ac:dyDescent="0.2">
      <c r="A2802" s="69" t="s">
        <v>45</v>
      </c>
      <c r="B2802" s="70">
        <v>42929</v>
      </c>
      <c r="C2802" s="69">
        <v>372</v>
      </c>
      <c r="D2802" s="69">
        <v>6</v>
      </c>
      <c r="E2802" s="69">
        <v>54.540000000000006</v>
      </c>
      <c r="F2802" s="69">
        <v>15.199999999999998</v>
      </c>
      <c r="G2802" s="69" t="s">
        <v>32</v>
      </c>
      <c r="H2802" s="69" t="str">
        <f>IFERROR(VLOOKUP(Data!$G2802,canon!$I$2:$K$27,2,FALSE),"")</f>
        <v>SKIRT</v>
      </c>
      <c r="I2802" s="69" t="str">
        <f>IFERROR(VLOOKUP(Data!$G2802,canon!$I$2:$K$27,3,FALSE),"")</f>
        <v>APPAREL</v>
      </c>
      <c r="J2802" s="69">
        <f t="shared" si="86"/>
        <v>5</v>
      </c>
      <c r="K2802" s="69">
        <f t="shared" si="87"/>
        <v>103</v>
      </c>
      <c r="L2802" s="69">
        <f>VLOOKUP(Table_db1_backend_Daily.accdb[[#This Row],[TradingDate]],canon!B:E,4,0)</f>
        <v>28</v>
      </c>
    </row>
    <row r="2803" spans="1:12" x14ac:dyDescent="0.2">
      <c r="A2803" s="69" t="s">
        <v>45</v>
      </c>
      <c r="B2803" s="70">
        <v>42929</v>
      </c>
      <c r="C2803" s="69">
        <v>2614</v>
      </c>
      <c r="D2803" s="69">
        <v>81</v>
      </c>
      <c r="E2803" s="69">
        <v>486.44</v>
      </c>
      <c r="F2803" s="69">
        <v>91.279999999999987</v>
      </c>
      <c r="G2803" s="69" t="s">
        <v>25</v>
      </c>
      <c r="H2803" s="69" t="str">
        <f>IFERROR(VLOOKUP(Data!$G2803,canon!$I$2:$K$27,2,FALSE),"")</f>
        <v>TOP</v>
      </c>
      <c r="I2803" s="69" t="str">
        <f>IFERROR(VLOOKUP(Data!$G2803,canon!$I$2:$K$27,3,FALSE),"")</f>
        <v>APPAREL</v>
      </c>
      <c r="J2803" s="69">
        <f t="shared" si="86"/>
        <v>5</v>
      </c>
      <c r="K2803" s="69">
        <f t="shared" si="87"/>
        <v>103</v>
      </c>
      <c r="L2803" s="69">
        <f>VLOOKUP(Table_db1_backend_Daily.accdb[[#This Row],[TradingDate]],canon!B:E,4,0)</f>
        <v>28</v>
      </c>
    </row>
    <row r="2804" spans="1:12" x14ac:dyDescent="0.2">
      <c r="A2804" s="69" t="s">
        <v>45</v>
      </c>
      <c r="B2804" s="70">
        <v>42930</v>
      </c>
      <c r="C2804" s="69">
        <v>-30</v>
      </c>
      <c r="D2804" s="69">
        <v>0</v>
      </c>
      <c r="E2804" s="69">
        <v>0</v>
      </c>
      <c r="F2804" s="69">
        <v>0</v>
      </c>
      <c r="G2804" s="69" t="s">
        <v>34</v>
      </c>
      <c r="H2804" s="69" t="str">
        <f>IFERROR(VLOOKUP(Data!$G2804,canon!$I$2:$K$27,2,FALSE),"")</f>
        <v>SHOES</v>
      </c>
      <c r="I2804" s="69" t="str">
        <f>IFERROR(VLOOKUP(Data!$G2804,canon!$I$2:$K$27,3,FALSE),"")</f>
        <v>N.APPAREL</v>
      </c>
      <c r="J2804" s="69">
        <f t="shared" si="86"/>
        <v>6</v>
      </c>
      <c r="K2804" s="69">
        <f t="shared" si="87"/>
        <v>103</v>
      </c>
      <c r="L2804" s="69">
        <f>VLOOKUP(Table_db1_backend_Daily.accdb[[#This Row],[TradingDate]],canon!B:E,4,0)</f>
        <v>28</v>
      </c>
    </row>
    <row r="2805" spans="1:12" x14ac:dyDescent="0.2">
      <c r="A2805" s="69" t="s">
        <v>45</v>
      </c>
      <c r="B2805" s="70">
        <v>42930</v>
      </c>
      <c r="C2805" s="69">
        <v>562</v>
      </c>
      <c r="D2805" s="69">
        <v>3</v>
      </c>
      <c r="E2805" s="69">
        <v>45.430000000000007</v>
      </c>
      <c r="F2805" s="69">
        <v>20.429999999999996</v>
      </c>
      <c r="G2805" s="69" t="s">
        <v>35</v>
      </c>
      <c r="H2805" s="69" t="str">
        <f>IFERROR(VLOOKUP(Data!$G2805,canon!$I$2:$K$27,2,FALSE),"")</f>
        <v>DRESS</v>
      </c>
      <c r="I2805" s="69" t="str">
        <f>IFERROR(VLOOKUP(Data!$G2805,canon!$I$2:$K$27,3,FALSE),"")</f>
        <v>APPAREL</v>
      </c>
      <c r="J2805" s="69">
        <f t="shared" si="86"/>
        <v>6</v>
      </c>
      <c r="K2805" s="69">
        <f t="shared" si="87"/>
        <v>103</v>
      </c>
      <c r="L2805" s="69">
        <f>VLOOKUP(Table_db1_backend_Daily.accdb[[#This Row],[TradingDate]],canon!B:E,4,0)</f>
        <v>28</v>
      </c>
    </row>
    <row r="2806" spans="1:12" x14ac:dyDescent="0.2">
      <c r="A2806" s="69" t="s">
        <v>45</v>
      </c>
      <c r="B2806" s="70">
        <v>42930</v>
      </c>
      <c r="C2806" s="69">
        <v>464</v>
      </c>
      <c r="D2806" s="69">
        <v>0</v>
      </c>
      <c r="E2806" s="69">
        <v>0</v>
      </c>
      <c r="F2806" s="69">
        <v>0</v>
      </c>
      <c r="G2806" s="69" t="s">
        <v>10</v>
      </c>
      <c r="H2806" s="69" t="str">
        <f>IFERROR(VLOOKUP(Data!$G2806,canon!$I$2:$K$27,2,FALSE),"")</f>
        <v>ACCESSORY</v>
      </c>
      <c r="I2806" s="69" t="str">
        <f>IFERROR(VLOOKUP(Data!$G2806,canon!$I$2:$K$27,3,FALSE),"")</f>
        <v>N.APPAREL</v>
      </c>
      <c r="J2806" s="69">
        <f t="shared" si="86"/>
        <v>6</v>
      </c>
      <c r="K2806" s="69">
        <f t="shared" si="87"/>
        <v>103</v>
      </c>
      <c r="L2806" s="69">
        <f>VLOOKUP(Table_db1_backend_Daily.accdb[[#This Row],[TradingDate]],canon!B:E,4,0)</f>
        <v>28</v>
      </c>
    </row>
    <row r="2807" spans="1:12" x14ac:dyDescent="0.2">
      <c r="A2807" s="69" t="s">
        <v>45</v>
      </c>
      <c r="B2807" s="70">
        <v>42930</v>
      </c>
      <c r="C2807" s="69">
        <v>2416</v>
      </c>
      <c r="D2807" s="69">
        <v>48</v>
      </c>
      <c r="E2807" s="69">
        <v>554.26999999999975</v>
      </c>
      <c r="F2807" s="69">
        <v>187.04000000000002</v>
      </c>
      <c r="G2807" s="69" t="s">
        <v>11</v>
      </c>
      <c r="H2807" s="69" t="str">
        <f>IFERROR(VLOOKUP(Data!$G2807,canon!$I$2:$K$27,2,FALSE),"")</f>
        <v>KNIT</v>
      </c>
      <c r="I2807" s="69" t="str">
        <f>IFERROR(VLOOKUP(Data!$G2807,canon!$I$2:$K$27,3,FALSE),"")</f>
        <v>APPAREL</v>
      </c>
      <c r="J2807" s="69">
        <f t="shared" si="86"/>
        <v>6</v>
      </c>
      <c r="K2807" s="69">
        <f t="shared" si="87"/>
        <v>103</v>
      </c>
      <c r="L2807" s="69">
        <f>VLOOKUP(Table_db1_backend_Daily.accdb[[#This Row],[TradingDate]],canon!B:E,4,0)</f>
        <v>28</v>
      </c>
    </row>
    <row r="2808" spans="1:12" x14ac:dyDescent="0.2">
      <c r="A2808" s="69" t="s">
        <v>45</v>
      </c>
      <c r="B2808" s="70">
        <v>42930</v>
      </c>
      <c r="C2808" s="69">
        <v>372</v>
      </c>
      <c r="D2808" s="69">
        <v>5</v>
      </c>
      <c r="E2808" s="69">
        <v>95.36</v>
      </c>
      <c r="F2808" s="69">
        <v>61.89</v>
      </c>
      <c r="G2808" s="69" t="s">
        <v>14</v>
      </c>
      <c r="H2808" s="69" t="str">
        <f>IFERROR(VLOOKUP(Data!$G2808,canon!$I$2:$K$27,2,FALSE),"")</f>
        <v>LEGGING</v>
      </c>
      <c r="I2808" s="69" t="str">
        <f>IFERROR(VLOOKUP(Data!$G2808,canon!$I$2:$K$27,3,FALSE),"")</f>
        <v>APPAREL</v>
      </c>
      <c r="J2808" s="69">
        <f t="shared" si="86"/>
        <v>6</v>
      </c>
      <c r="K2808" s="69">
        <f t="shared" si="87"/>
        <v>103</v>
      </c>
      <c r="L2808" s="69">
        <f>VLOOKUP(Table_db1_backend_Daily.accdb[[#This Row],[TradingDate]],canon!B:E,4,0)</f>
        <v>28</v>
      </c>
    </row>
    <row r="2809" spans="1:12" x14ac:dyDescent="0.2">
      <c r="A2809" s="69" t="s">
        <v>45</v>
      </c>
      <c r="B2809" s="70">
        <v>42930</v>
      </c>
      <c r="C2809" s="69">
        <v>-116</v>
      </c>
      <c r="D2809" s="69">
        <v>0</v>
      </c>
      <c r="E2809" s="69">
        <v>0</v>
      </c>
      <c r="F2809" s="69">
        <v>0</v>
      </c>
      <c r="G2809" s="69" t="s">
        <v>37</v>
      </c>
      <c r="H2809" s="69" t="str">
        <f>IFERROR(VLOOKUP(Data!$G2809,canon!$I$2:$K$27,2,FALSE),"")</f>
        <v>SHOES</v>
      </c>
      <c r="I2809" s="69" t="str">
        <f>IFERROR(VLOOKUP(Data!$G2809,canon!$I$2:$K$27,3,FALSE),"")</f>
        <v>N.APPAREL</v>
      </c>
      <c r="J2809" s="69">
        <f t="shared" si="86"/>
        <v>6</v>
      </c>
      <c r="K2809" s="69">
        <f t="shared" si="87"/>
        <v>103</v>
      </c>
      <c r="L2809" s="69">
        <f>VLOOKUP(Table_db1_backend_Daily.accdb[[#This Row],[TradingDate]],canon!B:E,4,0)</f>
        <v>28</v>
      </c>
    </row>
    <row r="2810" spans="1:12" x14ac:dyDescent="0.2">
      <c r="A2810" s="69" t="s">
        <v>45</v>
      </c>
      <c r="B2810" s="70">
        <v>42930</v>
      </c>
      <c r="C2810" s="69">
        <v>-1</v>
      </c>
      <c r="D2810" s="69">
        <v>0</v>
      </c>
      <c r="E2810" s="69">
        <v>0</v>
      </c>
      <c r="F2810" s="69">
        <v>0</v>
      </c>
      <c r="G2810" s="69" t="s">
        <v>29</v>
      </c>
      <c r="H2810" s="69" t="str">
        <f>IFERROR(VLOOKUP(Data!$G2810,canon!$I$2:$K$27,2,FALSE),"")</f>
        <v>SHOES</v>
      </c>
      <c r="I2810" s="69" t="str">
        <f>IFERROR(VLOOKUP(Data!$G2810,canon!$I$2:$K$27,3,FALSE),"")</f>
        <v>N.APPAREL</v>
      </c>
      <c r="J2810" s="69">
        <f t="shared" si="86"/>
        <v>6</v>
      </c>
      <c r="K2810" s="69">
        <f t="shared" si="87"/>
        <v>103</v>
      </c>
      <c r="L2810" s="69">
        <f>VLOOKUP(Table_db1_backend_Daily.accdb[[#This Row],[TradingDate]],canon!B:E,4,0)</f>
        <v>28</v>
      </c>
    </row>
    <row r="2811" spans="1:12" x14ac:dyDescent="0.2">
      <c r="A2811" s="69" t="s">
        <v>45</v>
      </c>
      <c r="B2811" s="70">
        <v>42930</v>
      </c>
      <c r="C2811" s="69">
        <v>656</v>
      </c>
      <c r="D2811" s="69">
        <v>24</v>
      </c>
      <c r="E2811" s="69">
        <v>440.38999999999993</v>
      </c>
      <c r="F2811" s="69">
        <v>190.92999999999998</v>
      </c>
      <c r="G2811" s="69" t="s">
        <v>17</v>
      </c>
      <c r="H2811" s="69" t="str">
        <f>IFERROR(VLOOKUP(Data!$G2811,canon!$I$2:$K$27,2,FALSE),"")</f>
        <v>OUTER</v>
      </c>
      <c r="I2811" s="69" t="str">
        <f>IFERROR(VLOOKUP(Data!$G2811,canon!$I$2:$K$27,3,FALSE),"")</f>
        <v>APPAREL</v>
      </c>
      <c r="J2811" s="69">
        <f t="shared" si="86"/>
        <v>6</v>
      </c>
      <c r="K2811" s="69">
        <f t="shared" si="87"/>
        <v>103</v>
      </c>
      <c r="L2811" s="69">
        <f>VLOOKUP(Table_db1_backend_Daily.accdb[[#This Row],[TradingDate]],canon!B:E,4,0)</f>
        <v>28</v>
      </c>
    </row>
    <row r="2812" spans="1:12" x14ac:dyDescent="0.2">
      <c r="A2812" s="69" t="s">
        <v>45</v>
      </c>
      <c r="B2812" s="70">
        <v>42930</v>
      </c>
      <c r="C2812" s="69">
        <v>281</v>
      </c>
      <c r="D2812" s="69">
        <v>1</v>
      </c>
      <c r="E2812" s="69">
        <v>9.09</v>
      </c>
      <c r="F2812" s="69">
        <v>3.98</v>
      </c>
      <c r="G2812" s="69" t="s">
        <v>19</v>
      </c>
      <c r="H2812" s="69" t="str">
        <f>IFERROR(VLOOKUP(Data!$G2812,canon!$I$2:$K$27,2,FALSE),"")</f>
        <v>PANT</v>
      </c>
      <c r="I2812" s="69" t="str">
        <f>IFERROR(VLOOKUP(Data!$G2812,canon!$I$2:$K$27,3,FALSE),"")</f>
        <v>APPAREL</v>
      </c>
      <c r="J2812" s="69">
        <f t="shared" si="86"/>
        <v>6</v>
      </c>
      <c r="K2812" s="69">
        <f t="shared" si="87"/>
        <v>103</v>
      </c>
      <c r="L2812" s="69">
        <f>VLOOKUP(Table_db1_backend_Daily.accdb[[#This Row],[TradingDate]],canon!B:E,4,0)</f>
        <v>28</v>
      </c>
    </row>
    <row r="2813" spans="1:12" x14ac:dyDescent="0.2">
      <c r="A2813" s="69" t="s">
        <v>45</v>
      </c>
      <c r="B2813" s="70">
        <v>42930</v>
      </c>
      <c r="C2813" s="69">
        <v>-683</v>
      </c>
      <c r="D2813" s="69">
        <v>12</v>
      </c>
      <c r="E2813" s="69">
        <v>62.609999999999985</v>
      </c>
      <c r="F2813" s="69">
        <v>40.67</v>
      </c>
      <c r="G2813" s="69" t="s">
        <v>22</v>
      </c>
      <c r="H2813" s="69" t="str">
        <f>IFERROR(VLOOKUP(Data!$G2813,canon!$I$2:$K$27,2,FALSE),"")</f>
        <v>SCARF</v>
      </c>
      <c r="I2813" s="69" t="str">
        <f>IFERROR(VLOOKUP(Data!$G2813,canon!$I$2:$K$27,3,FALSE),"")</f>
        <v>N.APPAREL</v>
      </c>
      <c r="J2813" s="69">
        <f t="shared" si="86"/>
        <v>6</v>
      </c>
      <c r="K2813" s="69">
        <f t="shared" si="87"/>
        <v>103</v>
      </c>
      <c r="L2813" s="69">
        <f>VLOOKUP(Table_db1_backend_Daily.accdb[[#This Row],[TradingDate]],canon!B:E,4,0)</f>
        <v>28</v>
      </c>
    </row>
    <row r="2814" spans="1:12" x14ac:dyDescent="0.2">
      <c r="A2814" s="69" t="s">
        <v>45</v>
      </c>
      <c r="B2814" s="70">
        <v>42930</v>
      </c>
      <c r="C2814" s="69">
        <v>183</v>
      </c>
      <c r="D2814" s="69">
        <v>3</v>
      </c>
      <c r="E2814" s="69">
        <v>27.27</v>
      </c>
      <c r="F2814" s="69">
        <v>6.07</v>
      </c>
      <c r="G2814" s="69" t="s">
        <v>23</v>
      </c>
      <c r="H2814" s="69" t="str">
        <f>IFERROR(VLOOKUP(Data!$G2814,canon!$I$2:$K$27,2,FALSE),"")</f>
        <v>SH&amp;BL</v>
      </c>
      <c r="I2814" s="69" t="str">
        <f>IFERROR(VLOOKUP(Data!$G2814,canon!$I$2:$K$27,3,FALSE),"")</f>
        <v>APPAREL</v>
      </c>
      <c r="J2814" s="69">
        <f t="shared" si="86"/>
        <v>6</v>
      </c>
      <c r="K2814" s="69">
        <f t="shared" si="87"/>
        <v>103</v>
      </c>
      <c r="L2814" s="69">
        <f>VLOOKUP(Table_db1_backend_Daily.accdb[[#This Row],[TradingDate]],canon!B:E,4,0)</f>
        <v>28</v>
      </c>
    </row>
    <row r="2815" spans="1:12" x14ac:dyDescent="0.2">
      <c r="A2815" s="69" t="s">
        <v>45</v>
      </c>
      <c r="B2815" s="70">
        <v>42930</v>
      </c>
      <c r="C2815" s="69">
        <v>371</v>
      </c>
      <c r="D2815" s="69">
        <v>1</v>
      </c>
      <c r="E2815" s="69">
        <v>18.14</v>
      </c>
      <c r="F2815" s="69">
        <v>13.14</v>
      </c>
      <c r="G2815" s="69" t="s">
        <v>32</v>
      </c>
      <c r="H2815" s="69" t="str">
        <f>IFERROR(VLOOKUP(Data!$G2815,canon!$I$2:$K$27,2,FALSE),"")</f>
        <v>SKIRT</v>
      </c>
      <c r="I2815" s="69" t="str">
        <f>IFERROR(VLOOKUP(Data!$G2815,canon!$I$2:$K$27,3,FALSE),"")</f>
        <v>APPAREL</v>
      </c>
      <c r="J2815" s="69">
        <f t="shared" si="86"/>
        <v>6</v>
      </c>
      <c r="K2815" s="69">
        <f t="shared" si="87"/>
        <v>103</v>
      </c>
      <c r="L2815" s="69">
        <f>VLOOKUP(Table_db1_backend_Daily.accdb[[#This Row],[TradingDate]],canon!B:E,4,0)</f>
        <v>28</v>
      </c>
    </row>
    <row r="2816" spans="1:12" x14ac:dyDescent="0.2">
      <c r="A2816" s="69" t="s">
        <v>45</v>
      </c>
      <c r="B2816" s="70">
        <v>42930</v>
      </c>
      <c r="C2816" s="69">
        <v>2587</v>
      </c>
      <c r="D2816" s="69">
        <v>24</v>
      </c>
      <c r="E2816" s="69">
        <v>199.96</v>
      </c>
      <c r="F2816" s="69">
        <v>70.33</v>
      </c>
      <c r="G2816" s="69" t="s">
        <v>25</v>
      </c>
      <c r="H2816" s="69" t="str">
        <f>IFERROR(VLOOKUP(Data!$G2816,canon!$I$2:$K$27,2,FALSE),"")</f>
        <v>TOP</v>
      </c>
      <c r="I2816" s="69" t="str">
        <f>IFERROR(VLOOKUP(Data!$G2816,canon!$I$2:$K$27,3,FALSE),"")</f>
        <v>APPAREL</v>
      </c>
      <c r="J2816" s="69">
        <f t="shared" si="86"/>
        <v>6</v>
      </c>
      <c r="K2816" s="69">
        <f t="shared" si="87"/>
        <v>103</v>
      </c>
      <c r="L2816" s="69">
        <f>VLOOKUP(Table_db1_backend_Daily.accdb[[#This Row],[TradingDate]],canon!B:E,4,0)</f>
        <v>28</v>
      </c>
    </row>
    <row r="2817" spans="1:12" x14ac:dyDescent="0.2">
      <c r="A2817" s="69" t="s">
        <v>45</v>
      </c>
      <c r="B2817" s="70">
        <v>42931</v>
      </c>
      <c r="C2817" s="69">
        <v>-31</v>
      </c>
      <c r="D2817" s="69">
        <v>1</v>
      </c>
      <c r="E2817" s="69">
        <v>4.55</v>
      </c>
      <c r="F2817" s="69">
        <v>-0.34</v>
      </c>
      <c r="G2817" s="69" t="s">
        <v>34</v>
      </c>
      <c r="H2817" s="69" t="str">
        <f>IFERROR(VLOOKUP(Data!$G2817,canon!$I$2:$K$27,2,FALSE),"")</f>
        <v>SHOES</v>
      </c>
      <c r="I2817" s="69" t="str">
        <f>IFERROR(VLOOKUP(Data!$G2817,canon!$I$2:$K$27,3,FALSE),"")</f>
        <v>N.APPAREL</v>
      </c>
      <c r="J2817" s="69">
        <f t="shared" si="86"/>
        <v>7</v>
      </c>
      <c r="K2817" s="69">
        <f t="shared" si="87"/>
        <v>103</v>
      </c>
      <c r="L2817" s="69">
        <f>VLOOKUP(Table_db1_backend_Daily.accdb[[#This Row],[TradingDate]],canon!B:E,4,0)</f>
        <v>28</v>
      </c>
    </row>
    <row r="2818" spans="1:12" x14ac:dyDescent="0.2">
      <c r="A2818" s="69" t="s">
        <v>45</v>
      </c>
      <c r="B2818" s="70">
        <v>42931</v>
      </c>
      <c r="C2818" s="69">
        <v>553</v>
      </c>
      <c r="D2818" s="69">
        <v>9</v>
      </c>
      <c r="E2818" s="69">
        <v>163.58999999999997</v>
      </c>
      <c r="F2818" s="69">
        <v>84.350000000000009</v>
      </c>
      <c r="G2818" s="69" t="s">
        <v>35</v>
      </c>
      <c r="H2818" s="69" t="str">
        <f>IFERROR(VLOOKUP(Data!$G2818,canon!$I$2:$K$27,2,FALSE),"")</f>
        <v>DRESS</v>
      </c>
      <c r="I2818" s="69" t="str">
        <f>IFERROR(VLOOKUP(Data!$G2818,canon!$I$2:$K$27,3,FALSE),"")</f>
        <v>APPAREL</v>
      </c>
      <c r="J2818" s="69">
        <f t="shared" ref="J2818:J2881" si="88">WEEKDAY(B2818)</f>
        <v>7</v>
      </c>
      <c r="K2818" s="69">
        <f t="shared" ref="K2818:K2881" si="89">INT(A2818)</f>
        <v>103</v>
      </c>
      <c r="L2818" s="69">
        <f>VLOOKUP(Table_db1_backend_Daily.accdb[[#This Row],[TradingDate]],canon!B:E,4,0)</f>
        <v>28</v>
      </c>
    </row>
    <row r="2819" spans="1:12" x14ac:dyDescent="0.2">
      <c r="A2819" s="69" t="s">
        <v>45</v>
      </c>
      <c r="B2819" s="70">
        <v>42931</v>
      </c>
      <c r="C2819" s="69">
        <v>464</v>
      </c>
      <c r="D2819" s="69">
        <v>0</v>
      </c>
      <c r="E2819" s="69">
        <v>0</v>
      </c>
      <c r="F2819" s="69">
        <v>0</v>
      </c>
      <c r="G2819" s="69" t="s">
        <v>10</v>
      </c>
      <c r="H2819" s="69" t="str">
        <f>IFERROR(VLOOKUP(Data!$G2819,canon!$I$2:$K$27,2,FALSE),"")</f>
        <v>ACCESSORY</v>
      </c>
      <c r="I2819" s="69" t="str">
        <f>IFERROR(VLOOKUP(Data!$G2819,canon!$I$2:$K$27,3,FALSE),"")</f>
        <v>N.APPAREL</v>
      </c>
      <c r="J2819" s="69">
        <f t="shared" si="88"/>
        <v>7</v>
      </c>
      <c r="K2819" s="69">
        <f t="shared" si="89"/>
        <v>103</v>
      </c>
      <c r="L2819" s="69">
        <f>VLOOKUP(Table_db1_backend_Daily.accdb[[#This Row],[TradingDate]],canon!B:E,4,0)</f>
        <v>28</v>
      </c>
    </row>
    <row r="2820" spans="1:12" x14ac:dyDescent="0.2">
      <c r="A2820" s="69" t="s">
        <v>45</v>
      </c>
      <c r="B2820" s="70">
        <v>42931</v>
      </c>
      <c r="C2820" s="69">
        <v>2339</v>
      </c>
      <c r="D2820" s="69">
        <v>77</v>
      </c>
      <c r="E2820" s="69">
        <v>930.99000000000024</v>
      </c>
      <c r="F2820" s="69">
        <v>357.8900000000001</v>
      </c>
      <c r="G2820" s="69" t="s">
        <v>11</v>
      </c>
      <c r="H2820" s="69" t="str">
        <f>IFERROR(VLOOKUP(Data!$G2820,canon!$I$2:$K$27,2,FALSE),"")</f>
        <v>KNIT</v>
      </c>
      <c r="I2820" s="69" t="str">
        <f>IFERROR(VLOOKUP(Data!$G2820,canon!$I$2:$K$27,3,FALSE),"")</f>
        <v>APPAREL</v>
      </c>
      <c r="J2820" s="69">
        <f t="shared" si="88"/>
        <v>7</v>
      </c>
      <c r="K2820" s="69">
        <f t="shared" si="89"/>
        <v>103</v>
      </c>
      <c r="L2820" s="69">
        <f>VLOOKUP(Table_db1_backend_Daily.accdb[[#This Row],[TradingDate]],canon!B:E,4,0)</f>
        <v>28</v>
      </c>
    </row>
    <row r="2821" spans="1:12" x14ac:dyDescent="0.2">
      <c r="A2821" s="69" t="s">
        <v>45</v>
      </c>
      <c r="B2821" s="70">
        <v>42931</v>
      </c>
      <c r="C2821" s="69">
        <v>369</v>
      </c>
      <c r="D2821" s="69">
        <v>3</v>
      </c>
      <c r="E2821" s="69">
        <v>49.91</v>
      </c>
      <c r="F2821" s="69">
        <v>31.43</v>
      </c>
      <c r="G2821" s="69" t="s">
        <v>14</v>
      </c>
      <c r="H2821" s="69" t="str">
        <f>IFERROR(VLOOKUP(Data!$G2821,canon!$I$2:$K$27,2,FALSE),"")</f>
        <v>LEGGING</v>
      </c>
      <c r="I2821" s="69" t="str">
        <f>IFERROR(VLOOKUP(Data!$G2821,canon!$I$2:$K$27,3,FALSE),"")</f>
        <v>APPAREL</v>
      </c>
      <c r="J2821" s="69">
        <f t="shared" si="88"/>
        <v>7</v>
      </c>
      <c r="K2821" s="69">
        <f t="shared" si="89"/>
        <v>103</v>
      </c>
      <c r="L2821" s="69">
        <f>VLOOKUP(Table_db1_backend_Daily.accdb[[#This Row],[TradingDate]],canon!B:E,4,0)</f>
        <v>28</v>
      </c>
    </row>
    <row r="2822" spans="1:12" x14ac:dyDescent="0.2">
      <c r="A2822" s="69" t="s">
        <v>45</v>
      </c>
      <c r="B2822" s="70">
        <v>42931</v>
      </c>
      <c r="C2822" s="69">
        <v>-116</v>
      </c>
      <c r="D2822" s="69">
        <v>0</v>
      </c>
      <c r="E2822" s="69">
        <v>0</v>
      </c>
      <c r="F2822" s="69">
        <v>0</v>
      </c>
      <c r="G2822" s="69" t="s">
        <v>37</v>
      </c>
      <c r="H2822" s="69" t="str">
        <f>IFERROR(VLOOKUP(Data!$G2822,canon!$I$2:$K$27,2,FALSE),"")</f>
        <v>SHOES</v>
      </c>
      <c r="I2822" s="69" t="str">
        <f>IFERROR(VLOOKUP(Data!$G2822,canon!$I$2:$K$27,3,FALSE),"")</f>
        <v>N.APPAREL</v>
      </c>
      <c r="J2822" s="69">
        <f t="shared" si="88"/>
        <v>7</v>
      </c>
      <c r="K2822" s="69">
        <f t="shared" si="89"/>
        <v>103</v>
      </c>
      <c r="L2822" s="69">
        <f>VLOOKUP(Table_db1_backend_Daily.accdb[[#This Row],[TradingDate]],canon!B:E,4,0)</f>
        <v>28</v>
      </c>
    </row>
    <row r="2823" spans="1:12" x14ac:dyDescent="0.2">
      <c r="A2823" s="69" t="s">
        <v>45</v>
      </c>
      <c r="B2823" s="70">
        <v>42931</v>
      </c>
      <c r="C2823" s="69">
        <v>-1</v>
      </c>
      <c r="D2823" s="69">
        <v>0</v>
      </c>
      <c r="E2823" s="69">
        <v>0</v>
      </c>
      <c r="F2823" s="69">
        <v>0</v>
      </c>
      <c r="G2823" s="69" t="s">
        <v>29</v>
      </c>
      <c r="H2823" s="69" t="str">
        <f>IFERROR(VLOOKUP(Data!$G2823,canon!$I$2:$K$27,2,FALSE),"")</f>
        <v>SHOES</v>
      </c>
      <c r="I2823" s="69" t="str">
        <f>IFERROR(VLOOKUP(Data!$G2823,canon!$I$2:$K$27,3,FALSE),"")</f>
        <v>N.APPAREL</v>
      </c>
      <c r="J2823" s="69">
        <f t="shared" si="88"/>
        <v>7</v>
      </c>
      <c r="K2823" s="69">
        <f t="shared" si="89"/>
        <v>103</v>
      </c>
      <c r="L2823" s="69">
        <f>VLOOKUP(Table_db1_backend_Daily.accdb[[#This Row],[TradingDate]],canon!B:E,4,0)</f>
        <v>28</v>
      </c>
    </row>
    <row r="2824" spans="1:12" x14ac:dyDescent="0.2">
      <c r="A2824" s="69" t="s">
        <v>45</v>
      </c>
      <c r="B2824" s="70">
        <v>42931</v>
      </c>
      <c r="C2824" s="69">
        <v>643</v>
      </c>
      <c r="D2824" s="69">
        <v>13</v>
      </c>
      <c r="E2824" s="69">
        <v>195.07999999999998</v>
      </c>
      <c r="F2824" s="69">
        <v>72.010000000000019</v>
      </c>
      <c r="G2824" s="69" t="s">
        <v>17</v>
      </c>
      <c r="H2824" s="69" t="str">
        <f>IFERROR(VLOOKUP(Data!$G2824,canon!$I$2:$K$27,2,FALSE),"")</f>
        <v>OUTER</v>
      </c>
      <c r="I2824" s="69" t="str">
        <f>IFERROR(VLOOKUP(Data!$G2824,canon!$I$2:$K$27,3,FALSE),"")</f>
        <v>APPAREL</v>
      </c>
      <c r="J2824" s="69">
        <f t="shared" si="88"/>
        <v>7</v>
      </c>
      <c r="K2824" s="69">
        <f t="shared" si="89"/>
        <v>103</v>
      </c>
      <c r="L2824" s="69">
        <f>VLOOKUP(Table_db1_backend_Daily.accdb[[#This Row],[TradingDate]],canon!B:E,4,0)</f>
        <v>28</v>
      </c>
    </row>
    <row r="2825" spans="1:12" x14ac:dyDescent="0.2">
      <c r="A2825" s="69" t="s">
        <v>45</v>
      </c>
      <c r="B2825" s="70">
        <v>42931</v>
      </c>
      <c r="C2825" s="69">
        <v>277</v>
      </c>
      <c r="D2825" s="69">
        <v>3</v>
      </c>
      <c r="E2825" s="69">
        <v>27.27</v>
      </c>
      <c r="F2825" s="69">
        <v>10.31</v>
      </c>
      <c r="G2825" s="69" t="s">
        <v>19</v>
      </c>
      <c r="H2825" s="69" t="str">
        <f>IFERROR(VLOOKUP(Data!$G2825,canon!$I$2:$K$27,2,FALSE),"")</f>
        <v>PANT</v>
      </c>
      <c r="I2825" s="69" t="str">
        <f>IFERROR(VLOOKUP(Data!$G2825,canon!$I$2:$K$27,3,FALSE),"")</f>
        <v>APPAREL</v>
      </c>
      <c r="J2825" s="69">
        <f t="shared" si="88"/>
        <v>7</v>
      </c>
      <c r="K2825" s="69">
        <f t="shared" si="89"/>
        <v>103</v>
      </c>
      <c r="L2825" s="69">
        <f>VLOOKUP(Table_db1_backend_Daily.accdb[[#This Row],[TradingDate]],canon!B:E,4,0)</f>
        <v>28</v>
      </c>
    </row>
    <row r="2826" spans="1:12" x14ac:dyDescent="0.2">
      <c r="A2826" s="69" t="s">
        <v>45</v>
      </c>
      <c r="B2826" s="70">
        <v>42931</v>
      </c>
      <c r="C2826" s="69">
        <v>-703</v>
      </c>
      <c r="D2826" s="69">
        <v>20</v>
      </c>
      <c r="E2826" s="69">
        <v>96.289999999999992</v>
      </c>
      <c r="F2826" s="69">
        <v>64.02</v>
      </c>
      <c r="G2826" s="69" t="s">
        <v>22</v>
      </c>
      <c r="H2826" s="69" t="str">
        <f>IFERROR(VLOOKUP(Data!$G2826,canon!$I$2:$K$27,2,FALSE),"")</f>
        <v>SCARF</v>
      </c>
      <c r="I2826" s="69" t="str">
        <f>IFERROR(VLOOKUP(Data!$G2826,canon!$I$2:$K$27,3,FALSE),"")</f>
        <v>N.APPAREL</v>
      </c>
      <c r="J2826" s="69">
        <f t="shared" si="88"/>
        <v>7</v>
      </c>
      <c r="K2826" s="69">
        <f t="shared" si="89"/>
        <v>103</v>
      </c>
      <c r="L2826" s="69">
        <f>VLOOKUP(Table_db1_backend_Daily.accdb[[#This Row],[TradingDate]],canon!B:E,4,0)</f>
        <v>28</v>
      </c>
    </row>
    <row r="2827" spans="1:12" x14ac:dyDescent="0.2">
      <c r="A2827" s="69" t="s">
        <v>45</v>
      </c>
      <c r="B2827" s="70">
        <v>42931</v>
      </c>
      <c r="C2827" s="69">
        <v>181</v>
      </c>
      <c r="D2827" s="69">
        <v>2</v>
      </c>
      <c r="E2827" s="69">
        <v>18.18</v>
      </c>
      <c r="F2827" s="69">
        <v>1.22</v>
      </c>
      <c r="G2827" s="69" t="s">
        <v>23</v>
      </c>
      <c r="H2827" s="69" t="str">
        <f>IFERROR(VLOOKUP(Data!$G2827,canon!$I$2:$K$27,2,FALSE),"")</f>
        <v>SH&amp;BL</v>
      </c>
      <c r="I2827" s="69" t="str">
        <f>IFERROR(VLOOKUP(Data!$G2827,canon!$I$2:$K$27,3,FALSE),"")</f>
        <v>APPAREL</v>
      </c>
      <c r="J2827" s="69">
        <f t="shared" si="88"/>
        <v>7</v>
      </c>
      <c r="K2827" s="69">
        <f t="shared" si="89"/>
        <v>103</v>
      </c>
      <c r="L2827" s="69">
        <f>VLOOKUP(Table_db1_backend_Daily.accdb[[#This Row],[TradingDate]],canon!B:E,4,0)</f>
        <v>28</v>
      </c>
    </row>
    <row r="2828" spans="1:12" x14ac:dyDescent="0.2">
      <c r="A2828" s="69" t="s">
        <v>45</v>
      </c>
      <c r="B2828" s="70">
        <v>42931</v>
      </c>
      <c r="C2828" s="69">
        <v>363</v>
      </c>
      <c r="D2828" s="69">
        <v>8</v>
      </c>
      <c r="E2828" s="69">
        <v>77.23</v>
      </c>
      <c r="F2828" s="69">
        <v>28.11</v>
      </c>
      <c r="G2828" s="69" t="s">
        <v>32</v>
      </c>
      <c r="H2828" s="69" t="str">
        <f>IFERROR(VLOOKUP(Data!$G2828,canon!$I$2:$K$27,2,FALSE),"")</f>
        <v>SKIRT</v>
      </c>
      <c r="I2828" s="69" t="str">
        <f>IFERROR(VLOOKUP(Data!$G2828,canon!$I$2:$K$27,3,FALSE),"")</f>
        <v>APPAREL</v>
      </c>
      <c r="J2828" s="69">
        <f t="shared" si="88"/>
        <v>7</v>
      </c>
      <c r="K2828" s="69">
        <f t="shared" si="89"/>
        <v>103</v>
      </c>
      <c r="L2828" s="69">
        <f>VLOOKUP(Table_db1_backend_Daily.accdb[[#This Row],[TradingDate]],canon!B:E,4,0)</f>
        <v>28</v>
      </c>
    </row>
    <row r="2829" spans="1:12" x14ac:dyDescent="0.2">
      <c r="A2829" s="69" t="s">
        <v>45</v>
      </c>
      <c r="B2829" s="70">
        <v>42931</v>
      </c>
      <c r="C2829" s="69">
        <v>2560</v>
      </c>
      <c r="D2829" s="69">
        <v>27</v>
      </c>
      <c r="E2829" s="69">
        <v>181.86000000000004</v>
      </c>
      <c r="F2829" s="69">
        <v>33.269999999999989</v>
      </c>
      <c r="G2829" s="69" t="s">
        <v>25</v>
      </c>
      <c r="H2829" s="69" t="str">
        <f>IFERROR(VLOOKUP(Data!$G2829,canon!$I$2:$K$27,2,FALSE),"")</f>
        <v>TOP</v>
      </c>
      <c r="I2829" s="69" t="str">
        <f>IFERROR(VLOOKUP(Data!$G2829,canon!$I$2:$K$27,3,FALSE),"")</f>
        <v>APPAREL</v>
      </c>
      <c r="J2829" s="69">
        <f t="shared" si="88"/>
        <v>7</v>
      </c>
      <c r="K2829" s="69">
        <f t="shared" si="89"/>
        <v>103</v>
      </c>
      <c r="L2829" s="69">
        <f>VLOOKUP(Table_db1_backend_Daily.accdb[[#This Row],[TradingDate]],canon!B:E,4,0)</f>
        <v>28</v>
      </c>
    </row>
    <row r="2830" spans="1:12" x14ac:dyDescent="0.2">
      <c r="A2830" s="69" t="s">
        <v>45</v>
      </c>
      <c r="B2830" s="70">
        <v>42932</v>
      </c>
      <c r="C2830" s="69">
        <v>-31</v>
      </c>
      <c r="D2830" s="69">
        <v>0</v>
      </c>
      <c r="E2830" s="69">
        <v>0</v>
      </c>
      <c r="F2830" s="69">
        <v>0</v>
      </c>
      <c r="G2830" s="69" t="s">
        <v>34</v>
      </c>
      <c r="H2830" s="69" t="str">
        <f>IFERROR(VLOOKUP(Data!$G2830,canon!$I$2:$K$27,2,FALSE),"")</f>
        <v>SHOES</v>
      </c>
      <c r="I2830" s="69" t="str">
        <f>IFERROR(VLOOKUP(Data!$G2830,canon!$I$2:$K$27,3,FALSE),"")</f>
        <v>N.APPAREL</v>
      </c>
      <c r="J2830" s="69">
        <f t="shared" si="88"/>
        <v>1</v>
      </c>
      <c r="K2830" s="69">
        <f t="shared" si="89"/>
        <v>103</v>
      </c>
      <c r="L2830" s="69">
        <f>VLOOKUP(Table_db1_backend_Daily.accdb[[#This Row],[TradingDate]],canon!B:E,4,0)</f>
        <v>29</v>
      </c>
    </row>
    <row r="2831" spans="1:12" x14ac:dyDescent="0.2">
      <c r="A2831" s="69" t="s">
        <v>45</v>
      </c>
      <c r="B2831" s="70">
        <v>42932</v>
      </c>
      <c r="C2831" s="69">
        <v>551</v>
      </c>
      <c r="D2831" s="69">
        <v>2</v>
      </c>
      <c r="E2831" s="69">
        <v>18.18</v>
      </c>
      <c r="F2831" s="69">
        <v>0.35</v>
      </c>
      <c r="G2831" s="69" t="s">
        <v>35</v>
      </c>
      <c r="H2831" s="69" t="str">
        <f>IFERROR(VLOOKUP(Data!$G2831,canon!$I$2:$K$27,2,FALSE),"")</f>
        <v>DRESS</v>
      </c>
      <c r="I2831" s="69" t="str">
        <f>IFERROR(VLOOKUP(Data!$G2831,canon!$I$2:$K$27,3,FALSE),"")</f>
        <v>APPAREL</v>
      </c>
      <c r="J2831" s="69">
        <f t="shared" si="88"/>
        <v>1</v>
      </c>
      <c r="K2831" s="69">
        <f t="shared" si="89"/>
        <v>103</v>
      </c>
      <c r="L2831" s="69">
        <f>VLOOKUP(Table_db1_backend_Daily.accdb[[#This Row],[TradingDate]],canon!B:E,4,0)</f>
        <v>29</v>
      </c>
    </row>
    <row r="2832" spans="1:12" x14ac:dyDescent="0.2">
      <c r="A2832" s="69" t="s">
        <v>45</v>
      </c>
      <c r="B2832" s="70">
        <v>42932</v>
      </c>
      <c r="C2832" s="69">
        <v>464</v>
      </c>
      <c r="D2832" s="69">
        <v>0</v>
      </c>
      <c r="E2832" s="69">
        <v>0</v>
      </c>
      <c r="F2832" s="69">
        <v>0</v>
      </c>
      <c r="G2832" s="69" t="s">
        <v>10</v>
      </c>
      <c r="H2832" s="69" t="str">
        <f>IFERROR(VLOOKUP(Data!$G2832,canon!$I$2:$K$27,2,FALSE),"")</f>
        <v>ACCESSORY</v>
      </c>
      <c r="I2832" s="69" t="str">
        <f>IFERROR(VLOOKUP(Data!$G2832,canon!$I$2:$K$27,3,FALSE),"")</f>
        <v>N.APPAREL</v>
      </c>
      <c r="J2832" s="69">
        <f t="shared" si="88"/>
        <v>1</v>
      </c>
      <c r="K2832" s="69">
        <f t="shared" si="89"/>
        <v>103</v>
      </c>
      <c r="L2832" s="69">
        <f>VLOOKUP(Table_db1_backend_Daily.accdb[[#This Row],[TradingDate]],canon!B:E,4,0)</f>
        <v>29</v>
      </c>
    </row>
    <row r="2833" spans="1:12" x14ac:dyDescent="0.2">
      <c r="A2833" s="69" t="s">
        <v>45</v>
      </c>
      <c r="B2833" s="70">
        <v>42932</v>
      </c>
      <c r="C2833" s="69">
        <v>2320</v>
      </c>
      <c r="D2833" s="69">
        <v>19</v>
      </c>
      <c r="E2833" s="69">
        <v>195.30000000000004</v>
      </c>
      <c r="F2833" s="69">
        <v>57.239999999999995</v>
      </c>
      <c r="G2833" s="69" t="s">
        <v>11</v>
      </c>
      <c r="H2833" s="69" t="str">
        <f>IFERROR(VLOOKUP(Data!$G2833,canon!$I$2:$K$27,2,FALSE),"")</f>
        <v>KNIT</v>
      </c>
      <c r="I2833" s="69" t="str">
        <f>IFERROR(VLOOKUP(Data!$G2833,canon!$I$2:$K$27,3,FALSE),"")</f>
        <v>APPAREL</v>
      </c>
      <c r="J2833" s="69">
        <f t="shared" si="88"/>
        <v>1</v>
      </c>
      <c r="K2833" s="69">
        <f t="shared" si="89"/>
        <v>103</v>
      </c>
      <c r="L2833" s="69">
        <f>VLOOKUP(Table_db1_backend_Daily.accdb[[#This Row],[TradingDate]],canon!B:E,4,0)</f>
        <v>29</v>
      </c>
    </row>
    <row r="2834" spans="1:12" x14ac:dyDescent="0.2">
      <c r="A2834" s="69" t="s">
        <v>45</v>
      </c>
      <c r="B2834" s="70">
        <v>42932</v>
      </c>
      <c r="C2834" s="69">
        <v>365</v>
      </c>
      <c r="D2834" s="69">
        <v>4</v>
      </c>
      <c r="E2834" s="69">
        <v>54.35</v>
      </c>
      <c r="F2834" s="69">
        <v>25.229999999999997</v>
      </c>
      <c r="G2834" s="69" t="s">
        <v>14</v>
      </c>
      <c r="H2834" s="69" t="str">
        <f>IFERROR(VLOOKUP(Data!$G2834,canon!$I$2:$K$27,2,FALSE),"")</f>
        <v>LEGGING</v>
      </c>
      <c r="I2834" s="69" t="str">
        <f>IFERROR(VLOOKUP(Data!$G2834,canon!$I$2:$K$27,3,FALSE),"")</f>
        <v>APPAREL</v>
      </c>
      <c r="J2834" s="69">
        <f t="shared" si="88"/>
        <v>1</v>
      </c>
      <c r="K2834" s="69">
        <f t="shared" si="89"/>
        <v>103</v>
      </c>
      <c r="L2834" s="69">
        <f>VLOOKUP(Table_db1_backend_Daily.accdb[[#This Row],[TradingDate]],canon!B:E,4,0)</f>
        <v>29</v>
      </c>
    </row>
    <row r="2835" spans="1:12" x14ac:dyDescent="0.2">
      <c r="A2835" s="69" t="s">
        <v>45</v>
      </c>
      <c r="B2835" s="70">
        <v>42932</v>
      </c>
      <c r="C2835" s="69">
        <v>-116</v>
      </c>
      <c r="D2835" s="69">
        <v>0</v>
      </c>
      <c r="E2835" s="69">
        <v>0</v>
      </c>
      <c r="F2835" s="69">
        <v>0</v>
      </c>
      <c r="G2835" s="69" t="s">
        <v>37</v>
      </c>
      <c r="H2835" s="69" t="str">
        <f>IFERROR(VLOOKUP(Data!$G2835,canon!$I$2:$K$27,2,FALSE),"")</f>
        <v>SHOES</v>
      </c>
      <c r="I2835" s="69" t="str">
        <f>IFERROR(VLOOKUP(Data!$G2835,canon!$I$2:$K$27,3,FALSE),"")</f>
        <v>N.APPAREL</v>
      </c>
      <c r="J2835" s="69">
        <f t="shared" si="88"/>
        <v>1</v>
      </c>
      <c r="K2835" s="69">
        <f t="shared" si="89"/>
        <v>103</v>
      </c>
      <c r="L2835" s="69">
        <f>VLOOKUP(Table_db1_backend_Daily.accdb[[#This Row],[TradingDate]],canon!B:E,4,0)</f>
        <v>29</v>
      </c>
    </row>
    <row r="2836" spans="1:12" x14ac:dyDescent="0.2">
      <c r="A2836" s="69" t="s">
        <v>45</v>
      </c>
      <c r="B2836" s="70">
        <v>42932</v>
      </c>
      <c r="C2836" s="69">
        <v>-1</v>
      </c>
      <c r="D2836" s="69">
        <v>0</v>
      </c>
      <c r="E2836" s="69">
        <v>0</v>
      </c>
      <c r="F2836" s="69">
        <v>0</v>
      </c>
      <c r="G2836" s="69" t="s">
        <v>29</v>
      </c>
      <c r="H2836" s="69" t="str">
        <f>IFERROR(VLOOKUP(Data!$G2836,canon!$I$2:$K$27,2,FALSE),"")</f>
        <v>SHOES</v>
      </c>
      <c r="I2836" s="69" t="str">
        <f>IFERROR(VLOOKUP(Data!$G2836,canon!$I$2:$K$27,3,FALSE),"")</f>
        <v>N.APPAREL</v>
      </c>
      <c r="J2836" s="69">
        <f t="shared" si="88"/>
        <v>1</v>
      </c>
      <c r="K2836" s="69">
        <f t="shared" si="89"/>
        <v>103</v>
      </c>
      <c r="L2836" s="69">
        <f>VLOOKUP(Table_db1_backend_Daily.accdb[[#This Row],[TradingDate]],canon!B:E,4,0)</f>
        <v>29</v>
      </c>
    </row>
    <row r="2837" spans="1:12" x14ac:dyDescent="0.2">
      <c r="A2837" s="69" t="s">
        <v>45</v>
      </c>
      <c r="B2837" s="70">
        <v>42932</v>
      </c>
      <c r="C2837" s="69">
        <v>638</v>
      </c>
      <c r="D2837" s="69">
        <v>5</v>
      </c>
      <c r="E2837" s="69">
        <v>72.58</v>
      </c>
      <c r="F2837" s="69">
        <v>22.63</v>
      </c>
      <c r="G2837" s="69" t="s">
        <v>17</v>
      </c>
      <c r="H2837" s="69" t="str">
        <f>IFERROR(VLOOKUP(Data!$G2837,canon!$I$2:$K$27,2,FALSE),"")</f>
        <v>OUTER</v>
      </c>
      <c r="I2837" s="69" t="str">
        <f>IFERROR(VLOOKUP(Data!$G2837,canon!$I$2:$K$27,3,FALSE),"")</f>
        <v>APPAREL</v>
      </c>
      <c r="J2837" s="69">
        <f t="shared" si="88"/>
        <v>1</v>
      </c>
      <c r="K2837" s="69">
        <f t="shared" si="89"/>
        <v>103</v>
      </c>
      <c r="L2837" s="69">
        <f>VLOOKUP(Table_db1_backend_Daily.accdb[[#This Row],[TradingDate]],canon!B:E,4,0)</f>
        <v>29</v>
      </c>
    </row>
    <row r="2838" spans="1:12" x14ac:dyDescent="0.2">
      <c r="A2838" s="69" t="s">
        <v>45</v>
      </c>
      <c r="B2838" s="70">
        <v>42932</v>
      </c>
      <c r="C2838" s="69">
        <v>275</v>
      </c>
      <c r="D2838" s="69">
        <v>2</v>
      </c>
      <c r="E2838" s="69">
        <v>27.27</v>
      </c>
      <c r="F2838" s="69">
        <v>14.879999999999999</v>
      </c>
      <c r="G2838" s="69" t="s">
        <v>19</v>
      </c>
      <c r="H2838" s="69" t="str">
        <f>IFERROR(VLOOKUP(Data!$G2838,canon!$I$2:$K$27,2,FALSE),"")</f>
        <v>PANT</v>
      </c>
      <c r="I2838" s="69" t="str">
        <f>IFERROR(VLOOKUP(Data!$G2838,canon!$I$2:$K$27,3,FALSE),"")</f>
        <v>APPAREL</v>
      </c>
      <c r="J2838" s="69">
        <f t="shared" si="88"/>
        <v>1</v>
      </c>
      <c r="K2838" s="69">
        <f t="shared" si="89"/>
        <v>103</v>
      </c>
      <c r="L2838" s="69">
        <f>VLOOKUP(Table_db1_backend_Daily.accdb[[#This Row],[TradingDate]],canon!B:E,4,0)</f>
        <v>29</v>
      </c>
    </row>
    <row r="2839" spans="1:12" x14ac:dyDescent="0.2">
      <c r="A2839" s="69" t="s">
        <v>45</v>
      </c>
      <c r="B2839" s="70">
        <v>42932</v>
      </c>
      <c r="C2839" s="69">
        <v>-705</v>
      </c>
      <c r="D2839" s="69">
        <v>2</v>
      </c>
      <c r="E2839" s="69">
        <v>9.1</v>
      </c>
      <c r="F2839" s="69">
        <v>5.08</v>
      </c>
      <c r="G2839" s="69" t="s">
        <v>22</v>
      </c>
      <c r="H2839" s="69" t="str">
        <f>IFERROR(VLOOKUP(Data!$G2839,canon!$I$2:$K$27,2,FALSE),"")</f>
        <v>SCARF</v>
      </c>
      <c r="I2839" s="69" t="str">
        <f>IFERROR(VLOOKUP(Data!$G2839,canon!$I$2:$K$27,3,FALSE),"")</f>
        <v>N.APPAREL</v>
      </c>
      <c r="J2839" s="69">
        <f t="shared" si="88"/>
        <v>1</v>
      </c>
      <c r="K2839" s="69">
        <f t="shared" si="89"/>
        <v>103</v>
      </c>
      <c r="L2839" s="69">
        <f>VLOOKUP(Table_db1_backend_Daily.accdb[[#This Row],[TradingDate]],canon!B:E,4,0)</f>
        <v>29</v>
      </c>
    </row>
    <row r="2840" spans="1:12" x14ac:dyDescent="0.2">
      <c r="A2840" s="69" t="s">
        <v>45</v>
      </c>
      <c r="B2840" s="70">
        <v>42932</v>
      </c>
      <c r="C2840" s="69">
        <v>180</v>
      </c>
      <c r="D2840" s="69">
        <v>1</v>
      </c>
      <c r="E2840" s="69">
        <v>9.09</v>
      </c>
      <c r="F2840" s="69">
        <v>2.35</v>
      </c>
      <c r="G2840" s="69" t="s">
        <v>23</v>
      </c>
      <c r="H2840" s="69" t="str">
        <f>IFERROR(VLOOKUP(Data!$G2840,canon!$I$2:$K$27,2,FALSE),"")</f>
        <v>SH&amp;BL</v>
      </c>
      <c r="I2840" s="69" t="str">
        <f>IFERROR(VLOOKUP(Data!$G2840,canon!$I$2:$K$27,3,FALSE),"")</f>
        <v>APPAREL</v>
      </c>
      <c r="J2840" s="69">
        <f t="shared" si="88"/>
        <v>1</v>
      </c>
      <c r="K2840" s="69">
        <f t="shared" si="89"/>
        <v>103</v>
      </c>
      <c r="L2840" s="69">
        <f>VLOOKUP(Table_db1_backend_Daily.accdb[[#This Row],[TradingDate]],canon!B:E,4,0)</f>
        <v>29</v>
      </c>
    </row>
    <row r="2841" spans="1:12" x14ac:dyDescent="0.2">
      <c r="A2841" s="69" t="s">
        <v>45</v>
      </c>
      <c r="B2841" s="70">
        <v>42932</v>
      </c>
      <c r="C2841" s="69">
        <v>363</v>
      </c>
      <c r="D2841" s="69">
        <v>0</v>
      </c>
      <c r="E2841" s="69">
        <v>0</v>
      </c>
      <c r="F2841" s="69">
        <v>0</v>
      </c>
      <c r="G2841" s="69" t="s">
        <v>32</v>
      </c>
      <c r="H2841" s="69" t="str">
        <f>IFERROR(VLOOKUP(Data!$G2841,canon!$I$2:$K$27,2,FALSE),"")</f>
        <v>SKIRT</v>
      </c>
      <c r="I2841" s="69" t="str">
        <f>IFERROR(VLOOKUP(Data!$G2841,canon!$I$2:$K$27,3,FALSE),"")</f>
        <v>APPAREL</v>
      </c>
      <c r="J2841" s="69">
        <f t="shared" si="88"/>
        <v>1</v>
      </c>
      <c r="K2841" s="69">
        <f t="shared" si="89"/>
        <v>103</v>
      </c>
      <c r="L2841" s="69">
        <f>VLOOKUP(Table_db1_backend_Daily.accdb[[#This Row],[TradingDate]],canon!B:E,4,0)</f>
        <v>29</v>
      </c>
    </row>
    <row r="2842" spans="1:12" x14ac:dyDescent="0.2">
      <c r="A2842" s="69" t="s">
        <v>45</v>
      </c>
      <c r="B2842" s="70">
        <v>42932</v>
      </c>
      <c r="C2842" s="69">
        <v>2541</v>
      </c>
      <c r="D2842" s="69">
        <v>19</v>
      </c>
      <c r="E2842" s="69">
        <v>109.13</v>
      </c>
      <c r="F2842" s="69">
        <v>-2.8199999999999985</v>
      </c>
      <c r="G2842" s="69" t="s">
        <v>25</v>
      </c>
      <c r="H2842" s="69" t="str">
        <f>IFERROR(VLOOKUP(Data!$G2842,canon!$I$2:$K$27,2,FALSE),"")</f>
        <v>TOP</v>
      </c>
      <c r="I2842" s="69" t="str">
        <f>IFERROR(VLOOKUP(Data!$G2842,canon!$I$2:$K$27,3,FALSE),"")</f>
        <v>APPAREL</v>
      </c>
      <c r="J2842" s="69">
        <f t="shared" si="88"/>
        <v>1</v>
      </c>
      <c r="K2842" s="69">
        <f t="shared" si="89"/>
        <v>103</v>
      </c>
      <c r="L2842" s="69">
        <f>VLOOKUP(Table_db1_backend_Daily.accdb[[#This Row],[TradingDate]],canon!B:E,4,0)</f>
        <v>29</v>
      </c>
    </row>
    <row r="2843" spans="1:12" x14ac:dyDescent="0.2">
      <c r="A2843" s="69" t="s">
        <v>45</v>
      </c>
      <c r="B2843" s="70">
        <v>42933</v>
      </c>
      <c r="C2843" s="69">
        <v>-31</v>
      </c>
      <c r="D2843" s="69">
        <v>0</v>
      </c>
      <c r="E2843" s="69">
        <v>0</v>
      </c>
      <c r="F2843" s="69">
        <v>0</v>
      </c>
      <c r="G2843" s="69" t="s">
        <v>34</v>
      </c>
      <c r="H2843" s="69" t="str">
        <f>IFERROR(VLOOKUP(Data!$G2843,canon!$I$2:$K$27,2,FALSE),"")</f>
        <v>SHOES</v>
      </c>
      <c r="I2843" s="69" t="str">
        <f>IFERROR(VLOOKUP(Data!$G2843,canon!$I$2:$K$27,3,FALSE),"")</f>
        <v>N.APPAREL</v>
      </c>
      <c r="J2843" s="69">
        <f t="shared" si="88"/>
        <v>2</v>
      </c>
      <c r="K2843" s="69">
        <f t="shared" si="89"/>
        <v>103</v>
      </c>
      <c r="L2843" s="69">
        <f>VLOOKUP(Table_db1_backend_Daily.accdb[[#This Row],[TradingDate]],canon!B:E,4,0)</f>
        <v>29</v>
      </c>
    </row>
    <row r="2844" spans="1:12" x14ac:dyDescent="0.2">
      <c r="A2844" s="69" t="s">
        <v>45</v>
      </c>
      <c r="B2844" s="70">
        <v>42933</v>
      </c>
      <c r="C2844" s="69">
        <v>533</v>
      </c>
      <c r="D2844" s="69">
        <v>18</v>
      </c>
      <c r="E2844" s="69">
        <v>245.33000000000004</v>
      </c>
      <c r="F2844" s="69">
        <v>91.429999999999993</v>
      </c>
      <c r="G2844" s="69" t="s">
        <v>35</v>
      </c>
      <c r="H2844" s="69" t="str">
        <f>IFERROR(VLOOKUP(Data!$G2844,canon!$I$2:$K$27,2,FALSE),"")</f>
        <v>DRESS</v>
      </c>
      <c r="I2844" s="69" t="str">
        <f>IFERROR(VLOOKUP(Data!$G2844,canon!$I$2:$K$27,3,FALSE),"")</f>
        <v>APPAREL</v>
      </c>
      <c r="J2844" s="69">
        <f t="shared" si="88"/>
        <v>2</v>
      </c>
      <c r="K2844" s="69">
        <f t="shared" si="89"/>
        <v>103</v>
      </c>
      <c r="L2844" s="69">
        <f>VLOOKUP(Table_db1_backend_Daily.accdb[[#This Row],[TradingDate]],canon!B:E,4,0)</f>
        <v>29</v>
      </c>
    </row>
    <row r="2845" spans="1:12" x14ac:dyDescent="0.2">
      <c r="A2845" s="69" t="s">
        <v>45</v>
      </c>
      <c r="B2845" s="70">
        <v>42933</v>
      </c>
      <c r="C2845" s="69">
        <v>464</v>
      </c>
      <c r="D2845" s="69">
        <v>0</v>
      </c>
      <c r="E2845" s="69">
        <v>0</v>
      </c>
      <c r="F2845" s="69">
        <v>0</v>
      </c>
      <c r="G2845" s="69" t="s">
        <v>10</v>
      </c>
      <c r="H2845" s="69" t="str">
        <f>IFERROR(VLOOKUP(Data!$G2845,canon!$I$2:$K$27,2,FALSE),"")</f>
        <v>ACCESSORY</v>
      </c>
      <c r="I2845" s="69" t="str">
        <f>IFERROR(VLOOKUP(Data!$G2845,canon!$I$2:$K$27,3,FALSE),"")</f>
        <v>N.APPAREL</v>
      </c>
      <c r="J2845" s="69">
        <f t="shared" si="88"/>
        <v>2</v>
      </c>
      <c r="K2845" s="69">
        <f t="shared" si="89"/>
        <v>103</v>
      </c>
      <c r="L2845" s="69">
        <f>VLOOKUP(Table_db1_backend_Daily.accdb[[#This Row],[TradingDate]],canon!B:E,4,0)</f>
        <v>29</v>
      </c>
    </row>
    <row r="2846" spans="1:12" x14ac:dyDescent="0.2">
      <c r="A2846" s="69" t="s">
        <v>45</v>
      </c>
      <c r="B2846" s="70">
        <v>42933</v>
      </c>
      <c r="C2846" s="69">
        <v>2296</v>
      </c>
      <c r="D2846" s="69">
        <v>43</v>
      </c>
      <c r="E2846" s="69">
        <v>458.73</v>
      </c>
      <c r="F2846" s="69">
        <v>126.34000000000003</v>
      </c>
      <c r="G2846" s="69" t="s">
        <v>11</v>
      </c>
      <c r="H2846" s="69" t="str">
        <f>IFERROR(VLOOKUP(Data!$G2846,canon!$I$2:$K$27,2,FALSE),"")</f>
        <v>KNIT</v>
      </c>
      <c r="I2846" s="69" t="str">
        <f>IFERROR(VLOOKUP(Data!$G2846,canon!$I$2:$K$27,3,FALSE),"")</f>
        <v>APPAREL</v>
      </c>
      <c r="J2846" s="69">
        <f t="shared" si="88"/>
        <v>2</v>
      </c>
      <c r="K2846" s="69">
        <f t="shared" si="89"/>
        <v>103</v>
      </c>
      <c r="L2846" s="69">
        <f>VLOOKUP(Table_db1_backend_Daily.accdb[[#This Row],[TradingDate]],canon!B:E,4,0)</f>
        <v>29</v>
      </c>
    </row>
    <row r="2847" spans="1:12" x14ac:dyDescent="0.2">
      <c r="A2847" s="69" t="s">
        <v>45</v>
      </c>
      <c r="B2847" s="70">
        <v>42933</v>
      </c>
      <c r="C2847" s="69">
        <v>378</v>
      </c>
      <c r="D2847" s="69">
        <v>11</v>
      </c>
      <c r="E2847" s="69">
        <v>131.66000000000003</v>
      </c>
      <c r="F2847" s="69">
        <v>61.66</v>
      </c>
      <c r="G2847" s="69" t="s">
        <v>14</v>
      </c>
      <c r="H2847" s="69" t="str">
        <f>IFERROR(VLOOKUP(Data!$G2847,canon!$I$2:$K$27,2,FALSE),"")</f>
        <v>LEGGING</v>
      </c>
      <c r="I2847" s="69" t="str">
        <f>IFERROR(VLOOKUP(Data!$G2847,canon!$I$2:$K$27,3,FALSE),"")</f>
        <v>APPAREL</v>
      </c>
      <c r="J2847" s="69">
        <f t="shared" si="88"/>
        <v>2</v>
      </c>
      <c r="K2847" s="69">
        <f t="shared" si="89"/>
        <v>103</v>
      </c>
      <c r="L2847" s="69">
        <f>VLOOKUP(Table_db1_backend_Daily.accdb[[#This Row],[TradingDate]],canon!B:E,4,0)</f>
        <v>29</v>
      </c>
    </row>
    <row r="2848" spans="1:12" x14ac:dyDescent="0.2">
      <c r="A2848" s="69" t="s">
        <v>45</v>
      </c>
      <c r="B2848" s="70">
        <v>42933</v>
      </c>
      <c r="C2848" s="69">
        <v>-116</v>
      </c>
      <c r="D2848" s="69">
        <v>0</v>
      </c>
      <c r="E2848" s="69">
        <v>0</v>
      </c>
      <c r="F2848" s="69">
        <v>0</v>
      </c>
      <c r="G2848" s="69" t="s">
        <v>37</v>
      </c>
      <c r="H2848" s="69" t="str">
        <f>IFERROR(VLOOKUP(Data!$G2848,canon!$I$2:$K$27,2,FALSE),"")</f>
        <v>SHOES</v>
      </c>
      <c r="I2848" s="69" t="str">
        <f>IFERROR(VLOOKUP(Data!$G2848,canon!$I$2:$K$27,3,FALSE),"")</f>
        <v>N.APPAREL</v>
      </c>
      <c r="J2848" s="69">
        <f t="shared" si="88"/>
        <v>2</v>
      </c>
      <c r="K2848" s="69">
        <f t="shared" si="89"/>
        <v>103</v>
      </c>
      <c r="L2848" s="69">
        <f>VLOOKUP(Table_db1_backend_Daily.accdb[[#This Row],[TradingDate]],canon!B:E,4,0)</f>
        <v>29</v>
      </c>
    </row>
    <row r="2849" spans="1:12" x14ac:dyDescent="0.2">
      <c r="A2849" s="69" t="s">
        <v>45</v>
      </c>
      <c r="B2849" s="70">
        <v>42933</v>
      </c>
      <c r="C2849" s="69">
        <v>-1</v>
      </c>
      <c r="D2849" s="69">
        <v>0</v>
      </c>
      <c r="E2849" s="69">
        <v>0</v>
      </c>
      <c r="F2849" s="69">
        <v>0</v>
      </c>
      <c r="G2849" s="69" t="s">
        <v>29</v>
      </c>
      <c r="H2849" s="69" t="str">
        <f>IFERROR(VLOOKUP(Data!$G2849,canon!$I$2:$K$27,2,FALSE),"")</f>
        <v>SHOES</v>
      </c>
      <c r="I2849" s="69" t="str">
        <f>IFERROR(VLOOKUP(Data!$G2849,canon!$I$2:$K$27,3,FALSE),"")</f>
        <v>N.APPAREL</v>
      </c>
      <c r="J2849" s="69">
        <f t="shared" si="88"/>
        <v>2</v>
      </c>
      <c r="K2849" s="69">
        <f t="shared" si="89"/>
        <v>103</v>
      </c>
      <c r="L2849" s="69">
        <f>VLOOKUP(Table_db1_backend_Daily.accdb[[#This Row],[TradingDate]],canon!B:E,4,0)</f>
        <v>29</v>
      </c>
    </row>
    <row r="2850" spans="1:12" x14ac:dyDescent="0.2">
      <c r="A2850" s="69" t="s">
        <v>45</v>
      </c>
      <c r="B2850" s="70">
        <v>42933</v>
      </c>
      <c r="C2850" s="69">
        <v>622</v>
      </c>
      <c r="D2850" s="69">
        <v>16</v>
      </c>
      <c r="E2850" s="69">
        <v>240.57000000000002</v>
      </c>
      <c r="F2850" s="69">
        <v>101.02000000000001</v>
      </c>
      <c r="G2850" s="69" t="s">
        <v>17</v>
      </c>
      <c r="H2850" s="69" t="str">
        <f>IFERROR(VLOOKUP(Data!$G2850,canon!$I$2:$K$27,2,FALSE),"")</f>
        <v>OUTER</v>
      </c>
      <c r="I2850" s="69" t="str">
        <f>IFERROR(VLOOKUP(Data!$G2850,canon!$I$2:$K$27,3,FALSE),"")</f>
        <v>APPAREL</v>
      </c>
      <c r="J2850" s="69">
        <f t="shared" si="88"/>
        <v>2</v>
      </c>
      <c r="K2850" s="69">
        <f t="shared" si="89"/>
        <v>103</v>
      </c>
      <c r="L2850" s="69">
        <f>VLOOKUP(Table_db1_backend_Daily.accdb[[#This Row],[TradingDate]],canon!B:E,4,0)</f>
        <v>29</v>
      </c>
    </row>
    <row r="2851" spans="1:12" x14ac:dyDescent="0.2">
      <c r="A2851" s="69" t="s">
        <v>45</v>
      </c>
      <c r="B2851" s="70">
        <v>42933</v>
      </c>
      <c r="C2851" s="69">
        <v>276</v>
      </c>
      <c r="D2851" s="69">
        <v>-1</v>
      </c>
      <c r="E2851" s="69">
        <v>-9.09</v>
      </c>
      <c r="F2851" s="69">
        <v>-1.48</v>
      </c>
      <c r="G2851" s="69" t="s">
        <v>19</v>
      </c>
      <c r="H2851" s="69" t="str">
        <f>IFERROR(VLOOKUP(Data!$G2851,canon!$I$2:$K$27,2,FALSE),"")</f>
        <v>PANT</v>
      </c>
      <c r="I2851" s="69" t="str">
        <f>IFERROR(VLOOKUP(Data!$G2851,canon!$I$2:$K$27,3,FALSE),"")</f>
        <v>APPAREL</v>
      </c>
      <c r="J2851" s="69">
        <f t="shared" si="88"/>
        <v>2</v>
      </c>
      <c r="K2851" s="69">
        <f t="shared" si="89"/>
        <v>103</v>
      </c>
      <c r="L2851" s="69">
        <f>VLOOKUP(Table_db1_backend_Daily.accdb[[#This Row],[TradingDate]],canon!B:E,4,0)</f>
        <v>29</v>
      </c>
    </row>
    <row r="2852" spans="1:12" x14ac:dyDescent="0.2">
      <c r="A2852" s="69" t="s">
        <v>45</v>
      </c>
      <c r="B2852" s="70">
        <v>42933</v>
      </c>
      <c r="C2852" s="69">
        <v>-709</v>
      </c>
      <c r="D2852" s="69">
        <v>4</v>
      </c>
      <c r="E2852" s="69">
        <v>26.23</v>
      </c>
      <c r="F2852" s="69">
        <v>17.939999999999998</v>
      </c>
      <c r="G2852" s="69" t="s">
        <v>22</v>
      </c>
      <c r="H2852" s="69" t="str">
        <f>IFERROR(VLOOKUP(Data!$G2852,canon!$I$2:$K$27,2,FALSE),"")</f>
        <v>SCARF</v>
      </c>
      <c r="I2852" s="69" t="str">
        <f>IFERROR(VLOOKUP(Data!$G2852,canon!$I$2:$K$27,3,FALSE),"")</f>
        <v>N.APPAREL</v>
      </c>
      <c r="J2852" s="69">
        <f t="shared" si="88"/>
        <v>2</v>
      </c>
      <c r="K2852" s="69">
        <f t="shared" si="89"/>
        <v>103</v>
      </c>
      <c r="L2852" s="69">
        <f>VLOOKUP(Table_db1_backend_Daily.accdb[[#This Row],[TradingDate]],canon!B:E,4,0)</f>
        <v>29</v>
      </c>
    </row>
    <row r="2853" spans="1:12" x14ac:dyDescent="0.2">
      <c r="A2853" s="69" t="s">
        <v>45</v>
      </c>
      <c r="B2853" s="70">
        <v>42933</v>
      </c>
      <c r="C2853" s="69">
        <v>178</v>
      </c>
      <c r="D2853" s="69">
        <v>2</v>
      </c>
      <c r="E2853" s="69">
        <v>9.09</v>
      </c>
      <c r="F2853" s="69">
        <v>-0.91</v>
      </c>
      <c r="G2853" s="69" t="s">
        <v>23</v>
      </c>
      <c r="H2853" s="69" t="str">
        <f>IFERROR(VLOOKUP(Data!$G2853,canon!$I$2:$K$27,2,FALSE),"")</f>
        <v>SH&amp;BL</v>
      </c>
      <c r="I2853" s="69" t="str">
        <f>IFERROR(VLOOKUP(Data!$G2853,canon!$I$2:$K$27,3,FALSE),"")</f>
        <v>APPAREL</v>
      </c>
      <c r="J2853" s="69">
        <f t="shared" si="88"/>
        <v>2</v>
      </c>
      <c r="K2853" s="69">
        <f t="shared" si="89"/>
        <v>103</v>
      </c>
      <c r="L2853" s="69">
        <f>VLOOKUP(Table_db1_backend_Daily.accdb[[#This Row],[TradingDate]],canon!B:E,4,0)</f>
        <v>29</v>
      </c>
    </row>
    <row r="2854" spans="1:12" x14ac:dyDescent="0.2">
      <c r="A2854" s="69" t="s">
        <v>45</v>
      </c>
      <c r="B2854" s="70">
        <v>42933</v>
      </c>
      <c r="C2854" s="69">
        <v>381</v>
      </c>
      <c r="D2854" s="69">
        <v>6</v>
      </c>
      <c r="E2854" s="69">
        <v>72.64</v>
      </c>
      <c r="F2854" s="69">
        <v>40.019999999999996</v>
      </c>
      <c r="G2854" s="69" t="s">
        <v>32</v>
      </c>
      <c r="H2854" s="69" t="str">
        <f>IFERROR(VLOOKUP(Data!$G2854,canon!$I$2:$K$27,2,FALSE),"")</f>
        <v>SKIRT</v>
      </c>
      <c r="I2854" s="69" t="str">
        <f>IFERROR(VLOOKUP(Data!$G2854,canon!$I$2:$K$27,3,FALSE),"")</f>
        <v>APPAREL</v>
      </c>
      <c r="J2854" s="69">
        <f t="shared" si="88"/>
        <v>2</v>
      </c>
      <c r="K2854" s="69">
        <f t="shared" si="89"/>
        <v>103</v>
      </c>
      <c r="L2854" s="69">
        <f>VLOOKUP(Table_db1_backend_Daily.accdb[[#This Row],[TradingDate]],canon!B:E,4,0)</f>
        <v>29</v>
      </c>
    </row>
    <row r="2855" spans="1:12" x14ac:dyDescent="0.2">
      <c r="A2855" s="69" t="s">
        <v>45</v>
      </c>
      <c r="B2855" s="70">
        <v>42933</v>
      </c>
      <c r="C2855" s="69">
        <v>2553</v>
      </c>
      <c r="D2855" s="69">
        <v>29</v>
      </c>
      <c r="E2855" s="69">
        <v>190.94</v>
      </c>
      <c r="F2855" s="69">
        <v>24.97</v>
      </c>
      <c r="G2855" s="69" t="s">
        <v>25</v>
      </c>
      <c r="H2855" s="69" t="str">
        <f>IFERROR(VLOOKUP(Data!$G2855,canon!$I$2:$K$27,2,FALSE),"")</f>
        <v>TOP</v>
      </c>
      <c r="I2855" s="69" t="str">
        <f>IFERROR(VLOOKUP(Data!$G2855,canon!$I$2:$K$27,3,FALSE),"")</f>
        <v>APPAREL</v>
      </c>
      <c r="J2855" s="69">
        <f t="shared" si="88"/>
        <v>2</v>
      </c>
      <c r="K2855" s="69">
        <f t="shared" si="89"/>
        <v>103</v>
      </c>
      <c r="L2855" s="69">
        <f>VLOOKUP(Table_db1_backend_Daily.accdb[[#This Row],[TradingDate]],canon!B:E,4,0)</f>
        <v>29</v>
      </c>
    </row>
    <row r="2856" spans="1:12" x14ac:dyDescent="0.2">
      <c r="A2856" s="69" t="s">
        <v>45</v>
      </c>
      <c r="B2856" s="70">
        <v>42934</v>
      </c>
      <c r="C2856" s="69">
        <v>-34</v>
      </c>
      <c r="D2856" s="69">
        <v>3</v>
      </c>
      <c r="E2856" s="69">
        <v>13.65</v>
      </c>
      <c r="F2856" s="69">
        <v>-1.02</v>
      </c>
      <c r="G2856" s="69" t="s">
        <v>34</v>
      </c>
      <c r="H2856" s="69" t="str">
        <f>IFERROR(VLOOKUP(Data!$G2856,canon!$I$2:$K$27,2,FALSE),"")</f>
        <v>SHOES</v>
      </c>
      <c r="I2856" s="69" t="str">
        <f>IFERROR(VLOOKUP(Data!$G2856,canon!$I$2:$K$27,3,FALSE),"")</f>
        <v>N.APPAREL</v>
      </c>
      <c r="J2856" s="69">
        <f t="shared" si="88"/>
        <v>3</v>
      </c>
      <c r="K2856" s="69">
        <f t="shared" si="89"/>
        <v>103</v>
      </c>
      <c r="L2856" s="69">
        <f>VLOOKUP(Table_db1_backend_Daily.accdb[[#This Row],[TradingDate]],canon!B:E,4,0)</f>
        <v>29</v>
      </c>
    </row>
    <row r="2857" spans="1:12" x14ac:dyDescent="0.2">
      <c r="A2857" s="69" t="s">
        <v>45</v>
      </c>
      <c r="B2857" s="70">
        <v>42934</v>
      </c>
      <c r="C2857" s="69">
        <v>522</v>
      </c>
      <c r="D2857" s="69">
        <v>11</v>
      </c>
      <c r="E2857" s="69">
        <v>160.91</v>
      </c>
      <c r="F2857" s="69">
        <v>79.17</v>
      </c>
      <c r="G2857" s="69" t="s">
        <v>35</v>
      </c>
      <c r="H2857" s="69" t="str">
        <f>IFERROR(VLOOKUP(Data!$G2857,canon!$I$2:$K$27,2,FALSE),"")</f>
        <v>DRESS</v>
      </c>
      <c r="I2857" s="69" t="str">
        <f>IFERROR(VLOOKUP(Data!$G2857,canon!$I$2:$K$27,3,FALSE),"")</f>
        <v>APPAREL</v>
      </c>
      <c r="J2857" s="69">
        <f t="shared" si="88"/>
        <v>3</v>
      </c>
      <c r="K2857" s="69">
        <f t="shared" si="89"/>
        <v>103</v>
      </c>
      <c r="L2857" s="69">
        <f>VLOOKUP(Table_db1_backend_Daily.accdb[[#This Row],[TradingDate]],canon!B:E,4,0)</f>
        <v>29</v>
      </c>
    </row>
    <row r="2858" spans="1:12" x14ac:dyDescent="0.2">
      <c r="A2858" s="69" t="s">
        <v>45</v>
      </c>
      <c r="B2858" s="70">
        <v>42934</v>
      </c>
      <c r="C2858" s="69">
        <v>464</v>
      </c>
      <c r="D2858" s="69">
        <v>0</v>
      </c>
      <c r="E2858" s="69">
        <v>0</v>
      </c>
      <c r="F2858" s="69">
        <v>0</v>
      </c>
      <c r="G2858" s="69" t="s">
        <v>10</v>
      </c>
      <c r="H2858" s="69" t="str">
        <f>IFERROR(VLOOKUP(Data!$G2858,canon!$I$2:$K$27,2,FALSE),"")</f>
        <v>ACCESSORY</v>
      </c>
      <c r="I2858" s="69" t="str">
        <f>IFERROR(VLOOKUP(Data!$G2858,canon!$I$2:$K$27,3,FALSE),"")</f>
        <v>N.APPAREL</v>
      </c>
      <c r="J2858" s="69">
        <f t="shared" si="88"/>
        <v>3</v>
      </c>
      <c r="K2858" s="69">
        <f t="shared" si="89"/>
        <v>103</v>
      </c>
      <c r="L2858" s="69">
        <f>VLOOKUP(Table_db1_backend_Daily.accdb[[#This Row],[TradingDate]],canon!B:E,4,0)</f>
        <v>29</v>
      </c>
    </row>
    <row r="2859" spans="1:12" x14ac:dyDescent="0.2">
      <c r="A2859" s="69" t="s">
        <v>45</v>
      </c>
      <c r="B2859" s="70">
        <v>42934</v>
      </c>
      <c r="C2859" s="69">
        <v>2522</v>
      </c>
      <c r="D2859" s="69">
        <v>53</v>
      </c>
      <c r="E2859" s="69">
        <v>631.37999999999977</v>
      </c>
      <c r="F2859" s="69">
        <v>212.01</v>
      </c>
      <c r="G2859" s="69" t="s">
        <v>11</v>
      </c>
      <c r="H2859" s="69" t="str">
        <f>IFERROR(VLOOKUP(Data!$G2859,canon!$I$2:$K$27,2,FALSE),"")</f>
        <v>KNIT</v>
      </c>
      <c r="I2859" s="69" t="str">
        <f>IFERROR(VLOOKUP(Data!$G2859,canon!$I$2:$K$27,3,FALSE),"")</f>
        <v>APPAREL</v>
      </c>
      <c r="J2859" s="69">
        <f t="shared" si="88"/>
        <v>3</v>
      </c>
      <c r="K2859" s="69">
        <f t="shared" si="89"/>
        <v>103</v>
      </c>
      <c r="L2859" s="69">
        <f>VLOOKUP(Table_db1_backend_Daily.accdb[[#This Row],[TradingDate]],canon!B:E,4,0)</f>
        <v>29</v>
      </c>
    </row>
    <row r="2860" spans="1:12" x14ac:dyDescent="0.2">
      <c r="A2860" s="69" t="s">
        <v>45</v>
      </c>
      <c r="B2860" s="70">
        <v>42934</v>
      </c>
      <c r="C2860" s="69">
        <v>377</v>
      </c>
      <c r="D2860" s="69">
        <v>7</v>
      </c>
      <c r="E2860" s="69">
        <v>90.89</v>
      </c>
      <c r="F2860" s="69">
        <v>51.12</v>
      </c>
      <c r="G2860" s="69" t="s">
        <v>14</v>
      </c>
      <c r="H2860" s="69" t="str">
        <f>IFERROR(VLOOKUP(Data!$G2860,canon!$I$2:$K$27,2,FALSE),"")</f>
        <v>LEGGING</v>
      </c>
      <c r="I2860" s="69" t="str">
        <f>IFERROR(VLOOKUP(Data!$G2860,canon!$I$2:$K$27,3,FALSE),"")</f>
        <v>APPAREL</v>
      </c>
      <c r="J2860" s="69">
        <f t="shared" si="88"/>
        <v>3</v>
      </c>
      <c r="K2860" s="69">
        <f t="shared" si="89"/>
        <v>103</v>
      </c>
      <c r="L2860" s="69">
        <f>VLOOKUP(Table_db1_backend_Daily.accdb[[#This Row],[TradingDate]],canon!B:E,4,0)</f>
        <v>29</v>
      </c>
    </row>
    <row r="2861" spans="1:12" x14ac:dyDescent="0.2">
      <c r="A2861" s="69" t="s">
        <v>45</v>
      </c>
      <c r="B2861" s="70">
        <v>42934</v>
      </c>
      <c r="C2861" s="69">
        <v>-116</v>
      </c>
      <c r="D2861" s="69">
        <v>0</v>
      </c>
      <c r="E2861" s="69">
        <v>0</v>
      </c>
      <c r="F2861" s="69">
        <v>0</v>
      </c>
      <c r="G2861" s="69" t="s">
        <v>37</v>
      </c>
      <c r="H2861" s="69" t="str">
        <f>IFERROR(VLOOKUP(Data!$G2861,canon!$I$2:$K$27,2,FALSE),"")</f>
        <v>SHOES</v>
      </c>
      <c r="I2861" s="69" t="str">
        <f>IFERROR(VLOOKUP(Data!$G2861,canon!$I$2:$K$27,3,FALSE),"")</f>
        <v>N.APPAREL</v>
      </c>
      <c r="J2861" s="69">
        <f t="shared" si="88"/>
        <v>3</v>
      </c>
      <c r="K2861" s="69">
        <f t="shared" si="89"/>
        <v>103</v>
      </c>
      <c r="L2861" s="69">
        <f>VLOOKUP(Table_db1_backend_Daily.accdb[[#This Row],[TradingDate]],canon!B:E,4,0)</f>
        <v>29</v>
      </c>
    </row>
    <row r="2862" spans="1:12" x14ac:dyDescent="0.2">
      <c r="A2862" s="69" t="s">
        <v>45</v>
      </c>
      <c r="B2862" s="70">
        <v>42934</v>
      </c>
      <c r="C2862" s="69">
        <v>-1</v>
      </c>
      <c r="D2862" s="69">
        <v>0</v>
      </c>
      <c r="E2862" s="69">
        <v>0</v>
      </c>
      <c r="F2862" s="69">
        <v>0</v>
      </c>
      <c r="G2862" s="69" t="s">
        <v>29</v>
      </c>
      <c r="H2862" s="69" t="str">
        <f>IFERROR(VLOOKUP(Data!$G2862,canon!$I$2:$K$27,2,FALSE),"")</f>
        <v>SHOES</v>
      </c>
      <c r="I2862" s="69" t="str">
        <f>IFERROR(VLOOKUP(Data!$G2862,canon!$I$2:$K$27,3,FALSE),"")</f>
        <v>N.APPAREL</v>
      </c>
      <c r="J2862" s="69">
        <f t="shared" si="88"/>
        <v>3</v>
      </c>
      <c r="K2862" s="69">
        <f t="shared" si="89"/>
        <v>103</v>
      </c>
      <c r="L2862" s="69">
        <f>VLOOKUP(Table_db1_backend_Daily.accdb[[#This Row],[TradingDate]],canon!B:E,4,0)</f>
        <v>29</v>
      </c>
    </row>
    <row r="2863" spans="1:12" x14ac:dyDescent="0.2">
      <c r="A2863" s="69" t="s">
        <v>45</v>
      </c>
      <c r="B2863" s="70">
        <v>42934</v>
      </c>
      <c r="C2863" s="69">
        <v>636</v>
      </c>
      <c r="D2863" s="69">
        <v>10</v>
      </c>
      <c r="E2863" s="69">
        <v>181.19</v>
      </c>
      <c r="F2863" s="69">
        <v>95</v>
      </c>
      <c r="G2863" s="69" t="s">
        <v>17</v>
      </c>
      <c r="H2863" s="69" t="str">
        <f>IFERROR(VLOOKUP(Data!$G2863,canon!$I$2:$K$27,2,FALSE),"")</f>
        <v>OUTER</v>
      </c>
      <c r="I2863" s="69" t="str">
        <f>IFERROR(VLOOKUP(Data!$G2863,canon!$I$2:$K$27,3,FALSE),"")</f>
        <v>APPAREL</v>
      </c>
      <c r="J2863" s="69">
        <f t="shared" si="88"/>
        <v>3</v>
      </c>
      <c r="K2863" s="69">
        <f t="shared" si="89"/>
        <v>103</v>
      </c>
      <c r="L2863" s="69">
        <f>VLOOKUP(Table_db1_backend_Daily.accdb[[#This Row],[TradingDate]],canon!B:E,4,0)</f>
        <v>29</v>
      </c>
    </row>
    <row r="2864" spans="1:12" x14ac:dyDescent="0.2">
      <c r="A2864" s="69" t="s">
        <v>45</v>
      </c>
      <c r="B2864" s="70">
        <v>42934</v>
      </c>
      <c r="C2864" s="69">
        <v>272</v>
      </c>
      <c r="D2864" s="69">
        <v>4</v>
      </c>
      <c r="E2864" s="69">
        <v>36.35</v>
      </c>
      <c r="F2864" s="69">
        <v>10.469999999999999</v>
      </c>
      <c r="G2864" s="69" t="s">
        <v>19</v>
      </c>
      <c r="H2864" s="69" t="str">
        <f>IFERROR(VLOOKUP(Data!$G2864,canon!$I$2:$K$27,2,FALSE),"")</f>
        <v>PANT</v>
      </c>
      <c r="I2864" s="69" t="str">
        <f>IFERROR(VLOOKUP(Data!$G2864,canon!$I$2:$K$27,3,FALSE),"")</f>
        <v>APPAREL</v>
      </c>
      <c r="J2864" s="69">
        <f t="shared" si="88"/>
        <v>3</v>
      </c>
      <c r="K2864" s="69">
        <f t="shared" si="89"/>
        <v>103</v>
      </c>
      <c r="L2864" s="69">
        <f>VLOOKUP(Table_db1_backend_Daily.accdb[[#This Row],[TradingDate]],canon!B:E,4,0)</f>
        <v>29</v>
      </c>
    </row>
    <row r="2865" spans="1:12" x14ac:dyDescent="0.2">
      <c r="A2865" s="69" t="s">
        <v>45</v>
      </c>
      <c r="B2865" s="70">
        <v>42934</v>
      </c>
      <c r="C2865" s="69">
        <v>-730</v>
      </c>
      <c r="D2865" s="69">
        <v>21</v>
      </c>
      <c r="E2865" s="69">
        <v>111.58999999999999</v>
      </c>
      <c r="F2865" s="69">
        <v>73.13000000000001</v>
      </c>
      <c r="G2865" s="69" t="s">
        <v>22</v>
      </c>
      <c r="H2865" s="69" t="str">
        <f>IFERROR(VLOOKUP(Data!$G2865,canon!$I$2:$K$27,2,FALSE),"")</f>
        <v>SCARF</v>
      </c>
      <c r="I2865" s="69" t="str">
        <f>IFERROR(VLOOKUP(Data!$G2865,canon!$I$2:$K$27,3,FALSE),"")</f>
        <v>N.APPAREL</v>
      </c>
      <c r="J2865" s="69">
        <f t="shared" si="88"/>
        <v>3</v>
      </c>
      <c r="K2865" s="69">
        <f t="shared" si="89"/>
        <v>103</v>
      </c>
      <c r="L2865" s="69">
        <f>VLOOKUP(Table_db1_backend_Daily.accdb[[#This Row],[TradingDate]],canon!B:E,4,0)</f>
        <v>29</v>
      </c>
    </row>
    <row r="2866" spans="1:12" x14ac:dyDescent="0.2">
      <c r="A2866" s="69" t="s">
        <v>45</v>
      </c>
      <c r="B2866" s="70">
        <v>42934</v>
      </c>
      <c r="C2866" s="69">
        <v>177</v>
      </c>
      <c r="D2866" s="69">
        <v>1</v>
      </c>
      <c r="E2866" s="69">
        <v>9.09</v>
      </c>
      <c r="F2866" s="69">
        <v>2.57</v>
      </c>
      <c r="G2866" s="69" t="s">
        <v>23</v>
      </c>
      <c r="H2866" s="69" t="str">
        <f>IFERROR(VLOOKUP(Data!$G2866,canon!$I$2:$K$27,2,FALSE),"")</f>
        <v>SH&amp;BL</v>
      </c>
      <c r="I2866" s="69" t="str">
        <f>IFERROR(VLOOKUP(Data!$G2866,canon!$I$2:$K$27,3,FALSE),"")</f>
        <v>APPAREL</v>
      </c>
      <c r="J2866" s="69">
        <f t="shared" si="88"/>
        <v>3</v>
      </c>
      <c r="K2866" s="69">
        <f t="shared" si="89"/>
        <v>103</v>
      </c>
      <c r="L2866" s="69">
        <f>VLOOKUP(Table_db1_backend_Daily.accdb[[#This Row],[TradingDate]],canon!B:E,4,0)</f>
        <v>29</v>
      </c>
    </row>
    <row r="2867" spans="1:12" x14ac:dyDescent="0.2">
      <c r="A2867" s="69" t="s">
        <v>45</v>
      </c>
      <c r="B2867" s="70">
        <v>42934</v>
      </c>
      <c r="C2867" s="69">
        <v>355</v>
      </c>
      <c r="D2867" s="69">
        <v>26</v>
      </c>
      <c r="E2867" s="69">
        <v>275.25999999999993</v>
      </c>
      <c r="F2867" s="69">
        <v>145.47999999999999</v>
      </c>
      <c r="G2867" s="69" t="s">
        <v>32</v>
      </c>
      <c r="H2867" s="69" t="str">
        <f>IFERROR(VLOOKUP(Data!$G2867,canon!$I$2:$K$27,2,FALSE),"")</f>
        <v>SKIRT</v>
      </c>
      <c r="I2867" s="69" t="str">
        <f>IFERROR(VLOOKUP(Data!$G2867,canon!$I$2:$K$27,3,FALSE),"")</f>
        <v>APPAREL</v>
      </c>
      <c r="J2867" s="69">
        <f t="shared" si="88"/>
        <v>3</v>
      </c>
      <c r="K2867" s="69">
        <f t="shared" si="89"/>
        <v>103</v>
      </c>
      <c r="L2867" s="69">
        <f>VLOOKUP(Table_db1_backend_Daily.accdb[[#This Row],[TradingDate]],canon!B:E,4,0)</f>
        <v>29</v>
      </c>
    </row>
    <row r="2868" spans="1:12" x14ac:dyDescent="0.2">
      <c r="A2868" s="69" t="s">
        <v>45</v>
      </c>
      <c r="B2868" s="70">
        <v>42934</v>
      </c>
      <c r="C2868" s="69">
        <v>2511</v>
      </c>
      <c r="D2868" s="69">
        <v>42</v>
      </c>
      <c r="E2868" s="69">
        <v>422.26999999999987</v>
      </c>
      <c r="F2868" s="69">
        <v>186.87</v>
      </c>
      <c r="G2868" s="69" t="s">
        <v>25</v>
      </c>
      <c r="H2868" s="69" t="str">
        <f>IFERROR(VLOOKUP(Data!$G2868,canon!$I$2:$K$27,2,FALSE),"")</f>
        <v>TOP</v>
      </c>
      <c r="I2868" s="69" t="str">
        <f>IFERROR(VLOOKUP(Data!$G2868,canon!$I$2:$K$27,3,FALSE),"")</f>
        <v>APPAREL</v>
      </c>
      <c r="J2868" s="69">
        <f t="shared" si="88"/>
        <v>3</v>
      </c>
      <c r="K2868" s="69">
        <f t="shared" si="89"/>
        <v>103</v>
      </c>
      <c r="L2868" s="69">
        <f>VLOOKUP(Table_db1_backend_Daily.accdb[[#This Row],[TradingDate]],canon!B:E,4,0)</f>
        <v>29</v>
      </c>
    </row>
    <row r="2869" spans="1:12" x14ac:dyDescent="0.2">
      <c r="A2869" s="69" t="s">
        <v>45</v>
      </c>
      <c r="B2869" s="70">
        <v>42935</v>
      </c>
      <c r="C2869" s="69">
        <v>-34</v>
      </c>
      <c r="D2869" s="69">
        <v>0</v>
      </c>
      <c r="E2869" s="69">
        <v>0</v>
      </c>
      <c r="F2869" s="69">
        <v>0</v>
      </c>
      <c r="G2869" s="69" t="s">
        <v>34</v>
      </c>
      <c r="H2869" s="69" t="str">
        <f>IFERROR(VLOOKUP(Data!$G2869,canon!$I$2:$K$27,2,FALSE),"")</f>
        <v>SHOES</v>
      </c>
      <c r="I2869" s="69" t="str">
        <f>IFERROR(VLOOKUP(Data!$G2869,canon!$I$2:$K$27,3,FALSE),"")</f>
        <v>N.APPAREL</v>
      </c>
      <c r="J2869" s="69">
        <f t="shared" si="88"/>
        <v>4</v>
      </c>
      <c r="K2869" s="69">
        <f t="shared" si="89"/>
        <v>103</v>
      </c>
      <c r="L2869" s="69">
        <f>VLOOKUP(Table_db1_backend_Daily.accdb[[#This Row],[TradingDate]],canon!B:E,4,0)</f>
        <v>29</v>
      </c>
    </row>
    <row r="2870" spans="1:12" x14ac:dyDescent="0.2">
      <c r="A2870" s="69" t="s">
        <v>45</v>
      </c>
      <c r="B2870" s="70">
        <v>42935</v>
      </c>
      <c r="C2870" s="69">
        <v>517</v>
      </c>
      <c r="D2870" s="69">
        <v>5</v>
      </c>
      <c r="E2870" s="69">
        <v>77.22</v>
      </c>
      <c r="F2870" s="69">
        <v>38.090000000000003</v>
      </c>
      <c r="G2870" s="69" t="s">
        <v>35</v>
      </c>
      <c r="H2870" s="69" t="str">
        <f>IFERROR(VLOOKUP(Data!$G2870,canon!$I$2:$K$27,2,FALSE),"")</f>
        <v>DRESS</v>
      </c>
      <c r="I2870" s="69" t="str">
        <f>IFERROR(VLOOKUP(Data!$G2870,canon!$I$2:$K$27,3,FALSE),"")</f>
        <v>APPAREL</v>
      </c>
      <c r="J2870" s="69">
        <f t="shared" si="88"/>
        <v>4</v>
      </c>
      <c r="K2870" s="69">
        <f t="shared" si="89"/>
        <v>103</v>
      </c>
      <c r="L2870" s="69">
        <f>VLOOKUP(Table_db1_backend_Daily.accdb[[#This Row],[TradingDate]],canon!B:E,4,0)</f>
        <v>29</v>
      </c>
    </row>
    <row r="2871" spans="1:12" x14ac:dyDescent="0.2">
      <c r="A2871" s="69" t="s">
        <v>45</v>
      </c>
      <c r="B2871" s="70">
        <v>42935</v>
      </c>
      <c r="C2871" s="69">
        <v>464</v>
      </c>
      <c r="D2871" s="69">
        <v>0</v>
      </c>
      <c r="E2871" s="69">
        <v>0</v>
      </c>
      <c r="F2871" s="69">
        <v>0</v>
      </c>
      <c r="G2871" s="69" t="s">
        <v>10</v>
      </c>
      <c r="H2871" s="69" t="str">
        <f>IFERROR(VLOOKUP(Data!$G2871,canon!$I$2:$K$27,2,FALSE),"")</f>
        <v>ACCESSORY</v>
      </c>
      <c r="I2871" s="69" t="str">
        <f>IFERROR(VLOOKUP(Data!$G2871,canon!$I$2:$K$27,3,FALSE),"")</f>
        <v>N.APPAREL</v>
      </c>
      <c r="J2871" s="69">
        <f t="shared" si="88"/>
        <v>4</v>
      </c>
      <c r="K2871" s="69">
        <f t="shared" si="89"/>
        <v>103</v>
      </c>
      <c r="L2871" s="69">
        <f>VLOOKUP(Table_db1_backend_Daily.accdb[[#This Row],[TradingDate]],canon!B:E,4,0)</f>
        <v>29</v>
      </c>
    </row>
    <row r="2872" spans="1:12" x14ac:dyDescent="0.2">
      <c r="A2872" s="69" t="s">
        <v>45</v>
      </c>
      <c r="B2872" s="70">
        <v>42935</v>
      </c>
      <c r="C2872" s="69">
        <v>2457</v>
      </c>
      <c r="D2872" s="69">
        <v>55</v>
      </c>
      <c r="E2872" s="69">
        <v>554.22</v>
      </c>
      <c r="F2872" s="69">
        <v>116.64</v>
      </c>
      <c r="G2872" s="69" t="s">
        <v>11</v>
      </c>
      <c r="H2872" s="69" t="str">
        <f>IFERROR(VLOOKUP(Data!$G2872,canon!$I$2:$K$27,2,FALSE),"")</f>
        <v>KNIT</v>
      </c>
      <c r="I2872" s="69" t="str">
        <f>IFERROR(VLOOKUP(Data!$G2872,canon!$I$2:$K$27,3,FALSE),"")</f>
        <v>APPAREL</v>
      </c>
      <c r="J2872" s="69">
        <f t="shared" si="88"/>
        <v>4</v>
      </c>
      <c r="K2872" s="69">
        <f t="shared" si="89"/>
        <v>103</v>
      </c>
      <c r="L2872" s="69">
        <f>VLOOKUP(Table_db1_backend_Daily.accdb[[#This Row],[TradingDate]],canon!B:E,4,0)</f>
        <v>29</v>
      </c>
    </row>
    <row r="2873" spans="1:12" x14ac:dyDescent="0.2">
      <c r="A2873" s="69" t="s">
        <v>45</v>
      </c>
      <c r="B2873" s="70">
        <v>42935</v>
      </c>
      <c r="C2873" s="69">
        <v>372</v>
      </c>
      <c r="D2873" s="69">
        <v>5</v>
      </c>
      <c r="E2873" s="69">
        <v>81.77000000000001</v>
      </c>
      <c r="F2873" s="69">
        <v>46.99</v>
      </c>
      <c r="G2873" s="69" t="s">
        <v>14</v>
      </c>
      <c r="H2873" s="69" t="str">
        <f>IFERROR(VLOOKUP(Data!$G2873,canon!$I$2:$K$27,2,FALSE),"")</f>
        <v>LEGGING</v>
      </c>
      <c r="I2873" s="69" t="str">
        <f>IFERROR(VLOOKUP(Data!$G2873,canon!$I$2:$K$27,3,FALSE),"")</f>
        <v>APPAREL</v>
      </c>
      <c r="J2873" s="69">
        <f t="shared" si="88"/>
        <v>4</v>
      </c>
      <c r="K2873" s="69">
        <f t="shared" si="89"/>
        <v>103</v>
      </c>
      <c r="L2873" s="69">
        <f>VLOOKUP(Table_db1_backend_Daily.accdb[[#This Row],[TradingDate]],canon!B:E,4,0)</f>
        <v>29</v>
      </c>
    </row>
    <row r="2874" spans="1:12" x14ac:dyDescent="0.2">
      <c r="A2874" s="69" t="s">
        <v>45</v>
      </c>
      <c r="B2874" s="70">
        <v>42935</v>
      </c>
      <c r="C2874" s="69">
        <v>-116</v>
      </c>
      <c r="D2874" s="69">
        <v>0</v>
      </c>
      <c r="E2874" s="69">
        <v>0</v>
      </c>
      <c r="F2874" s="69">
        <v>0</v>
      </c>
      <c r="G2874" s="69" t="s">
        <v>37</v>
      </c>
      <c r="H2874" s="69" t="str">
        <f>IFERROR(VLOOKUP(Data!$G2874,canon!$I$2:$K$27,2,FALSE),"")</f>
        <v>SHOES</v>
      </c>
      <c r="I2874" s="69" t="str">
        <f>IFERROR(VLOOKUP(Data!$G2874,canon!$I$2:$K$27,3,FALSE),"")</f>
        <v>N.APPAREL</v>
      </c>
      <c r="J2874" s="69">
        <f t="shared" si="88"/>
        <v>4</v>
      </c>
      <c r="K2874" s="69">
        <f t="shared" si="89"/>
        <v>103</v>
      </c>
      <c r="L2874" s="69">
        <f>VLOOKUP(Table_db1_backend_Daily.accdb[[#This Row],[TradingDate]],canon!B:E,4,0)</f>
        <v>29</v>
      </c>
    </row>
    <row r="2875" spans="1:12" x14ac:dyDescent="0.2">
      <c r="A2875" s="69" t="s">
        <v>45</v>
      </c>
      <c r="B2875" s="70">
        <v>42935</v>
      </c>
      <c r="C2875" s="69">
        <v>-1</v>
      </c>
      <c r="D2875" s="69">
        <v>0</v>
      </c>
      <c r="E2875" s="69">
        <v>0</v>
      </c>
      <c r="F2875" s="69">
        <v>0</v>
      </c>
      <c r="G2875" s="69" t="s">
        <v>29</v>
      </c>
      <c r="H2875" s="69" t="str">
        <f>IFERROR(VLOOKUP(Data!$G2875,canon!$I$2:$K$27,2,FALSE),"")</f>
        <v>SHOES</v>
      </c>
      <c r="I2875" s="69" t="str">
        <f>IFERROR(VLOOKUP(Data!$G2875,canon!$I$2:$K$27,3,FALSE),"")</f>
        <v>N.APPAREL</v>
      </c>
      <c r="J2875" s="69">
        <f t="shared" si="88"/>
        <v>4</v>
      </c>
      <c r="K2875" s="69">
        <f t="shared" si="89"/>
        <v>103</v>
      </c>
      <c r="L2875" s="69">
        <f>VLOOKUP(Table_db1_backend_Daily.accdb[[#This Row],[TradingDate]],canon!B:E,4,0)</f>
        <v>29</v>
      </c>
    </row>
    <row r="2876" spans="1:12" x14ac:dyDescent="0.2">
      <c r="A2876" s="69" t="s">
        <v>45</v>
      </c>
      <c r="B2876" s="70">
        <v>42935</v>
      </c>
      <c r="C2876" s="69">
        <v>628</v>
      </c>
      <c r="D2876" s="69">
        <v>8</v>
      </c>
      <c r="E2876" s="69">
        <v>100</v>
      </c>
      <c r="F2876" s="69">
        <v>38.930000000000007</v>
      </c>
      <c r="G2876" s="69" t="s">
        <v>17</v>
      </c>
      <c r="H2876" s="69" t="str">
        <f>IFERROR(VLOOKUP(Data!$G2876,canon!$I$2:$K$27,2,FALSE),"")</f>
        <v>OUTER</v>
      </c>
      <c r="I2876" s="69" t="str">
        <f>IFERROR(VLOOKUP(Data!$G2876,canon!$I$2:$K$27,3,FALSE),"")</f>
        <v>APPAREL</v>
      </c>
      <c r="J2876" s="69">
        <f t="shared" si="88"/>
        <v>4</v>
      </c>
      <c r="K2876" s="69">
        <f t="shared" si="89"/>
        <v>103</v>
      </c>
      <c r="L2876" s="69">
        <f>VLOOKUP(Table_db1_backend_Daily.accdb[[#This Row],[TradingDate]],canon!B:E,4,0)</f>
        <v>29</v>
      </c>
    </row>
    <row r="2877" spans="1:12" x14ac:dyDescent="0.2">
      <c r="A2877" s="69" t="s">
        <v>45</v>
      </c>
      <c r="B2877" s="70">
        <v>42935</v>
      </c>
      <c r="C2877" s="69">
        <v>268</v>
      </c>
      <c r="D2877" s="69">
        <v>4</v>
      </c>
      <c r="E2877" s="69">
        <v>40.86</v>
      </c>
      <c r="F2877" s="69">
        <v>17.380000000000003</v>
      </c>
      <c r="G2877" s="69" t="s">
        <v>19</v>
      </c>
      <c r="H2877" s="69" t="str">
        <f>IFERROR(VLOOKUP(Data!$G2877,canon!$I$2:$K$27,2,FALSE),"")</f>
        <v>PANT</v>
      </c>
      <c r="I2877" s="69" t="str">
        <f>IFERROR(VLOOKUP(Data!$G2877,canon!$I$2:$K$27,3,FALSE),"")</f>
        <v>APPAREL</v>
      </c>
      <c r="J2877" s="69">
        <f t="shared" si="88"/>
        <v>4</v>
      </c>
      <c r="K2877" s="69">
        <f t="shared" si="89"/>
        <v>103</v>
      </c>
      <c r="L2877" s="69">
        <f>VLOOKUP(Table_db1_backend_Daily.accdb[[#This Row],[TradingDate]],canon!B:E,4,0)</f>
        <v>29</v>
      </c>
    </row>
    <row r="2878" spans="1:12" x14ac:dyDescent="0.2">
      <c r="A2878" s="69" t="s">
        <v>45</v>
      </c>
      <c r="B2878" s="70">
        <v>42935</v>
      </c>
      <c r="C2878" s="69">
        <v>-738</v>
      </c>
      <c r="D2878" s="69">
        <v>8</v>
      </c>
      <c r="E2878" s="69">
        <v>47.11</v>
      </c>
      <c r="F2878" s="69">
        <v>33.75</v>
      </c>
      <c r="G2878" s="69" t="s">
        <v>22</v>
      </c>
      <c r="H2878" s="69" t="str">
        <f>IFERROR(VLOOKUP(Data!$G2878,canon!$I$2:$K$27,2,FALSE),"")</f>
        <v>SCARF</v>
      </c>
      <c r="I2878" s="69" t="str">
        <f>IFERROR(VLOOKUP(Data!$G2878,canon!$I$2:$K$27,3,FALSE),"")</f>
        <v>N.APPAREL</v>
      </c>
      <c r="J2878" s="69">
        <f t="shared" si="88"/>
        <v>4</v>
      </c>
      <c r="K2878" s="69">
        <f t="shared" si="89"/>
        <v>103</v>
      </c>
      <c r="L2878" s="69">
        <f>VLOOKUP(Table_db1_backend_Daily.accdb[[#This Row],[TradingDate]],canon!B:E,4,0)</f>
        <v>29</v>
      </c>
    </row>
    <row r="2879" spans="1:12" x14ac:dyDescent="0.2">
      <c r="A2879" s="69" t="s">
        <v>45</v>
      </c>
      <c r="B2879" s="70">
        <v>42935</v>
      </c>
      <c r="C2879" s="69">
        <v>175</v>
      </c>
      <c r="D2879" s="69">
        <v>2</v>
      </c>
      <c r="E2879" s="69">
        <v>18.18</v>
      </c>
      <c r="F2879" s="69">
        <v>1.22</v>
      </c>
      <c r="G2879" s="69" t="s">
        <v>23</v>
      </c>
      <c r="H2879" s="69" t="str">
        <f>IFERROR(VLOOKUP(Data!$G2879,canon!$I$2:$K$27,2,FALSE),"")</f>
        <v>SH&amp;BL</v>
      </c>
      <c r="I2879" s="69" t="str">
        <f>IFERROR(VLOOKUP(Data!$G2879,canon!$I$2:$K$27,3,FALSE),"")</f>
        <v>APPAREL</v>
      </c>
      <c r="J2879" s="69">
        <f t="shared" si="88"/>
        <v>4</v>
      </c>
      <c r="K2879" s="69">
        <f t="shared" si="89"/>
        <v>103</v>
      </c>
      <c r="L2879" s="69">
        <f>VLOOKUP(Table_db1_backend_Daily.accdb[[#This Row],[TradingDate]],canon!B:E,4,0)</f>
        <v>29</v>
      </c>
    </row>
    <row r="2880" spans="1:12" x14ac:dyDescent="0.2">
      <c r="A2880" s="69" t="s">
        <v>45</v>
      </c>
      <c r="B2880" s="70">
        <v>42935</v>
      </c>
      <c r="C2880" s="69">
        <v>357</v>
      </c>
      <c r="D2880" s="69">
        <v>6</v>
      </c>
      <c r="E2880" s="69">
        <v>72.7</v>
      </c>
      <c r="F2880" s="69">
        <v>37.809999999999995</v>
      </c>
      <c r="G2880" s="69" t="s">
        <v>32</v>
      </c>
      <c r="H2880" s="69" t="str">
        <f>IFERROR(VLOOKUP(Data!$G2880,canon!$I$2:$K$27,2,FALSE),"")</f>
        <v>SKIRT</v>
      </c>
      <c r="I2880" s="69" t="str">
        <f>IFERROR(VLOOKUP(Data!$G2880,canon!$I$2:$K$27,3,FALSE),"")</f>
        <v>APPAREL</v>
      </c>
      <c r="J2880" s="69">
        <f t="shared" si="88"/>
        <v>4</v>
      </c>
      <c r="K2880" s="69">
        <f t="shared" si="89"/>
        <v>103</v>
      </c>
      <c r="L2880" s="69">
        <f>VLOOKUP(Table_db1_backend_Daily.accdb[[#This Row],[TradingDate]],canon!B:E,4,0)</f>
        <v>29</v>
      </c>
    </row>
    <row r="2881" spans="1:12" x14ac:dyDescent="0.2">
      <c r="A2881" s="69" t="s">
        <v>45</v>
      </c>
      <c r="B2881" s="70">
        <v>42935</v>
      </c>
      <c r="C2881" s="69">
        <v>2497</v>
      </c>
      <c r="D2881" s="69">
        <v>14</v>
      </c>
      <c r="E2881" s="69">
        <v>149.87</v>
      </c>
      <c r="F2881" s="69">
        <v>73.91</v>
      </c>
      <c r="G2881" s="69" t="s">
        <v>25</v>
      </c>
      <c r="H2881" s="69" t="str">
        <f>IFERROR(VLOOKUP(Data!$G2881,canon!$I$2:$K$27,2,FALSE),"")</f>
        <v>TOP</v>
      </c>
      <c r="I2881" s="69" t="str">
        <f>IFERROR(VLOOKUP(Data!$G2881,canon!$I$2:$K$27,3,FALSE),"")</f>
        <v>APPAREL</v>
      </c>
      <c r="J2881" s="69">
        <f t="shared" si="88"/>
        <v>4</v>
      </c>
      <c r="K2881" s="69">
        <f t="shared" si="89"/>
        <v>103</v>
      </c>
      <c r="L2881" s="69">
        <f>VLOOKUP(Table_db1_backend_Daily.accdb[[#This Row],[TradingDate]],canon!B:E,4,0)</f>
        <v>29</v>
      </c>
    </row>
    <row r="2882" spans="1:12" x14ac:dyDescent="0.2">
      <c r="A2882" s="69" t="s">
        <v>45</v>
      </c>
      <c r="B2882" s="70">
        <v>42936</v>
      </c>
      <c r="C2882" s="69">
        <v>-34</v>
      </c>
      <c r="D2882" s="69">
        <v>0</v>
      </c>
      <c r="E2882" s="69">
        <v>0</v>
      </c>
      <c r="F2882" s="69">
        <v>0</v>
      </c>
      <c r="G2882" s="69" t="s">
        <v>34</v>
      </c>
      <c r="H2882" s="69" t="str">
        <f>IFERROR(VLOOKUP(Data!$G2882,canon!$I$2:$K$27,2,FALSE),"")</f>
        <v>SHOES</v>
      </c>
      <c r="I2882" s="69" t="str">
        <f>IFERROR(VLOOKUP(Data!$G2882,canon!$I$2:$K$27,3,FALSE),"")</f>
        <v>N.APPAREL</v>
      </c>
      <c r="J2882" s="69">
        <f t="shared" ref="J2882:J2945" si="90">WEEKDAY(B2882)</f>
        <v>5</v>
      </c>
      <c r="K2882" s="69">
        <f t="shared" ref="K2882:K2945" si="91">INT(A2882)</f>
        <v>103</v>
      </c>
      <c r="L2882" s="69">
        <f>VLOOKUP(Table_db1_backend_Daily.accdb[[#This Row],[TradingDate]],canon!B:E,4,0)</f>
        <v>29</v>
      </c>
    </row>
    <row r="2883" spans="1:12" x14ac:dyDescent="0.2">
      <c r="A2883" s="69" t="s">
        <v>45</v>
      </c>
      <c r="B2883" s="70">
        <v>42936</v>
      </c>
      <c r="C2883" s="69">
        <v>505</v>
      </c>
      <c r="D2883" s="69">
        <v>12</v>
      </c>
      <c r="E2883" s="69">
        <v>145.43</v>
      </c>
      <c r="F2883" s="69">
        <v>44.77</v>
      </c>
      <c r="G2883" s="69" t="s">
        <v>35</v>
      </c>
      <c r="H2883" s="69" t="str">
        <f>IFERROR(VLOOKUP(Data!$G2883,canon!$I$2:$K$27,2,FALSE),"")</f>
        <v>DRESS</v>
      </c>
      <c r="I2883" s="69" t="str">
        <f>IFERROR(VLOOKUP(Data!$G2883,canon!$I$2:$K$27,3,FALSE),"")</f>
        <v>APPAREL</v>
      </c>
      <c r="J2883" s="69">
        <f t="shared" si="90"/>
        <v>5</v>
      </c>
      <c r="K2883" s="69">
        <f t="shared" si="91"/>
        <v>103</v>
      </c>
      <c r="L2883" s="69">
        <f>VLOOKUP(Table_db1_backend_Daily.accdb[[#This Row],[TradingDate]],canon!B:E,4,0)</f>
        <v>29</v>
      </c>
    </row>
    <row r="2884" spans="1:12" x14ac:dyDescent="0.2">
      <c r="A2884" s="69" t="s">
        <v>45</v>
      </c>
      <c r="B2884" s="70">
        <v>42936</v>
      </c>
      <c r="C2884" s="69">
        <v>464</v>
      </c>
      <c r="D2884" s="69">
        <v>0</v>
      </c>
      <c r="E2884" s="69">
        <v>0</v>
      </c>
      <c r="F2884" s="69">
        <v>0</v>
      </c>
      <c r="G2884" s="69" t="s">
        <v>10</v>
      </c>
      <c r="H2884" s="69" t="str">
        <f>IFERROR(VLOOKUP(Data!$G2884,canon!$I$2:$K$27,2,FALSE),"")</f>
        <v>ACCESSORY</v>
      </c>
      <c r="I2884" s="69" t="str">
        <f>IFERROR(VLOOKUP(Data!$G2884,canon!$I$2:$K$27,3,FALSE),"")</f>
        <v>N.APPAREL</v>
      </c>
      <c r="J2884" s="69">
        <f t="shared" si="90"/>
        <v>5</v>
      </c>
      <c r="K2884" s="69">
        <f t="shared" si="91"/>
        <v>103</v>
      </c>
      <c r="L2884" s="69">
        <f>VLOOKUP(Table_db1_backend_Daily.accdb[[#This Row],[TradingDate]],canon!B:E,4,0)</f>
        <v>29</v>
      </c>
    </row>
    <row r="2885" spans="1:12" x14ac:dyDescent="0.2">
      <c r="A2885" s="69" t="s">
        <v>45</v>
      </c>
      <c r="B2885" s="70">
        <v>42936</v>
      </c>
      <c r="C2885" s="69">
        <v>2345</v>
      </c>
      <c r="D2885" s="69">
        <v>112</v>
      </c>
      <c r="E2885" s="69">
        <v>1167.9699999999996</v>
      </c>
      <c r="F2885" s="69">
        <v>258.85000000000002</v>
      </c>
      <c r="G2885" s="69" t="s">
        <v>11</v>
      </c>
      <c r="H2885" s="69" t="str">
        <f>IFERROR(VLOOKUP(Data!$G2885,canon!$I$2:$K$27,2,FALSE),"")</f>
        <v>KNIT</v>
      </c>
      <c r="I2885" s="69" t="str">
        <f>IFERROR(VLOOKUP(Data!$G2885,canon!$I$2:$K$27,3,FALSE),"")</f>
        <v>APPAREL</v>
      </c>
      <c r="J2885" s="69">
        <f t="shared" si="90"/>
        <v>5</v>
      </c>
      <c r="K2885" s="69">
        <f t="shared" si="91"/>
        <v>103</v>
      </c>
      <c r="L2885" s="69">
        <f>VLOOKUP(Table_db1_backend_Daily.accdb[[#This Row],[TradingDate]],canon!B:E,4,0)</f>
        <v>29</v>
      </c>
    </row>
    <row r="2886" spans="1:12" x14ac:dyDescent="0.2">
      <c r="A2886" s="69" t="s">
        <v>45</v>
      </c>
      <c r="B2886" s="70">
        <v>42936</v>
      </c>
      <c r="C2886" s="69">
        <v>365</v>
      </c>
      <c r="D2886" s="69">
        <v>7</v>
      </c>
      <c r="E2886" s="69">
        <v>99.910000000000011</v>
      </c>
      <c r="F2886" s="69">
        <v>52.420000000000009</v>
      </c>
      <c r="G2886" s="69" t="s">
        <v>14</v>
      </c>
      <c r="H2886" s="69" t="str">
        <f>IFERROR(VLOOKUP(Data!$G2886,canon!$I$2:$K$27,2,FALSE),"")</f>
        <v>LEGGING</v>
      </c>
      <c r="I2886" s="69" t="str">
        <f>IFERROR(VLOOKUP(Data!$G2886,canon!$I$2:$K$27,3,FALSE),"")</f>
        <v>APPAREL</v>
      </c>
      <c r="J2886" s="69">
        <f t="shared" si="90"/>
        <v>5</v>
      </c>
      <c r="K2886" s="69">
        <f t="shared" si="91"/>
        <v>103</v>
      </c>
      <c r="L2886" s="69">
        <f>VLOOKUP(Table_db1_backend_Daily.accdb[[#This Row],[TradingDate]],canon!B:E,4,0)</f>
        <v>29</v>
      </c>
    </row>
    <row r="2887" spans="1:12" x14ac:dyDescent="0.2">
      <c r="A2887" s="69" t="s">
        <v>45</v>
      </c>
      <c r="B2887" s="70">
        <v>42936</v>
      </c>
      <c r="C2887" s="69">
        <v>-116</v>
      </c>
      <c r="D2887" s="69">
        <v>0</v>
      </c>
      <c r="E2887" s="69">
        <v>0</v>
      </c>
      <c r="F2887" s="69">
        <v>0</v>
      </c>
      <c r="G2887" s="69" t="s">
        <v>37</v>
      </c>
      <c r="H2887" s="69" t="str">
        <f>IFERROR(VLOOKUP(Data!$G2887,canon!$I$2:$K$27,2,FALSE),"")</f>
        <v>SHOES</v>
      </c>
      <c r="I2887" s="69" t="str">
        <f>IFERROR(VLOOKUP(Data!$G2887,canon!$I$2:$K$27,3,FALSE),"")</f>
        <v>N.APPAREL</v>
      </c>
      <c r="J2887" s="69">
        <f t="shared" si="90"/>
        <v>5</v>
      </c>
      <c r="K2887" s="69">
        <f t="shared" si="91"/>
        <v>103</v>
      </c>
      <c r="L2887" s="69">
        <f>VLOOKUP(Table_db1_backend_Daily.accdb[[#This Row],[TradingDate]],canon!B:E,4,0)</f>
        <v>29</v>
      </c>
    </row>
    <row r="2888" spans="1:12" x14ac:dyDescent="0.2">
      <c r="A2888" s="69" t="s">
        <v>45</v>
      </c>
      <c r="B2888" s="70">
        <v>42936</v>
      </c>
      <c r="C2888" s="69">
        <v>-1</v>
      </c>
      <c r="D2888" s="69">
        <v>0</v>
      </c>
      <c r="E2888" s="69">
        <v>0</v>
      </c>
      <c r="F2888" s="69">
        <v>0</v>
      </c>
      <c r="G2888" s="69" t="s">
        <v>29</v>
      </c>
      <c r="H2888" s="69" t="str">
        <f>IFERROR(VLOOKUP(Data!$G2888,canon!$I$2:$K$27,2,FALSE),"")</f>
        <v>SHOES</v>
      </c>
      <c r="I2888" s="69" t="str">
        <f>IFERROR(VLOOKUP(Data!$G2888,canon!$I$2:$K$27,3,FALSE),"")</f>
        <v>N.APPAREL</v>
      </c>
      <c r="J2888" s="69">
        <f t="shared" si="90"/>
        <v>5</v>
      </c>
      <c r="K2888" s="69">
        <f t="shared" si="91"/>
        <v>103</v>
      </c>
      <c r="L2888" s="69">
        <f>VLOOKUP(Table_db1_backend_Daily.accdb[[#This Row],[TradingDate]],canon!B:E,4,0)</f>
        <v>29</v>
      </c>
    </row>
    <row r="2889" spans="1:12" x14ac:dyDescent="0.2">
      <c r="A2889" s="69" t="s">
        <v>45</v>
      </c>
      <c r="B2889" s="70">
        <v>42936</v>
      </c>
      <c r="C2889" s="69">
        <v>593</v>
      </c>
      <c r="D2889" s="69">
        <v>35</v>
      </c>
      <c r="E2889" s="69">
        <v>545.31999999999994</v>
      </c>
      <c r="F2889" s="69">
        <v>235.76000000000002</v>
      </c>
      <c r="G2889" s="69" t="s">
        <v>17</v>
      </c>
      <c r="H2889" s="69" t="str">
        <f>IFERROR(VLOOKUP(Data!$G2889,canon!$I$2:$K$27,2,FALSE),"")</f>
        <v>OUTER</v>
      </c>
      <c r="I2889" s="69" t="str">
        <f>IFERROR(VLOOKUP(Data!$G2889,canon!$I$2:$K$27,3,FALSE),"")</f>
        <v>APPAREL</v>
      </c>
      <c r="J2889" s="69">
        <f t="shared" si="90"/>
        <v>5</v>
      </c>
      <c r="K2889" s="69">
        <f t="shared" si="91"/>
        <v>103</v>
      </c>
      <c r="L2889" s="69">
        <f>VLOOKUP(Table_db1_backend_Daily.accdb[[#This Row],[TradingDate]],canon!B:E,4,0)</f>
        <v>29</v>
      </c>
    </row>
    <row r="2890" spans="1:12" x14ac:dyDescent="0.2">
      <c r="A2890" s="69" t="s">
        <v>45</v>
      </c>
      <c r="B2890" s="70">
        <v>42936</v>
      </c>
      <c r="C2890" s="69">
        <v>264</v>
      </c>
      <c r="D2890" s="69">
        <v>4</v>
      </c>
      <c r="E2890" s="69">
        <v>31.82</v>
      </c>
      <c r="F2890" s="69">
        <v>11.17</v>
      </c>
      <c r="G2890" s="69" t="s">
        <v>19</v>
      </c>
      <c r="H2890" s="69" t="str">
        <f>IFERROR(VLOOKUP(Data!$G2890,canon!$I$2:$K$27,2,FALSE),"")</f>
        <v>PANT</v>
      </c>
      <c r="I2890" s="69" t="str">
        <f>IFERROR(VLOOKUP(Data!$G2890,canon!$I$2:$K$27,3,FALSE),"")</f>
        <v>APPAREL</v>
      </c>
      <c r="J2890" s="69">
        <f t="shared" si="90"/>
        <v>5</v>
      </c>
      <c r="K2890" s="69">
        <f t="shared" si="91"/>
        <v>103</v>
      </c>
      <c r="L2890" s="69">
        <f>VLOOKUP(Table_db1_backend_Daily.accdb[[#This Row],[TradingDate]],canon!B:E,4,0)</f>
        <v>29</v>
      </c>
    </row>
    <row r="2891" spans="1:12" x14ac:dyDescent="0.2">
      <c r="A2891" s="69" t="s">
        <v>45</v>
      </c>
      <c r="B2891" s="70">
        <v>42936</v>
      </c>
      <c r="C2891" s="69">
        <v>-759</v>
      </c>
      <c r="D2891" s="69">
        <v>21</v>
      </c>
      <c r="E2891" s="69">
        <v>103.54999999999998</v>
      </c>
      <c r="F2891" s="69">
        <v>67.600000000000009</v>
      </c>
      <c r="G2891" s="69" t="s">
        <v>22</v>
      </c>
      <c r="H2891" s="69" t="str">
        <f>IFERROR(VLOOKUP(Data!$G2891,canon!$I$2:$K$27,2,FALSE),"")</f>
        <v>SCARF</v>
      </c>
      <c r="I2891" s="69" t="str">
        <f>IFERROR(VLOOKUP(Data!$G2891,canon!$I$2:$K$27,3,FALSE),"")</f>
        <v>N.APPAREL</v>
      </c>
      <c r="J2891" s="69">
        <f t="shared" si="90"/>
        <v>5</v>
      </c>
      <c r="K2891" s="69">
        <f t="shared" si="91"/>
        <v>103</v>
      </c>
      <c r="L2891" s="69">
        <f>VLOOKUP(Table_db1_backend_Daily.accdb[[#This Row],[TradingDate]],canon!B:E,4,0)</f>
        <v>29</v>
      </c>
    </row>
    <row r="2892" spans="1:12" x14ac:dyDescent="0.2">
      <c r="A2892" s="69" t="s">
        <v>45</v>
      </c>
      <c r="B2892" s="70">
        <v>42936</v>
      </c>
      <c r="C2892" s="69">
        <v>172</v>
      </c>
      <c r="D2892" s="69">
        <v>3</v>
      </c>
      <c r="E2892" s="69">
        <v>27.27</v>
      </c>
      <c r="F2892" s="69">
        <v>8.0299999999999994</v>
      </c>
      <c r="G2892" s="69" t="s">
        <v>23</v>
      </c>
      <c r="H2892" s="69" t="str">
        <f>IFERROR(VLOOKUP(Data!$G2892,canon!$I$2:$K$27,2,FALSE),"")</f>
        <v>SH&amp;BL</v>
      </c>
      <c r="I2892" s="69" t="str">
        <f>IFERROR(VLOOKUP(Data!$G2892,canon!$I$2:$K$27,3,FALSE),"")</f>
        <v>APPAREL</v>
      </c>
      <c r="J2892" s="69">
        <f t="shared" si="90"/>
        <v>5</v>
      </c>
      <c r="K2892" s="69">
        <f t="shared" si="91"/>
        <v>103</v>
      </c>
      <c r="L2892" s="69">
        <f>VLOOKUP(Table_db1_backend_Daily.accdb[[#This Row],[TradingDate]],canon!B:E,4,0)</f>
        <v>29</v>
      </c>
    </row>
    <row r="2893" spans="1:12" x14ac:dyDescent="0.2">
      <c r="A2893" s="69" t="s">
        <v>45</v>
      </c>
      <c r="B2893" s="70">
        <v>42936</v>
      </c>
      <c r="C2893" s="69">
        <v>355</v>
      </c>
      <c r="D2893" s="69">
        <v>2</v>
      </c>
      <c r="E2893" s="69">
        <v>36.340000000000003</v>
      </c>
      <c r="F2893" s="69">
        <v>26.560000000000002</v>
      </c>
      <c r="G2893" s="69" t="s">
        <v>32</v>
      </c>
      <c r="H2893" s="69" t="str">
        <f>IFERROR(VLOOKUP(Data!$G2893,canon!$I$2:$K$27,2,FALSE),"")</f>
        <v>SKIRT</v>
      </c>
      <c r="I2893" s="69" t="str">
        <f>IFERROR(VLOOKUP(Data!$G2893,canon!$I$2:$K$27,3,FALSE),"")</f>
        <v>APPAREL</v>
      </c>
      <c r="J2893" s="69">
        <f t="shared" si="90"/>
        <v>5</v>
      </c>
      <c r="K2893" s="69">
        <f t="shared" si="91"/>
        <v>103</v>
      </c>
      <c r="L2893" s="69">
        <f>VLOOKUP(Table_db1_backend_Daily.accdb[[#This Row],[TradingDate]],canon!B:E,4,0)</f>
        <v>29</v>
      </c>
    </row>
    <row r="2894" spans="1:12" x14ac:dyDescent="0.2">
      <c r="A2894" s="69" t="s">
        <v>45</v>
      </c>
      <c r="B2894" s="70">
        <v>42936</v>
      </c>
      <c r="C2894" s="69">
        <v>2477</v>
      </c>
      <c r="D2894" s="69">
        <v>20</v>
      </c>
      <c r="E2894" s="69">
        <v>186.35000000000002</v>
      </c>
      <c r="F2894" s="69">
        <v>92.460000000000008</v>
      </c>
      <c r="G2894" s="69" t="s">
        <v>25</v>
      </c>
      <c r="H2894" s="69" t="str">
        <f>IFERROR(VLOOKUP(Data!$G2894,canon!$I$2:$K$27,2,FALSE),"")</f>
        <v>TOP</v>
      </c>
      <c r="I2894" s="69" t="str">
        <f>IFERROR(VLOOKUP(Data!$G2894,canon!$I$2:$K$27,3,FALSE),"")</f>
        <v>APPAREL</v>
      </c>
      <c r="J2894" s="69">
        <f t="shared" si="90"/>
        <v>5</v>
      </c>
      <c r="K2894" s="69">
        <f t="shared" si="91"/>
        <v>103</v>
      </c>
      <c r="L2894" s="69">
        <f>VLOOKUP(Table_db1_backend_Daily.accdb[[#This Row],[TradingDate]],canon!B:E,4,0)</f>
        <v>29</v>
      </c>
    </row>
    <row r="2895" spans="1:12" x14ac:dyDescent="0.2">
      <c r="A2895" s="69" t="s">
        <v>45</v>
      </c>
      <c r="B2895" s="70">
        <v>42937</v>
      </c>
      <c r="C2895" s="69">
        <v>-34</v>
      </c>
      <c r="D2895" s="69">
        <v>0</v>
      </c>
      <c r="E2895" s="69">
        <v>0</v>
      </c>
      <c r="F2895" s="69">
        <v>0</v>
      </c>
      <c r="G2895" s="69" t="s">
        <v>34</v>
      </c>
      <c r="H2895" s="69" t="str">
        <f>IFERROR(VLOOKUP(Data!$G2895,canon!$I$2:$K$27,2,FALSE),"")</f>
        <v>SHOES</v>
      </c>
      <c r="I2895" s="69" t="str">
        <f>IFERROR(VLOOKUP(Data!$G2895,canon!$I$2:$K$27,3,FALSE),"")</f>
        <v>N.APPAREL</v>
      </c>
      <c r="J2895" s="69">
        <f t="shared" si="90"/>
        <v>6</v>
      </c>
      <c r="K2895" s="69">
        <f t="shared" si="91"/>
        <v>103</v>
      </c>
      <c r="L2895" s="69">
        <f>VLOOKUP(Table_db1_backend_Daily.accdb[[#This Row],[TradingDate]],canon!B:E,4,0)</f>
        <v>29</v>
      </c>
    </row>
    <row r="2896" spans="1:12" x14ac:dyDescent="0.2">
      <c r="A2896" s="69" t="s">
        <v>45</v>
      </c>
      <c r="B2896" s="70">
        <v>42937</v>
      </c>
      <c r="C2896" s="69">
        <v>496</v>
      </c>
      <c r="D2896" s="69">
        <v>9</v>
      </c>
      <c r="E2896" s="69">
        <v>86.38</v>
      </c>
      <c r="F2896" s="69">
        <v>24.740000000000006</v>
      </c>
      <c r="G2896" s="69" t="s">
        <v>35</v>
      </c>
      <c r="H2896" s="69" t="str">
        <f>IFERROR(VLOOKUP(Data!$G2896,canon!$I$2:$K$27,2,FALSE),"")</f>
        <v>DRESS</v>
      </c>
      <c r="I2896" s="69" t="str">
        <f>IFERROR(VLOOKUP(Data!$G2896,canon!$I$2:$K$27,3,FALSE),"")</f>
        <v>APPAREL</v>
      </c>
      <c r="J2896" s="69">
        <f t="shared" si="90"/>
        <v>6</v>
      </c>
      <c r="K2896" s="69">
        <f t="shared" si="91"/>
        <v>103</v>
      </c>
      <c r="L2896" s="69">
        <f>VLOOKUP(Table_db1_backend_Daily.accdb[[#This Row],[TradingDate]],canon!B:E,4,0)</f>
        <v>29</v>
      </c>
    </row>
    <row r="2897" spans="1:12" x14ac:dyDescent="0.2">
      <c r="A2897" s="69" t="s">
        <v>45</v>
      </c>
      <c r="B2897" s="70">
        <v>42937</v>
      </c>
      <c r="C2897" s="69">
        <v>464</v>
      </c>
      <c r="D2897" s="69">
        <v>0</v>
      </c>
      <c r="E2897" s="69">
        <v>0</v>
      </c>
      <c r="F2897" s="69">
        <v>0</v>
      </c>
      <c r="G2897" s="69" t="s">
        <v>10</v>
      </c>
      <c r="H2897" s="69" t="str">
        <f>IFERROR(VLOOKUP(Data!$G2897,canon!$I$2:$K$27,2,FALSE),"")</f>
        <v>ACCESSORY</v>
      </c>
      <c r="I2897" s="69" t="str">
        <f>IFERROR(VLOOKUP(Data!$G2897,canon!$I$2:$K$27,3,FALSE),"")</f>
        <v>N.APPAREL</v>
      </c>
      <c r="J2897" s="69">
        <f t="shared" si="90"/>
        <v>6</v>
      </c>
      <c r="K2897" s="69">
        <f t="shared" si="91"/>
        <v>103</v>
      </c>
      <c r="L2897" s="69">
        <f>VLOOKUP(Table_db1_backend_Daily.accdb[[#This Row],[TradingDate]],canon!B:E,4,0)</f>
        <v>29</v>
      </c>
    </row>
    <row r="2898" spans="1:12" x14ac:dyDescent="0.2">
      <c r="A2898" s="69" t="s">
        <v>45</v>
      </c>
      <c r="B2898" s="70">
        <v>42937</v>
      </c>
      <c r="C2898" s="69">
        <v>2273</v>
      </c>
      <c r="D2898" s="69">
        <v>67</v>
      </c>
      <c r="E2898" s="69">
        <v>754.50999999999988</v>
      </c>
      <c r="F2898" s="69">
        <v>202.63999999999993</v>
      </c>
      <c r="G2898" s="69" t="s">
        <v>11</v>
      </c>
      <c r="H2898" s="69" t="str">
        <f>IFERROR(VLOOKUP(Data!$G2898,canon!$I$2:$K$27,2,FALSE),"")</f>
        <v>KNIT</v>
      </c>
      <c r="I2898" s="69" t="str">
        <f>IFERROR(VLOOKUP(Data!$G2898,canon!$I$2:$K$27,3,FALSE),"")</f>
        <v>APPAREL</v>
      </c>
      <c r="J2898" s="69">
        <f t="shared" si="90"/>
        <v>6</v>
      </c>
      <c r="K2898" s="69">
        <f t="shared" si="91"/>
        <v>103</v>
      </c>
      <c r="L2898" s="69">
        <f>VLOOKUP(Table_db1_backend_Daily.accdb[[#This Row],[TradingDate]],canon!B:E,4,0)</f>
        <v>29</v>
      </c>
    </row>
    <row r="2899" spans="1:12" x14ac:dyDescent="0.2">
      <c r="A2899" s="69" t="s">
        <v>45</v>
      </c>
      <c r="B2899" s="70">
        <v>42937</v>
      </c>
      <c r="C2899" s="69">
        <v>363</v>
      </c>
      <c r="D2899" s="69">
        <v>2</v>
      </c>
      <c r="E2899" s="69">
        <v>36.31</v>
      </c>
      <c r="F2899" s="69">
        <v>23.37</v>
      </c>
      <c r="G2899" s="69" t="s">
        <v>14</v>
      </c>
      <c r="H2899" s="69" t="str">
        <f>IFERROR(VLOOKUP(Data!$G2899,canon!$I$2:$K$27,2,FALSE),"")</f>
        <v>LEGGING</v>
      </c>
      <c r="I2899" s="69" t="str">
        <f>IFERROR(VLOOKUP(Data!$G2899,canon!$I$2:$K$27,3,FALSE),"")</f>
        <v>APPAREL</v>
      </c>
      <c r="J2899" s="69">
        <f t="shared" si="90"/>
        <v>6</v>
      </c>
      <c r="K2899" s="69">
        <f t="shared" si="91"/>
        <v>103</v>
      </c>
      <c r="L2899" s="69">
        <f>VLOOKUP(Table_db1_backend_Daily.accdb[[#This Row],[TradingDate]],canon!B:E,4,0)</f>
        <v>29</v>
      </c>
    </row>
    <row r="2900" spans="1:12" x14ac:dyDescent="0.2">
      <c r="A2900" s="69" t="s">
        <v>45</v>
      </c>
      <c r="B2900" s="70">
        <v>42937</v>
      </c>
      <c r="C2900" s="69">
        <v>-116</v>
      </c>
      <c r="D2900" s="69">
        <v>0</v>
      </c>
      <c r="E2900" s="69">
        <v>0</v>
      </c>
      <c r="F2900" s="69">
        <v>0</v>
      </c>
      <c r="G2900" s="69" t="s">
        <v>37</v>
      </c>
      <c r="H2900" s="69" t="str">
        <f>IFERROR(VLOOKUP(Data!$G2900,canon!$I$2:$K$27,2,FALSE),"")</f>
        <v>SHOES</v>
      </c>
      <c r="I2900" s="69" t="str">
        <f>IFERROR(VLOOKUP(Data!$G2900,canon!$I$2:$K$27,3,FALSE),"")</f>
        <v>N.APPAREL</v>
      </c>
      <c r="J2900" s="69">
        <f t="shared" si="90"/>
        <v>6</v>
      </c>
      <c r="K2900" s="69">
        <f t="shared" si="91"/>
        <v>103</v>
      </c>
      <c r="L2900" s="69">
        <f>VLOOKUP(Table_db1_backend_Daily.accdb[[#This Row],[TradingDate]],canon!B:E,4,0)</f>
        <v>29</v>
      </c>
    </row>
    <row r="2901" spans="1:12" x14ac:dyDescent="0.2">
      <c r="A2901" s="69" t="s">
        <v>45</v>
      </c>
      <c r="B2901" s="70">
        <v>42937</v>
      </c>
      <c r="C2901" s="69">
        <v>-1</v>
      </c>
      <c r="D2901" s="69">
        <v>0</v>
      </c>
      <c r="E2901" s="69">
        <v>0</v>
      </c>
      <c r="F2901" s="69">
        <v>0</v>
      </c>
      <c r="G2901" s="69" t="s">
        <v>29</v>
      </c>
      <c r="H2901" s="69" t="str">
        <f>IFERROR(VLOOKUP(Data!$G2901,canon!$I$2:$K$27,2,FALSE),"")</f>
        <v>SHOES</v>
      </c>
      <c r="I2901" s="69" t="str">
        <f>IFERROR(VLOOKUP(Data!$G2901,canon!$I$2:$K$27,3,FALSE),"")</f>
        <v>N.APPAREL</v>
      </c>
      <c r="J2901" s="69">
        <f t="shared" si="90"/>
        <v>6</v>
      </c>
      <c r="K2901" s="69">
        <f t="shared" si="91"/>
        <v>103</v>
      </c>
      <c r="L2901" s="69">
        <f>VLOOKUP(Table_db1_backend_Daily.accdb[[#This Row],[TradingDate]],canon!B:E,4,0)</f>
        <v>29</v>
      </c>
    </row>
    <row r="2902" spans="1:12" x14ac:dyDescent="0.2">
      <c r="A2902" s="69" t="s">
        <v>45</v>
      </c>
      <c r="B2902" s="70">
        <v>42937</v>
      </c>
      <c r="C2902" s="69">
        <v>581</v>
      </c>
      <c r="D2902" s="69">
        <v>11</v>
      </c>
      <c r="E2902" s="69">
        <v>154.53000000000003</v>
      </c>
      <c r="F2902" s="69">
        <v>57.599999999999994</v>
      </c>
      <c r="G2902" s="69" t="s">
        <v>17</v>
      </c>
      <c r="H2902" s="69" t="str">
        <f>IFERROR(VLOOKUP(Data!$G2902,canon!$I$2:$K$27,2,FALSE),"")</f>
        <v>OUTER</v>
      </c>
      <c r="I2902" s="69" t="str">
        <f>IFERROR(VLOOKUP(Data!$G2902,canon!$I$2:$K$27,3,FALSE),"")</f>
        <v>APPAREL</v>
      </c>
      <c r="J2902" s="69">
        <f t="shared" si="90"/>
        <v>6</v>
      </c>
      <c r="K2902" s="69">
        <f t="shared" si="91"/>
        <v>103</v>
      </c>
      <c r="L2902" s="69">
        <f>VLOOKUP(Table_db1_backend_Daily.accdb[[#This Row],[TradingDate]],canon!B:E,4,0)</f>
        <v>29</v>
      </c>
    </row>
    <row r="2903" spans="1:12" x14ac:dyDescent="0.2">
      <c r="A2903" s="69" t="s">
        <v>45</v>
      </c>
      <c r="B2903" s="70">
        <v>42937</v>
      </c>
      <c r="C2903" s="69">
        <v>261</v>
      </c>
      <c r="D2903" s="69">
        <v>2</v>
      </c>
      <c r="E2903" s="69">
        <v>27.27</v>
      </c>
      <c r="F2903" s="69">
        <v>12.27</v>
      </c>
      <c r="G2903" s="69" t="s">
        <v>19</v>
      </c>
      <c r="H2903" s="69" t="str">
        <f>IFERROR(VLOOKUP(Data!$G2903,canon!$I$2:$K$27,2,FALSE),"")</f>
        <v>PANT</v>
      </c>
      <c r="I2903" s="69" t="str">
        <f>IFERROR(VLOOKUP(Data!$G2903,canon!$I$2:$K$27,3,FALSE),"")</f>
        <v>APPAREL</v>
      </c>
      <c r="J2903" s="69">
        <f t="shared" si="90"/>
        <v>6</v>
      </c>
      <c r="K2903" s="69">
        <f t="shared" si="91"/>
        <v>103</v>
      </c>
      <c r="L2903" s="69">
        <f>VLOOKUP(Table_db1_backend_Daily.accdb[[#This Row],[TradingDate]],canon!B:E,4,0)</f>
        <v>29</v>
      </c>
    </row>
    <row r="2904" spans="1:12" x14ac:dyDescent="0.2">
      <c r="A2904" s="69" t="s">
        <v>45</v>
      </c>
      <c r="B2904" s="70">
        <v>42937</v>
      </c>
      <c r="C2904" s="69">
        <v>-771</v>
      </c>
      <c r="D2904" s="69">
        <v>12</v>
      </c>
      <c r="E2904" s="69">
        <v>76.03</v>
      </c>
      <c r="F2904" s="69">
        <v>52.800000000000004</v>
      </c>
      <c r="G2904" s="69" t="s">
        <v>22</v>
      </c>
      <c r="H2904" s="69" t="str">
        <f>IFERROR(VLOOKUP(Data!$G2904,canon!$I$2:$K$27,2,FALSE),"")</f>
        <v>SCARF</v>
      </c>
      <c r="I2904" s="69" t="str">
        <f>IFERROR(VLOOKUP(Data!$G2904,canon!$I$2:$K$27,3,FALSE),"")</f>
        <v>N.APPAREL</v>
      </c>
      <c r="J2904" s="69">
        <f t="shared" si="90"/>
        <v>6</v>
      </c>
      <c r="K2904" s="69">
        <f t="shared" si="91"/>
        <v>103</v>
      </c>
      <c r="L2904" s="69">
        <f>VLOOKUP(Table_db1_backend_Daily.accdb[[#This Row],[TradingDate]],canon!B:E,4,0)</f>
        <v>29</v>
      </c>
    </row>
    <row r="2905" spans="1:12" x14ac:dyDescent="0.2">
      <c r="A2905" s="69" t="s">
        <v>45</v>
      </c>
      <c r="B2905" s="70">
        <v>42937</v>
      </c>
      <c r="C2905" s="69">
        <v>169</v>
      </c>
      <c r="D2905" s="69">
        <v>3</v>
      </c>
      <c r="E2905" s="69">
        <v>22.73</v>
      </c>
      <c r="F2905" s="69">
        <v>-2.06</v>
      </c>
      <c r="G2905" s="69" t="s">
        <v>23</v>
      </c>
      <c r="H2905" s="69" t="str">
        <f>IFERROR(VLOOKUP(Data!$G2905,canon!$I$2:$K$27,2,FALSE),"")</f>
        <v>SH&amp;BL</v>
      </c>
      <c r="I2905" s="69" t="str">
        <f>IFERROR(VLOOKUP(Data!$G2905,canon!$I$2:$K$27,3,FALSE),"")</f>
        <v>APPAREL</v>
      </c>
      <c r="J2905" s="69">
        <f t="shared" si="90"/>
        <v>6</v>
      </c>
      <c r="K2905" s="69">
        <f t="shared" si="91"/>
        <v>103</v>
      </c>
      <c r="L2905" s="69">
        <f>VLOOKUP(Table_db1_backend_Daily.accdb[[#This Row],[TradingDate]],canon!B:E,4,0)</f>
        <v>29</v>
      </c>
    </row>
    <row r="2906" spans="1:12" x14ac:dyDescent="0.2">
      <c r="A2906" s="69" t="s">
        <v>45</v>
      </c>
      <c r="B2906" s="70">
        <v>42937</v>
      </c>
      <c r="C2906" s="69">
        <v>348</v>
      </c>
      <c r="D2906" s="69">
        <v>5</v>
      </c>
      <c r="E2906" s="69">
        <v>81.77</v>
      </c>
      <c r="F2906" s="69">
        <v>56.76</v>
      </c>
      <c r="G2906" s="69" t="s">
        <v>32</v>
      </c>
      <c r="H2906" s="69" t="str">
        <f>IFERROR(VLOOKUP(Data!$G2906,canon!$I$2:$K$27,2,FALSE),"")</f>
        <v>SKIRT</v>
      </c>
      <c r="I2906" s="69" t="str">
        <f>IFERROR(VLOOKUP(Data!$G2906,canon!$I$2:$K$27,3,FALSE),"")</f>
        <v>APPAREL</v>
      </c>
      <c r="J2906" s="69">
        <f t="shared" si="90"/>
        <v>6</v>
      </c>
      <c r="K2906" s="69">
        <f t="shared" si="91"/>
        <v>103</v>
      </c>
      <c r="L2906" s="69">
        <f>VLOOKUP(Table_db1_backend_Daily.accdb[[#This Row],[TradingDate]],canon!B:E,4,0)</f>
        <v>29</v>
      </c>
    </row>
    <row r="2907" spans="1:12" x14ac:dyDescent="0.2">
      <c r="A2907" s="69" t="s">
        <v>45</v>
      </c>
      <c r="B2907" s="70">
        <v>42937</v>
      </c>
      <c r="C2907" s="69">
        <v>2457</v>
      </c>
      <c r="D2907" s="69">
        <v>19</v>
      </c>
      <c r="E2907" s="69">
        <v>159.1</v>
      </c>
      <c r="F2907" s="69">
        <v>56.910000000000011</v>
      </c>
      <c r="G2907" s="69" t="s">
        <v>25</v>
      </c>
      <c r="H2907" s="69" t="str">
        <f>IFERROR(VLOOKUP(Data!$G2907,canon!$I$2:$K$27,2,FALSE),"")</f>
        <v>TOP</v>
      </c>
      <c r="I2907" s="69" t="str">
        <f>IFERROR(VLOOKUP(Data!$G2907,canon!$I$2:$K$27,3,FALSE),"")</f>
        <v>APPAREL</v>
      </c>
      <c r="J2907" s="69">
        <f t="shared" si="90"/>
        <v>6</v>
      </c>
      <c r="K2907" s="69">
        <f t="shared" si="91"/>
        <v>103</v>
      </c>
      <c r="L2907" s="69">
        <f>VLOOKUP(Table_db1_backend_Daily.accdb[[#This Row],[TradingDate]],canon!B:E,4,0)</f>
        <v>29</v>
      </c>
    </row>
    <row r="2908" spans="1:12" x14ac:dyDescent="0.2">
      <c r="A2908" s="69" t="s">
        <v>45</v>
      </c>
      <c r="B2908" s="70">
        <v>42938</v>
      </c>
      <c r="C2908" s="69">
        <v>-34</v>
      </c>
      <c r="D2908" s="69">
        <v>0</v>
      </c>
      <c r="E2908" s="69">
        <v>0</v>
      </c>
      <c r="F2908" s="69">
        <v>0</v>
      </c>
      <c r="G2908" s="69" t="s">
        <v>34</v>
      </c>
      <c r="H2908" s="69" t="str">
        <f>IFERROR(VLOOKUP(Data!$G2908,canon!$I$2:$K$27,2,FALSE),"")</f>
        <v>SHOES</v>
      </c>
      <c r="I2908" s="69" t="str">
        <f>IFERROR(VLOOKUP(Data!$G2908,canon!$I$2:$K$27,3,FALSE),"")</f>
        <v>N.APPAREL</v>
      </c>
      <c r="J2908" s="69">
        <f t="shared" si="90"/>
        <v>7</v>
      </c>
      <c r="K2908" s="69">
        <f t="shared" si="91"/>
        <v>103</v>
      </c>
      <c r="L2908" s="69">
        <f>VLOOKUP(Table_db1_backend_Daily.accdb[[#This Row],[TradingDate]],canon!B:E,4,0)</f>
        <v>29</v>
      </c>
    </row>
    <row r="2909" spans="1:12" x14ac:dyDescent="0.2">
      <c r="A2909" s="69" t="s">
        <v>45</v>
      </c>
      <c r="B2909" s="70">
        <v>42938</v>
      </c>
      <c r="C2909" s="69">
        <v>483</v>
      </c>
      <c r="D2909" s="69">
        <v>13</v>
      </c>
      <c r="E2909" s="69">
        <v>154.53000000000003</v>
      </c>
      <c r="F2909" s="69">
        <v>47.800000000000004</v>
      </c>
      <c r="G2909" s="69" t="s">
        <v>35</v>
      </c>
      <c r="H2909" s="69" t="str">
        <f>IFERROR(VLOOKUP(Data!$G2909,canon!$I$2:$K$27,2,FALSE),"")</f>
        <v>DRESS</v>
      </c>
      <c r="I2909" s="69" t="str">
        <f>IFERROR(VLOOKUP(Data!$G2909,canon!$I$2:$K$27,3,FALSE),"")</f>
        <v>APPAREL</v>
      </c>
      <c r="J2909" s="69">
        <f t="shared" si="90"/>
        <v>7</v>
      </c>
      <c r="K2909" s="69">
        <f t="shared" si="91"/>
        <v>103</v>
      </c>
      <c r="L2909" s="69">
        <f>VLOOKUP(Table_db1_backend_Daily.accdb[[#This Row],[TradingDate]],canon!B:E,4,0)</f>
        <v>29</v>
      </c>
    </row>
    <row r="2910" spans="1:12" x14ac:dyDescent="0.2">
      <c r="A2910" s="69" t="s">
        <v>45</v>
      </c>
      <c r="B2910" s="70">
        <v>42938</v>
      </c>
      <c r="C2910" s="69">
        <v>464</v>
      </c>
      <c r="D2910" s="69">
        <v>0</v>
      </c>
      <c r="E2910" s="69">
        <v>0</v>
      </c>
      <c r="F2910" s="69">
        <v>0</v>
      </c>
      <c r="G2910" s="69" t="s">
        <v>10</v>
      </c>
      <c r="H2910" s="69" t="str">
        <f>IFERROR(VLOOKUP(Data!$G2910,canon!$I$2:$K$27,2,FALSE),"")</f>
        <v>ACCESSORY</v>
      </c>
      <c r="I2910" s="69" t="str">
        <f>IFERROR(VLOOKUP(Data!$G2910,canon!$I$2:$K$27,3,FALSE),"")</f>
        <v>N.APPAREL</v>
      </c>
      <c r="J2910" s="69">
        <f t="shared" si="90"/>
        <v>7</v>
      </c>
      <c r="K2910" s="69">
        <f t="shared" si="91"/>
        <v>103</v>
      </c>
      <c r="L2910" s="69">
        <f>VLOOKUP(Table_db1_backend_Daily.accdb[[#This Row],[TradingDate]],canon!B:E,4,0)</f>
        <v>29</v>
      </c>
    </row>
    <row r="2911" spans="1:12" x14ac:dyDescent="0.2">
      <c r="A2911" s="69" t="s">
        <v>45</v>
      </c>
      <c r="B2911" s="70">
        <v>42938</v>
      </c>
      <c r="C2911" s="69">
        <v>2204</v>
      </c>
      <c r="D2911" s="69">
        <v>69</v>
      </c>
      <c r="E2911" s="69">
        <v>781.75999999999988</v>
      </c>
      <c r="F2911" s="69">
        <v>244.17000000000004</v>
      </c>
      <c r="G2911" s="69" t="s">
        <v>11</v>
      </c>
      <c r="H2911" s="69" t="str">
        <f>IFERROR(VLOOKUP(Data!$G2911,canon!$I$2:$K$27,2,FALSE),"")</f>
        <v>KNIT</v>
      </c>
      <c r="I2911" s="69" t="str">
        <f>IFERROR(VLOOKUP(Data!$G2911,canon!$I$2:$K$27,3,FALSE),"")</f>
        <v>APPAREL</v>
      </c>
      <c r="J2911" s="69">
        <f t="shared" si="90"/>
        <v>7</v>
      </c>
      <c r="K2911" s="69">
        <f t="shared" si="91"/>
        <v>103</v>
      </c>
      <c r="L2911" s="69">
        <f>VLOOKUP(Table_db1_backend_Daily.accdb[[#This Row],[TradingDate]],canon!B:E,4,0)</f>
        <v>29</v>
      </c>
    </row>
    <row r="2912" spans="1:12" x14ac:dyDescent="0.2">
      <c r="A2912" s="69" t="s">
        <v>45</v>
      </c>
      <c r="B2912" s="70">
        <v>42938</v>
      </c>
      <c r="C2912" s="69">
        <v>361</v>
      </c>
      <c r="D2912" s="69">
        <v>2</v>
      </c>
      <c r="E2912" s="69">
        <v>18.18</v>
      </c>
      <c r="F2912" s="69">
        <v>7.75</v>
      </c>
      <c r="G2912" s="69" t="s">
        <v>14</v>
      </c>
      <c r="H2912" s="69" t="str">
        <f>IFERROR(VLOOKUP(Data!$G2912,canon!$I$2:$K$27,2,FALSE),"")</f>
        <v>LEGGING</v>
      </c>
      <c r="I2912" s="69" t="str">
        <f>IFERROR(VLOOKUP(Data!$G2912,canon!$I$2:$K$27,3,FALSE),"")</f>
        <v>APPAREL</v>
      </c>
      <c r="J2912" s="69">
        <f t="shared" si="90"/>
        <v>7</v>
      </c>
      <c r="K2912" s="69">
        <f t="shared" si="91"/>
        <v>103</v>
      </c>
      <c r="L2912" s="69">
        <f>VLOOKUP(Table_db1_backend_Daily.accdb[[#This Row],[TradingDate]],canon!B:E,4,0)</f>
        <v>29</v>
      </c>
    </row>
    <row r="2913" spans="1:12" x14ac:dyDescent="0.2">
      <c r="A2913" s="69" t="s">
        <v>45</v>
      </c>
      <c r="B2913" s="70">
        <v>42938</v>
      </c>
      <c r="C2913" s="69">
        <v>-116</v>
      </c>
      <c r="D2913" s="69">
        <v>0</v>
      </c>
      <c r="E2913" s="69">
        <v>0</v>
      </c>
      <c r="F2913" s="69">
        <v>0</v>
      </c>
      <c r="G2913" s="69" t="s">
        <v>37</v>
      </c>
      <c r="H2913" s="69" t="str">
        <f>IFERROR(VLOOKUP(Data!$G2913,canon!$I$2:$K$27,2,FALSE),"")</f>
        <v>SHOES</v>
      </c>
      <c r="I2913" s="69" t="str">
        <f>IFERROR(VLOOKUP(Data!$G2913,canon!$I$2:$K$27,3,FALSE),"")</f>
        <v>N.APPAREL</v>
      </c>
      <c r="J2913" s="69">
        <f t="shared" si="90"/>
        <v>7</v>
      </c>
      <c r="K2913" s="69">
        <f t="shared" si="91"/>
        <v>103</v>
      </c>
      <c r="L2913" s="69">
        <f>VLOOKUP(Table_db1_backend_Daily.accdb[[#This Row],[TradingDate]],canon!B:E,4,0)</f>
        <v>29</v>
      </c>
    </row>
    <row r="2914" spans="1:12" x14ac:dyDescent="0.2">
      <c r="A2914" s="69" t="s">
        <v>45</v>
      </c>
      <c r="B2914" s="70">
        <v>42938</v>
      </c>
      <c r="C2914" s="69">
        <v>-1</v>
      </c>
      <c r="D2914" s="69">
        <v>0</v>
      </c>
      <c r="E2914" s="69">
        <v>0</v>
      </c>
      <c r="F2914" s="69">
        <v>0</v>
      </c>
      <c r="G2914" s="69" t="s">
        <v>29</v>
      </c>
      <c r="H2914" s="69" t="str">
        <f>IFERROR(VLOOKUP(Data!$G2914,canon!$I$2:$K$27,2,FALSE),"")</f>
        <v>SHOES</v>
      </c>
      <c r="I2914" s="69" t="str">
        <f>IFERROR(VLOOKUP(Data!$G2914,canon!$I$2:$K$27,3,FALSE),"")</f>
        <v>N.APPAREL</v>
      </c>
      <c r="J2914" s="69">
        <f t="shared" si="90"/>
        <v>7</v>
      </c>
      <c r="K2914" s="69">
        <f t="shared" si="91"/>
        <v>103</v>
      </c>
      <c r="L2914" s="69">
        <f>VLOOKUP(Table_db1_backend_Daily.accdb[[#This Row],[TradingDate]],canon!B:E,4,0)</f>
        <v>29</v>
      </c>
    </row>
    <row r="2915" spans="1:12" x14ac:dyDescent="0.2">
      <c r="A2915" s="69" t="s">
        <v>45</v>
      </c>
      <c r="B2915" s="70">
        <v>42938</v>
      </c>
      <c r="C2915" s="69">
        <v>567</v>
      </c>
      <c r="D2915" s="69">
        <v>14</v>
      </c>
      <c r="E2915" s="69">
        <v>236.26999999999998</v>
      </c>
      <c r="F2915" s="69">
        <v>108.05</v>
      </c>
      <c r="G2915" s="69" t="s">
        <v>17</v>
      </c>
      <c r="H2915" s="69" t="str">
        <f>IFERROR(VLOOKUP(Data!$G2915,canon!$I$2:$K$27,2,FALSE),"")</f>
        <v>OUTER</v>
      </c>
      <c r="I2915" s="69" t="str">
        <f>IFERROR(VLOOKUP(Data!$G2915,canon!$I$2:$K$27,3,FALSE),"")</f>
        <v>APPAREL</v>
      </c>
      <c r="J2915" s="69">
        <f t="shared" si="90"/>
        <v>7</v>
      </c>
      <c r="K2915" s="69">
        <f t="shared" si="91"/>
        <v>103</v>
      </c>
      <c r="L2915" s="69">
        <f>VLOOKUP(Table_db1_backend_Daily.accdb[[#This Row],[TradingDate]],canon!B:E,4,0)</f>
        <v>29</v>
      </c>
    </row>
    <row r="2916" spans="1:12" x14ac:dyDescent="0.2">
      <c r="A2916" s="69" t="s">
        <v>45</v>
      </c>
      <c r="B2916" s="70">
        <v>42938</v>
      </c>
      <c r="C2916" s="69">
        <v>259</v>
      </c>
      <c r="D2916" s="69">
        <v>2</v>
      </c>
      <c r="E2916" s="69">
        <v>27.27</v>
      </c>
      <c r="F2916" s="69">
        <v>14.16</v>
      </c>
      <c r="G2916" s="69" t="s">
        <v>19</v>
      </c>
      <c r="H2916" s="69" t="str">
        <f>IFERROR(VLOOKUP(Data!$G2916,canon!$I$2:$K$27,2,FALSE),"")</f>
        <v>PANT</v>
      </c>
      <c r="I2916" s="69" t="str">
        <f>IFERROR(VLOOKUP(Data!$G2916,canon!$I$2:$K$27,3,FALSE),"")</f>
        <v>APPAREL</v>
      </c>
      <c r="J2916" s="69">
        <f t="shared" si="90"/>
        <v>7</v>
      </c>
      <c r="K2916" s="69">
        <f t="shared" si="91"/>
        <v>103</v>
      </c>
      <c r="L2916" s="69">
        <f>VLOOKUP(Table_db1_backend_Daily.accdb[[#This Row],[TradingDate]],canon!B:E,4,0)</f>
        <v>29</v>
      </c>
    </row>
    <row r="2917" spans="1:12" x14ac:dyDescent="0.2">
      <c r="A2917" s="69" t="s">
        <v>45</v>
      </c>
      <c r="B2917" s="70">
        <v>42938</v>
      </c>
      <c r="C2917" s="69">
        <v>-784</v>
      </c>
      <c r="D2917" s="69">
        <v>13</v>
      </c>
      <c r="E2917" s="69">
        <v>77.879999999999981</v>
      </c>
      <c r="F2917" s="69">
        <v>52.8</v>
      </c>
      <c r="G2917" s="69" t="s">
        <v>22</v>
      </c>
      <c r="H2917" s="69" t="str">
        <f>IFERROR(VLOOKUP(Data!$G2917,canon!$I$2:$K$27,2,FALSE),"")</f>
        <v>SCARF</v>
      </c>
      <c r="I2917" s="69" t="str">
        <f>IFERROR(VLOOKUP(Data!$G2917,canon!$I$2:$K$27,3,FALSE),"")</f>
        <v>N.APPAREL</v>
      </c>
      <c r="J2917" s="69">
        <f t="shared" si="90"/>
        <v>7</v>
      </c>
      <c r="K2917" s="69">
        <f t="shared" si="91"/>
        <v>103</v>
      </c>
      <c r="L2917" s="69">
        <f>VLOOKUP(Table_db1_backend_Daily.accdb[[#This Row],[TradingDate]],canon!B:E,4,0)</f>
        <v>29</v>
      </c>
    </row>
    <row r="2918" spans="1:12" x14ac:dyDescent="0.2">
      <c r="A2918" s="69" t="s">
        <v>45</v>
      </c>
      <c r="B2918" s="70">
        <v>42938</v>
      </c>
      <c r="C2918" s="69">
        <v>160</v>
      </c>
      <c r="D2918" s="69">
        <v>9</v>
      </c>
      <c r="E2918" s="69">
        <v>77.260000000000005</v>
      </c>
      <c r="F2918" s="69">
        <v>16.16</v>
      </c>
      <c r="G2918" s="69" t="s">
        <v>23</v>
      </c>
      <c r="H2918" s="69" t="str">
        <f>IFERROR(VLOOKUP(Data!$G2918,canon!$I$2:$K$27,2,FALSE),"")</f>
        <v>SH&amp;BL</v>
      </c>
      <c r="I2918" s="69" t="str">
        <f>IFERROR(VLOOKUP(Data!$G2918,canon!$I$2:$K$27,3,FALSE),"")</f>
        <v>APPAREL</v>
      </c>
      <c r="J2918" s="69">
        <f t="shared" si="90"/>
        <v>7</v>
      </c>
      <c r="K2918" s="69">
        <f t="shared" si="91"/>
        <v>103</v>
      </c>
      <c r="L2918" s="69">
        <f>VLOOKUP(Table_db1_backend_Daily.accdb[[#This Row],[TradingDate]],canon!B:E,4,0)</f>
        <v>29</v>
      </c>
    </row>
    <row r="2919" spans="1:12" x14ac:dyDescent="0.2">
      <c r="A2919" s="69" t="s">
        <v>45</v>
      </c>
      <c r="B2919" s="70">
        <v>42938</v>
      </c>
      <c r="C2919" s="69">
        <v>338</v>
      </c>
      <c r="D2919" s="69">
        <v>10</v>
      </c>
      <c r="E2919" s="69">
        <v>99.990000000000009</v>
      </c>
      <c r="F2919" s="69">
        <v>39.339999999999996</v>
      </c>
      <c r="G2919" s="69" t="s">
        <v>32</v>
      </c>
      <c r="H2919" s="69" t="str">
        <f>IFERROR(VLOOKUP(Data!$G2919,canon!$I$2:$K$27,2,FALSE),"")</f>
        <v>SKIRT</v>
      </c>
      <c r="I2919" s="69" t="str">
        <f>IFERROR(VLOOKUP(Data!$G2919,canon!$I$2:$K$27,3,FALSE),"")</f>
        <v>APPAREL</v>
      </c>
      <c r="J2919" s="69">
        <f t="shared" si="90"/>
        <v>7</v>
      </c>
      <c r="K2919" s="69">
        <f t="shared" si="91"/>
        <v>103</v>
      </c>
      <c r="L2919" s="69">
        <f>VLOOKUP(Table_db1_backend_Daily.accdb[[#This Row],[TradingDate]],canon!B:E,4,0)</f>
        <v>29</v>
      </c>
    </row>
    <row r="2920" spans="1:12" x14ac:dyDescent="0.2">
      <c r="A2920" s="69" t="s">
        <v>45</v>
      </c>
      <c r="B2920" s="70">
        <v>42938</v>
      </c>
      <c r="C2920" s="69">
        <v>2427</v>
      </c>
      <c r="D2920" s="69">
        <v>30</v>
      </c>
      <c r="E2920" s="69">
        <v>222.75000000000003</v>
      </c>
      <c r="F2920" s="69">
        <v>72.27000000000001</v>
      </c>
      <c r="G2920" s="69" t="s">
        <v>25</v>
      </c>
      <c r="H2920" s="69" t="str">
        <f>IFERROR(VLOOKUP(Data!$G2920,canon!$I$2:$K$27,2,FALSE),"")</f>
        <v>TOP</v>
      </c>
      <c r="I2920" s="69" t="str">
        <f>IFERROR(VLOOKUP(Data!$G2920,canon!$I$2:$K$27,3,FALSE),"")</f>
        <v>APPAREL</v>
      </c>
      <c r="J2920" s="69">
        <f t="shared" si="90"/>
        <v>7</v>
      </c>
      <c r="K2920" s="69">
        <f t="shared" si="91"/>
        <v>103</v>
      </c>
      <c r="L2920" s="69">
        <f>VLOOKUP(Table_db1_backend_Daily.accdb[[#This Row],[TradingDate]],canon!B:E,4,0)</f>
        <v>29</v>
      </c>
    </row>
    <row r="2921" spans="1:12" x14ac:dyDescent="0.2">
      <c r="A2921" s="69" t="s">
        <v>45</v>
      </c>
      <c r="B2921" s="70">
        <v>42939</v>
      </c>
      <c r="C2921" s="69">
        <v>-34</v>
      </c>
      <c r="D2921" s="69">
        <v>0</v>
      </c>
      <c r="E2921" s="69">
        <v>0</v>
      </c>
      <c r="F2921" s="69">
        <v>0</v>
      </c>
      <c r="G2921" s="69" t="s">
        <v>34</v>
      </c>
      <c r="H2921" s="69" t="str">
        <f>IFERROR(VLOOKUP(Data!$G2921,canon!$I$2:$K$27,2,FALSE),"")</f>
        <v>SHOES</v>
      </c>
      <c r="I2921" s="69" t="str">
        <f>IFERROR(VLOOKUP(Data!$G2921,canon!$I$2:$K$27,3,FALSE),"")</f>
        <v>N.APPAREL</v>
      </c>
      <c r="J2921" s="69">
        <f t="shared" si="90"/>
        <v>1</v>
      </c>
      <c r="K2921" s="69">
        <f t="shared" si="91"/>
        <v>103</v>
      </c>
      <c r="L2921" s="69">
        <f>VLOOKUP(Table_db1_backend_Daily.accdb[[#This Row],[TradingDate]],canon!B:E,4,0)</f>
        <v>30</v>
      </c>
    </row>
    <row r="2922" spans="1:12" x14ac:dyDescent="0.2">
      <c r="A2922" s="69" t="s">
        <v>45</v>
      </c>
      <c r="B2922" s="70">
        <v>42939</v>
      </c>
      <c r="C2922" s="69">
        <v>477</v>
      </c>
      <c r="D2922" s="69">
        <v>3</v>
      </c>
      <c r="E2922" s="69">
        <v>22.73</v>
      </c>
      <c r="F2922" s="69">
        <v>-0.31000000000000005</v>
      </c>
      <c r="G2922" s="69" t="s">
        <v>35</v>
      </c>
      <c r="H2922" s="69" t="str">
        <f>IFERROR(VLOOKUP(Data!$G2922,canon!$I$2:$K$27,2,FALSE),"")</f>
        <v>DRESS</v>
      </c>
      <c r="I2922" s="69" t="str">
        <f>IFERROR(VLOOKUP(Data!$G2922,canon!$I$2:$K$27,3,FALSE),"")</f>
        <v>APPAREL</v>
      </c>
      <c r="J2922" s="69">
        <f t="shared" si="90"/>
        <v>1</v>
      </c>
      <c r="K2922" s="69">
        <f t="shared" si="91"/>
        <v>103</v>
      </c>
      <c r="L2922" s="69">
        <f>VLOOKUP(Table_db1_backend_Daily.accdb[[#This Row],[TradingDate]],canon!B:E,4,0)</f>
        <v>30</v>
      </c>
    </row>
    <row r="2923" spans="1:12" x14ac:dyDescent="0.2">
      <c r="A2923" s="69" t="s">
        <v>45</v>
      </c>
      <c r="B2923" s="70">
        <v>42939</v>
      </c>
      <c r="C2923" s="69">
        <v>464</v>
      </c>
      <c r="D2923" s="69">
        <v>0</v>
      </c>
      <c r="E2923" s="69">
        <v>0</v>
      </c>
      <c r="F2923" s="69">
        <v>0</v>
      </c>
      <c r="G2923" s="69" t="s">
        <v>10</v>
      </c>
      <c r="H2923" s="69" t="str">
        <f>IFERROR(VLOOKUP(Data!$G2923,canon!$I$2:$K$27,2,FALSE),"")</f>
        <v>ACCESSORY</v>
      </c>
      <c r="I2923" s="69" t="str">
        <f>IFERROR(VLOOKUP(Data!$G2923,canon!$I$2:$K$27,3,FALSE),"")</f>
        <v>N.APPAREL</v>
      </c>
      <c r="J2923" s="69">
        <f t="shared" si="90"/>
        <v>1</v>
      </c>
      <c r="K2923" s="69">
        <f t="shared" si="91"/>
        <v>103</v>
      </c>
      <c r="L2923" s="69">
        <f>VLOOKUP(Table_db1_backend_Daily.accdb[[#This Row],[TradingDate]],canon!B:E,4,0)</f>
        <v>30</v>
      </c>
    </row>
    <row r="2924" spans="1:12" x14ac:dyDescent="0.2">
      <c r="A2924" s="69" t="s">
        <v>45</v>
      </c>
      <c r="B2924" s="70">
        <v>42939</v>
      </c>
      <c r="C2924" s="69">
        <v>2179</v>
      </c>
      <c r="D2924" s="69">
        <v>23</v>
      </c>
      <c r="E2924" s="69">
        <v>290.88</v>
      </c>
      <c r="F2924" s="69">
        <v>110.45000000000002</v>
      </c>
      <c r="G2924" s="69" t="s">
        <v>11</v>
      </c>
      <c r="H2924" s="69" t="str">
        <f>IFERROR(VLOOKUP(Data!$G2924,canon!$I$2:$K$27,2,FALSE),"")</f>
        <v>KNIT</v>
      </c>
      <c r="I2924" s="69" t="str">
        <f>IFERROR(VLOOKUP(Data!$G2924,canon!$I$2:$K$27,3,FALSE),"")</f>
        <v>APPAREL</v>
      </c>
      <c r="J2924" s="69">
        <f t="shared" si="90"/>
        <v>1</v>
      </c>
      <c r="K2924" s="69">
        <f t="shared" si="91"/>
        <v>103</v>
      </c>
      <c r="L2924" s="69">
        <f>VLOOKUP(Table_db1_backend_Daily.accdb[[#This Row],[TradingDate]],canon!B:E,4,0)</f>
        <v>30</v>
      </c>
    </row>
    <row r="2925" spans="1:12" x14ac:dyDescent="0.2">
      <c r="A2925" s="69" t="s">
        <v>45</v>
      </c>
      <c r="B2925" s="70">
        <v>42939</v>
      </c>
      <c r="C2925" s="69">
        <v>360</v>
      </c>
      <c r="D2925" s="69">
        <v>1</v>
      </c>
      <c r="E2925" s="69">
        <v>9.09</v>
      </c>
      <c r="F2925" s="69">
        <v>4.3099999999999996</v>
      </c>
      <c r="G2925" s="69" t="s">
        <v>14</v>
      </c>
      <c r="H2925" s="69" t="str">
        <f>IFERROR(VLOOKUP(Data!$G2925,canon!$I$2:$K$27,2,FALSE),"")</f>
        <v>LEGGING</v>
      </c>
      <c r="I2925" s="69" t="str">
        <f>IFERROR(VLOOKUP(Data!$G2925,canon!$I$2:$K$27,3,FALSE),"")</f>
        <v>APPAREL</v>
      </c>
      <c r="J2925" s="69">
        <f t="shared" si="90"/>
        <v>1</v>
      </c>
      <c r="K2925" s="69">
        <f t="shared" si="91"/>
        <v>103</v>
      </c>
      <c r="L2925" s="69">
        <f>VLOOKUP(Table_db1_backend_Daily.accdb[[#This Row],[TradingDate]],canon!B:E,4,0)</f>
        <v>30</v>
      </c>
    </row>
    <row r="2926" spans="1:12" x14ac:dyDescent="0.2">
      <c r="A2926" s="69" t="s">
        <v>45</v>
      </c>
      <c r="B2926" s="70">
        <v>42939</v>
      </c>
      <c r="C2926" s="69">
        <v>-116</v>
      </c>
      <c r="D2926" s="69">
        <v>0</v>
      </c>
      <c r="E2926" s="69">
        <v>0</v>
      </c>
      <c r="F2926" s="69">
        <v>0</v>
      </c>
      <c r="G2926" s="69" t="s">
        <v>37</v>
      </c>
      <c r="H2926" s="69" t="str">
        <f>IFERROR(VLOOKUP(Data!$G2926,canon!$I$2:$K$27,2,FALSE),"")</f>
        <v>SHOES</v>
      </c>
      <c r="I2926" s="69" t="str">
        <f>IFERROR(VLOOKUP(Data!$G2926,canon!$I$2:$K$27,3,FALSE),"")</f>
        <v>N.APPAREL</v>
      </c>
      <c r="J2926" s="69">
        <f t="shared" si="90"/>
        <v>1</v>
      </c>
      <c r="K2926" s="69">
        <f t="shared" si="91"/>
        <v>103</v>
      </c>
      <c r="L2926" s="69">
        <f>VLOOKUP(Table_db1_backend_Daily.accdb[[#This Row],[TradingDate]],canon!B:E,4,0)</f>
        <v>30</v>
      </c>
    </row>
    <row r="2927" spans="1:12" x14ac:dyDescent="0.2">
      <c r="A2927" s="69" t="s">
        <v>45</v>
      </c>
      <c r="B2927" s="70">
        <v>42939</v>
      </c>
      <c r="C2927" s="69">
        <v>-1</v>
      </c>
      <c r="D2927" s="69">
        <v>0</v>
      </c>
      <c r="E2927" s="69">
        <v>0</v>
      </c>
      <c r="F2927" s="69">
        <v>0</v>
      </c>
      <c r="G2927" s="69" t="s">
        <v>29</v>
      </c>
      <c r="H2927" s="69" t="str">
        <f>IFERROR(VLOOKUP(Data!$G2927,canon!$I$2:$K$27,2,FALSE),"")</f>
        <v>SHOES</v>
      </c>
      <c r="I2927" s="69" t="str">
        <f>IFERROR(VLOOKUP(Data!$G2927,canon!$I$2:$K$27,3,FALSE),"")</f>
        <v>N.APPAREL</v>
      </c>
      <c r="J2927" s="69">
        <f t="shared" si="90"/>
        <v>1</v>
      </c>
      <c r="K2927" s="69">
        <f t="shared" si="91"/>
        <v>103</v>
      </c>
      <c r="L2927" s="69">
        <f>VLOOKUP(Table_db1_backend_Daily.accdb[[#This Row],[TradingDate]],canon!B:E,4,0)</f>
        <v>30</v>
      </c>
    </row>
    <row r="2928" spans="1:12" x14ac:dyDescent="0.2">
      <c r="A2928" s="69" t="s">
        <v>45</v>
      </c>
      <c r="B2928" s="70">
        <v>42939</v>
      </c>
      <c r="C2928" s="69">
        <v>554</v>
      </c>
      <c r="D2928" s="69">
        <v>10</v>
      </c>
      <c r="E2928" s="69">
        <v>145.45000000000002</v>
      </c>
      <c r="F2928" s="69">
        <v>53.859999999999992</v>
      </c>
      <c r="G2928" s="69" t="s">
        <v>17</v>
      </c>
      <c r="H2928" s="69" t="str">
        <f>IFERROR(VLOOKUP(Data!$G2928,canon!$I$2:$K$27,2,FALSE),"")</f>
        <v>OUTER</v>
      </c>
      <c r="I2928" s="69" t="str">
        <f>IFERROR(VLOOKUP(Data!$G2928,canon!$I$2:$K$27,3,FALSE),"")</f>
        <v>APPAREL</v>
      </c>
      <c r="J2928" s="69">
        <f t="shared" si="90"/>
        <v>1</v>
      </c>
      <c r="K2928" s="69">
        <f t="shared" si="91"/>
        <v>103</v>
      </c>
      <c r="L2928" s="69">
        <f>VLOOKUP(Table_db1_backend_Daily.accdb[[#This Row],[TradingDate]],canon!B:E,4,0)</f>
        <v>30</v>
      </c>
    </row>
    <row r="2929" spans="1:12" x14ac:dyDescent="0.2">
      <c r="A2929" s="69" t="s">
        <v>45</v>
      </c>
      <c r="B2929" s="70">
        <v>42939</v>
      </c>
      <c r="C2929" s="69">
        <v>259</v>
      </c>
      <c r="D2929" s="69">
        <v>0</v>
      </c>
      <c r="E2929" s="69">
        <v>0</v>
      </c>
      <c r="F2929" s="69">
        <v>0</v>
      </c>
      <c r="G2929" s="69" t="s">
        <v>19</v>
      </c>
      <c r="H2929" s="69" t="str">
        <f>IFERROR(VLOOKUP(Data!$G2929,canon!$I$2:$K$27,2,FALSE),"")</f>
        <v>PANT</v>
      </c>
      <c r="I2929" s="69" t="str">
        <f>IFERROR(VLOOKUP(Data!$G2929,canon!$I$2:$K$27,3,FALSE),"")</f>
        <v>APPAREL</v>
      </c>
      <c r="J2929" s="69">
        <f t="shared" si="90"/>
        <v>1</v>
      </c>
      <c r="K2929" s="69">
        <f t="shared" si="91"/>
        <v>103</v>
      </c>
      <c r="L2929" s="69">
        <f>VLOOKUP(Table_db1_backend_Daily.accdb[[#This Row],[TradingDate]],canon!B:E,4,0)</f>
        <v>30</v>
      </c>
    </row>
    <row r="2930" spans="1:12" x14ac:dyDescent="0.2">
      <c r="A2930" s="69" t="s">
        <v>45</v>
      </c>
      <c r="B2930" s="70">
        <v>42939</v>
      </c>
      <c r="C2930" s="69">
        <v>-788</v>
      </c>
      <c r="D2930" s="69">
        <v>4</v>
      </c>
      <c r="E2930" s="69">
        <v>18.18</v>
      </c>
      <c r="F2930" s="69">
        <v>11.33</v>
      </c>
      <c r="G2930" s="69" t="s">
        <v>22</v>
      </c>
      <c r="H2930" s="69" t="str">
        <f>IFERROR(VLOOKUP(Data!$G2930,canon!$I$2:$K$27,2,FALSE),"")</f>
        <v>SCARF</v>
      </c>
      <c r="I2930" s="69" t="str">
        <f>IFERROR(VLOOKUP(Data!$G2930,canon!$I$2:$K$27,3,FALSE),"")</f>
        <v>N.APPAREL</v>
      </c>
      <c r="J2930" s="69">
        <f t="shared" si="90"/>
        <v>1</v>
      </c>
      <c r="K2930" s="69">
        <f t="shared" si="91"/>
        <v>103</v>
      </c>
      <c r="L2930" s="69">
        <f>VLOOKUP(Table_db1_backend_Daily.accdb[[#This Row],[TradingDate]],canon!B:E,4,0)</f>
        <v>30</v>
      </c>
    </row>
    <row r="2931" spans="1:12" x14ac:dyDescent="0.2">
      <c r="A2931" s="69" t="s">
        <v>45</v>
      </c>
      <c r="B2931" s="70">
        <v>42939</v>
      </c>
      <c r="C2931" s="69">
        <v>157</v>
      </c>
      <c r="D2931" s="69">
        <v>3</v>
      </c>
      <c r="E2931" s="69">
        <v>13.649999999999999</v>
      </c>
      <c r="F2931" s="69">
        <v>-1.35</v>
      </c>
      <c r="G2931" s="69" t="s">
        <v>23</v>
      </c>
      <c r="H2931" s="69" t="str">
        <f>IFERROR(VLOOKUP(Data!$G2931,canon!$I$2:$K$27,2,FALSE),"")</f>
        <v>SH&amp;BL</v>
      </c>
      <c r="I2931" s="69" t="str">
        <f>IFERROR(VLOOKUP(Data!$G2931,canon!$I$2:$K$27,3,FALSE),"")</f>
        <v>APPAREL</v>
      </c>
      <c r="J2931" s="69">
        <f t="shared" si="90"/>
        <v>1</v>
      </c>
      <c r="K2931" s="69">
        <f t="shared" si="91"/>
        <v>103</v>
      </c>
      <c r="L2931" s="69">
        <f>VLOOKUP(Table_db1_backend_Daily.accdb[[#This Row],[TradingDate]],canon!B:E,4,0)</f>
        <v>30</v>
      </c>
    </row>
    <row r="2932" spans="1:12" x14ac:dyDescent="0.2">
      <c r="A2932" s="69" t="s">
        <v>45</v>
      </c>
      <c r="B2932" s="70">
        <v>42939</v>
      </c>
      <c r="C2932" s="69">
        <v>338</v>
      </c>
      <c r="D2932" s="69">
        <v>0</v>
      </c>
      <c r="E2932" s="69">
        <v>0</v>
      </c>
      <c r="F2932" s="69">
        <v>0</v>
      </c>
      <c r="G2932" s="69" t="s">
        <v>32</v>
      </c>
      <c r="H2932" s="69" t="str">
        <f>IFERROR(VLOOKUP(Data!$G2932,canon!$I$2:$K$27,2,FALSE),"")</f>
        <v>SKIRT</v>
      </c>
      <c r="I2932" s="69" t="str">
        <f>IFERROR(VLOOKUP(Data!$G2932,canon!$I$2:$K$27,3,FALSE),"")</f>
        <v>APPAREL</v>
      </c>
      <c r="J2932" s="69">
        <f t="shared" si="90"/>
        <v>1</v>
      </c>
      <c r="K2932" s="69">
        <f t="shared" si="91"/>
        <v>103</v>
      </c>
      <c r="L2932" s="69">
        <f>VLOOKUP(Table_db1_backend_Daily.accdb[[#This Row],[TradingDate]],canon!B:E,4,0)</f>
        <v>30</v>
      </c>
    </row>
    <row r="2933" spans="1:12" x14ac:dyDescent="0.2">
      <c r="A2933" s="69" t="s">
        <v>45</v>
      </c>
      <c r="B2933" s="70">
        <v>42939</v>
      </c>
      <c r="C2933" s="69">
        <v>2412</v>
      </c>
      <c r="D2933" s="69">
        <v>15</v>
      </c>
      <c r="E2933" s="69">
        <v>104.53000000000002</v>
      </c>
      <c r="F2933" s="69">
        <v>27.299999999999994</v>
      </c>
      <c r="G2933" s="69" t="s">
        <v>25</v>
      </c>
      <c r="H2933" s="69" t="str">
        <f>IFERROR(VLOOKUP(Data!$G2933,canon!$I$2:$K$27,2,FALSE),"")</f>
        <v>TOP</v>
      </c>
      <c r="I2933" s="69" t="str">
        <f>IFERROR(VLOOKUP(Data!$G2933,canon!$I$2:$K$27,3,FALSE),"")</f>
        <v>APPAREL</v>
      </c>
      <c r="J2933" s="69">
        <f t="shared" si="90"/>
        <v>1</v>
      </c>
      <c r="K2933" s="69">
        <f t="shared" si="91"/>
        <v>103</v>
      </c>
      <c r="L2933" s="69">
        <f>VLOOKUP(Table_db1_backend_Daily.accdb[[#This Row],[TradingDate]],canon!B:E,4,0)</f>
        <v>30</v>
      </c>
    </row>
    <row r="2934" spans="1:12" x14ac:dyDescent="0.2">
      <c r="A2934" s="69" t="s">
        <v>45</v>
      </c>
      <c r="B2934" s="70">
        <v>42940</v>
      </c>
      <c r="C2934" s="69">
        <v>-34</v>
      </c>
      <c r="D2934" s="69">
        <v>0</v>
      </c>
      <c r="E2934" s="69">
        <v>0</v>
      </c>
      <c r="F2934" s="69">
        <v>0</v>
      </c>
      <c r="G2934" s="69" t="s">
        <v>34</v>
      </c>
      <c r="H2934" s="69" t="str">
        <f>IFERROR(VLOOKUP(Data!$G2934,canon!$I$2:$K$27,2,FALSE),"")</f>
        <v>SHOES</v>
      </c>
      <c r="I2934" s="69" t="str">
        <f>IFERROR(VLOOKUP(Data!$G2934,canon!$I$2:$K$27,3,FALSE),"")</f>
        <v>N.APPAREL</v>
      </c>
      <c r="J2934" s="69">
        <f t="shared" si="90"/>
        <v>2</v>
      </c>
      <c r="K2934" s="69">
        <f t="shared" si="91"/>
        <v>103</v>
      </c>
      <c r="L2934" s="69">
        <f>VLOOKUP(Table_db1_backend_Daily.accdb[[#This Row],[TradingDate]],canon!B:E,4,0)</f>
        <v>30</v>
      </c>
    </row>
    <row r="2935" spans="1:12" x14ac:dyDescent="0.2">
      <c r="A2935" s="69" t="s">
        <v>45</v>
      </c>
      <c r="B2935" s="70">
        <v>42940</v>
      </c>
      <c r="C2935" s="69">
        <v>471</v>
      </c>
      <c r="D2935" s="69">
        <v>6</v>
      </c>
      <c r="E2935" s="69">
        <v>77.27000000000001</v>
      </c>
      <c r="F2935" s="69">
        <v>31.839999999999996</v>
      </c>
      <c r="G2935" s="69" t="s">
        <v>35</v>
      </c>
      <c r="H2935" s="69" t="str">
        <f>IFERROR(VLOOKUP(Data!$G2935,canon!$I$2:$K$27,2,FALSE),"")</f>
        <v>DRESS</v>
      </c>
      <c r="I2935" s="69" t="str">
        <f>IFERROR(VLOOKUP(Data!$G2935,canon!$I$2:$K$27,3,FALSE),"")</f>
        <v>APPAREL</v>
      </c>
      <c r="J2935" s="69">
        <f t="shared" si="90"/>
        <v>2</v>
      </c>
      <c r="K2935" s="69">
        <f t="shared" si="91"/>
        <v>103</v>
      </c>
      <c r="L2935" s="69">
        <f>VLOOKUP(Table_db1_backend_Daily.accdb[[#This Row],[TradingDate]],canon!B:E,4,0)</f>
        <v>30</v>
      </c>
    </row>
    <row r="2936" spans="1:12" x14ac:dyDescent="0.2">
      <c r="A2936" s="69" t="s">
        <v>45</v>
      </c>
      <c r="B2936" s="70">
        <v>42940</v>
      </c>
      <c r="C2936" s="69">
        <v>464</v>
      </c>
      <c r="D2936" s="69">
        <v>0</v>
      </c>
      <c r="E2936" s="69">
        <v>0</v>
      </c>
      <c r="F2936" s="69">
        <v>0</v>
      </c>
      <c r="G2936" s="69" t="s">
        <v>10</v>
      </c>
      <c r="H2936" s="69" t="str">
        <f>IFERROR(VLOOKUP(Data!$G2936,canon!$I$2:$K$27,2,FALSE),"")</f>
        <v>ACCESSORY</v>
      </c>
      <c r="I2936" s="69" t="str">
        <f>IFERROR(VLOOKUP(Data!$G2936,canon!$I$2:$K$27,3,FALSE),"")</f>
        <v>N.APPAREL</v>
      </c>
      <c r="J2936" s="69">
        <f t="shared" si="90"/>
        <v>2</v>
      </c>
      <c r="K2936" s="69">
        <f t="shared" si="91"/>
        <v>103</v>
      </c>
      <c r="L2936" s="69">
        <f>VLOOKUP(Table_db1_backend_Daily.accdb[[#This Row],[TradingDate]],canon!B:E,4,0)</f>
        <v>30</v>
      </c>
    </row>
    <row r="2937" spans="1:12" x14ac:dyDescent="0.2">
      <c r="A2937" s="69" t="s">
        <v>45</v>
      </c>
      <c r="B2937" s="70">
        <v>42940</v>
      </c>
      <c r="C2937" s="69">
        <v>2118</v>
      </c>
      <c r="D2937" s="69">
        <v>61</v>
      </c>
      <c r="E2937" s="69">
        <v>690.82</v>
      </c>
      <c r="F2937" s="69">
        <v>214.36999999999995</v>
      </c>
      <c r="G2937" s="69" t="s">
        <v>11</v>
      </c>
      <c r="H2937" s="69" t="str">
        <f>IFERROR(VLOOKUP(Data!$G2937,canon!$I$2:$K$27,2,FALSE),"")</f>
        <v>KNIT</v>
      </c>
      <c r="I2937" s="69" t="str">
        <f>IFERROR(VLOOKUP(Data!$G2937,canon!$I$2:$K$27,3,FALSE),"")</f>
        <v>APPAREL</v>
      </c>
      <c r="J2937" s="69">
        <f t="shared" si="90"/>
        <v>2</v>
      </c>
      <c r="K2937" s="69">
        <f t="shared" si="91"/>
        <v>103</v>
      </c>
      <c r="L2937" s="69">
        <f>VLOOKUP(Table_db1_backend_Daily.accdb[[#This Row],[TradingDate]],canon!B:E,4,0)</f>
        <v>30</v>
      </c>
    </row>
    <row r="2938" spans="1:12" x14ac:dyDescent="0.2">
      <c r="A2938" s="69" t="s">
        <v>45</v>
      </c>
      <c r="B2938" s="70">
        <v>42940</v>
      </c>
      <c r="C2938" s="69">
        <v>356</v>
      </c>
      <c r="D2938" s="69">
        <v>4</v>
      </c>
      <c r="E2938" s="69">
        <v>63.63</v>
      </c>
      <c r="F2938" s="69">
        <v>34.06</v>
      </c>
      <c r="G2938" s="69" t="s">
        <v>14</v>
      </c>
      <c r="H2938" s="69" t="str">
        <f>IFERROR(VLOOKUP(Data!$G2938,canon!$I$2:$K$27,2,FALSE),"")</f>
        <v>LEGGING</v>
      </c>
      <c r="I2938" s="69" t="str">
        <f>IFERROR(VLOOKUP(Data!$G2938,canon!$I$2:$K$27,3,FALSE),"")</f>
        <v>APPAREL</v>
      </c>
      <c r="J2938" s="69">
        <f t="shared" si="90"/>
        <v>2</v>
      </c>
      <c r="K2938" s="69">
        <f t="shared" si="91"/>
        <v>103</v>
      </c>
      <c r="L2938" s="69">
        <f>VLOOKUP(Table_db1_backend_Daily.accdb[[#This Row],[TradingDate]],canon!B:E,4,0)</f>
        <v>30</v>
      </c>
    </row>
    <row r="2939" spans="1:12" x14ac:dyDescent="0.2">
      <c r="A2939" s="69" t="s">
        <v>45</v>
      </c>
      <c r="B2939" s="70">
        <v>42940</v>
      </c>
      <c r="C2939" s="69">
        <v>-116</v>
      </c>
      <c r="D2939" s="69">
        <v>0</v>
      </c>
      <c r="E2939" s="69">
        <v>0</v>
      </c>
      <c r="F2939" s="69">
        <v>0</v>
      </c>
      <c r="G2939" s="69" t="s">
        <v>37</v>
      </c>
      <c r="H2939" s="69" t="str">
        <f>IFERROR(VLOOKUP(Data!$G2939,canon!$I$2:$K$27,2,FALSE),"")</f>
        <v>SHOES</v>
      </c>
      <c r="I2939" s="69" t="str">
        <f>IFERROR(VLOOKUP(Data!$G2939,canon!$I$2:$K$27,3,FALSE),"")</f>
        <v>N.APPAREL</v>
      </c>
      <c r="J2939" s="69">
        <f t="shared" si="90"/>
        <v>2</v>
      </c>
      <c r="K2939" s="69">
        <f t="shared" si="91"/>
        <v>103</v>
      </c>
      <c r="L2939" s="69">
        <f>VLOOKUP(Table_db1_backend_Daily.accdb[[#This Row],[TradingDate]],canon!B:E,4,0)</f>
        <v>30</v>
      </c>
    </row>
    <row r="2940" spans="1:12" x14ac:dyDescent="0.2">
      <c r="A2940" s="69" t="s">
        <v>45</v>
      </c>
      <c r="B2940" s="70">
        <v>42940</v>
      </c>
      <c r="C2940" s="69">
        <v>-1</v>
      </c>
      <c r="D2940" s="69">
        <v>0</v>
      </c>
      <c r="E2940" s="69">
        <v>0</v>
      </c>
      <c r="F2940" s="69">
        <v>0</v>
      </c>
      <c r="G2940" s="69" t="s">
        <v>29</v>
      </c>
      <c r="H2940" s="69" t="str">
        <f>IFERROR(VLOOKUP(Data!$G2940,canon!$I$2:$K$27,2,FALSE),"")</f>
        <v>SHOES</v>
      </c>
      <c r="I2940" s="69" t="str">
        <f>IFERROR(VLOOKUP(Data!$G2940,canon!$I$2:$K$27,3,FALSE),"")</f>
        <v>N.APPAREL</v>
      </c>
      <c r="J2940" s="69">
        <f t="shared" si="90"/>
        <v>2</v>
      </c>
      <c r="K2940" s="69">
        <f t="shared" si="91"/>
        <v>103</v>
      </c>
      <c r="L2940" s="69">
        <f>VLOOKUP(Table_db1_backend_Daily.accdb[[#This Row],[TradingDate]],canon!B:E,4,0)</f>
        <v>30</v>
      </c>
    </row>
    <row r="2941" spans="1:12" x14ac:dyDescent="0.2">
      <c r="A2941" s="69" t="s">
        <v>45</v>
      </c>
      <c r="B2941" s="70">
        <v>42940</v>
      </c>
      <c r="C2941" s="69">
        <v>536</v>
      </c>
      <c r="D2941" s="69">
        <v>15</v>
      </c>
      <c r="E2941" s="69">
        <v>236.32000000000005</v>
      </c>
      <c r="F2941" s="69">
        <v>102.78999999999999</v>
      </c>
      <c r="G2941" s="69" t="s">
        <v>17</v>
      </c>
      <c r="H2941" s="69" t="str">
        <f>IFERROR(VLOOKUP(Data!$G2941,canon!$I$2:$K$27,2,FALSE),"")</f>
        <v>OUTER</v>
      </c>
      <c r="I2941" s="69" t="str">
        <f>IFERROR(VLOOKUP(Data!$G2941,canon!$I$2:$K$27,3,FALSE),"")</f>
        <v>APPAREL</v>
      </c>
      <c r="J2941" s="69">
        <f t="shared" si="90"/>
        <v>2</v>
      </c>
      <c r="K2941" s="69">
        <f t="shared" si="91"/>
        <v>103</v>
      </c>
      <c r="L2941" s="69">
        <f>VLOOKUP(Table_db1_backend_Daily.accdb[[#This Row],[TradingDate]],canon!B:E,4,0)</f>
        <v>30</v>
      </c>
    </row>
    <row r="2942" spans="1:12" x14ac:dyDescent="0.2">
      <c r="A2942" s="69" t="s">
        <v>45</v>
      </c>
      <c r="B2942" s="70">
        <v>42940</v>
      </c>
      <c r="C2942" s="69">
        <v>255</v>
      </c>
      <c r="D2942" s="69">
        <v>4</v>
      </c>
      <c r="E2942" s="69">
        <v>45.45</v>
      </c>
      <c r="F2942" s="69">
        <v>22.3</v>
      </c>
      <c r="G2942" s="69" t="s">
        <v>19</v>
      </c>
      <c r="H2942" s="69" t="str">
        <f>IFERROR(VLOOKUP(Data!$G2942,canon!$I$2:$K$27,2,FALSE),"")</f>
        <v>PANT</v>
      </c>
      <c r="I2942" s="69" t="str">
        <f>IFERROR(VLOOKUP(Data!$G2942,canon!$I$2:$K$27,3,FALSE),"")</f>
        <v>APPAREL</v>
      </c>
      <c r="J2942" s="69">
        <f t="shared" si="90"/>
        <v>2</v>
      </c>
      <c r="K2942" s="69">
        <f t="shared" si="91"/>
        <v>103</v>
      </c>
      <c r="L2942" s="69">
        <f>VLOOKUP(Table_db1_backend_Daily.accdb[[#This Row],[TradingDate]],canon!B:E,4,0)</f>
        <v>30</v>
      </c>
    </row>
    <row r="2943" spans="1:12" x14ac:dyDescent="0.2">
      <c r="A2943" s="69" t="s">
        <v>45</v>
      </c>
      <c r="B2943" s="70">
        <v>42940</v>
      </c>
      <c r="C2943" s="69">
        <v>-790</v>
      </c>
      <c r="D2943" s="69">
        <v>2</v>
      </c>
      <c r="E2943" s="69">
        <v>9.1</v>
      </c>
      <c r="F2943" s="69">
        <v>5.63</v>
      </c>
      <c r="G2943" s="69" t="s">
        <v>22</v>
      </c>
      <c r="H2943" s="69" t="str">
        <f>IFERROR(VLOOKUP(Data!$G2943,canon!$I$2:$K$27,2,FALSE),"")</f>
        <v>SCARF</v>
      </c>
      <c r="I2943" s="69" t="str">
        <f>IFERROR(VLOOKUP(Data!$G2943,canon!$I$2:$K$27,3,FALSE),"")</f>
        <v>N.APPAREL</v>
      </c>
      <c r="J2943" s="69">
        <f t="shared" si="90"/>
        <v>2</v>
      </c>
      <c r="K2943" s="69">
        <f t="shared" si="91"/>
        <v>103</v>
      </c>
      <c r="L2943" s="69">
        <f>VLOOKUP(Table_db1_backend_Daily.accdb[[#This Row],[TradingDate]],canon!B:E,4,0)</f>
        <v>30</v>
      </c>
    </row>
    <row r="2944" spans="1:12" x14ac:dyDescent="0.2">
      <c r="A2944" s="69" t="s">
        <v>45</v>
      </c>
      <c r="B2944" s="70">
        <v>42940</v>
      </c>
      <c r="C2944" s="69">
        <v>154</v>
      </c>
      <c r="D2944" s="69">
        <v>3</v>
      </c>
      <c r="E2944" s="69">
        <v>27.28</v>
      </c>
      <c r="F2944" s="69">
        <v>5.87</v>
      </c>
      <c r="G2944" s="69" t="s">
        <v>23</v>
      </c>
      <c r="H2944" s="69" t="str">
        <f>IFERROR(VLOOKUP(Data!$G2944,canon!$I$2:$K$27,2,FALSE),"")</f>
        <v>SH&amp;BL</v>
      </c>
      <c r="I2944" s="69" t="str">
        <f>IFERROR(VLOOKUP(Data!$G2944,canon!$I$2:$K$27,3,FALSE),"")</f>
        <v>APPAREL</v>
      </c>
      <c r="J2944" s="69">
        <f t="shared" si="90"/>
        <v>2</v>
      </c>
      <c r="K2944" s="69">
        <f t="shared" si="91"/>
        <v>103</v>
      </c>
      <c r="L2944" s="69">
        <f>VLOOKUP(Table_db1_backend_Daily.accdb[[#This Row],[TradingDate]],canon!B:E,4,0)</f>
        <v>30</v>
      </c>
    </row>
    <row r="2945" spans="1:12" x14ac:dyDescent="0.2">
      <c r="A2945" s="69" t="s">
        <v>45</v>
      </c>
      <c r="B2945" s="70">
        <v>42940</v>
      </c>
      <c r="C2945" s="69">
        <v>337</v>
      </c>
      <c r="D2945" s="69">
        <v>1</v>
      </c>
      <c r="E2945" s="69">
        <v>9.09</v>
      </c>
      <c r="F2945" s="69">
        <v>2.79</v>
      </c>
      <c r="G2945" s="69" t="s">
        <v>32</v>
      </c>
      <c r="H2945" s="69" t="str">
        <f>IFERROR(VLOOKUP(Data!$G2945,canon!$I$2:$K$27,2,FALSE),"")</f>
        <v>SKIRT</v>
      </c>
      <c r="I2945" s="69" t="str">
        <f>IFERROR(VLOOKUP(Data!$G2945,canon!$I$2:$K$27,3,FALSE),"")</f>
        <v>APPAREL</v>
      </c>
      <c r="J2945" s="69">
        <f t="shared" si="90"/>
        <v>2</v>
      </c>
      <c r="K2945" s="69">
        <f t="shared" si="91"/>
        <v>103</v>
      </c>
      <c r="L2945" s="69">
        <f>VLOOKUP(Table_db1_backend_Daily.accdb[[#This Row],[TradingDate]],canon!B:E,4,0)</f>
        <v>30</v>
      </c>
    </row>
    <row r="2946" spans="1:12" x14ac:dyDescent="0.2">
      <c r="A2946" s="69" t="s">
        <v>45</v>
      </c>
      <c r="B2946" s="70">
        <v>42940</v>
      </c>
      <c r="C2946" s="69">
        <v>2355</v>
      </c>
      <c r="D2946" s="69">
        <v>57</v>
      </c>
      <c r="E2946" s="69">
        <v>295.57000000000011</v>
      </c>
      <c r="F2946" s="69">
        <v>12.619999999999987</v>
      </c>
      <c r="G2946" s="69" t="s">
        <v>25</v>
      </c>
      <c r="H2946" s="69" t="str">
        <f>IFERROR(VLOOKUP(Data!$G2946,canon!$I$2:$K$27,2,FALSE),"")</f>
        <v>TOP</v>
      </c>
      <c r="I2946" s="69" t="str">
        <f>IFERROR(VLOOKUP(Data!$G2946,canon!$I$2:$K$27,3,FALSE),"")</f>
        <v>APPAREL</v>
      </c>
      <c r="J2946" s="69">
        <f t="shared" ref="J2946:J3009" si="92">WEEKDAY(B2946)</f>
        <v>2</v>
      </c>
      <c r="K2946" s="69">
        <f t="shared" ref="K2946:K3009" si="93">INT(A2946)</f>
        <v>103</v>
      </c>
      <c r="L2946" s="69">
        <f>VLOOKUP(Table_db1_backend_Daily.accdb[[#This Row],[TradingDate]],canon!B:E,4,0)</f>
        <v>30</v>
      </c>
    </row>
    <row r="2947" spans="1:12" x14ac:dyDescent="0.2">
      <c r="A2947" s="69" t="s">
        <v>45</v>
      </c>
      <c r="B2947" s="70">
        <v>42941</v>
      </c>
      <c r="C2947" s="69">
        <v>-34</v>
      </c>
      <c r="D2947" s="69">
        <v>0</v>
      </c>
      <c r="E2947" s="69">
        <v>0</v>
      </c>
      <c r="F2947" s="69">
        <v>0</v>
      </c>
      <c r="G2947" s="69" t="s">
        <v>34</v>
      </c>
      <c r="H2947" s="69" t="str">
        <f>IFERROR(VLOOKUP(Data!$G2947,canon!$I$2:$K$27,2,FALSE),"")</f>
        <v>SHOES</v>
      </c>
      <c r="I2947" s="69" t="str">
        <f>IFERROR(VLOOKUP(Data!$G2947,canon!$I$2:$K$27,3,FALSE),"")</f>
        <v>N.APPAREL</v>
      </c>
      <c r="J2947" s="69">
        <f t="shared" si="92"/>
        <v>3</v>
      </c>
      <c r="K2947" s="69">
        <f t="shared" si="93"/>
        <v>103</v>
      </c>
      <c r="L2947" s="69">
        <f>VLOOKUP(Table_db1_backend_Daily.accdb[[#This Row],[TradingDate]],canon!B:E,4,0)</f>
        <v>30</v>
      </c>
    </row>
    <row r="2948" spans="1:12" x14ac:dyDescent="0.2">
      <c r="A2948" s="69" t="s">
        <v>45</v>
      </c>
      <c r="B2948" s="70">
        <v>42941</v>
      </c>
      <c r="C2948" s="69">
        <v>684</v>
      </c>
      <c r="D2948" s="69">
        <v>11</v>
      </c>
      <c r="E2948" s="69">
        <v>131.81</v>
      </c>
      <c r="F2948" s="69">
        <v>37.9</v>
      </c>
      <c r="G2948" s="69" t="s">
        <v>35</v>
      </c>
      <c r="H2948" s="69" t="str">
        <f>IFERROR(VLOOKUP(Data!$G2948,canon!$I$2:$K$27,2,FALSE),"")</f>
        <v>DRESS</v>
      </c>
      <c r="I2948" s="69" t="str">
        <f>IFERROR(VLOOKUP(Data!$G2948,canon!$I$2:$K$27,3,FALSE),"")</f>
        <v>APPAREL</v>
      </c>
      <c r="J2948" s="69">
        <f t="shared" si="92"/>
        <v>3</v>
      </c>
      <c r="K2948" s="69">
        <f t="shared" si="93"/>
        <v>103</v>
      </c>
      <c r="L2948" s="69">
        <f>VLOOKUP(Table_db1_backend_Daily.accdb[[#This Row],[TradingDate]],canon!B:E,4,0)</f>
        <v>30</v>
      </c>
    </row>
    <row r="2949" spans="1:12" x14ac:dyDescent="0.2">
      <c r="A2949" s="69" t="s">
        <v>45</v>
      </c>
      <c r="B2949" s="70">
        <v>42941</v>
      </c>
      <c r="C2949" s="69">
        <v>464</v>
      </c>
      <c r="D2949" s="69">
        <v>0</v>
      </c>
      <c r="E2949" s="69">
        <v>0</v>
      </c>
      <c r="F2949" s="69">
        <v>0</v>
      </c>
      <c r="G2949" s="69" t="s">
        <v>10</v>
      </c>
      <c r="H2949" s="69" t="str">
        <f>IFERROR(VLOOKUP(Data!$G2949,canon!$I$2:$K$27,2,FALSE),"")</f>
        <v>ACCESSORY</v>
      </c>
      <c r="I2949" s="69" t="str">
        <f>IFERROR(VLOOKUP(Data!$G2949,canon!$I$2:$K$27,3,FALSE),"")</f>
        <v>N.APPAREL</v>
      </c>
      <c r="J2949" s="69">
        <f t="shared" si="92"/>
        <v>3</v>
      </c>
      <c r="K2949" s="69">
        <f t="shared" si="93"/>
        <v>103</v>
      </c>
      <c r="L2949" s="69">
        <f>VLOOKUP(Table_db1_backend_Daily.accdb[[#This Row],[TradingDate]],canon!B:E,4,0)</f>
        <v>30</v>
      </c>
    </row>
    <row r="2950" spans="1:12" x14ac:dyDescent="0.2">
      <c r="A2950" s="69" t="s">
        <v>45</v>
      </c>
      <c r="B2950" s="70">
        <v>42941</v>
      </c>
      <c r="C2950" s="69">
        <v>2465</v>
      </c>
      <c r="D2950" s="69">
        <v>90</v>
      </c>
      <c r="E2950" s="69">
        <v>1058.8299999999997</v>
      </c>
      <c r="F2950" s="69">
        <v>328.59000000000003</v>
      </c>
      <c r="G2950" s="69" t="s">
        <v>11</v>
      </c>
      <c r="H2950" s="69" t="str">
        <f>IFERROR(VLOOKUP(Data!$G2950,canon!$I$2:$K$27,2,FALSE),"")</f>
        <v>KNIT</v>
      </c>
      <c r="I2950" s="69" t="str">
        <f>IFERROR(VLOOKUP(Data!$G2950,canon!$I$2:$K$27,3,FALSE),"")</f>
        <v>APPAREL</v>
      </c>
      <c r="J2950" s="69">
        <f t="shared" si="92"/>
        <v>3</v>
      </c>
      <c r="K2950" s="69">
        <f t="shared" si="93"/>
        <v>103</v>
      </c>
      <c r="L2950" s="69">
        <f>VLOOKUP(Table_db1_backend_Daily.accdb[[#This Row],[TradingDate]],canon!B:E,4,0)</f>
        <v>30</v>
      </c>
    </row>
    <row r="2951" spans="1:12" x14ac:dyDescent="0.2">
      <c r="A2951" s="69" t="s">
        <v>45</v>
      </c>
      <c r="B2951" s="70">
        <v>42941</v>
      </c>
      <c r="C2951" s="69">
        <v>503</v>
      </c>
      <c r="D2951" s="69">
        <v>3</v>
      </c>
      <c r="E2951" s="69">
        <v>45.45</v>
      </c>
      <c r="F2951" s="69">
        <v>24.700000000000003</v>
      </c>
      <c r="G2951" s="69" t="s">
        <v>14</v>
      </c>
      <c r="H2951" s="69" t="str">
        <f>IFERROR(VLOOKUP(Data!$G2951,canon!$I$2:$K$27,2,FALSE),"")</f>
        <v>LEGGING</v>
      </c>
      <c r="I2951" s="69" t="str">
        <f>IFERROR(VLOOKUP(Data!$G2951,canon!$I$2:$K$27,3,FALSE),"")</f>
        <v>APPAREL</v>
      </c>
      <c r="J2951" s="69">
        <f t="shared" si="92"/>
        <v>3</v>
      </c>
      <c r="K2951" s="69">
        <f t="shared" si="93"/>
        <v>103</v>
      </c>
      <c r="L2951" s="69">
        <f>VLOOKUP(Table_db1_backend_Daily.accdb[[#This Row],[TradingDate]],canon!B:E,4,0)</f>
        <v>30</v>
      </c>
    </row>
    <row r="2952" spans="1:12" x14ac:dyDescent="0.2">
      <c r="A2952" s="69" t="s">
        <v>45</v>
      </c>
      <c r="B2952" s="70">
        <v>42941</v>
      </c>
      <c r="C2952" s="69">
        <v>-116</v>
      </c>
      <c r="D2952" s="69">
        <v>0</v>
      </c>
      <c r="E2952" s="69">
        <v>0</v>
      </c>
      <c r="F2952" s="69">
        <v>0</v>
      </c>
      <c r="G2952" s="69" t="s">
        <v>37</v>
      </c>
      <c r="H2952" s="69" t="str">
        <f>IFERROR(VLOOKUP(Data!$G2952,canon!$I$2:$K$27,2,FALSE),"")</f>
        <v>SHOES</v>
      </c>
      <c r="I2952" s="69" t="str">
        <f>IFERROR(VLOOKUP(Data!$G2952,canon!$I$2:$K$27,3,FALSE),"")</f>
        <v>N.APPAREL</v>
      </c>
      <c r="J2952" s="69">
        <f t="shared" si="92"/>
        <v>3</v>
      </c>
      <c r="K2952" s="69">
        <f t="shared" si="93"/>
        <v>103</v>
      </c>
      <c r="L2952" s="69">
        <f>VLOOKUP(Table_db1_backend_Daily.accdb[[#This Row],[TradingDate]],canon!B:E,4,0)</f>
        <v>30</v>
      </c>
    </row>
    <row r="2953" spans="1:12" x14ac:dyDescent="0.2">
      <c r="A2953" s="69" t="s">
        <v>45</v>
      </c>
      <c r="B2953" s="70">
        <v>42941</v>
      </c>
      <c r="C2953" s="69">
        <v>-1</v>
      </c>
      <c r="D2953" s="69">
        <v>0</v>
      </c>
      <c r="E2953" s="69">
        <v>0</v>
      </c>
      <c r="F2953" s="69">
        <v>0</v>
      </c>
      <c r="G2953" s="69" t="s">
        <v>29</v>
      </c>
      <c r="H2953" s="69" t="str">
        <f>IFERROR(VLOOKUP(Data!$G2953,canon!$I$2:$K$27,2,FALSE),"")</f>
        <v>SHOES</v>
      </c>
      <c r="I2953" s="69" t="str">
        <f>IFERROR(VLOOKUP(Data!$G2953,canon!$I$2:$K$27,3,FALSE),"")</f>
        <v>N.APPAREL</v>
      </c>
      <c r="J2953" s="69">
        <f t="shared" si="92"/>
        <v>3</v>
      </c>
      <c r="K2953" s="69">
        <f t="shared" si="93"/>
        <v>103</v>
      </c>
      <c r="L2953" s="69">
        <f>VLOOKUP(Table_db1_backend_Daily.accdb[[#This Row],[TradingDate]],canon!B:E,4,0)</f>
        <v>30</v>
      </c>
    </row>
    <row r="2954" spans="1:12" x14ac:dyDescent="0.2">
      <c r="A2954" s="69" t="s">
        <v>45</v>
      </c>
      <c r="B2954" s="70">
        <v>42941</v>
      </c>
      <c r="C2954" s="69">
        <v>715</v>
      </c>
      <c r="D2954" s="69">
        <v>16</v>
      </c>
      <c r="E2954" s="69">
        <v>263.58</v>
      </c>
      <c r="F2954" s="69">
        <v>116.58</v>
      </c>
      <c r="G2954" s="69" t="s">
        <v>17</v>
      </c>
      <c r="H2954" s="69" t="str">
        <f>IFERROR(VLOOKUP(Data!$G2954,canon!$I$2:$K$27,2,FALSE),"")</f>
        <v>OUTER</v>
      </c>
      <c r="I2954" s="69" t="str">
        <f>IFERROR(VLOOKUP(Data!$G2954,canon!$I$2:$K$27,3,FALSE),"")</f>
        <v>APPAREL</v>
      </c>
      <c r="J2954" s="69">
        <f t="shared" si="92"/>
        <v>3</v>
      </c>
      <c r="K2954" s="69">
        <f t="shared" si="93"/>
        <v>103</v>
      </c>
      <c r="L2954" s="69">
        <f>VLOOKUP(Table_db1_backend_Daily.accdb[[#This Row],[TradingDate]],canon!B:E,4,0)</f>
        <v>30</v>
      </c>
    </row>
    <row r="2955" spans="1:12" x14ac:dyDescent="0.2">
      <c r="A2955" s="69" t="s">
        <v>45</v>
      </c>
      <c r="B2955" s="70">
        <v>42941</v>
      </c>
      <c r="C2955" s="69">
        <v>296</v>
      </c>
      <c r="D2955" s="69">
        <v>9</v>
      </c>
      <c r="E2955" s="69">
        <v>118.13000000000001</v>
      </c>
      <c r="F2955" s="69">
        <v>63.559999999999995</v>
      </c>
      <c r="G2955" s="69" t="s">
        <v>19</v>
      </c>
      <c r="H2955" s="69" t="str">
        <f>IFERROR(VLOOKUP(Data!$G2955,canon!$I$2:$K$27,2,FALSE),"")</f>
        <v>PANT</v>
      </c>
      <c r="I2955" s="69" t="str">
        <f>IFERROR(VLOOKUP(Data!$G2955,canon!$I$2:$K$27,3,FALSE),"")</f>
        <v>APPAREL</v>
      </c>
      <c r="J2955" s="69">
        <f t="shared" si="92"/>
        <v>3</v>
      </c>
      <c r="K2955" s="69">
        <f t="shared" si="93"/>
        <v>103</v>
      </c>
      <c r="L2955" s="69">
        <f>VLOOKUP(Table_db1_backend_Daily.accdb[[#This Row],[TradingDate]],canon!B:E,4,0)</f>
        <v>30</v>
      </c>
    </row>
    <row r="2956" spans="1:12" x14ac:dyDescent="0.2">
      <c r="A2956" s="69" t="s">
        <v>45</v>
      </c>
      <c r="B2956" s="70">
        <v>42941</v>
      </c>
      <c r="C2956" s="69">
        <v>-794</v>
      </c>
      <c r="D2956" s="69">
        <v>4</v>
      </c>
      <c r="E2956" s="69">
        <v>23.560000000000002</v>
      </c>
      <c r="F2956" s="69">
        <v>16.72</v>
      </c>
      <c r="G2956" s="69" t="s">
        <v>22</v>
      </c>
      <c r="H2956" s="69" t="str">
        <f>IFERROR(VLOOKUP(Data!$G2956,canon!$I$2:$K$27,2,FALSE),"")</f>
        <v>SCARF</v>
      </c>
      <c r="I2956" s="69" t="str">
        <f>IFERROR(VLOOKUP(Data!$G2956,canon!$I$2:$K$27,3,FALSE),"")</f>
        <v>N.APPAREL</v>
      </c>
      <c r="J2956" s="69">
        <f t="shared" si="92"/>
        <v>3</v>
      </c>
      <c r="K2956" s="69">
        <f t="shared" si="93"/>
        <v>103</v>
      </c>
      <c r="L2956" s="69">
        <f>VLOOKUP(Table_db1_backend_Daily.accdb[[#This Row],[TradingDate]],canon!B:E,4,0)</f>
        <v>30</v>
      </c>
    </row>
    <row r="2957" spans="1:12" x14ac:dyDescent="0.2">
      <c r="A2957" s="69" t="s">
        <v>45</v>
      </c>
      <c r="B2957" s="70">
        <v>42941</v>
      </c>
      <c r="C2957" s="69">
        <v>209</v>
      </c>
      <c r="D2957" s="69">
        <v>8</v>
      </c>
      <c r="E2957" s="69">
        <v>59.03</v>
      </c>
      <c r="F2957" s="69">
        <v>6.5200000000000031</v>
      </c>
      <c r="G2957" s="69" t="s">
        <v>23</v>
      </c>
      <c r="H2957" s="69" t="str">
        <f>IFERROR(VLOOKUP(Data!$G2957,canon!$I$2:$K$27,2,FALSE),"")</f>
        <v>SH&amp;BL</v>
      </c>
      <c r="I2957" s="69" t="str">
        <f>IFERROR(VLOOKUP(Data!$G2957,canon!$I$2:$K$27,3,FALSE),"")</f>
        <v>APPAREL</v>
      </c>
      <c r="J2957" s="69">
        <f t="shared" si="92"/>
        <v>3</v>
      </c>
      <c r="K2957" s="69">
        <f t="shared" si="93"/>
        <v>103</v>
      </c>
      <c r="L2957" s="69">
        <f>VLOOKUP(Table_db1_backend_Daily.accdb[[#This Row],[TradingDate]],canon!B:E,4,0)</f>
        <v>30</v>
      </c>
    </row>
    <row r="2958" spans="1:12" x14ac:dyDescent="0.2">
      <c r="A2958" s="69" t="s">
        <v>45</v>
      </c>
      <c r="B2958" s="70">
        <v>42941</v>
      </c>
      <c r="C2958" s="69">
        <v>392</v>
      </c>
      <c r="D2958" s="69">
        <v>3</v>
      </c>
      <c r="E2958" s="69">
        <v>45.41</v>
      </c>
      <c r="F2958" s="69">
        <v>30.96</v>
      </c>
      <c r="G2958" s="69" t="s">
        <v>32</v>
      </c>
      <c r="H2958" s="69" t="str">
        <f>IFERROR(VLOOKUP(Data!$G2958,canon!$I$2:$K$27,2,FALSE),"")</f>
        <v>SKIRT</v>
      </c>
      <c r="I2958" s="69" t="str">
        <f>IFERROR(VLOOKUP(Data!$G2958,canon!$I$2:$K$27,3,FALSE),"")</f>
        <v>APPAREL</v>
      </c>
      <c r="J2958" s="69">
        <f t="shared" si="92"/>
        <v>3</v>
      </c>
      <c r="K2958" s="69">
        <f t="shared" si="93"/>
        <v>103</v>
      </c>
      <c r="L2958" s="69">
        <f>VLOOKUP(Table_db1_backend_Daily.accdb[[#This Row],[TradingDate]],canon!B:E,4,0)</f>
        <v>30</v>
      </c>
    </row>
    <row r="2959" spans="1:12" x14ac:dyDescent="0.2">
      <c r="A2959" s="69" t="s">
        <v>45</v>
      </c>
      <c r="B2959" s="70">
        <v>42941</v>
      </c>
      <c r="C2959" s="69">
        <v>2646</v>
      </c>
      <c r="D2959" s="69">
        <v>77</v>
      </c>
      <c r="E2959" s="69">
        <v>404.68000000000006</v>
      </c>
      <c r="F2959" s="69">
        <v>-11.529999999999996</v>
      </c>
      <c r="G2959" s="69" t="s">
        <v>25</v>
      </c>
      <c r="H2959" s="69" t="str">
        <f>IFERROR(VLOOKUP(Data!$G2959,canon!$I$2:$K$27,2,FALSE),"")</f>
        <v>TOP</v>
      </c>
      <c r="I2959" s="69" t="str">
        <f>IFERROR(VLOOKUP(Data!$G2959,canon!$I$2:$K$27,3,FALSE),"")</f>
        <v>APPAREL</v>
      </c>
      <c r="J2959" s="69">
        <f t="shared" si="92"/>
        <v>3</v>
      </c>
      <c r="K2959" s="69">
        <f t="shared" si="93"/>
        <v>103</v>
      </c>
      <c r="L2959" s="69">
        <f>VLOOKUP(Table_db1_backend_Daily.accdb[[#This Row],[TradingDate]],canon!B:E,4,0)</f>
        <v>30</v>
      </c>
    </row>
    <row r="2960" spans="1:12" x14ac:dyDescent="0.2">
      <c r="A2960" s="69" t="s">
        <v>45</v>
      </c>
      <c r="B2960" s="70">
        <v>42942</v>
      </c>
      <c r="C2960" s="69">
        <v>-34</v>
      </c>
      <c r="D2960" s="69">
        <v>0</v>
      </c>
      <c r="E2960" s="69">
        <v>0</v>
      </c>
      <c r="F2960" s="69">
        <v>0</v>
      </c>
      <c r="G2960" s="69" t="s">
        <v>34</v>
      </c>
      <c r="H2960" s="69" t="str">
        <f>IFERROR(VLOOKUP(Data!$G2960,canon!$I$2:$K$27,2,FALSE),"")</f>
        <v>SHOES</v>
      </c>
      <c r="I2960" s="69" t="str">
        <f>IFERROR(VLOOKUP(Data!$G2960,canon!$I$2:$K$27,3,FALSE),"")</f>
        <v>N.APPAREL</v>
      </c>
      <c r="J2960" s="69">
        <f t="shared" si="92"/>
        <v>4</v>
      </c>
      <c r="K2960" s="69">
        <f t="shared" si="93"/>
        <v>103</v>
      </c>
      <c r="L2960" s="69">
        <f>VLOOKUP(Table_db1_backend_Daily.accdb[[#This Row],[TradingDate]],canon!B:E,4,0)</f>
        <v>30</v>
      </c>
    </row>
    <row r="2961" spans="1:12" x14ac:dyDescent="0.2">
      <c r="A2961" s="69" t="s">
        <v>45</v>
      </c>
      <c r="B2961" s="70">
        <v>42942</v>
      </c>
      <c r="C2961" s="69">
        <v>673</v>
      </c>
      <c r="D2961" s="69">
        <v>10</v>
      </c>
      <c r="E2961" s="69">
        <v>118.09000000000002</v>
      </c>
      <c r="F2961" s="69">
        <v>35.480000000000004</v>
      </c>
      <c r="G2961" s="69" t="s">
        <v>35</v>
      </c>
      <c r="H2961" s="69" t="str">
        <f>IFERROR(VLOOKUP(Data!$G2961,canon!$I$2:$K$27,2,FALSE),"")</f>
        <v>DRESS</v>
      </c>
      <c r="I2961" s="69" t="str">
        <f>IFERROR(VLOOKUP(Data!$G2961,canon!$I$2:$K$27,3,FALSE),"")</f>
        <v>APPAREL</v>
      </c>
      <c r="J2961" s="69">
        <f t="shared" si="92"/>
        <v>4</v>
      </c>
      <c r="K2961" s="69">
        <f t="shared" si="93"/>
        <v>103</v>
      </c>
      <c r="L2961" s="69">
        <f>VLOOKUP(Table_db1_backend_Daily.accdb[[#This Row],[TradingDate]],canon!B:E,4,0)</f>
        <v>30</v>
      </c>
    </row>
    <row r="2962" spans="1:12" x14ac:dyDescent="0.2">
      <c r="A2962" s="69" t="s">
        <v>45</v>
      </c>
      <c r="B2962" s="70">
        <v>42942</v>
      </c>
      <c r="C2962" s="69">
        <v>464</v>
      </c>
      <c r="D2962" s="69">
        <v>0</v>
      </c>
      <c r="E2962" s="69">
        <v>0</v>
      </c>
      <c r="F2962" s="69">
        <v>0</v>
      </c>
      <c r="G2962" s="69" t="s">
        <v>10</v>
      </c>
      <c r="H2962" s="69" t="str">
        <f>IFERROR(VLOOKUP(Data!$G2962,canon!$I$2:$K$27,2,FALSE),"")</f>
        <v>ACCESSORY</v>
      </c>
      <c r="I2962" s="69" t="str">
        <f>IFERROR(VLOOKUP(Data!$G2962,canon!$I$2:$K$27,3,FALSE),"")</f>
        <v>N.APPAREL</v>
      </c>
      <c r="J2962" s="69">
        <f t="shared" si="92"/>
        <v>4</v>
      </c>
      <c r="K2962" s="69">
        <f t="shared" si="93"/>
        <v>103</v>
      </c>
      <c r="L2962" s="69">
        <f>VLOOKUP(Table_db1_backend_Daily.accdb[[#This Row],[TradingDate]],canon!B:E,4,0)</f>
        <v>30</v>
      </c>
    </row>
    <row r="2963" spans="1:12" x14ac:dyDescent="0.2">
      <c r="A2963" s="69" t="s">
        <v>45</v>
      </c>
      <c r="B2963" s="70">
        <v>42942</v>
      </c>
      <c r="C2963" s="69">
        <v>2407</v>
      </c>
      <c r="D2963" s="69">
        <v>54</v>
      </c>
      <c r="E2963" s="69">
        <v>599.6400000000001</v>
      </c>
      <c r="F2963" s="69">
        <v>179.89999999999998</v>
      </c>
      <c r="G2963" s="69" t="s">
        <v>11</v>
      </c>
      <c r="H2963" s="69" t="str">
        <f>IFERROR(VLOOKUP(Data!$G2963,canon!$I$2:$K$27,2,FALSE),"")</f>
        <v>KNIT</v>
      </c>
      <c r="I2963" s="69" t="str">
        <f>IFERROR(VLOOKUP(Data!$G2963,canon!$I$2:$K$27,3,FALSE),"")</f>
        <v>APPAREL</v>
      </c>
      <c r="J2963" s="69">
        <f t="shared" si="92"/>
        <v>4</v>
      </c>
      <c r="K2963" s="69">
        <f t="shared" si="93"/>
        <v>103</v>
      </c>
      <c r="L2963" s="69">
        <f>VLOOKUP(Table_db1_backend_Daily.accdb[[#This Row],[TradingDate]],canon!B:E,4,0)</f>
        <v>30</v>
      </c>
    </row>
    <row r="2964" spans="1:12" x14ac:dyDescent="0.2">
      <c r="A2964" s="69" t="s">
        <v>45</v>
      </c>
      <c r="B2964" s="70">
        <v>42942</v>
      </c>
      <c r="C2964" s="69">
        <v>497</v>
      </c>
      <c r="D2964" s="69">
        <v>6</v>
      </c>
      <c r="E2964" s="69">
        <v>72.64</v>
      </c>
      <c r="F2964" s="69">
        <v>29.59</v>
      </c>
      <c r="G2964" s="69" t="s">
        <v>14</v>
      </c>
      <c r="H2964" s="69" t="str">
        <f>IFERROR(VLOOKUP(Data!$G2964,canon!$I$2:$K$27,2,FALSE),"")</f>
        <v>LEGGING</v>
      </c>
      <c r="I2964" s="69" t="str">
        <f>IFERROR(VLOOKUP(Data!$G2964,canon!$I$2:$K$27,3,FALSE),"")</f>
        <v>APPAREL</v>
      </c>
      <c r="J2964" s="69">
        <f t="shared" si="92"/>
        <v>4</v>
      </c>
      <c r="K2964" s="69">
        <f t="shared" si="93"/>
        <v>103</v>
      </c>
      <c r="L2964" s="69">
        <f>VLOOKUP(Table_db1_backend_Daily.accdb[[#This Row],[TradingDate]],canon!B:E,4,0)</f>
        <v>30</v>
      </c>
    </row>
    <row r="2965" spans="1:12" x14ac:dyDescent="0.2">
      <c r="A2965" s="69" t="s">
        <v>45</v>
      </c>
      <c r="B2965" s="70">
        <v>42942</v>
      </c>
      <c r="C2965" s="69">
        <v>-116</v>
      </c>
      <c r="D2965" s="69">
        <v>0</v>
      </c>
      <c r="E2965" s="69">
        <v>0</v>
      </c>
      <c r="F2965" s="69">
        <v>0</v>
      </c>
      <c r="G2965" s="69" t="s">
        <v>37</v>
      </c>
      <c r="H2965" s="69" t="str">
        <f>IFERROR(VLOOKUP(Data!$G2965,canon!$I$2:$K$27,2,FALSE),"")</f>
        <v>SHOES</v>
      </c>
      <c r="I2965" s="69" t="str">
        <f>IFERROR(VLOOKUP(Data!$G2965,canon!$I$2:$K$27,3,FALSE),"")</f>
        <v>N.APPAREL</v>
      </c>
      <c r="J2965" s="69">
        <f t="shared" si="92"/>
        <v>4</v>
      </c>
      <c r="K2965" s="69">
        <f t="shared" si="93"/>
        <v>103</v>
      </c>
      <c r="L2965" s="69">
        <f>VLOOKUP(Table_db1_backend_Daily.accdb[[#This Row],[TradingDate]],canon!B:E,4,0)</f>
        <v>30</v>
      </c>
    </row>
    <row r="2966" spans="1:12" x14ac:dyDescent="0.2">
      <c r="A2966" s="69" t="s">
        <v>45</v>
      </c>
      <c r="B2966" s="70">
        <v>42942</v>
      </c>
      <c r="C2966" s="69">
        <v>-1</v>
      </c>
      <c r="D2966" s="69">
        <v>0</v>
      </c>
      <c r="E2966" s="69">
        <v>0</v>
      </c>
      <c r="F2966" s="69">
        <v>0</v>
      </c>
      <c r="G2966" s="69" t="s">
        <v>29</v>
      </c>
      <c r="H2966" s="69" t="str">
        <f>IFERROR(VLOOKUP(Data!$G2966,canon!$I$2:$K$27,2,FALSE),"")</f>
        <v>SHOES</v>
      </c>
      <c r="I2966" s="69" t="str">
        <f>IFERROR(VLOOKUP(Data!$G2966,canon!$I$2:$K$27,3,FALSE),"")</f>
        <v>N.APPAREL</v>
      </c>
      <c r="J2966" s="69">
        <f t="shared" si="92"/>
        <v>4</v>
      </c>
      <c r="K2966" s="69">
        <f t="shared" si="93"/>
        <v>103</v>
      </c>
      <c r="L2966" s="69">
        <f>VLOOKUP(Table_db1_backend_Daily.accdb[[#This Row],[TradingDate]],canon!B:E,4,0)</f>
        <v>30</v>
      </c>
    </row>
    <row r="2967" spans="1:12" x14ac:dyDescent="0.2">
      <c r="A2967" s="69" t="s">
        <v>45</v>
      </c>
      <c r="B2967" s="70">
        <v>42942</v>
      </c>
      <c r="C2967" s="69">
        <v>707</v>
      </c>
      <c r="D2967" s="69">
        <v>7</v>
      </c>
      <c r="E2967" s="69">
        <v>99.990000000000009</v>
      </c>
      <c r="F2967" s="69">
        <v>34.020000000000003</v>
      </c>
      <c r="G2967" s="69" t="s">
        <v>17</v>
      </c>
      <c r="H2967" s="69" t="str">
        <f>IFERROR(VLOOKUP(Data!$G2967,canon!$I$2:$K$27,2,FALSE),"")</f>
        <v>OUTER</v>
      </c>
      <c r="I2967" s="69" t="str">
        <f>IFERROR(VLOOKUP(Data!$G2967,canon!$I$2:$K$27,3,FALSE),"")</f>
        <v>APPAREL</v>
      </c>
      <c r="J2967" s="69">
        <f t="shared" si="92"/>
        <v>4</v>
      </c>
      <c r="K2967" s="69">
        <f t="shared" si="93"/>
        <v>103</v>
      </c>
      <c r="L2967" s="69">
        <f>VLOOKUP(Table_db1_backend_Daily.accdb[[#This Row],[TradingDate]],canon!B:E,4,0)</f>
        <v>30</v>
      </c>
    </row>
    <row r="2968" spans="1:12" x14ac:dyDescent="0.2">
      <c r="A2968" s="69" t="s">
        <v>45</v>
      </c>
      <c r="B2968" s="70">
        <v>42942</v>
      </c>
      <c r="C2968" s="69">
        <v>291</v>
      </c>
      <c r="D2968" s="69">
        <v>4</v>
      </c>
      <c r="E2968" s="69">
        <v>45.45</v>
      </c>
      <c r="F2968" s="69">
        <v>19.14</v>
      </c>
      <c r="G2968" s="69" t="s">
        <v>19</v>
      </c>
      <c r="H2968" s="69" t="str">
        <f>IFERROR(VLOOKUP(Data!$G2968,canon!$I$2:$K$27,2,FALSE),"")</f>
        <v>PANT</v>
      </c>
      <c r="I2968" s="69" t="str">
        <f>IFERROR(VLOOKUP(Data!$G2968,canon!$I$2:$K$27,3,FALSE),"")</f>
        <v>APPAREL</v>
      </c>
      <c r="J2968" s="69">
        <f t="shared" si="92"/>
        <v>4</v>
      </c>
      <c r="K2968" s="69">
        <f t="shared" si="93"/>
        <v>103</v>
      </c>
      <c r="L2968" s="69">
        <f>VLOOKUP(Table_db1_backend_Daily.accdb[[#This Row],[TradingDate]],canon!B:E,4,0)</f>
        <v>30</v>
      </c>
    </row>
    <row r="2969" spans="1:12" x14ac:dyDescent="0.2">
      <c r="A2969" s="69" t="s">
        <v>45</v>
      </c>
      <c r="B2969" s="70">
        <v>42942</v>
      </c>
      <c r="C2969" s="69">
        <v>-803</v>
      </c>
      <c r="D2969" s="69">
        <v>9</v>
      </c>
      <c r="E2969" s="69">
        <v>48.980000000000004</v>
      </c>
      <c r="F2969" s="69">
        <v>34.64</v>
      </c>
      <c r="G2969" s="69" t="s">
        <v>22</v>
      </c>
      <c r="H2969" s="69" t="str">
        <f>IFERROR(VLOOKUP(Data!$G2969,canon!$I$2:$K$27,2,FALSE),"")</f>
        <v>SCARF</v>
      </c>
      <c r="I2969" s="69" t="str">
        <f>IFERROR(VLOOKUP(Data!$G2969,canon!$I$2:$K$27,3,FALSE),"")</f>
        <v>N.APPAREL</v>
      </c>
      <c r="J2969" s="69">
        <f t="shared" si="92"/>
        <v>4</v>
      </c>
      <c r="K2969" s="69">
        <f t="shared" si="93"/>
        <v>103</v>
      </c>
      <c r="L2969" s="69">
        <f>VLOOKUP(Table_db1_backend_Daily.accdb[[#This Row],[TradingDate]],canon!B:E,4,0)</f>
        <v>30</v>
      </c>
    </row>
    <row r="2970" spans="1:12" x14ac:dyDescent="0.2">
      <c r="A2970" s="69" t="s">
        <v>45</v>
      </c>
      <c r="B2970" s="70">
        <v>42942</v>
      </c>
      <c r="C2970" s="69">
        <v>208</v>
      </c>
      <c r="D2970" s="69">
        <v>1</v>
      </c>
      <c r="E2970" s="69">
        <v>4.54</v>
      </c>
      <c r="F2970" s="69">
        <v>-2.2000000000000002</v>
      </c>
      <c r="G2970" s="69" t="s">
        <v>23</v>
      </c>
      <c r="H2970" s="69" t="str">
        <f>IFERROR(VLOOKUP(Data!$G2970,canon!$I$2:$K$27,2,FALSE),"")</f>
        <v>SH&amp;BL</v>
      </c>
      <c r="I2970" s="69" t="str">
        <f>IFERROR(VLOOKUP(Data!$G2970,canon!$I$2:$K$27,3,FALSE),"")</f>
        <v>APPAREL</v>
      </c>
      <c r="J2970" s="69">
        <f t="shared" si="92"/>
        <v>4</v>
      </c>
      <c r="K2970" s="69">
        <f t="shared" si="93"/>
        <v>103</v>
      </c>
      <c r="L2970" s="69">
        <f>VLOOKUP(Table_db1_backend_Daily.accdb[[#This Row],[TradingDate]],canon!B:E,4,0)</f>
        <v>30</v>
      </c>
    </row>
    <row r="2971" spans="1:12" x14ac:dyDescent="0.2">
      <c r="A2971" s="69" t="s">
        <v>45</v>
      </c>
      <c r="B2971" s="70">
        <v>42942</v>
      </c>
      <c r="C2971" s="69">
        <v>387</v>
      </c>
      <c r="D2971" s="69">
        <v>3</v>
      </c>
      <c r="E2971" s="69">
        <v>45.45</v>
      </c>
      <c r="F2971" s="69">
        <v>29.8</v>
      </c>
      <c r="G2971" s="69" t="s">
        <v>32</v>
      </c>
      <c r="H2971" s="69" t="str">
        <f>IFERROR(VLOOKUP(Data!$G2971,canon!$I$2:$K$27,2,FALSE),"")</f>
        <v>SKIRT</v>
      </c>
      <c r="I2971" s="69" t="str">
        <f>IFERROR(VLOOKUP(Data!$G2971,canon!$I$2:$K$27,3,FALSE),"")</f>
        <v>APPAREL</v>
      </c>
      <c r="J2971" s="69">
        <f t="shared" si="92"/>
        <v>4</v>
      </c>
      <c r="K2971" s="69">
        <f t="shared" si="93"/>
        <v>103</v>
      </c>
      <c r="L2971" s="69">
        <f>VLOOKUP(Table_db1_backend_Daily.accdb[[#This Row],[TradingDate]],canon!B:E,4,0)</f>
        <v>30</v>
      </c>
    </row>
    <row r="2972" spans="1:12" x14ac:dyDescent="0.2">
      <c r="A2972" s="69" t="s">
        <v>45</v>
      </c>
      <c r="B2972" s="70">
        <v>42942</v>
      </c>
      <c r="C2972" s="69">
        <v>2601</v>
      </c>
      <c r="D2972" s="69">
        <v>43</v>
      </c>
      <c r="E2972" s="69">
        <v>241.00000000000003</v>
      </c>
      <c r="F2972" s="69">
        <v>1.2499999999999947</v>
      </c>
      <c r="G2972" s="69" t="s">
        <v>25</v>
      </c>
      <c r="H2972" s="69" t="str">
        <f>IFERROR(VLOOKUP(Data!$G2972,canon!$I$2:$K$27,2,FALSE),"")</f>
        <v>TOP</v>
      </c>
      <c r="I2972" s="69" t="str">
        <f>IFERROR(VLOOKUP(Data!$G2972,canon!$I$2:$K$27,3,FALSE),"")</f>
        <v>APPAREL</v>
      </c>
      <c r="J2972" s="69">
        <f t="shared" si="92"/>
        <v>4</v>
      </c>
      <c r="K2972" s="69">
        <f t="shared" si="93"/>
        <v>103</v>
      </c>
      <c r="L2972" s="69">
        <f>VLOOKUP(Table_db1_backend_Daily.accdb[[#This Row],[TradingDate]],canon!B:E,4,0)</f>
        <v>30</v>
      </c>
    </row>
    <row r="2973" spans="1:12" x14ac:dyDescent="0.2">
      <c r="A2973" s="69" t="s">
        <v>45</v>
      </c>
      <c r="B2973" s="70">
        <v>42943</v>
      </c>
      <c r="C2973" s="69">
        <v>-34</v>
      </c>
      <c r="D2973" s="69">
        <v>0</v>
      </c>
      <c r="E2973" s="69">
        <v>0</v>
      </c>
      <c r="F2973" s="69">
        <v>0</v>
      </c>
      <c r="G2973" s="69" t="s">
        <v>34</v>
      </c>
      <c r="H2973" s="69" t="str">
        <f>IFERROR(VLOOKUP(Data!$G2973,canon!$I$2:$K$27,2,FALSE),"")</f>
        <v>SHOES</v>
      </c>
      <c r="I2973" s="69" t="str">
        <f>IFERROR(VLOOKUP(Data!$G2973,canon!$I$2:$K$27,3,FALSE),"")</f>
        <v>N.APPAREL</v>
      </c>
      <c r="J2973" s="69">
        <f t="shared" si="92"/>
        <v>5</v>
      </c>
      <c r="K2973" s="69">
        <f t="shared" si="93"/>
        <v>103</v>
      </c>
      <c r="L2973" s="69">
        <f>VLOOKUP(Table_db1_backend_Daily.accdb[[#This Row],[TradingDate]],canon!B:E,4,0)</f>
        <v>30</v>
      </c>
    </row>
    <row r="2974" spans="1:12" x14ac:dyDescent="0.2">
      <c r="A2974" s="69" t="s">
        <v>45</v>
      </c>
      <c r="B2974" s="70">
        <v>42943</v>
      </c>
      <c r="C2974" s="69">
        <v>653</v>
      </c>
      <c r="D2974" s="69">
        <v>20</v>
      </c>
      <c r="E2974" s="69">
        <v>267.98</v>
      </c>
      <c r="F2974" s="69">
        <v>104.16000000000003</v>
      </c>
      <c r="G2974" s="69" t="s">
        <v>35</v>
      </c>
      <c r="H2974" s="69" t="str">
        <f>IFERROR(VLOOKUP(Data!$G2974,canon!$I$2:$K$27,2,FALSE),"")</f>
        <v>DRESS</v>
      </c>
      <c r="I2974" s="69" t="str">
        <f>IFERROR(VLOOKUP(Data!$G2974,canon!$I$2:$K$27,3,FALSE),"")</f>
        <v>APPAREL</v>
      </c>
      <c r="J2974" s="69">
        <f t="shared" si="92"/>
        <v>5</v>
      </c>
      <c r="K2974" s="69">
        <f t="shared" si="93"/>
        <v>103</v>
      </c>
      <c r="L2974" s="69">
        <f>VLOOKUP(Table_db1_backend_Daily.accdb[[#This Row],[TradingDate]],canon!B:E,4,0)</f>
        <v>30</v>
      </c>
    </row>
    <row r="2975" spans="1:12" x14ac:dyDescent="0.2">
      <c r="A2975" s="69" t="s">
        <v>45</v>
      </c>
      <c r="B2975" s="70">
        <v>42943</v>
      </c>
      <c r="C2975" s="69">
        <v>464</v>
      </c>
      <c r="D2975" s="69">
        <v>0</v>
      </c>
      <c r="E2975" s="69">
        <v>0</v>
      </c>
      <c r="F2975" s="69">
        <v>0</v>
      </c>
      <c r="G2975" s="69" t="s">
        <v>10</v>
      </c>
      <c r="H2975" s="69" t="str">
        <f>IFERROR(VLOOKUP(Data!$G2975,canon!$I$2:$K$27,2,FALSE),"")</f>
        <v>ACCESSORY</v>
      </c>
      <c r="I2975" s="69" t="str">
        <f>IFERROR(VLOOKUP(Data!$G2975,canon!$I$2:$K$27,3,FALSE),"")</f>
        <v>N.APPAREL</v>
      </c>
      <c r="J2975" s="69">
        <f t="shared" si="92"/>
        <v>5</v>
      </c>
      <c r="K2975" s="69">
        <f t="shared" si="93"/>
        <v>103</v>
      </c>
      <c r="L2975" s="69">
        <f>VLOOKUP(Table_db1_backend_Daily.accdb[[#This Row],[TradingDate]],canon!B:E,4,0)</f>
        <v>30</v>
      </c>
    </row>
    <row r="2976" spans="1:12" x14ac:dyDescent="0.2">
      <c r="A2976" s="69" t="s">
        <v>45</v>
      </c>
      <c r="B2976" s="70">
        <v>42943</v>
      </c>
      <c r="C2976" s="69">
        <v>2269</v>
      </c>
      <c r="D2976" s="69">
        <v>135</v>
      </c>
      <c r="E2976" s="69">
        <v>1198.9199999999994</v>
      </c>
      <c r="F2976" s="69">
        <v>143.36000000000001</v>
      </c>
      <c r="G2976" s="69" t="s">
        <v>11</v>
      </c>
      <c r="H2976" s="69" t="str">
        <f>IFERROR(VLOOKUP(Data!$G2976,canon!$I$2:$K$27,2,FALSE),"")</f>
        <v>KNIT</v>
      </c>
      <c r="I2976" s="69" t="str">
        <f>IFERROR(VLOOKUP(Data!$G2976,canon!$I$2:$K$27,3,FALSE),"")</f>
        <v>APPAREL</v>
      </c>
      <c r="J2976" s="69">
        <f t="shared" si="92"/>
        <v>5</v>
      </c>
      <c r="K2976" s="69">
        <f t="shared" si="93"/>
        <v>103</v>
      </c>
      <c r="L2976" s="69">
        <f>VLOOKUP(Table_db1_backend_Daily.accdb[[#This Row],[TradingDate]],canon!B:E,4,0)</f>
        <v>30</v>
      </c>
    </row>
    <row r="2977" spans="1:12" x14ac:dyDescent="0.2">
      <c r="A2977" s="69" t="s">
        <v>45</v>
      </c>
      <c r="B2977" s="70">
        <v>42943</v>
      </c>
      <c r="C2977" s="69">
        <v>488</v>
      </c>
      <c r="D2977" s="69">
        <v>9</v>
      </c>
      <c r="E2977" s="69">
        <v>86.25</v>
      </c>
      <c r="F2977" s="69">
        <v>24.08</v>
      </c>
      <c r="G2977" s="69" t="s">
        <v>14</v>
      </c>
      <c r="H2977" s="69" t="str">
        <f>IFERROR(VLOOKUP(Data!$G2977,canon!$I$2:$K$27,2,FALSE),"")</f>
        <v>LEGGING</v>
      </c>
      <c r="I2977" s="69" t="str">
        <f>IFERROR(VLOOKUP(Data!$G2977,canon!$I$2:$K$27,3,FALSE),"")</f>
        <v>APPAREL</v>
      </c>
      <c r="J2977" s="69">
        <f t="shared" si="92"/>
        <v>5</v>
      </c>
      <c r="K2977" s="69">
        <f t="shared" si="93"/>
        <v>103</v>
      </c>
      <c r="L2977" s="69">
        <f>VLOOKUP(Table_db1_backend_Daily.accdb[[#This Row],[TradingDate]],canon!B:E,4,0)</f>
        <v>30</v>
      </c>
    </row>
    <row r="2978" spans="1:12" x14ac:dyDescent="0.2">
      <c r="A2978" s="69" t="s">
        <v>45</v>
      </c>
      <c r="B2978" s="70">
        <v>42943</v>
      </c>
      <c r="C2978" s="69">
        <v>-116</v>
      </c>
      <c r="D2978" s="69">
        <v>0</v>
      </c>
      <c r="E2978" s="69">
        <v>0</v>
      </c>
      <c r="F2978" s="69">
        <v>0</v>
      </c>
      <c r="G2978" s="69" t="s">
        <v>37</v>
      </c>
      <c r="H2978" s="69" t="str">
        <f>IFERROR(VLOOKUP(Data!$G2978,canon!$I$2:$K$27,2,FALSE),"")</f>
        <v>SHOES</v>
      </c>
      <c r="I2978" s="69" t="str">
        <f>IFERROR(VLOOKUP(Data!$G2978,canon!$I$2:$K$27,3,FALSE),"")</f>
        <v>N.APPAREL</v>
      </c>
      <c r="J2978" s="69">
        <f t="shared" si="92"/>
        <v>5</v>
      </c>
      <c r="K2978" s="69">
        <f t="shared" si="93"/>
        <v>103</v>
      </c>
      <c r="L2978" s="69">
        <f>VLOOKUP(Table_db1_backend_Daily.accdb[[#This Row],[TradingDate]],canon!B:E,4,0)</f>
        <v>30</v>
      </c>
    </row>
    <row r="2979" spans="1:12" x14ac:dyDescent="0.2">
      <c r="A2979" s="69" t="s">
        <v>45</v>
      </c>
      <c r="B2979" s="70">
        <v>42943</v>
      </c>
      <c r="C2979" s="69">
        <v>-1</v>
      </c>
      <c r="D2979" s="69">
        <v>0</v>
      </c>
      <c r="E2979" s="69">
        <v>0</v>
      </c>
      <c r="F2979" s="69">
        <v>0</v>
      </c>
      <c r="G2979" s="69" t="s">
        <v>29</v>
      </c>
      <c r="H2979" s="69" t="str">
        <f>IFERROR(VLOOKUP(Data!$G2979,canon!$I$2:$K$27,2,FALSE),"")</f>
        <v>SHOES</v>
      </c>
      <c r="I2979" s="69" t="str">
        <f>IFERROR(VLOOKUP(Data!$G2979,canon!$I$2:$K$27,3,FALSE),"")</f>
        <v>N.APPAREL</v>
      </c>
      <c r="J2979" s="69">
        <f t="shared" si="92"/>
        <v>5</v>
      </c>
      <c r="K2979" s="69">
        <f t="shared" si="93"/>
        <v>103</v>
      </c>
      <c r="L2979" s="69">
        <f>VLOOKUP(Table_db1_backend_Daily.accdb[[#This Row],[TradingDate]],canon!B:E,4,0)</f>
        <v>30</v>
      </c>
    </row>
    <row r="2980" spans="1:12" x14ac:dyDescent="0.2">
      <c r="A2980" s="69" t="s">
        <v>45</v>
      </c>
      <c r="B2980" s="70">
        <v>42943</v>
      </c>
      <c r="C2980" s="69">
        <v>685</v>
      </c>
      <c r="D2980" s="69">
        <v>20</v>
      </c>
      <c r="E2980" s="69">
        <v>309.05</v>
      </c>
      <c r="F2980" s="69">
        <v>118.33</v>
      </c>
      <c r="G2980" s="69" t="s">
        <v>17</v>
      </c>
      <c r="H2980" s="69" t="str">
        <f>IFERROR(VLOOKUP(Data!$G2980,canon!$I$2:$K$27,2,FALSE),"")</f>
        <v>OUTER</v>
      </c>
      <c r="I2980" s="69" t="str">
        <f>IFERROR(VLOOKUP(Data!$G2980,canon!$I$2:$K$27,3,FALSE),"")</f>
        <v>APPAREL</v>
      </c>
      <c r="J2980" s="69">
        <f t="shared" si="92"/>
        <v>5</v>
      </c>
      <c r="K2980" s="69">
        <f t="shared" si="93"/>
        <v>103</v>
      </c>
      <c r="L2980" s="69">
        <f>VLOOKUP(Table_db1_backend_Daily.accdb[[#This Row],[TradingDate]],canon!B:E,4,0)</f>
        <v>30</v>
      </c>
    </row>
    <row r="2981" spans="1:12" x14ac:dyDescent="0.2">
      <c r="A2981" s="69" t="s">
        <v>45</v>
      </c>
      <c r="B2981" s="70">
        <v>42943</v>
      </c>
      <c r="C2981" s="69">
        <v>287</v>
      </c>
      <c r="D2981" s="69">
        <v>3</v>
      </c>
      <c r="E2981" s="69">
        <v>36.36</v>
      </c>
      <c r="F2981" s="69">
        <v>17.23</v>
      </c>
      <c r="G2981" s="69" t="s">
        <v>19</v>
      </c>
      <c r="H2981" s="69" t="str">
        <f>IFERROR(VLOOKUP(Data!$G2981,canon!$I$2:$K$27,2,FALSE),"")</f>
        <v>PANT</v>
      </c>
      <c r="I2981" s="69" t="str">
        <f>IFERROR(VLOOKUP(Data!$G2981,canon!$I$2:$K$27,3,FALSE),"")</f>
        <v>APPAREL</v>
      </c>
      <c r="J2981" s="69">
        <f t="shared" si="92"/>
        <v>5</v>
      </c>
      <c r="K2981" s="69">
        <f t="shared" si="93"/>
        <v>103</v>
      </c>
      <c r="L2981" s="69">
        <f>VLOOKUP(Table_db1_backend_Daily.accdb[[#This Row],[TradingDate]],canon!B:E,4,0)</f>
        <v>30</v>
      </c>
    </row>
    <row r="2982" spans="1:12" x14ac:dyDescent="0.2">
      <c r="A2982" s="69" t="s">
        <v>45</v>
      </c>
      <c r="B2982" s="70">
        <v>42943</v>
      </c>
      <c r="C2982" s="69">
        <v>-813</v>
      </c>
      <c r="D2982" s="69">
        <v>10</v>
      </c>
      <c r="E2982" s="69">
        <v>53.509999999999991</v>
      </c>
      <c r="F2982" s="69">
        <v>35.75</v>
      </c>
      <c r="G2982" s="69" t="s">
        <v>22</v>
      </c>
      <c r="H2982" s="69" t="str">
        <f>IFERROR(VLOOKUP(Data!$G2982,canon!$I$2:$K$27,2,FALSE),"")</f>
        <v>SCARF</v>
      </c>
      <c r="I2982" s="69" t="str">
        <f>IFERROR(VLOOKUP(Data!$G2982,canon!$I$2:$K$27,3,FALSE),"")</f>
        <v>N.APPAREL</v>
      </c>
      <c r="J2982" s="69">
        <f t="shared" si="92"/>
        <v>5</v>
      </c>
      <c r="K2982" s="69">
        <f t="shared" si="93"/>
        <v>103</v>
      </c>
      <c r="L2982" s="69">
        <f>VLOOKUP(Table_db1_backend_Daily.accdb[[#This Row],[TradingDate]],canon!B:E,4,0)</f>
        <v>30</v>
      </c>
    </row>
    <row r="2983" spans="1:12" x14ac:dyDescent="0.2">
      <c r="A2983" s="69" t="s">
        <v>45</v>
      </c>
      <c r="B2983" s="70">
        <v>42943</v>
      </c>
      <c r="C2983" s="69">
        <v>202</v>
      </c>
      <c r="D2983" s="69">
        <v>6</v>
      </c>
      <c r="E2983" s="69">
        <v>36.380000000000003</v>
      </c>
      <c r="F2983" s="69">
        <v>-2.7500000000000004</v>
      </c>
      <c r="G2983" s="69" t="s">
        <v>23</v>
      </c>
      <c r="H2983" s="69" t="str">
        <f>IFERROR(VLOOKUP(Data!$G2983,canon!$I$2:$K$27,2,FALSE),"")</f>
        <v>SH&amp;BL</v>
      </c>
      <c r="I2983" s="69" t="str">
        <f>IFERROR(VLOOKUP(Data!$G2983,canon!$I$2:$K$27,3,FALSE),"")</f>
        <v>APPAREL</v>
      </c>
      <c r="J2983" s="69">
        <f t="shared" si="92"/>
        <v>5</v>
      </c>
      <c r="K2983" s="69">
        <f t="shared" si="93"/>
        <v>103</v>
      </c>
      <c r="L2983" s="69">
        <f>VLOOKUP(Table_db1_backend_Daily.accdb[[#This Row],[TradingDate]],canon!B:E,4,0)</f>
        <v>30</v>
      </c>
    </row>
    <row r="2984" spans="1:12" x14ac:dyDescent="0.2">
      <c r="A2984" s="69" t="s">
        <v>45</v>
      </c>
      <c r="B2984" s="70">
        <v>42943</v>
      </c>
      <c r="C2984" s="69">
        <v>380</v>
      </c>
      <c r="D2984" s="69">
        <v>7</v>
      </c>
      <c r="E2984" s="69">
        <v>118.12000000000002</v>
      </c>
      <c r="F2984" s="69">
        <v>83</v>
      </c>
      <c r="G2984" s="69" t="s">
        <v>32</v>
      </c>
      <c r="H2984" s="69" t="str">
        <f>IFERROR(VLOOKUP(Data!$G2984,canon!$I$2:$K$27,2,FALSE),"")</f>
        <v>SKIRT</v>
      </c>
      <c r="I2984" s="69" t="str">
        <f>IFERROR(VLOOKUP(Data!$G2984,canon!$I$2:$K$27,3,FALSE),"")</f>
        <v>APPAREL</v>
      </c>
      <c r="J2984" s="69">
        <f t="shared" si="92"/>
        <v>5</v>
      </c>
      <c r="K2984" s="69">
        <f t="shared" si="93"/>
        <v>103</v>
      </c>
      <c r="L2984" s="69">
        <f>VLOOKUP(Table_db1_backend_Daily.accdb[[#This Row],[TradingDate]],canon!B:E,4,0)</f>
        <v>30</v>
      </c>
    </row>
    <row r="2985" spans="1:12" x14ac:dyDescent="0.2">
      <c r="A2985" s="69" t="s">
        <v>45</v>
      </c>
      <c r="B2985" s="70">
        <v>42943</v>
      </c>
      <c r="C2985" s="69">
        <v>2537</v>
      </c>
      <c r="D2985" s="69">
        <v>60</v>
      </c>
      <c r="E2985" s="69">
        <v>290.99999999999994</v>
      </c>
      <c r="F2985" s="69">
        <v>-46.21</v>
      </c>
      <c r="G2985" s="69" t="s">
        <v>25</v>
      </c>
      <c r="H2985" s="69" t="str">
        <f>IFERROR(VLOOKUP(Data!$G2985,canon!$I$2:$K$27,2,FALSE),"")</f>
        <v>TOP</v>
      </c>
      <c r="I2985" s="69" t="str">
        <f>IFERROR(VLOOKUP(Data!$G2985,canon!$I$2:$K$27,3,FALSE),"")</f>
        <v>APPAREL</v>
      </c>
      <c r="J2985" s="69">
        <f t="shared" si="92"/>
        <v>5</v>
      </c>
      <c r="K2985" s="69">
        <f t="shared" si="93"/>
        <v>103</v>
      </c>
      <c r="L2985" s="69">
        <f>VLOOKUP(Table_db1_backend_Daily.accdb[[#This Row],[TradingDate]],canon!B:E,4,0)</f>
        <v>30</v>
      </c>
    </row>
    <row r="2986" spans="1:12" x14ac:dyDescent="0.2">
      <c r="A2986" s="69" t="s">
        <v>45</v>
      </c>
      <c r="B2986" s="70">
        <v>42944</v>
      </c>
      <c r="C2986" s="69">
        <v>-34</v>
      </c>
      <c r="D2986" s="69">
        <v>0</v>
      </c>
      <c r="E2986" s="69">
        <v>0</v>
      </c>
      <c r="F2986" s="69">
        <v>0</v>
      </c>
      <c r="G2986" s="69" t="s">
        <v>34</v>
      </c>
      <c r="H2986" s="69" t="str">
        <f>IFERROR(VLOOKUP(Data!$G2986,canon!$I$2:$K$27,2,FALSE),"")</f>
        <v>SHOES</v>
      </c>
      <c r="I2986" s="69" t="str">
        <f>IFERROR(VLOOKUP(Data!$G2986,canon!$I$2:$K$27,3,FALSE),"")</f>
        <v>N.APPAREL</v>
      </c>
      <c r="J2986" s="69">
        <f t="shared" si="92"/>
        <v>6</v>
      </c>
      <c r="K2986" s="69">
        <f t="shared" si="93"/>
        <v>103</v>
      </c>
      <c r="L2986" s="69">
        <f>VLOOKUP(Table_db1_backend_Daily.accdb[[#This Row],[TradingDate]],canon!B:E,4,0)</f>
        <v>30</v>
      </c>
    </row>
    <row r="2987" spans="1:12" x14ac:dyDescent="0.2">
      <c r="A2987" s="69" t="s">
        <v>45</v>
      </c>
      <c r="B2987" s="70">
        <v>42944</v>
      </c>
      <c r="C2987" s="69">
        <v>642</v>
      </c>
      <c r="D2987" s="69">
        <v>11</v>
      </c>
      <c r="E2987" s="69">
        <v>204.40000000000003</v>
      </c>
      <c r="F2987" s="69">
        <v>113.73999999999998</v>
      </c>
      <c r="G2987" s="69" t="s">
        <v>35</v>
      </c>
      <c r="H2987" s="69" t="str">
        <f>IFERROR(VLOOKUP(Data!$G2987,canon!$I$2:$K$27,2,FALSE),"")</f>
        <v>DRESS</v>
      </c>
      <c r="I2987" s="69" t="str">
        <f>IFERROR(VLOOKUP(Data!$G2987,canon!$I$2:$K$27,3,FALSE),"")</f>
        <v>APPAREL</v>
      </c>
      <c r="J2987" s="69">
        <f t="shared" si="92"/>
        <v>6</v>
      </c>
      <c r="K2987" s="69">
        <f t="shared" si="93"/>
        <v>103</v>
      </c>
      <c r="L2987" s="69">
        <f>VLOOKUP(Table_db1_backend_Daily.accdb[[#This Row],[TradingDate]],canon!B:E,4,0)</f>
        <v>30</v>
      </c>
    </row>
    <row r="2988" spans="1:12" x14ac:dyDescent="0.2">
      <c r="A2988" s="69" t="s">
        <v>45</v>
      </c>
      <c r="B2988" s="70">
        <v>42944</v>
      </c>
      <c r="C2988" s="69">
        <v>464</v>
      </c>
      <c r="D2988" s="69">
        <v>0</v>
      </c>
      <c r="E2988" s="69">
        <v>0</v>
      </c>
      <c r="F2988" s="69">
        <v>0</v>
      </c>
      <c r="G2988" s="69" t="s">
        <v>10</v>
      </c>
      <c r="H2988" s="69" t="str">
        <f>IFERROR(VLOOKUP(Data!$G2988,canon!$I$2:$K$27,2,FALSE),"")</f>
        <v>ACCESSORY</v>
      </c>
      <c r="I2988" s="69" t="str">
        <f>IFERROR(VLOOKUP(Data!$G2988,canon!$I$2:$K$27,3,FALSE),"")</f>
        <v>N.APPAREL</v>
      </c>
      <c r="J2988" s="69">
        <f t="shared" si="92"/>
        <v>6</v>
      </c>
      <c r="K2988" s="69">
        <f t="shared" si="93"/>
        <v>103</v>
      </c>
      <c r="L2988" s="69">
        <f>VLOOKUP(Table_db1_backend_Daily.accdb[[#This Row],[TradingDate]],canon!B:E,4,0)</f>
        <v>30</v>
      </c>
    </row>
    <row r="2989" spans="1:12" x14ac:dyDescent="0.2">
      <c r="A2989" s="69" t="s">
        <v>45</v>
      </c>
      <c r="B2989" s="70">
        <v>42944</v>
      </c>
      <c r="C2989" s="69">
        <v>2164</v>
      </c>
      <c r="D2989" s="69">
        <v>103</v>
      </c>
      <c r="E2989" s="69">
        <v>803.85999999999979</v>
      </c>
      <c r="F2989" s="69">
        <v>6.4100000000000303</v>
      </c>
      <c r="G2989" s="69" t="s">
        <v>11</v>
      </c>
      <c r="H2989" s="69" t="str">
        <f>IFERROR(VLOOKUP(Data!$G2989,canon!$I$2:$K$27,2,FALSE),"")</f>
        <v>KNIT</v>
      </c>
      <c r="I2989" s="69" t="str">
        <f>IFERROR(VLOOKUP(Data!$G2989,canon!$I$2:$K$27,3,FALSE),"")</f>
        <v>APPAREL</v>
      </c>
      <c r="J2989" s="69">
        <f t="shared" si="92"/>
        <v>6</v>
      </c>
      <c r="K2989" s="69">
        <f t="shared" si="93"/>
        <v>103</v>
      </c>
      <c r="L2989" s="69">
        <f>VLOOKUP(Table_db1_backend_Daily.accdb[[#This Row],[TradingDate]],canon!B:E,4,0)</f>
        <v>30</v>
      </c>
    </row>
    <row r="2990" spans="1:12" x14ac:dyDescent="0.2">
      <c r="A2990" s="69" t="s">
        <v>45</v>
      </c>
      <c r="B2990" s="70">
        <v>42944</v>
      </c>
      <c r="C2990" s="69">
        <v>486</v>
      </c>
      <c r="D2990" s="69">
        <v>2</v>
      </c>
      <c r="E2990" s="69">
        <v>18.16</v>
      </c>
      <c r="F2990" s="69">
        <v>6.2099999999999991</v>
      </c>
      <c r="G2990" s="69" t="s">
        <v>14</v>
      </c>
      <c r="H2990" s="69" t="str">
        <f>IFERROR(VLOOKUP(Data!$G2990,canon!$I$2:$K$27,2,FALSE),"")</f>
        <v>LEGGING</v>
      </c>
      <c r="I2990" s="69" t="str">
        <f>IFERROR(VLOOKUP(Data!$G2990,canon!$I$2:$K$27,3,FALSE),"")</f>
        <v>APPAREL</v>
      </c>
      <c r="J2990" s="69">
        <f t="shared" si="92"/>
        <v>6</v>
      </c>
      <c r="K2990" s="69">
        <f t="shared" si="93"/>
        <v>103</v>
      </c>
      <c r="L2990" s="69">
        <f>VLOOKUP(Table_db1_backend_Daily.accdb[[#This Row],[TradingDate]],canon!B:E,4,0)</f>
        <v>30</v>
      </c>
    </row>
    <row r="2991" spans="1:12" x14ac:dyDescent="0.2">
      <c r="A2991" s="69" t="s">
        <v>45</v>
      </c>
      <c r="B2991" s="70">
        <v>42944</v>
      </c>
      <c r="C2991" s="69">
        <v>-116</v>
      </c>
      <c r="D2991" s="69">
        <v>0</v>
      </c>
      <c r="E2991" s="69">
        <v>0</v>
      </c>
      <c r="F2991" s="69">
        <v>0</v>
      </c>
      <c r="G2991" s="69" t="s">
        <v>37</v>
      </c>
      <c r="H2991" s="69" t="str">
        <f>IFERROR(VLOOKUP(Data!$G2991,canon!$I$2:$K$27,2,FALSE),"")</f>
        <v>SHOES</v>
      </c>
      <c r="I2991" s="69" t="str">
        <f>IFERROR(VLOOKUP(Data!$G2991,canon!$I$2:$K$27,3,FALSE),"")</f>
        <v>N.APPAREL</v>
      </c>
      <c r="J2991" s="69">
        <f t="shared" si="92"/>
        <v>6</v>
      </c>
      <c r="K2991" s="69">
        <f t="shared" si="93"/>
        <v>103</v>
      </c>
      <c r="L2991" s="69">
        <f>VLOOKUP(Table_db1_backend_Daily.accdb[[#This Row],[TradingDate]],canon!B:E,4,0)</f>
        <v>30</v>
      </c>
    </row>
    <row r="2992" spans="1:12" x14ac:dyDescent="0.2">
      <c r="A2992" s="69" t="s">
        <v>45</v>
      </c>
      <c r="B2992" s="70">
        <v>42944</v>
      </c>
      <c r="C2992" s="69">
        <v>-1</v>
      </c>
      <c r="D2992" s="69">
        <v>0</v>
      </c>
      <c r="E2992" s="69">
        <v>0</v>
      </c>
      <c r="F2992" s="69">
        <v>0</v>
      </c>
      <c r="G2992" s="69" t="s">
        <v>29</v>
      </c>
      <c r="H2992" s="69" t="str">
        <f>IFERROR(VLOOKUP(Data!$G2992,canon!$I$2:$K$27,2,FALSE),"")</f>
        <v>SHOES</v>
      </c>
      <c r="I2992" s="69" t="str">
        <f>IFERROR(VLOOKUP(Data!$G2992,canon!$I$2:$K$27,3,FALSE),"")</f>
        <v>N.APPAREL</v>
      </c>
      <c r="J2992" s="69">
        <f t="shared" si="92"/>
        <v>6</v>
      </c>
      <c r="K2992" s="69">
        <f t="shared" si="93"/>
        <v>103</v>
      </c>
      <c r="L2992" s="69">
        <f>VLOOKUP(Table_db1_backend_Daily.accdb[[#This Row],[TradingDate]],canon!B:E,4,0)</f>
        <v>30</v>
      </c>
    </row>
    <row r="2993" spans="1:12" x14ac:dyDescent="0.2">
      <c r="A2993" s="69" t="s">
        <v>45</v>
      </c>
      <c r="B2993" s="70">
        <v>42944</v>
      </c>
      <c r="C2993" s="69">
        <v>664</v>
      </c>
      <c r="D2993" s="69">
        <v>21</v>
      </c>
      <c r="E2993" s="69">
        <v>363.59000000000003</v>
      </c>
      <c r="F2993" s="69">
        <v>138.08000000000001</v>
      </c>
      <c r="G2993" s="69" t="s">
        <v>17</v>
      </c>
      <c r="H2993" s="69" t="str">
        <f>IFERROR(VLOOKUP(Data!$G2993,canon!$I$2:$K$27,2,FALSE),"")</f>
        <v>OUTER</v>
      </c>
      <c r="I2993" s="69" t="str">
        <f>IFERROR(VLOOKUP(Data!$G2993,canon!$I$2:$K$27,3,FALSE),"")</f>
        <v>APPAREL</v>
      </c>
      <c r="J2993" s="69">
        <f t="shared" si="92"/>
        <v>6</v>
      </c>
      <c r="K2993" s="69">
        <f t="shared" si="93"/>
        <v>103</v>
      </c>
      <c r="L2993" s="69">
        <f>VLOOKUP(Table_db1_backend_Daily.accdb[[#This Row],[TradingDate]],canon!B:E,4,0)</f>
        <v>30</v>
      </c>
    </row>
    <row r="2994" spans="1:12" x14ac:dyDescent="0.2">
      <c r="A2994" s="69" t="s">
        <v>45</v>
      </c>
      <c r="B2994" s="70">
        <v>42944</v>
      </c>
      <c r="C2994" s="69">
        <v>286</v>
      </c>
      <c r="D2994" s="69">
        <v>1</v>
      </c>
      <c r="E2994" s="69">
        <v>18.18</v>
      </c>
      <c r="F2994" s="69">
        <v>11.22</v>
      </c>
      <c r="G2994" s="69" t="s">
        <v>19</v>
      </c>
      <c r="H2994" s="69" t="str">
        <f>IFERROR(VLOOKUP(Data!$G2994,canon!$I$2:$K$27,2,FALSE),"")</f>
        <v>PANT</v>
      </c>
      <c r="I2994" s="69" t="str">
        <f>IFERROR(VLOOKUP(Data!$G2994,canon!$I$2:$K$27,3,FALSE),"")</f>
        <v>APPAREL</v>
      </c>
      <c r="J2994" s="69">
        <f t="shared" si="92"/>
        <v>6</v>
      </c>
      <c r="K2994" s="69">
        <f t="shared" si="93"/>
        <v>103</v>
      </c>
      <c r="L2994" s="69">
        <f>VLOOKUP(Table_db1_backend_Daily.accdb[[#This Row],[TradingDate]],canon!B:E,4,0)</f>
        <v>30</v>
      </c>
    </row>
    <row r="2995" spans="1:12" x14ac:dyDescent="0.2">
      <c r="A2995" s="69" t="s">
        <v>45</v>
      </c>
      <c r="B2995" s="70">
        <v>42944</v>
      </c>
      <c r="C2995" s="69">
        <v>-817</v>
      </c>
      <c r="D2995" s="69">
        <v>4</v>
      </c>
      <c r="E2995" s="69">
        <v>23.540000000000003</v>
      </c>
      <c r="F2995" s="69">
        <v>15.83</v>
      </c>
      <c r="G2995" s="69" t="s">
        <v>22</v>
      </c>
      <c r="H2995" s="69" t="str">
        <f>IFERROR(VLOOKUP(Data!$G2995,canon!$I$2:$K$27,2,FALSE),"")</f>
        <v>SCARF</v>
      </c>
      <c r="I2995" s="69" t="str">
        <f>IFERROR(VLOOKUP(Data!$G2995,canon!$I$2:$K$27,3,FALSE),"")</f>
        <v>N.APPAREL</v>
      </c>
      <c r="J2995" s="69">
        <f t="shared" si="92"/>
        <v>6</v>
      </c>
      <c r="K2995" s="69">
        <f t="shared" si="93"/>
        <v>103</v>
      </c>
      <c r="L2995" s="69">
        <f>VLOOKUP(Table_db1_backend_Daily.accdb[[#This Row],[TradingDate]],canon!B:E,4,0)</f>
        <v>30</v>
      </c>
    </row>
    <row r="2996" spans="1:12" x14ac:dyDescent="0.2">
      <c r="A2996" s="69" t="s">
        <v>45</v>
      </c>
      <c r="B2996" s="70">
        <v>42944</v>
      </c>
      <c r="C2996" s="69">
        <v>196</v>
      </c>
      <c r="D2996" s="69">
        <v>6</v>
      </c>
      <c r="E2996" s="69">
        <v>31.839999999999996</v>
      </c>
      <c r="F2996" s="69">
        <v>-6.0600000000000005</v>
      </c>
      <c r="G2996" s="69" t="s">
        <v>23</v>
      </c>
      <c r="H2996" s="69" t="str">
        <f>IFERROR(VLOOKUP(Data!$G2996,canon!$I$2:$K$27,2,FALSE),"")</f>
        <v>SH&amp;BL</v>
      </c>
      <c r="I2996" s="69" t="str">
        <f>IFERROR(VLOOKUP(Data!$G2996,canon!$I$2:$K$27,3,FALSE),"")</f>
        <v>APPAREL</v>
      </c>
      <c r="J2996" s="69">
        <f t="shared" si="92"/>
        <v>6</v>
      </c>
      <c r="K2996" s="69">
        <f t="shared" si="93"/>
        <v>103</v>
      </c>
      <c r="L2996" s="69">
        <f>VLOOKUP(Table_db1_backend_Daily.accdb[[#This Row],[TradingDate]],canon!B:E,4,0)</f>
        <v>30</v>
      </c>
    </row>
    <row r="2997" spans="1:12" x14ac:dyDescent="0.2">
      <c r="A2997" s="69" t="s">
        <v>45</v>
      </c>
      <c r="B2997" s="70">
        <v>42944</v>
      </c>
      <c r="C2997" s="69">
        <v>378</v>
      </c>
      <c r="D2997" s="69">
        <v>2</v>
      </c>
      <c r="E2997" s="69">
        <v>27.19</v>
      </c>
      <c r="F2997" s="69">
        <v>17.41</v>
      </c>
      <c r="G2997" s="69" t="s">
        <v>32</v>
      </c>
      <c r="H2997" s="69" t="str">
        <f>IFERROR(VLOOKUP(Data!$G2997,canon!$I$2:$K$27,2,FALSE),"")</f>
        <v>SKIRT</v>
      </c>
      <c r="I2997" s="69" t="str">
        <f>IFERROR(VLOOKUP(Data!$G2997,canon!$I$2:$K$27,3,FALSE),"")</f>
        <v>APPAREL</v>
      </c>
      <c r="J2997" s="69">
        <f t="shared" si="92"/>
        <v>6</v>
      </c>
      <c r="K2997" s="69">
        <f t="shared" si="93"/>
        <v>103</v>
      </c>
      <c r="L2997" s="69">
        <f>VLOOKUP(Table_db1_backend_Daily.accdb[[#This Row],[TradingDate]],canon!B:E,4,0)</f>
        <v>30</v>
      </c>
    </row>
    <row r="2998" spans="1:12" x14ac:dyDescent="0.2">
      <c r="A2998" s="69" t="s">
        <v>45</v>
      </c>
      <c r="B2998" s="70">
        <v>42944</v>
      </c>
      <c r="C2998" s="69">
        <v>2489</v>
      </c>
      <c r="D2998" s="69">
        <v>47</v>
      </c>
      <c r="E2998" s="69">
        <v>254.68000000000004</v>
      </c>
      <c r="F2998" s="69">
        <v>10.480000000000004</v>
      </c>
      <c r="G2998" s="69" t="s">
        <v>25</v>
      </c>
      <c r="H2998" s="69" t="str">
        <f>IFERROR(VLOOKUP(Data!$G2998,canon!$I$2:$K$27,2,FALSE),"")</f>
        <v>TOP</v>
      </c>
      <c r="I2998" s="69" t="str">
        <f>IFERROR(VLOOKUP(Data!$G2998,canon!$I$2:$K$27,3,FALSE),"")</f>
        <v>APPAREL</v>
      </c>
      <c r="J2998" s="69">
        <f t="shared" si="92"/>
        <v>6</v>
      </c>
      <c r="K2998" s="69">
        <f t="shared" si="93"/>
        <v>103</v>
      </c>
      <c r="L2998" s="69">
        <f>VLOOKUP(Table_db1_backend_Daily.accdb[[#This Row],[TradingDate]],canon!B:E,4,0)</f>
        <v>30</v>
      </c>
    </row>
    <row r="2999" spans="1:12" x14ac:dyDescent="0.2">
      <c r="A2999" s="69" t="s">
        <v>45</v>
      </c>
      <c r="B2999" s="70">
        <v>42945</v>
      </c>
      <c r="C2999" s="69">
        <v>-35</v>
      </c>
      <c r="D2999" s="69">
        <v>1</v>
      </c>
      <c r="E2999" s="69">
        <v>4.55</v>
      </c>
      <c r="F2999" s="69">
        <v>-0.34</v>
      </c>
      <c r="G2999" s="69" t="s">
        <v>34</v>
      </c>
      <c r="H2999" s="69" t="str">
        <f>IFERROR(VLOOKUP(Data!$G2999,canon!$I$2:$K$27,2,FALSE),"")</f>
        <v>SHOES</v>
      </c>
      <c r="I2999" s="69" t="str">
        <f>IFERROR(VLOOKUP(Data!$G2999,canon!$I$2:$K$27,3,FALSE),"")</f>
        <v>N.APPAREL</v>
      </c>
      <c r="J2999" s="69">
        <f t="shared" si="92"/>
        <v>7</v>
      </c>
      <c r="K2999" s="69">
        <f t="shared" si="93"/>
        <v>103</v>
      </c>
      <c r="L2999" s="69">
        <f>VLOOKUP(Table_db1_backend_Daily.accdb[[#This Row],[TradingDate]],canon!B:E,4,0)</f>
        <v>30</v>
      </c>
    </row>
    <row r="3000" spans="1:12" x14ac:dyDescent="0.2">
      <c r="A3000" s="69" t="s">
        <v>45</v>
      </c>
      <c r="B3000" s="70">
        <v>42945</v>
      </c>
      <c r="C3000" s="69">
        <v>619</v>
      </c>
      <c r="D3000" s="69">
        <v>22</v>
      </c>
      <c r="E3000" s="69">
        <v>277.09999999999997</v>
      </c>
      <c r="F3000" s="69">
        <v>102.97000000000001</v>
      </c>
      <c r="G3000" s="69" t="s">
        <v>35</v>
      </c>
      <c r="H3000" s="69" t="str">
        <f>IFERROR(VLOOKUP(Data!$G3000,canon!$I$2:$K$27,2,FALSE),"")</f>
        <v>DRESS</v>
      </c>
      <c r="I3000" s="69" t="str">
        <f>IFERROR(VLOOKUP(Data!$G3000,canon!$I$2:$K$27,3,FALSE),"")</f>
        <v>APPAREL</v>
      </c>
      <c r="J3000" s="69">
        <f t="shared" si="92"/>
        <v>7</v>
      </c>
      <c r="K3000" s="69">
        <f t="shared" si="93"/>
        <v>103</v>
      </c>
      <c r="L3000" s="69">
        <f>VLOOKUP(Table_db1_backend_Daily.accdb[[#This Row],[TradingDate]],canon!B:E,4,0)</f>
        <v>30</v>
      </c>
    </row>
    <row r="3001" spans="1:12" x14ac:dyDescent="0.2">
      <c r="A3001" s="69" t="s">
        <v>45</v>
      </c>
      <c r="B3001" s="70">
        <v>42945</v>
      </c>
      <c r="C3001" s="69">
        <v>464</v>
      </c>
      <c r="D3001" s="69">
        <v>0</v>
      </c>
      <c r="E3001" s="69">
        <v>0</v>
      </c>
      <c r="F3001" s="69">
        <v>0</v>
      </c>
      <c r="G3001" s="69" t="s">
        <v>10</v>
      </c>
      <c r="H3001" s="69" t="str">
        <f>IFERROR(VLOOKUP(Data!$G3001,canon!$I$2:$K$27,2,FALSE),"")</f>
        <v>ACCESSORY</v>
      </c>
      <c r="I3001" s="69" t="str">
        <f>IFERROR(VLOOKUP(Data!$G3001,canon!$I$2:$K$27,3,FALSE),"")</f>
        <v>N.APPAREL</v>
      </c>
      <c r="J3001" s="69">
        <f t="shared" si="92"/>
        <v>7</v>
      </c>
      <c r="K3001" s="69">
        <f t="shared" si="93"/>
        <v>103</v>
      </c>
      <c r="L3001" s="69">
        <f>VLOOKUP(Table_db1_backend_Daily.accdb[[#This Row],[TradingDate]],canon!B:E,4,0)</f>
        <v>30</v>
      </c>
    </row>
    <row r="3002" spans="1:12" x14ac:dyDescent="0.2">
      <c r="A3002" s="69" t="s">
        <v>45</v>
      </c>
      <c r="B3002" s="70">
        <v>42945</v>
      </c>
      <c r="C3002" s="69">
        <v>2060</v>
      </c>
      <c r="D3002" s="69">
        <v>102</v>
      </c>
      <c r="E3002" s="69">
        <v>858.42000000000007</v>
      </c>
      <c r="F3002" s="69">
        <v>55.849999999999952</v>
      </c>
      <c r="G3002" s="69" t="s">
        <v>11</v>
      </c>
      <c r="H3002" s="69" t="str">
        <f>IFERROR(VLOOKUP(Data!$G3002,canon!$I$2:$K$27,2,FALSE),"")</f>
        <v>KNIT</v>
      </c>
      <c r="I3002" s="69" t="str">
        <f>IFERROR(VLOOKUP(Data!$G3002,canon!$I$2:$K$27,3,FALSE),"")</f>
        <v>APPAREL</v>
      </c>
      <c r="J3002" s="69">
        <f t="shared" si="92"/>
        <v>7</v>
      </c>
      <c r="K3002" s="69">
        <f t="shared" si="93"/>
        <v>103</v>
      </c>
      <c r="L3002" s="69">
        <f>VLOOKUP(Table_db1_backend_Daily.accdb[[#This Row],[TradingDate]],canon!B:E,4,0)</f>
        <v>30</v>
      </c>
    </row>
    <row r="3003" spans="1:12" x14ac:dyDescent="0.2">
      <c r="A3003" s="69" t="s">
        <v>45</v>
      </c>
      <c r="B3003" s="70">
        <v>42945</v>
      </c>
      <c r="C3003" s="69">
        <v>483</v>
      </c>
      <c r="D3003" s="69">
        <v>3</v>
      </c>
      <c r="E3003" s="69">
        <v>13.65</v>
      </c>
      <c r="F3003" s="69">
        <v>-7.23</v>
      </c>
      <c r="G3003" s="69" t="s">
        <v>14</v>
      </c>
      <c r="H3003" s="69" t="str">
        <f>IFERROR(VLOOKUP(Data!$G3003,canon!$I$2:$K$27,2,FALSE),"")</f>
        <v>LEGGING</v>
      </c>
      <c r="I3003" s="69" t="str">
        <f>IFERROR(VLOOKUP(Data!$G3003,canon!$I$2:$K$27,3,FALSE),"")</f>
        <v>APPAREL</v>
      </c>
      <c r="J3003" s="69">
        <f t="shared" si="92"/>
        <v>7</v>
      </c>
      <c r="K3003" s="69">
        <f t="shared" si="93"/>
        <v>103</v>
      </c>
      <c r="L3003" s="69">
        <f>VLOOKUP(Table_db1_backend_Daily.accdb[[#This Row],[TradingDate]],canon!B:E,4,0)</f>
        <v>30</v>
      </c>
    </row>
    <row r="3004" spans="1:12" x14ac:dyDescent="0.2">
      <c r="A3004" s="69" t="s">
        <v>45</v>
      </c>
      <c r="B3004" s="70">
        <v>42945</v>
      </c>
      <c r="C3004" s="69">
        <v>-116</v>
      </c>
      <c r="D3004" s="69">
        <v>0</v>
      </c>
      <c r="E3004" s="69">
        <v>0</v>
      </c>
      <c r="F3004" s="69">
        <v>0</v>
      </c>
      <c r="G3004" s="69" t="s">
        <v>37</v>
      </c>
      <c r="H3004" s="69" t="str">
        <f>IFERROR(VLOOKUP(Data!$G3004,canon!$I$2:$K$27,2,FALSE),"")</f>
        <v>SHOES</v>
      </c>
      <c r="I3004" s="69" t="str">
        <f>IFERROR(VLOOKUP(Data!$G3004,canon!$I$2:$K$27,3,FALSE),"")</f>
        <v>N.APPAREL</v>
      </c>
      <c r="J3004" s="69">
        <f t="shared" si="92"/>
        <v>7</v>
      </c>
      <c r="K3004" s="69">
        <f t="shared" si="93"/>
        <v>103</v>
      </c>
      <c r="L3004" s="69">
        <f>VLOOKUP(Table_db1_backend_Daily.accdb[[#This Row],[TradingDate]],canon!B:E,4,0)</f>
        <v>30</v>
      </c>
    </row>
    <row r="3005" spans="1:12" x14ac:dyDescent="0.2">
      <c r="A3005" s="69" t="s">
        <v>45</v>
      </c>
      <c r="B3005" s="70">
        <v>42945</v>
      </c>
      <c r="C3005" s="69">
        <v>-1</v>
      </c>
      <c r="D3005" s="69">
        <v>0</v>
      </c>
      <c r="E3005" s="69">
        <v>0</v>
      </c>
      <c r="F3005" s="69">
        <v>0</v>
      </c>
      <c r="G3005" s="69" t="s">
        <v>29</v>
      </c>
      <c r="H3005" s="69" t="str">
        <f>IFERROR(VLOOKUP(Data!$G3005,canon!$I$2:$K$27,2,FALSE),"")</f>
        <v>SHOES</v>
      </c>
      <c r="I3005" s="69" t="str">
        <f>IFERROR(VLOOKUP(Data!$G3005,canon!$I$2:$K$27,3,FALSE),"")</f>
        <v>N.APPAREL</v>
      </c>
      <c r="J3005" s="69">
        <f t="shared" si="92"/>
        <v>7</v>
      </c>
      <c r="K3005" s="69">
        <f t="shared" si="93"/>
        <v>103</v>
      </c>
      <c r="L3005" s="69">
        <f>VLOOKUP(Table_db1_backend_Daily.accdb[[#This Row],[TradingDate]],canon!B:E,4,0)</f>
        <v>30</v>
      </c>
    </row>
    <row r="3006" spans="1:12" x14ac:dyDescent="0.2">
      <c r="A3006" s="69" t="s">
        <v>45</v>
      </c>
      <c r="B3006" s="70">
        <v>42945</v>
      </c>
      <c r="C3006" s="69">
        <v>645</v>
      </c>
      <c r="D3006" s="69">
        <v>18</v>
      </c>
      <c r="E3006" s="69">
        <v>299.99000000000007</v>
      </c>
      <c r="F3006" s="69">
        <v>130.07</v>
      </c>
      <c r="G3006" s="69" t="s">
        <v>17</v>
      </c>
      <c r="H3006" s="69" t="str">
        <f>IFERROR(VLOOKUP(Data!$G3006,canon!$I$2:$K$27,2,FALSE),"")</f>
        <v>OUTER</v>
      </c>
      <c r="I3006" s="69" t="str">
        <f>IFERROR(VLOOKUP(Data!$G3006,canon!$I$2:$K$27,3,FALSE),"")</f>
        <v>APPAREL</v>
      </c>
      <c r="J3006" s="69">
        <f t="shared" si="92"/>
        <v>7</v>
      </c>
      <c r="K3006" s="69">
        <f t="shared" si="93"/>
        <v>103</v>
      </c>
      <c r="L3006" s="69">
        <f>VLOOKUP(Table_db1_backend_Daily.accdb[[#This Row],[TradingDate]],canon!B:E,4,0)</f>
        <v>30</v>
      </c>
    </row>
    <row r="3007" spans="1:12" x14ac:dyDescent="0.2">
      <c r="A3007" s="69" t="s">
        <v>45</v>
      </c>
      <c r="B3007" s="70">
        <v>42945</v>
      </c>
      <c r="C3007" s="69">
        <v>284</v>
      </c>
      <c r="D3007" s="69">
        <v>2</v>
      </c>
      <c r="E3007" s="69">
        <v>9.08</v>
      </c>
      <c r="F3007" s="69">
        <v>-6.14</v>
      </c>
      <c r="G3007" s="69" t="s">
        <v>19</v>
      </c>
      <c r="H3007" s="69" t="str">
        <f>IFERROR(VLOOKUP(Data!$G3007,canon!$I$2:$K$27,2,FALSE),"")</f>
        <v>PANT</v>
      </c>
      <c r="I3007" s="69" t="str">
        <f>IFERROR(VLOOKUP(Data!$G3007,canon!$I$2:$K$27,3,FALSE),"")</f>
        <v>APPAREL</v>
      </c>
      <c r="J3007" s="69">
        <f t="shared" si="92"/>
        <v>7</v>
      </c>
      <c r="K3007" s="69">
        <f t="shared" si="93"/>
        <v>103</v>
      </c>
      <c r="L3007" s="69">
        <f>VLOOKUP(Table_db1_backend_Daily.accdb[[#This Row],[TradingDate]],canon!B:E,4,0)</f>
        <v>30</v>
      </c>
    </row>
    <row r="3008" spans="1:12" x14ac:dyDescent="0.2">
      <c r="A3008" s="69" t="s">
        <v>45</v>
      </c>
      <c r="B3008" s="70">
        <v>42945</v>
      </c>
      <c r="C3008" s="69">
        <v>-833</v>
      </c>
      <c r="D3008" s="69">
        <v>16</v>
      </c>
      <c r="E3008" s="69">
        <v>88.87</v>
      </c>
      <c r="F3008" s="69">
        <v>58.77</v>
      </c>
      <c r="G3008" s="69" t="s">
        <v>22</v>
      </c>
      <c r="H3008" s="69" t="str">
        <f>IFERROR(VLOOKUP(Data!$G3008,canon!$I$2:$K$27,2,FALSE),"")</f>
        <v>SCARF</v>
      </c>
      <c r="I3008" s="69" t="str">
        <f>IFERROR(VLOOKUP(Data!$G3008,canon!$I$2:$K$27,3,FALSE),"")</f>
        <v>N.APPAREL</v>
      </c>
      <c r="J3008" s="69">
        <f t="shared" si="92"/>
        <v>7</v>
      </c>
      <c r="K3008" s="69">
        <f t="shared" si="93"/>
        <v>103</v>
      </c>
      <c r="L3008" s="69">
        <f>VLOOKUP(Table_db1_backend_Daily.accdb[[#This Row],[TradingDate]],canon!B:E,4,0)</f>
        <v>30</v>
      </c>
    </row>
    <row r="3009" spans="1:12" x14ac:dyDescent="0.2">
      <c r="A3009" s="69" t="s">
        <v>45</v>
      </c>
      <c r="B3009" s="70">
        <v>42945</v>
      </c>
      <c r="C3009" s="69">
        <v>191</v>
      </c>
      <c r="D3009" s="69">
        <v>5</v>
      </c>
      <c r="E3009" s="69">
        <v>45.46</v>
      </c>
      <c r="F3009" s="69">
        <v>14.590000000000002</v>
      </c>
      <c r="G3009" s="69" t="s">
        <v>23</v>
      </c>
      <c r="H3009" s="69" t="str">
        <f>IFERROR(VLOOKUP(Data!$G3009,canon!$I$2:$K$27,2,FALSE),"")</f>
        <v>SH&amp;BL</v>
      </c>
      <c r="I3009" s="69" t="str">
        <f>IFERROR(VLOOKUP(Data!$G3009,canon!$I$2:$K$27,3,FALSE),"")</f>
        <v>APPAREL</v>
      </c>
      <c r="J3009" s="69">
        <f t="shared" si="92"/>
        <v>7</v>
      </c>
      <c r="K3009" s="69">
        <f t="shared" si="93"/>
        <v>103</v>
      </c>
      <c r="L3009" s="69">
        <f>VLOOKUP(Table_db1_backend_Daily.accdb[[#This Row],[TradingDate]],canon!B:E,4,0)</f>
        <v>30</v>
      </c>
    </row>
    <row r="3010" spans="1:12" x14ac:dyDescent="0.2">
      <c r="A3010" s="69" t="s">
        <v>45</v>
      </c>
      <c r="B3010" s="70">
        <v>42945</v>
      </c>
      <c r="C3010" s="69">
        <v>377</v>
      </c>
      <c r="D3010" s="69">
        <v>1</v>
      </c>
      <c r="E3010" s="69">
        <v>27.27</v>
      </c>
      <c r="F3010" s="69">
        <v>24.34</v>
      </c>
      <c r="G3010" s="69" t="s">
        <v>32</v>
      </c>
      <c r="H3010" s="69" t="str">
        <f>IFERROR(VLOOKUP(Data!$G3010,canon!$I$2:$K$27,2,FALSE),"")</f>
        <v>SKIRT</v>
      </c>
      <c r="I3010" s="69" t="str">
        <f>IFERROR(VLOOKUP(Data!$G3010,canon!$I$2:$K$27,3,FALSE),"")</f>
        <v>APPAREL</v>
      </c>
      <c r="J3010" s="69">
        <f t="shared" ref="J3010:J3073" si="94">WEEKDAY(B3010)</f>
        <v>7</v>
      </c>
      <c r="K3010" s="69">
        <f t="shared" ref="K3010:K3073" si="95">INT(A3010)</f>
        <v>103</v>
      </c>
      <c r="L3010" s="69">
        <f>VLOOKUP(Table_db1_backend_Daily.accdb[[#This Row],[TradingDate]],canon!B:E,4,0)</f>
        <v>30</v>
      </c>
    </row>
    <row r="3011" spans="1:12" x14ac:dyDescent="0.2">
      <c r="A3011" s="69" t="s">
        <v>45</v>
      </c>
      <c r="B3011" s="70">
        <v>42945</v>
      </c>
      <c r="C3011" s="69">
        <v>2448</v>
      </c>
      <c r="D3011" s="69">
        <v>41</v>
      </c>
      <c r="E3011" s="69">
        <v>231.89000000000004</v>
      </c>
      <c r="F3011" s="69">
        <v>22.789999999999992</v>
      </c>
      <c r="G3011" s="69" t="s">
        <v>25</v>
      </c>
      <c r="H3011" s="69" t="str">
        <f>IFERROR(VLOOKUP(Data!$G3011,canon!$I$2:$K$27,2,FALSE),"")</f>
        <v>TOP</v>
      </c>
      <c r="I3011" s="69" t="str">
        <f>IFERROR(VLOOKUP(Data!$G3011,canon!$I$2:$K$27,3,FALSE),"")</f>
        <v>APPAREL</v>
      </c>
      <c r="J3011" s="69">
        <f t="shared" si="94"/>
        <v>7</v>
      </c>
      <c r="K3011" s="69">
        <f t="shared" si="95"/>
        <v>103</v>
      </c>
      <c r="L3011" s="69">
        <f>VLOOKUP(Table_db1_backend_Daily.accdb[[#This Row],[TradingDate]],canon!B:E,4,0)</f>
        <v>30</v>
      </c>
    </row>
    <row r="3012" spans="1:12" x14ac:dyDescent="0.2">
      <c r="A3012" s="69" t="s">
        <v>45</v>
      </c>
      <c r="B3012" s="70">
        <v>42946</v>
      </c>
      <c r="C3012" s="69">
        <v>-35</v>
      </c>
      <c r="D3012" s="69">
        <v>0</v>
      </c>
      <c r="E3012" s="69">
        <v>0</v>
      </c>
      <c r="F3012" s="69">
        <v>0</v>
      </c>
      <c r="G3012" s="69" t="s">
        <v>34</v>
      </c>
      <c r="H3012" s="69" t="str">
        <f>IFERROR(VLOOKUP(Data!$G3012,canon!$I$2:$K$27,2,FALSE),"")</f>
        <v>SHOES</v>
      </c>
      <c r="I3012" s="69" t="str">
        <f>IFERROR(VLOOKUP(Data!$G3012,canon!$I$2:$K$27,3,FALSE),"")</f>
        <v>N.APPAREL</v>
      </c>
      <c r="J3012" s="69">
        <f t="shared" si="94"/>
        <v>1</v>
      </c>
      <c r="K3012" s="69">
        <f t="shared" si="95"/>
        <v>103</v>
      </c>
      <c r="L3012" s="69">
        <f>VLOOKUP(Table_db1_backend_Daily.accdb[[#This Row],[TradingDate]],canon!B:E,4,0)</f>
        <v>31</v>
      </c>
    </row>
    <row r="3013" spans="1:12" x14ac:dyDescent="0.2">
      <c r="A3013" s="69" t="s">
        <v>45</v>
      </c>
      <c r="B3013" s="70">
        <v>42946</v>
      </c>
      <c r="C3013" s="69">
        <v>618</v>
      </c>
      <c r="D3013" s="69">
        <v>1</v>
      </c>
      <c r="E3013" s="69">
        <v>18.18</v>
      </c>
      <c r="F3013" s="69">
        <v>11.22</v>
      </c>
      <c r="G3013" s="69" t="s">
        <v>35</v>
      </c>
      <c r="H3013" s="69" t="str">
        <f>IFERROR(VLOOKUP(Data!$G3013,canon!$I$2:$K$27,2,FALSE),"")</f>
        <v>DRESS</v>
      </c>
      <c r="I3013" s="69" t="str">
        <f>IFERROR(VLOOKUP(Data!$G3013,canon!$I$2:$K$27,3,FALSE),"")</f>
        <v>APPAREL</v>
      </c>
      <c r="J3013" s="69">
        <f t="shared" si="94"/>
        <v>1</v>
      </c>
      <c r="K3013" s="69">
        <f t="shared" si="95"/>
        <v>103</v>
      </c>
      <c r="L3013" s="69">
        <f>VLOOKUP(Table_db1_backend_Daily.accdb[[#This Row],[TradingDate]],canon!B:E,4,0)</f>
        <v>31</v>
      </c>
    </row>
    <row r="3014" spans="1:12" x14ac:dyDescent="0.2">
      <c r="A3014" s="69" t="s">
        <v>45</v>
      </c>
      <c r="B3014" s="70">
        <v>42946</v>
      </c>
      <c r="C3014" s="69">
        <v>464</v>
      </c>
      <c r="D3014" s="69">
        <v>0</v>
      </c>
      <c r="E3014" s="69">
        <v>0</v>
      </c>
      <c r="F3014" s="69">
        <v>0</v>
      </c>
      <c r="G3014" s="69" t="s">
        <v>10</v>
      </c>
      <c r="H3014" s="69" t="str">
        <f>IFERROR(VLOOKUP(Data!$G3014,canon!$I$2:$K$27,2,FALSE),"")</f>
        <v>ACCESSORY</v>
      </c>
      <c r="I3014" s="69" t="str">
        <f>IFERROR(VLOOKUP(Data!$G3014,canon!$I$2:$K$27,3,FALSE),"")</f>
        <v>N.APPAREL</v>
      </c>
      <c r="J3014" s="69">
        <f t="shared" si="94"/>
        <v>1</v>
      </c>
      <c r="K3014" s="69">
        <f t="shared" si="95"/>
        <v>103</v>
      </c>
      <c r="L3014" s="69">
        <f>VLOOKUP(Table_db1_backend_Daily.accdb[[#This Row],[TradingDate]],canon!B:E,4,0)</f>
        <v>31</v>
      </c>
    </row>
    <row r="3015" spans="1:12" x14ac:dyDescent="0.2">
      <c r="A3015" s="69" t="s">
        <v>45</v>
      </c>
      <c r="B3015" s="70">
        <v>42946</v>
      </c>
      <c r="C3015" s="69">
        <v>2032</v>
      </c>
      <c r="D3015" s="69">
        <v>24</v>
      </c>
      <c r="E3015" s="69">
        <v>195.33</v>
      </c>
      <c r="F3015" s="69">
        <v>11.030000000000001</v>
      </c>
      <c r="G3015" s="69" t="s">
        <v>11</v>
      </c>
      <c r="H3015" s="69" t="str">
        <f>IFERROR(VLOOKUP(Data!$G3015,canon!$I$2:$K$27,2,FALSE),"")</f>
        <v>KNIT</v>
      </c>
      <c r="I3015" s="69" t="str">
        <f>IFERROR(VLOOKUP(Data!$G3015,canon!$I$2:$K$27,3,FALSE),"")</f>
        <v>APPAREL</v>
      </c>
      <c r="J3015" s="69">
        <f t="shared" si="94"/>
        <v>1</v>
      </c>
      <c r="K3015" s="69">
        <f t="shared" si="95"/>
        <v>103</v>
      </c>
      <c r="L3015" s="69">
        <f>VLOOKUP(Table_db1_backend_Daily.accdb[[#This Row],[TradingDate]],canon!B:E,4,0)</f>
        <v>31</v>
      </c>
    </row>
    <row r="3016" spans="1:12" x14ac:dyDescent="0.2">
      <c r="A3016" s="69" t="s">
        <v>45</v>
      </c>
      <c r="B3016" s="70">
        <v>42946</v>
      </c>
      <c r="C3016" s="69">
        <v>480</v>
      </c>
      <c r="D3016" s="69">
        <v>3</v>
      </c>
      <c r="E3016" s="69">
        <v>22.73</v>
      </c>
      <c r="F3016" s="69">
        <v>2.7199999999999998</v>
      </c>
      <c r="G3016" s="69" t="s">
        <v>14</v>
      </c>
      <c r="H3016" s="69" t="str">
        <f>IFERROR(VLOOKUP(Data!$G3016,canon!$I$2:$K$27,2,FALSE),"")</f>
        <v>LEGGING</v>
      </c>
      <c r="I3016" s="69" t="str">
        <f>IFERROR(VLOOKUP(Data!$G3016,canon!$I$2:$K$27,3,FALSE),"")</f>
        <v>APPAREL</v>
      </c>
      <c r="J3016" s="69">
        <f t="shared" si="94"/>
        <v>1</v>
      </c>
      <c r="K3016" s="69">
        <f t="shared" si="95"/>
        <v>103</v>
      </c>
      <c r="L3016" s="69">
        <f>VLOOKUP(Table_db1_backend_Daily.accdb[[#This Row],[TradingDate]],canon!B:E,4,0)</f>
        <v>31</v>
      </c>
    </row>
    <row r="3017" spans="1:12" x14ac:dyDescent="0.2">
      <c r="A3017" s="69" t="s">
        <v>45</v>
      </c>
      <c r="B3017" s="70">
        <v>42946</v>
      </c>
      <c r="C3017" s="69">
        <v>-116</v>
      </c>
      <c r="D3017" s="69">
        <v>0</v>
      </c>
      <c r="E3017" s="69">
        <v>0</v>
      </c>
      <c r="F3017" s="69">
        <v>0</v>
      </c>
      <c r="G3017" s="69" t="s">
        <v>37</v>
      </c>
      <c r="H3017" s="69" t="str">
        <f>IFERROR(VLOOKUP(Data!$G3017,canon!$I$2:$K$27,2,FALSE),"")</f>
        <v>SHOES</v>
      </c>
      <c r="I3017" s="69" t="str">
        <f>IFERROR(VLOOKUP(Data!$G3017,canon!$I$2:$K$27,3,FALSE),"")</f>
        <v>N.APPAREL</v>
      </c>
      <c r="J3017" s="69">
        <f t="shared" si="94"/>
        <v>1</v>
      </c>
      <c r="K3017" s="69">
        <f t="shared" si="95"/>
        <v>103</v>
      </c>
      <c r="L3017" s="69">
        <f>VLOOKUP(Table_db1_backend_Daily.accdb[[#This Row],[TradingDate]],canon!B:E,4,0)</f>
        <v>31</v>
      </c>
    </row>
    <row r="3018" spans="1:12" x14ac:dyDescent="0.2">
      <c r="A3018" s="69" t="s">
        <v>45</v>
      </c>
      <c r="B3018" s="70">
        <v>42946</v>
      </c>
      <c r="C3018" s="69">
        <v>-1</v>
      </c>
      <c r="D3018" s="69">
        <v>0</v>
      </c>
      <c r="E3018" s="69">
        <v>0</v>
      </c>
      <c r="F3018" s="69">
        <v>0</v>
      </c>
      <c r="G3018" s="69" t="s">
        <v>29</v>
      </c>
      <c r="H3018" s="69" t="str">
        <f>IFERROR(VLOOKUP(Data!$G3018,canon!$I$2:$K$27,2,FALSE),"")</f>
        <v>SHOES</v>
      </c>
      <c r="I3018" s="69" t="str">
        <f>IFERROR(VLOOKUP(Data!$G3018,canon!$I$2:$K$27,3,FALSE),"")</f>
        <v>N.APPAREL</v>
      </c>
      <c r="J3018" s="69">
        <f t="shared" si="94"/>
        <v>1</v>
      </c>
      <c r="K3018" s="69">
        <f t="shared" si="95"/>
        <v>103</v>
      </c>
      <c r="L3018" s="69">
        <f>VLOOKUP(Table_db1_backend_Daily.accdb[[#This Row],[TradingDate]],canon!B:E,4,0)</f>
        <v>31</v>
      </c>
    </row>
    <row r="3019" spans="1:12" x14ac:dyDescent="0.2">
      <c r="A3019" s="69" t="s">
        <v>45</v>
      </c>
      <c r="B3019" s="70">
        <v>42946</v>
      </c>
      <c r="C3019" s="69">
        <v>635</v>
      </c>
      <c r="D3019" s="69">
        <v>10</v>
      </c>
      <c r="E3019" s="69">
        <v>118.14999999999999</v>
      </c>
      <c r="F3019" s="69">
        <v>27.04</v>
      </c>
      <c r="G3019" s="69" t="s">
        <v>17</v>
      </c>
      <c r="H3019" s="69" t="str">
        <f>IFERROR(VLOOKUP(Data!$G3019,canon!$I$2:$K$27,2,FALSE),"")</f>
        <v>OUTER</v>
      </c>
      <c r="I3019" s="69" t="str">
        <f>IFERROR(VLOOKUP(Data!$G3019,canon!$I$2:$K$27,3,FALSE),"")</f>
        <v>APPAREL</v>
      </c>
      <c r="J3019" s="69">
        <f t="shared" si="94"/>
        <v>1</v>
      </c>
      <c r="K3019" s="69">
        <f t="shared" si="95"/>
        <v>103</v>
      </c>
      <c r="L3019" s="69">
        <f>VLOOKUP(Table_db1_backend_Daily.accdb[[#This Row],[TradingDate]],canon!B:E,4,0)</f>
        <v>31</v>
      </c>
    </row>
    <row r="3020" spans="1:12" x14ac:dyDescent="0.2">
      <c r="A3020" s="69" t="s">
        <v>45</v>
      </c>
      <c r="B3020" s="70">
        <v>42946</v>
      </c>
      <c r="C3020" s="69">
        <v>279</v>
      </c>
      <c r="D3020" s="69">
        <v>5</v>
      </c>
      <c r="E3020" s="69">
        <v>68.150000000000006</v>
      </c>
      <c r="F3020" s="69">
        <v>30.800000000000004</v>
      </c>
      <c r="G3020" s="69" t="s">
        <v>19</v>
      </c>
      <c r="H3020" s="69" t="str">
        <f>IFERROR(VLOOKUP(Data!$G3020,canon!$I$2:$K$27,2,FALSE),"")</f>
        <v>PANT</v>
      </c>
      <c r="I3020" s="69" t="str">
        <f>IFERROR(VLOOKUP(Data!$G3020,canon!$I$2:$K$27,3,FALSE),"")</f>
        <v>APPAREL</v>
      </c>
      <c r="J3020" s="69">
        <f t="shared" si="94"/>
        <v>1</v>
      </c>
      <c r="K3020" s="69">
        <f t="shared" si="95"/>
        <v>103</v>
      </c>
      <c r="L3020" s="69">
        <f>VLOOKUP(Table_db1_backend_Daily.accdb[[#This Row],[TradingDate]],canon!B:E,4,0)</f>
        <v>31</v>
      </c>
    </row>
    <row r="3021" spans="1:12" x14ac:dyDescent="0.2">
      <c r="A3021" s="69" t="s">
        <v>45</v>
      </c>
      <c r="B3021" s="70">
        <v>42946</v>
      </c>
      <c r="C3021" s="69">
        <v>-848</v>
      </c>
      <c r="D3021" s="69">
        <v>15</v>
      </c>
      <c r="E3021" s="69">
        <v>75.419999999999987</v>
      </c>
      <c r="F3021" s="69">
        <v>49.660000000000004</v>
      </c>
      <c r="G3021" s="69" t="s">
        <v>22</v>
      </c>
      <c r="H3021" s="69" t="str">
        <f>IFERROR(VLOOKUP(Data!$G3021,canon!$I$2:$K$27,2,FALSE),"")</f>
        <v>SCARF</v>
      </c>
      <c r="I3021" s="69" t="str">
        <f>IFERROR(VLOOKUP(Data!$G3021,canon!$I$2:$K$27,3,FALSE),"")</f>
        <v>N.APPAREL</v>
      </c>
      <c r="J3021" s="69">
        <f t="shared" si="94"/>
        <v>1</v>
      </c>
      <c r="K3021" s="69">
        <f t="shared" si="95"/>
        <v>103</v>
      </c>
      <c r="L3021" s="69">
        <f>VLOOKUP(Table_db1_backend_Daily.accdb[[#This Row],[TradingDate]],canon!B:E,4,0)</f>
        <v>31</v>
      </c>
    </row>
    <row r="3022" spans="1:12" x14ac:dyDescent="0.2">
      <c r="A3022" s="69" t="s">
        <v>45</v>
      </c>
      <c r="B3022" s="70">
        <v>42946</v>
      </c>
      <c r="C3022" s="69">
        <v>190</v>
      </c>
      <c r="D3022" s="69">
        <v>1</v>
      </c>
      <c r="E3022" s="69">
        <v>4.55</v>
      </c>
      <c r="F3022" s="69">
        <v>-5.23</v>
      </c>
      <c r="G3022" s="69" t="s">
        <v>23</v>
      </c>
      <c r="H3022" s="69" t="str">
        <f>IFERROR(VLOOKUP(Data!$G3022,canon!$I$2:$K$27,2,FALSE),"")</f>
        <v>SH&amp;BL</v>
      </c>
      <c r="I3022" s="69" t="str">
        <f>IFERROR(VLOOKUP(Data!$G3022,canon!$I$2:$K$27,3,FALSE),"")</f>
        <v>APPAREL</v>
      </c>
      <c r="J3022" s="69">
        <f t="shared" si="94"/>
        <v>1</v>
      </c>
      <c r="K3022" s="69">
        <f t="shared" si="95"/>
        <v>103</v>
      </c>
      <c r="L3022" s="69">
        <f>VLOOKUP(Table_db1_backend_Daily.accdb[[#This Row],[TradingDate]],canon!B:E,4,0)</f>
        <v>31</v>
      </c>
    </row>
    <row r="3023" spans="1:12" x14ac:dyDescent="0.2">
      <c r="A3023" s="69" t="s">
        <v>45</v>
      </c>
      <c r="B3023" s="70">
        <v>42946</v>
      </c>
      <c r="C3023" s="69">
        <v>374</v>
      </c>
      <c r="D3023" s="69">
        <v>3</v>
      </c>
      <c r="E3023" s="69">
        <v>18.190000000000001</v>
      </c>
      <c r="F3023" s="69">
        <v>-0.29000000000000048</v>
      </c>
      <c r="G3023" s="69" t="s">
        <v>32</v>
      </c>
      <c r="H3023" s="69" t="str">
        <f>IFERROR(VLOOKUP(Data!$G3023,canon!$I$2:$K$27,2,FALSE),"")</f>
        <v>SKIRT</v>
      </c>
      <c r="I3023" s="69" t="str">
        <f>IFERROR(VLOOKUP(Data!$G3023,canon!$I$2:$K$27,3,FALSE),"")</f>
        <v>APPAREL</v>
      </c>
      <c r="J3023" s="69">
        <f t="shared" si="94"/>
        <v>1</v>
      </c>
      <c r="K3023" s="69">
        <f t="shared" si="95"/>
        <v>103</v>
      </c>
      <c r="L3023" s="69">
        <f>VLOOKUP(Table_db1_backend_Daily.accdb[[#This Row],[TradingDate]],canon!B:E,4,0)</f>
        <v>31</v>
      </c>
    </row>
    <row r="3024" spans="1:12" x14ac:dyDescent="0.2">
      <c r="A3024" s="69" t="s">
        <v>45</v>
      </c>
      <c r="B3024" s="70">
        <v>42946</v>
      </c>
      <c r="C3024" s="69">
        <v>2420</v>
      </c>
      <c r="D3024" s="69">
        <v>27</v>
      </c>
      <c r="E3024" s="69">
        <v>168.25000000000003</v>
      </c>
      <c r="F3024" s="69">
        <v>16.829999999999998</v>
      </c>
      <c r="G3024" s="69" t="s">
        <v>25</v>
      </c>
      <c r="H3024" s="69" t="str">
        <f>IFERROR(VLOOKUP(Data!$G3024,canon!$I$2:$K$27,2,FALSE),"")</f>
        <v>TOP</v>
      </c>
      <c r="I3024" s="69" t="str">
        <f>IFERROR(VLOOKUP(Data!$G3024,canon!$I$2:$K$27,3,FALSE),"")</f>
        <v>APPAREL</v>
      </c>
      <c r="J3024" s="69">
        <f t="shared" si="94"/>
        <v>1</v>
      </c>
      <c r="K3024" s="69">
        <f t="shared" si="95"/>
        <v>103</v>
      </c>
      <c r="L3024" s="69">
        <f>VLOOKUP(Table_db1_backend_Daily.accdb[[#This Row],[TradingDate]],canon!B:E,4,0)</f>
        <v>31</v>
      </c>
    </row>
    <row r="3025" spans="1:12" x14ac:dyDescent="0.2">
      <c r="A3025" s="69" t="s">
        <v>45</v>
      </c>
      <c r="B3025" s="70">
        <v>42947</v>
      </c>
      <c r="C3025" s="69">
        <v>-35</v>
      </c>
      <c r="D3025" s="69">
        <v>0</v>
      </c>
      <c r="E3025" s="69">
        <v>0</v>
      </c>
      <c r="F3025" s="69">
        <v>0</v>
      </c>
      <c r="G3025" s="69" t="s">
        <v>34</v>
      </c>
      <c r="H3025" s="69" t="str">
        <f>IFERROR(VLOOKUP(Data!$G3025,canon!$I$2:$K$27,2,FALSE),"")</f>
        <v>SHOES</v>
      </c>
      <c r="I3025" s="69" t="str">
        <f>IFERROR(VLOOKUP(Data!$G3025,canon!$I$2:$K$27,3,FALSE),"")</f>
        <v>N.APPAREL</v>
      </c>
      <c r="J3025" s="69">
        <f t="shared" si="94"/>
        <v>2</v>
      </c>
      <c r="K3025" s="69">
        <f t="shared" si="95"/>
        <v>103</v>
      </c>
      <c r="L3025" s="69">
        <f>VLOOKUP(Table_db1_backend_Daily.accdb[[#This Row],[TradingDate]],canon!B:E,4,0)</f>
        <v>31</v>
      </c>
    </row>
    <row r="3026" spans="1:12" x14ac:dyDescent="0.2">
      <c r="A3026" s="69" t="s">
        <v>45</v>
      </c>
      <c r="B3026" s="70">
        <v>42947</v>
      </c>
      <c r="C3026" s="69">
        <v>620</v>
      </c>
      <c r="D3026" s="69">
        <v>22</v>
      </c>
      <c r="E3026" s="69">
        <v>290.89</v>
      </c>
      <c r="F3026" s="69">
        <v>131.74</v>
      </c>
      <c r="G3026" s="69" t="s">
        <v>35</v>
      </c>
      <c r="H3026" s="69" t="str">
        <f>IFERROR(VLOOKUP(Data!$G3026,canon!$I$2:$K$27,2,FALSE),"")</f>
        <v>DRESS</v>
      </c>
      <c r="I3026" s="69" t="str">
        <f>IFERROR(VLOOKUP(Data!$G3026,canon!$I$2:$K$27,3,FALSE),"")</f>
        <v>APPAREL</v>
      </c>
      <c r="J3026" s="69">
        <f t="shared" si="94"/>
        <v>2</v>
      </c>
      <c r="K3026" s="69">
        <f t="shared" si="95"/>
        <v>103</v>
      </c>
      <c r="L3026" s="69">
        <f>VLOOKUP(Table_db1_backend_Daily.accdb[[#This Row],[TradingDate]],canon!B:E,4,0)</f>
        <v>31</v>
      </c>
    </row>
    <row r="3027" spans="1:12" x14ac:dyDescent="0.2">
      <c r="A3027" s="69" t="s">
        <v>45</v>
      </c>
      <c r="B3027" s="70">
        <v>42947</v>
      </c>
      <c r="C3027" s="69">
        <v>464</v>
      </c>
      <c r="D3027" s="69">
        <v>0</v>
      </c>
      <c r="E3027" s="69">
        <v>0</v>
      </c>
      <c r="F3027" s="69">
        <v>0</v>
      </c>
      <c r="G3027" s="69" t="s">
        <v>10</v>
      </c>
      <c r="H3027" s="69" t="str">
        <f>IFERROR(VLOOKUP(Data!$G3027,canon!$I$2:$K$27,2,FALSE),"")</f>
        <v>ACCESSORY</v>
      </c>
      <c r="I3027" s="69" t="str">
        <f>IFERROR(VLOOKUP(Data!$G3027,canon!$I$2:$K$27,3,FALSE),"")</f>
        <v>N.APPAREL</v>
      </c>
      <c r="J3027" s="69">
        <f t="shared" si="94"/>
        <v>2</v>
      </c>
      <c r="K3027" s="69">
        <f t="shared" si="95"/>
        <v>103</v>
      </c>
      <c r="L3027" s="69">
        <f>VLOOKUP(Table_db1_backend_Daily.accdb[[#This Row],[TradingDate]],canon!B:E,4,0)</f>
        <v>31</v>
      </c>
    </row>
    <row r="3028" spans="1:12" x14ac:dyDescent="0.2">
      <c r="A3028" s="69" t="s">
        <v>45</v>
      </c>
      <c r="B3028" s="70">
        <v>42947</v>
      </c>
      <c r="C3028" s="69">
        <v>2005</v>
      </c>
      <c r="D3028" s="69">
        <v>87</v>
      </c>
      <c r="E3028" s="69">
        <v>740.21999999999991</v>
      </c>
      <c r="F3028" s="69">
        <v>39.899999999999963</v>
      </c>
      <c r="G3028" s="69" t="s">
        <v>11</v>
      </c>
      <c r="H3028" s="69" t="str">
        <f>IFERROR(VLOOKUP(Data!$G3028,canon!$I$2:$K$27,2,FALSE),"")</f>
        <v>KNIT</v>
      </c>
      <c r="I3028" s="69" t="str">
        <f>IFERROR(VLOOKUP(Data!$G3028,canon!$I$2:$K$27,3,FALSE),"")</f>
        <v>APPAREL</v>
      </c>
      <c r="J3028" s="69">
        <f t="shared" si="94"/>
        <v>2</v>
      </c>
      <c r="K3028" s="69">
        <f t="shared" si="95"/>
        <v>103</v>
      </c>
      <c r="L3028" s="69">
        <f>VLOOKUP(Table_db1_backend_Daily.accdb[[#This Row],[TradingDate]],canon!B:E,4,0)</f>
        <v>31</v>
      </c>
    </row>
    <row r="3029" spans="1:12" x14ac:dyDescent="0.2">
      <c r="A3029" s="69" t="s">
        <v>45</v>
      </c>
      <c r="B3029" s="70">
        <v>42947</v>
      </c>
      <c r="C3029" s="69">
        <v>489</v>
      </c>
      <c r="D3029" s="69">
        <v>3</v>
      </c>
      <c r="E3029" s="69">
        <v>27.28</v>
      </c>
      <c r="F3029" s="69">
        <v>6.9499999999999993</v>
      </c>
      <c r="G3029" s="69" t="s">
        <v>14</v>
      </c>
      <c r="H3029" s="69" t="str">
        <f>IFERROR(VLOOKUP(Data!$G3029,canon!$I$2:$K$27,2,FALSE),"")</f>
        <v>LEGGING</v>
      </c>
      <c r="I3029" s="69" t="str">
        <f>IFERROR(VLOOKUP(Data!$G3029,canon!$I$2:$K$27,3,FALSE),"")</f>
        <v>APPAREL</v>
      </c>
      <c r="J3029" s="69">
        <f t="shared" si="94"/>
        <v>2</v>
      </c>
      <c r="K3029" s="69">
        <f t="shared" si="95"/>
        <v>103</v>
      </c>
      <c r="L3029" s="69">
        <f>VLOOKUP(Table_db1_backend_Daily.accdb[[#This Row],[TradingDate]],canon!B:E,4,0)</f>
        <v>31</v>
      </c>
    </row>
    <row r="3030" spans="1:12" x14ac:dyDescent="0.2">
      <c r="A3030" s="69" t="s">
        <v>45</v>
      </c>
      <c r="B3030" s="70">
        <v>42947</v>
      </c>
      <c r="C3030" s="69">
        <v>-116</v>
      </c>
      <c r="D3030" s="69">
        <v>0</v>
      </c>
      <c r="E3030" s="69">
        <v>0</v>
      </c>
      <c r="F3030" s="69">
        <v>0</v>
      </c>
      <c r="G3030" s="69" t="s">
        <v>37</v>
      </c>
      <c r="H3030" s="69" t="str">
        <f>IFERROR(VLOOKUP(Data!$G3030,canon!$I$2:$K$27,2,FALSE),"")</f>
        <v>SHOES</v>
      </c>
      <c r="I3030" s="69" t="str">
        <f>IFERROR(VLOOKUP(Data!$G3030,canon!$I$2:$K$27,3,FALSE),"")</f>
        <v>N.APPAREL</v>
      </c>
      <c r="J3030" s="69">
        <f t="shared" si="94"/>
        <v>2</v>
      </c>
      <c r="K3030" s="69">
        <f t="shared" si="95"/>
        <v>103</v>
      </c>
      <c r="L3030" s="69">
        <f>VLOOKUP(Table_db1_backend_Daily.accdb[[#This Row],[TradingDate]],canon!B:E,4,0)</f>
        <v>31</v>
      </c>
    </row>
    <row r="3031" spans="1:12" x14ac:dyDescent="0.2">
      <c r="A3031" s="69" t="s">
        <v>45</v>
      </c>
      <c r="B3031" s="70">
        <v>42947</v>
      </c>
      <c r="C3031" s="69">
        <v>-1</v>
      </c>
      <c r="D3031" s="69">
        <v>0</v>
      </c>
      <c r="E3031" s="69">
        <v>0</v>
      </c>
      <c r="F3031" s="69">
        <v>0</v>
      </c>
      <c r="G3031" s="69" t="s">
        <v>29</v>
      </c>
      <c r="H3031" s="69" t="str">
        <f>IFERROR(VLOOKUP(Data!$G3031,canon!$I$2:$K$27,2,FALSE),"")</f>
        <v>SHOES</v>
      </c>
      <c r="I3031" s="69" t="str">
        <f>IFERROR(VLOOKUP(Data!$G3031,canon!$I$2:$K$27,3,FALSE),"")</f>
        <v>N.APPAREL</v>
      </c>
      <c r="J3031" s="69">
        <f t="shared" si="94"/>
        <v>2</v>
      </c>
      <c r="K3031" s="69">
        <f t="shared" si="95"/>
        <v>103</v>
      </c>
      <c r="L3031" s="69">
        <f>VLOOKUP(Table_db1_backend_Daily.accdb[[#This Row],[TradingDate]],canon!B:E,4,0)</f>
        <v>31</v>
      </c>
    </row>
    <row r="3032" spans="1:12" x14ac:dyDescent="0.2">
      <c r="A3032" s="69" t="s">
        <v>45</v>
      </c>
      <c r="B3032" s="70">
        <v>42947</v>
      </c>
      <c r="C3032" s="69">
        <v>613</v>
      </c>
      <c r="D3032" s="69">
        <v>22</v>
      </c>
      <c r="E3032" s="69">
        <v>322.62999999999994</v>
      </c>
      <c r="F3032" s="69">
        <v>157.68999999999994</v>
      </c>
      <c r="G3032" s="69" t="s">
        <v>17</v>
      </c>
      <c r="H3032" s="69" t="str">
        <f>IFERROR(VLOOKUP(Data!$G3032,canon!$I$2:$K$27,2,FALSE),"")</f>
        <v>OUTER</v>
      </c>
      <c r="I3032" s="69" t="str">
        <f>IFERROR(VLOOKUP(Data!$G3032,canon!$I$2:$K$27,3,FALSE),"")</f>
        <v>APPAREL</v>
      </c>
      <c r="J3032" s="69">
        <f t="shared" si="94"/>
        <v>2</v>
      </c>
      <c r="K3032" s="69">
        <f t="shared" si="95"/>
        <v>103</v>
      </c>
      <c r="L3032" s="69">
        <f>VLOOKUP(Table_db1_backend_Daily.accdb[[#This Row],[TradingDate]],canon!B:E,4,0)</f>
        <v>31</v>
      </c>
    </row>
    <row r="3033" spans="1:12" x14ac:dyDescent="0.2">
      <c r="A3033" s="69" t="s">
        <v>45</v>
      </c>
      <c r="B3033" s="70">
        <v>42947</v>
      </c>
      <c r="C3033" s="69">
        <v>277</v>
      </c>
      <c r="D3033" s="69">
        <v>2</v>
      </c>
      <c r="E3033" s="69">
        <v>9.1</v>
      </c>
      <c r="F3033" s="69">
        <v>-6.12</v>
      </c>
      <c r="G3033" s="69" t="s">
        <v>19</v>
      </c>
      <c r="H3033" s="69" t="str">
        <f>IFERROR(VLOOKUP(Data!$G3033,canon!$I$2:$K$27,2,FALSE),"")</f>
        <v>PANT</v>
      </c>
      <c r="I3033" s="69" t="str">
        <f>IFERROR(VLOOKUP(Data!$G3033,canon!$I$2:$K$27,3,FALSE),"")</f>
        <v>APPAREL</v>
      </c>
      <c r="J3033" s="69">
        <f t="shared" si="94"/>
        <v>2</v>
      </c>
      <c r="K3033" s="69">
        <f t="shared" si="95"/>
        <v>103</v>
      </c>
      <c r="L3033" s="69">
        <f>VLOOKUP(Table_db1_backend_Daily.accdb[[#This Row],[TradingDate]],canon!B:E,4,0)</f>
        <v>31</v>
      </c>
    </row>
    <row r="3034" spans="1:12" x14ac:dyDescent="0.2">
      <c r="A3034" s="69" t="s">
        <v>45</v>
      </c>
      <c r="B3034" s="70">
        <v>42947</v>
      </c>
      <c r="C3034" s="69">
        <v>-859</v>
      </c>
      <c r="D3034" s="69">
        <v>11</v>
      </c>
      <c r="E3034" s="69">
        <v>60.759999999999991</v>
      </c>
      <c r="F3034" s="69">
        <v>41.53</v>
      </c>
      <c r="G3034" s="69" t="s">
        <v>22</v>
      </c>
      <c r="H3034" s="69" t="str">
        <f>IFERROR(VLOOKUP(Data!$G3034,canon!$I$2:$K$27,2,FALSE),"")</f>
        <v>SCARF</v>
      </c>
      <c r="I3034" s="69" t="str">
        <f>IFERROR(VLOOKUP(Data!$G3034,canon!$I$2:$K$27,3,FALSE),"")</f>
        <v>N.APPAREL</v>
      </c>
      <c r="J3034" s="69">
        <f t="shared" si="94"/>
        <v>2</v>
      </c>
      <c r="K3034" s="69">
        <f t="shared" si="95"/>
        <v>103</v>
      </c>
      <c r="L3034" s="69">
        <f>VLOOKUP(Table_db1_backend_Daily.accdb[[#This Row],[TradingDate]],canon!B:E,4,0)</f>
        <v>31</v>
      </c>
    </row>
    <row r="3035" spans="1:12" x14ac:dyDescent="0.2">
      <c r="A3035" s="69" t="s">
        <v>45</v>
      </c>
      <c r="B3035" s="70">
        <v>42947</v>
      </c>
      <c r="C3035" s="69">
        <v>295</v>
      </c>
      <c r="D3035" s="69">
        <v>3</v>
      </c>
      <c r="E3035" s="69">
        <v>27.29</v>
      </c>
      <c r="F3035" s="69">
        <v>8.379999999999999</v>
      </c>
      <c r="G3035" s="69" t="s">
        <v>23</v>
      </c>
      <c r="H3035" s="69" t="str">
        <f>IFERROR(VLOOKUP(Data!$G3035,canon!$I$2:$K$27,2,FALSE),"")</f>
        <v>SH&amp;BL</v>
      </c>
      <c r="I3035" s="69" t="str">
        <f>IFERROR(VLOOKUP(Data!$G3035,canon!$I$2:$K$27,3,FALSE),"")</f>
        <v>APPAREL</v>
      </c>
      <c r="J3035" s="69">
        <f t="shared" si="94"/>
        <v>2</v>
      </c>
      <c r="K3035" s="69">
        <f t="shared" si="95"/>
        <v>103</v>
      </c>
      <c r="L3035" s="69">
        <f>VLOOKUP(Table_db1_backend_Daily.accdb[[#This Row],[TradingDate]],canon!B:E,4,0)</f>
        <v>31</v>
      </c>
    </row>
    <row r="3036" spans="1:12" x14ac:dyDescent="0.2">
      <c r="A3036" s="69" t="s">
        <v>45</v>
      </c>
      <c r="B3036" s="70">
        <v>42947</v>
      </c>
      <c r="C3036" s="69">
        <v>397</v>
      </c>
      <c r="D3036" s="69">
        <v>1</v>
      </c>
      <c r="E3036" s="69">
        <v>18.18</v>
      </c>
      <c r="F3036" s="69">
        <v>12.85</v>
      </c>
      <c r="G3036" s="69" t="s">
        <v>32</v>
      </c>
      <c r="H3036" s="69" t="str">
        <f>IFERROR(VLOOKUP(Data!$G3036,canon!$I$2:$K$27,2,FALSE),"")</f>
        <v>SKIRT</v>
      </c>
      <c r="I3036" s="69" t="str">
        <f>IFERROR(VLOOKUP(Data!$G3036,canon!$I$2:$K$27,3,FALSE),"")</f>
        <v>APPAREL</v>
      </c>
      <c r="J3036" s="69">
        <f t="shared" si="94"/>
        <v>2</v>
      </c>
      <c r="K3036" s="69">
        <f t="shared" si="95"/>
        <v>103</v>
      </c>
      <c r="L3036" s="69">
        <f>VLOOKUP(Table_db1_backend_Daily.accdb[[#This Row],[TradingDate]],canon!B:E,4,0)</f>
        <v>31</v>
      </c>
    </row>
    <row r="3037" spans="1:12" x14ac:dyDescent="0.2">
      <c r="A3037" s="69" t="s">
        <v>45</v>
      </c>
      <c r="B3037" s="70">
        <v>42947</v>
      </c>
      <c r="C3037" s="69">
        <v>2646</v>
      </c>
      <c r="D3037" s="69">
        <v>26</v>
      </c>
      <c r="E3037" s="69">
        <v>222.70999999999998</v>
      </c>
      <c r="F3037" s="69">
        <v>97.66</v>
      </c>
      <c r="G3037" s="69" t="s">
        <v>25</v>
      </c>
      <c r="H3037" s="69" t="str">
        <f>IFERROR(VLOOKUP(Data!$G3037,canon!$I$2:$K$27,2,FALSE),"")</f>
        <v>TOP</v>
      </c>
      <c r="I3037" s="69" t="str">
        <f>IFERROR(VLOOKUP(Data!$G3037,canon!$I$2:$K$27,3,FALSE),"")</f>
        <v>APPAREL</v>
      </c>
      <c r="J3037" s="69">
        <f t="shared" si="94"/>
        <v>2</v>
      </c>
      <c r="K3037" s="69">
        <f t="shared" si="95"/>
        <v>103</v>
      </c>
      <c r="L3037" s="69">
        <f>VLOOKUP(Table_db1_backend_Daily.accdb[[#This Row],[TradingDate]],canon!B:E,4,0)</f>
        <v>31</v>
      </c>
    </row>
    <row r="3038" spans="1:12" x14ac:dyDescent="0.2">
      <c r="A3038" s="69" t="s">
        <v>45</v>
      </c>
      <c r="B3038" s="70">
        <v>42948</v>
      </c>
      <c r="C3038" s="69">
        <v>-35</v>
      </c>
      <c r="D3038" s="69">
        <v>0</v>
      </c>
      <c r="E3038" s="69">
        <v>0</v>
      </c>
      <c r="F3038" s="69">
        <v>0</v>
      </c>
      <c r="G3038" s="69" t="s">
        <v>34</v>
      </c>
      <c r="H3038" s="69" t="str">
        <f>IFERROR(VLOOKUP(Data!$G3038,canon!$I$2:$K$27,2,FALSE),"")</f>
        <v>SHOES</v>
      </c>
      <c r="I3038" s="69" t="str">
        <f>IFERROR(VLOOKUP(Data!$G3038,canon!$I$2:$K$27,3,FALSE),"")</f>
        <v>N.APPAREL</v>
      </c>
      <c r="J3038" s="69">
        <f t="shared" si="94"/>
        <v>3</v>
      </c>
      <c r="K3038" s="69">
        <f t="shared" si="95"/>
        <v>103</v>
      </c>
      <c r="L3038" s="69">
        <f>VLOOKUP(Table_db1_backend_Daily.accdb[[#This Row],[TradingDate]],canon!B:E,4,0)</f>
        <v>31</v>
      </c>
    </row>
    <row r="3039" spans="1:12" x14ac:dyDescent="0.2">
      <c r="A3039" s="69" t="s">
        <v>45</v>
      </c>
      <c r="B3039" s="70">
        <v>42948</v>
      </c>
      <c r="C3039" s="69">
        <v>621</v>
      </c>
      <c r="D3039" s="69">
        <v>11</v>
      </c>
      <c r="E3039" s="69">
        <v>163.46</v>
      </c>
      <c r="F3039" s="69">
        <v>72.92</v>
      </c>
      <c r="G3039" s="69" t="s">
        <v>35</v>
      </c>
      <c r="H3039" s="69" t="str">
        <f>IFERROR(VLOOKUP(Data!$G3039,canon!$I$2:$K$27,2,FALSE),"")</f>
        <v>DRESS</v>
      </c>
      <c r="I3039" s="69" t="str">
        <f>IFERROR(VLOOKUP(Data!$G3039,canon!$I$2:$K$27,3,FALSE),"")</f>
        <v>APPAREL</v>
      </c>
      <c r="J3039" s="69">
        <f t="shared" si="94"/>
        <v>3</v>
      </c>
      <c r="K3039" s="69">
        <f t="shared" si="95"/>
        <v>103</v>
      </c>
      <c r="L3039" s="69">
        <f>VLOOKUP(Table_db1_backend_Daily.accdb[[#This Row],[TradingDate]],canon!B:E,4,0)</f>
        <v>31</v>
      </c>
    </row>
    <row r="3040" spans="1:12" x14ac:dyDescent="0.2">
      <c r="A3040" s="69" t="s">
        <v>45</v>
      </c>
      <c r="B3040" s="70">
        <v>42948</v>
      </c>
      <c r="C3040" s="69">
        <v>464</v>
      </c>
      <c r="D3040" s="69">
        <v>0</v>
      </c>
      <c r="E3040" s="69">
        <v>0</v>
      </c>
      <c r="F3040" s="69">
        <v>0</v>
      </c>
      <c r="G3040" s="69" t="s">
        <v>10</v>
      </c>
      <c r="H3040" s="69" t="str">
        <f>IFERROR(VLOOKUP(Data!$G3040,canon!$I$2:$K$27,2,FALSE),"")</f>
        <v>ACCESSORY</v>
      </c>
      <c r="I3040" s="69" t="str">
        <f>IFERROR(VLOOKUP(Data!$G3040,canon!$I$2:$K$27,3,FALSE),"")</f>
        <v>N.APPAREL</v>
      </c>
      <c r="J3040" s="69">
        <f t="shared" si="94"/>
        <v>3</v>
      </c>
      <c r="K3040" s="69">
        <f t="shared" si="95"/>
        <v>103</v>
      </c>
      <c r="L3040" s="69">
        <f>VLOOKUP(Table_db1_backend_Daily.accdb[[#This Row],[TradingDate]],canon!B:E,4,0)</f>
        <v>31</v>
      </c>
    </row>
    <row r="3041" spans="1:12" x14ac:dyDescent="0.2">
      <c r="A3041" s="69" t="s">
        <v>45</v>
      </c>
      <c r="B3041" s="70">
        <v>42948</v>
      </c>
      <c r="C3041" s="69">
        <v>1922</v>
      </c>
      <c r="D3041" s="69">
        <v>83</v>
      </c>
      <c r="E3041" s="69">
        <v>672.12000000000046</v>
      </c>
      <c r="F3041" s="69">
        <v>2.3599999999999981</v>
      </c>
      <c r="G3041" s="69" t="s">
        <v>11</v>
      </c>
      <c r="H3041" s="69" t="str">
        <f>IFERROR(VLOOKUP(Data!$G3041,canon!$I$2:$K$27,2,FALSE),"")</f>
        <v>KNIT</v>
      </c>
      <c r="I3041" s="69" t="str">
        <f>IFERROR(VLOOKUP(Data!$G3041,canon!$I$2:$K$27,3,FALSE),"")</f>
        <v>APPAREL</v>
      </c>
      <c r="J3041" s="69">
        <f t="shared" si="94"/>
        <v>3</v>
      </c>
      <c r="K3041" s="69">
        <f t="shared" si="95"/>
        <v>103</v>
      </c>
      <c r="L3041" s="69">
        <f>VLOOKUP(Table_db1_backend_Daily.accdb[[#This Row],[TradingDate]],canon!B:E,4,0)</f>
        <v>31</v>
      </c>
    </row>
    <row r="3042" spans="1:12" x14ac:dyDescent="0.2">
      <c r="A3042" s="69" t="s">
        <v>45</v>
      </c>
      <c r="B3042" s="70">
        <v>42948</v>
      </c>
      <c r="C3042" s="69">
        <v>484</v>
      </c>
      <c r="D3042" s="69">
        <v>5</v>
      </c>
      <c r="E3042" s="69">
        <v>45.36</v>
      </c>
      <c r="F3042" s="69">
        <v>9.6</v>
      </c>
      <c r="G3042" s="69" t="s">
        <v>14</v>
      </c>
      <c r="H3042" s="69" t="str">
        <f>IFERROR(VLOOKUP(Data!$G3042,canon!$I$2:$K$27,2,FALSE),"")</f>
        <v>LEGGING</v>
      </c>
      <c r="I3042" s="69" t="str">
        <f>IFERROR(VLOOKUP(Data!$G3042,canon!$I$2:$K$27,3,FALSE),"")</f>
        <v>APPAREL</v>
      </c>
      <c r="J3042" s="69">
        <f t="shared" si="94"/>
        <v>3</v>
      </c>
      <c r="K3042" s="69">
        <f t="shared" si="95"/>
        <v>103</v>
      </c>
      <c r="L3042" s="69">
        <f>VLOOKUP(Table_db1_backend_Daily.accdb[[#This Row],[TradingDate]],canon!B:E,4,0)</f>
        <v>31</v>
      </c>
    </row>
    <row r="3043" spans="1:12" x14ac:dyDescent="0.2">
      <c r="A3043" s="69" t="s">
        <v>45</v>
      </c>
      <c r="B3043" s="70">
        <v>42948</v>
      </c>
      <c r="C3043" s="69">
        <v>-116</v>
      </c>
      <c r="D3043" s="69">
        <v>0</v>
      </c>
      <c r="E3043" s="69">
        <v>0</v>
      </c>
      <c r="F3043" s="69">
        <v>0</v>
      </c>
      <c r="G3043" s="69" t="s">
        <v>37</v>
      </c>
      <c r="H3043" s="69" t="str">
        <f>IFERROR(VLOOKUP(Data!$G3043,canon!$I$2:$K$27,2,FALSE),"")</f>
        <v>SHOES</v>
      </c>
      <c r="I3043" s="69" t="str">
        <f>IFERROR(VLOOKUP(Data!$G3043,canon!$I$2:$K$27,3,FALSE),"")</f>
        <v>N.APPAREL</v>
      </c>
      <c r="J3043" s="69">
        <f t="shared" si="94"/>
        <v>3</v>
      </c>
      <c r="K3043" s="69">
        <f t="shared" si="95"/>
        <v>103</v>
      </c>
      <c r="L3043" s="69">
        <f>VLOOKUP(Table_db1_backend_Daily.accdb[[#This Row],[TradingDate]],canon!B:E,4,0)</f>
        <v>31</v>
      </c>
    </row>
    <row r="3044" spans="1:12" x14ac:dyDescent="0.2">
      <c r="A3044" s="69" t="s">
        <v>45</v>
      </c>
      <c r="B3044" s="70">
        <v>42948</v>
      </c>
      <c r="C3044" s="69">
        <v>-1</v>
      </c>
      <c r="D3044" s="69">
        <v>0</v>
      </c>
      <c r="E3044" s="69">
        <v>0</v>
      </c>
      <c r="F3044" s="69">
        <v>0</v>
      </c>
      <c r="G3044" s="69" t="s">
        <v>29</v>
      </c>
      <c r="H3044" s="69" t="str">
        <f>IFERROR(VLOOKUP(Data!$G3044,canon!$I$2:$K$27,2,FALSE),"")</f>
        <v>SHOES</v>
      </c>
      <c r="I3044" s="69" t="str">
        <f>IFERROR(VLOOKUP(Data!$G3044,canon!$I$2:$K$27,3,FALSE),"")</f>
        <v>N.APPAREL</v>
      </c>
      <c r="J3044" s="69">
        <f t="shared" si="94"/>
        <v>3</v>
      </c>
      <c r="K3044" s="69">
        <f t="shared" si="95"/>
        <v>103</v>
      </c>
      <c r="L3044" s="69">
        <f>VLOOKUP(Table_db1_backend_Daily.accdb[[#This Row],[TradingDate]],canon!B:E,4,0)</f>
        <v>31</v>
      </c>
    </row>
    <row r="3045" spans="1:12" x14ac:dyDescent="0.2">
      <c r="A3045" s="69" t="s">
        <v>45</v>
      </c>
      <c r="B3045" s="70">
        <v>42948</v>
      </c>
      <c r="C3045" s="69">
        <v>641</v>
      </c>
      <c r="D3045" s="69">
        <v>14</v>
      </c>
      <c r="E3045" s="69">
        <v>181.78</v>
      </c>
      <c r="F3045" s="69">
        <v>63.12</v>
      </c>
      <c r="G3045" s="69" t="s">
        <v>17</v>
      </c>
      <c r="H3045" s="69" t="str">
        <f>IFERROR(VLOOKUP(Data!$G3045,canon!$I$2:$K$27,2,FALSE),"")</f>
        <v>OUTER</v>
      </c>
      <c r="I3045" s="69" t="str">
        <f>IFERROR(VLOOKUP(Data!$G3045,canon!$I$2:$K$27,3,FALSE),"")</f>
        <v>APPAREL</v>
      </c>
      <c r="J3045" s="69">
        <f t="shared" si="94"/>
        <v>3</v>
      </c>
      <c r="K3045" s="69">
        <f t="shared" si="95"/>
        <v>103</v>
      </c>
      <c r="L3045" s="69">
        <f>VLOOKUP(Table_db1_backend_Daily.accdb[[#This Row],[TradingDate]],canon!B:E,4,0)</f>
        <v>31</v>
      </c>
    </row>
    <row r="3046" spans="1:12" x14ac:dyDescent="0.2">
      <c r="A3046" s="69" t="s">
        <v>45</v>
      </c>
      <c r="B3046" s="70">
        <v>42948</v>
      </c>
      <c r="C3046" s="69">
        <v>274</v>
      </c>
      <c r="D3046" s="69">
        <v>3</v>
      </c>
      <c r="E3046" s="69">
        <v>13.64</v>
      </c>
      <c r="F3046" s="69">
        <v>-9.19</v>
      </c>
      <c r="G3046" s="69" t="s">
        <v>19</v>
      </c>
      <c r="H3046" s="69" t="str">
        <f>IFERROR(VLOOKUP(Data!$G3046,canon!$I$2:$K$27,2,FALSE),"")</f>
        <v>PANT</v>
      </c>
      <c r="I3046" s="69" t="str">
        <f>IFERROR(VLOOKUP(Data!$G3046,canon!$I$2:$K$27,3,FALSE),"")</f>
        <v>APPAREL</v>
      </c>
      <c r="J3046" s="69">
        <f t="shared" si="94"/>
        <v>3</v>
      </c>
      <c r="K3046" s="69">
        <f t="shared" si="95"/>
        <v>103</v>
      </c>
      <c r="L3046" s="69">
        <f>VLOOKUP(Table_db1_backend_Daily.accdb[[#This Row],[TradingDate]],canon!B:E,4,0)</f>
        <v>31</v>
      </c>
    </row>
    <row r="3047" spans="1:12" x14ac:dyDescent="0.2">
      <c r="A3047" s="69" t="s">
        <v>45</v>
      </c>
      <c r="B3047" s="70">
        <v>42948</v>
      </c>
      <c r="C3047" s="69">
        <v>-870</v>
      </c>
      <c r="D3047" s="69">
        <v>11</v>
      </c>
      <c r="E3047" s="69">
        <v>50.820000000000007</v>
      </c>
      <c r="F3047" s="69">
        <v>33.229999999999997</v>
      </c>
      <c r="G3047" s="69" t="s">
        <v>22</v>
      </c>
      <c r="H3047" s="69" t="str">
        <f>IFERROR(VLOOKUP(Data!$G3047,canon!$I$2:$K$27,2,FALSE),"")</f>
        <v>SCARF</v>
      </c>
      <c r="I3047" s="69" t="str">
        <f>IFERROR(VLOOKUP(Data!$G3047,canon!$I$2:$K$27,3,FALSE),"")</f>
        <v>N.APPAREL</v>
      </c>
      <c r="J3047" s="69">
        <f t="shared" si="94"/>
        <v>3</v>
      </c>
      <c r="K3047" s="69">
        <f t="shared" si="95"/>
        <v>103</v>
      </c>
      <c r="L3047" s="69">
        <f>VLOOKUP(Table_db1_backend_Daily.accdb[[#This Row],[TradingDate]],canon!B:E,4,0)</f>
        <v>31</v>
      </c>
    </row>
    <row r="3048" spans="1:12" x14ac:dyDescent="0.2">
      <c r="A3048" s="69" t="s">
        <v>45</v>
      </c>
      <c r="B3048" s="70">
        <v>42948</v>
      </c>
      <c r="C3048" s="69">
        <v>289</v>
      </c>
      <c r="D3048" s="69">
        <v>6</v>
      </c>
      <c r="E3048" s="69">
        <v>27.27</v>
      </c>
      <c r="F3048" s="69">
        <v>-12.3</v>
      </c>
      <c r="G3048" s="69" t="s">
        <v>23</v>
      </c>
      <c r="H3048" s="69" t="str">
        <f>IFERROR(VLOOKUP(Data!$G3048,canon!$I$2:$K$27,2,FALSE),"")</f>
        <v>SH&amp;BL</v>
      </c>
      <c r="I3048" s="69" t="str">
        <f>IFERROR(VLOOKUP(Data!$G3048,canon!$I$2:$K$27,3,FALSE),"")</f>
        <v>APPAREL</v>
      </c>
      <c r="J3048" s="69">
        <f t="shared" si="94"/>
        <v>3</v>
      </c>
      <c r="K3048" s="69">
        <f t="shared" si="95"/>
        <v>103</v>
      </c>
      <c r="L3048" s="69">
        <f>VLOOKUP(Table_db1_backend_Daily.accdb[[#This Row],[TradingDate]],canon!B:E,4,0)</f>
        <v>31</v>
      </c>
    </row>
    <row r="3049" spans="1:12" x14ac:dyDescent="0.2">
      <c r="A3049" s="69" t="s">
        <v>45</v>
      </c>
      <c r="B3049" s="70">
        <v>42948</v>
      </c>
      <c r="C3049" s="69">
        <v>399</v>
      </c>
      <c r="D3049" s="69">
        <v>4</v>
      </c>
      <c r="E3049" s="69">
        <v>45.36</v>
      </c>
      <c r="F3049" s="69">
        <v>27.099999999999998</v>
      </c>
      <c r="G3049" s="69" t="s">
        <v>32</v>
      </c>
      <c r="H3049" s="69" t="str">
        <f>IFERROR(VLOOKUP(Data!$G3049,canon!$I$2:$K$27,2,FALSE),"")</f>
        <v>SKIRT</v>
      </c>
      <c r="I3049" s="69" t="str">
        <f>IFERROR(VLOOKUP(Data!$G3049,canon!$I$2:$K$27,3,FALSE),"")</f>
        <v>APPAREL</v>
      </c>
      <c r="J3049" s="69">
        <f t="shared" si="94"/>
        <v>3</v>
      </c>
      <c r="K3049" s="69">
        <f t="shared" si="95"/>
        <v>103</v>
      </c>
      <c r="L3049" s="69">
        <f>VLOOKUP(Table_db1_backend_Daily.accdb[[#This Row],[TradingDate]],canon!B:E,4,0)</f>
        <v>31</v>
      </c>
    </row>
    <row r="3050" spans="1:12" x14ac:dyDescent="0.2">
      <c r="A3050" s="69" t="s">
        <v>45</v>
      </c>
      <c r="B3050" s="70">
        <v>42948</v>
      </c>
      <c r="C3050" s="69">
        <v>2606</v>
      </c>
      <c r="D3050" s="69">
        <v>46</v>
      </c>
      <c r="E3050" s="69">
        <v>268.28000000000009</v>
      </c>
      <c r="F3050" s="69">
        <v>25.229999999999997</v>
      </c>
      <c r="G3050" s="69" t="s">
        <v>25</v>
      </c>
      <c r="H3050" s="69" t="str">
        <f>IFERROR(VLOOKUP(Data!$G3050,canon!$I$2:$K$27,2,FALSE),"")</f>
        <v>TOP</v>
      </c>
      <c r="I3050" s="69" t="str">
        <f>IFERROR(VLOOKUP(Data!$G3050,canon!$I$2:$K$27,3,FALSE),"")</f>
        <v>APPAREL</v>
      </c>
      <c r="J3050" s="69">
        <f t="shared" si="94"/>
        <v>3</v>
      </c>
      <c r="K3050" s="69">
        <f t="shared" si="95"/>
        <v>103</v>
      </c>
      <c r="L3050" s="69">
        <f>VLOOKUP(Table_db1_backend_Daily.accdb[[#This Row],[TradingDate]],canon!B:E,4,0)</f>
        <v>31</v>
      </c>
    </row>
    <row r="3051" spans="1:12" x14ac:dyDescent="0.2">
      <c r="A3051" s="69" t="s">
        <v>45</v>
      </c>
      <c r="B3051" s="70">
        <v>42949</v>
      </c>
      <c r="C3051" s="69">
        <v>-41</v>
      </c>
      <c r="D3051" s="69">
        <v>0</v>
      </c>
      <c r="E3051" s="69">
        <v>0</v>
      </c>
      <c r="F3051" s="69">
        <v>0</v>
      </c>
      <c r="G3051" s="69" t="s">
        <v>34</v>
      </c>
      <c r="H3051" s="69" t="str">
        <f>IFERROR(VLOOKUP(Data!$G3051,canon!$I$2:$K$27,2,FALSE),"")</f>
        <v>SHOES</v>
      </c>
      <c r="I3051" s="69" t="str">
        <f>IFERROR(VLOOKUP(Data!$G3051,canon!$I$2:$K$27,3,FALSE),"")</f>
        <v>N.APPAREL</v>
      </c>
      <c r="J3051" s="69">
        <f t="shared" si="94"/>
        <v>4</v>
      </c>
      <c r="K3051" s="69">
        <f t="shared" si="95"/>
        <v>103</v>
      </c>
      <c r="L3051" s="69">
        <f>VLOOKUP(Table_db1_backend_Daily.accdb[[#This Row],[TradingDate]],canon!B:E,4,0)</f>
        <v>31</v>
      </c>
    </row>
    <row r="3052" spans="1:12" x14ac:dyDescent="0.2">
      <c r="A3052" s="69" t="s">
        <v>45</v>
      </c>
      <c r="B3052" s="70">
        <v>42949</v>
      </c>
      <c r="C3052" s="69">
        <v>603</v>
      </c>
      <c r="D3052" s="69">
        <v>16</v>
      </c>
      <c r="E3052" s="69">
        <v>199.70000000000002</v>
      </c>
      <c r="F3052" s="69">
        <v>77.929999999999993</v>
      </c>
      <c r="G3052" s="69" t="s">
        <v>35</v>
      </c>
      <c r="H3052" s="69" t="str">
        <f>IFERROR(VLOOKUP(Data!$G3052,canon!$I$2:$K$27,2,FALSE),"")</f>
        <v>DRESS</v>
      </c>
      <c r="I3052" s="69" t="str">
        <f>IFERROR(VLOOKUP(Data!$G3052,canon!$I$2:$K$27,3,FALSE),"")</f>
        <v>APPAREL</v>
      </c>
      <c r="J3052" s="69">
        <f t="shared" si="94"/>
        <v>4</v>
      </c>
      <c r="K3052" s="69">
        <f t="shared" si="95"/>
        <v>103</v>
      </c>
      <c r="L3052" s="69">
        <f>VLOOKUP(Table_db1_backend_Daily.accdb[[#This Row],[TradingDate]],canon!B:E,4,0)</f>
        <v>31</v>
      </c>
    </row>
    <row r="3053" spans="1:12" x14ac:dyDescent="0.2">
      <c r="A3053" s="69" t="s">
        <v>45</v>
      </c>
      <c r="B3053" s="70">
        <v>42949</v>
      </c>
      <c r="C3053" s="69">
        <v>459</v>
      </c>
      <c r="D3053" s="69">
        <v>0</v>
      </c>
      <c r="E3053" s="69">
        <v>0</v>
      </c>
      <c r="F3053" s="69">
        <v>0</v>
      </c>
      <c r="G3053" s="69" t="s">
        <v>10</v>
      </c>
      <c r="H3053" s="69" t="str">
        <f>IFERROR(VLOOKUP(Data!$G3053,canon!$I$2:$K$27,2,FALSE),"")</f>
        <v>ACCESSORY</v>
      </c>
      <c r="I3053" s="69" t="str">
        <f>IFERROR(VLOOKUP(Data!$G3053,canon!$I$2:$K$27,3,FALSE),"")</f>
        <v>N.APPAREL</v>
      </c>
      <c r="J3053" s="69">
        <f t="shared" si="94"/>
        <v>4</v>
      </c>
      <c r="K3053" s="69">
        <f t="shared" si="95"/>
        <v>103</v>
      </c>
      <c r="L3053" s="69">
        <f>VLOOKUP(Table_db1_backend_Daily.accdb[[#This Row],[TradingDate]],canon!B:E,4,0)</f>
        <v>31</v>
      </c>
    </row>
    <row r="3054" spans="1:12" x14ac:dyDescent="0.2">
      <c r="A3054" s="69" t="s">
        <v>45</v>
      </c>
      <c r="B3054" s="70">
        <v>42949</v>
      </c>
      <c r="C3054" s="69">
        <v>1840</v>
      </c>
      <c r="D3054" s="69">
        <v>76</v>
      </c>
      <c r="E3054" s="69">
        <v>626.54000000000008</v>
      </c>
      <c r="F3054" s="69">
        <v>9.9500000000000064</v>
      </c>
      <c r="G3054" s="69" t="s">
        <v>11</v>
      </c>
      <c r="H3054" s="69" t="str">
        <f>IFERROR(VLOOKUP(Data!$G3054,canon!$I$2:$K$27,2,FALSE),"")</f>
        <v>KNIT</v>
      </c>
      <c r="I3054" s="69" t="str">
        <f>IFERROR(VLOOKUP(Data!$G3054,canon!$I$2:$K$27,3,FALSE),"")</f>
        <v>APPAREL</v>
      </c>
      <c r="J3054" s="69">
        <f t="shared" si="94"/>
        <v>4</v>
      </c>
      <c r="K3054" s="69">
        <f t="shared" si="95"/>
        <v>103</v>
      </c>
      <c r="L3054" s="69">
        <f>VLOOKUP(Table_db1_backend_Daily.accdb[[#This Row],[TradingDate]],canon!B:E,4,0)</f>
        <v>31</v>
      </c>
    </row>
    <row r="3055" spans="1:12" x14ac:dyDescent="0.2">
      <c r="A3055" s="69" t="s">
        <v>45</v>
      </c>
      <c r="B3055" s="70">
        <v>42949</v>
      </c>
      <c r="C3055" s="69">
        <v>475</v>
      </c>
      <c r="D3055" s="69">
        <v>7</v>
      </c>
      <c r="E3055" s="69">
        <v>72.600000000000009</v>
      </c>
      <c r="F3055" s="69">
        <v>22.689999999999998</v>
      </c>
      <c r="G3055" s="69" t="s">
        <v>14</v>
      </c>
      <c r="H3055" s="69" t="str">
        <f>IFERROR(VLOOKUP(Data!$G3055,canon!$I$2:$K$27,2,FALSE),"")</f>
        <v>LEGGING</v>
      </c>
      <c r="I3055" s="69" t="str">
        <f>IFERROR(VLOOKUP(Data!$G3055,canon!$I$2:$K$27,3,FALSE),"")</f>
        <v>APPAREL</v>
      </c>
      <c r="J3055" s="69">
        <f t="shared" si="94"/>
        <v>4</v>
      </c>
      <c r="K3055" s="69">
        <f t="shared" si="95"/>
        <v>103</v>
      </c>
      <c r="L3055" s="69">
        <f>VLOOKUP(Table_db1_backend_Daily.accdb[[#This Row],[TradingDate]],canon!B:E,4,0)</f>
        <v>31</v>
      </c>
    </row>
    <row r="3056" spans="1:12" x14ac:dyDescent="0.2">
      <c r="A3056" s="69" t="s">
        <v>45</v>
      </c>
      <c r="B3056" s="70">
        <v>42949</v>
      </c>
      <c r="C3056" s="69">
        <v>-117</v>
      </c>
      <c r="D3056" s="69">
        <v>0</v>
      </c>
      <c r="E3056" s="69">
        <v>0</v>
      </c>
      <c r="F3056" s="69">
        <v>0</v>
      </c>
      <c r="G3056" s="69" t="s">
        <v>37</v>
      </c>
      <c r="H3056" s="69" t="str">
        <f>IFERROR(VLOOKUP(Data!$G3056,canon!$I$2:$K$27,2,FALSE),"")</f>
        <v>SHOES</v>
      </c>
      <c r="I3056" s="69" t="str">
        <f>IFERROR(VLOOKUP(Data!$G3056,canon!$I$2:$K$27,3,FALSE),"")</f>
        <v>N.APPAREL</v>
      </c>
      <c r="J3056" s="69">
        <f t="shared" si="94"/>
        <v>4</v>
      </c>
      <c r="K3056" s="69">
        <f t="shared" si="95"/>
        <v>103</v>
      </c>
      <c r="L3056" s="69">
        <f>VLOOKUP(Table_db1_backend_Daily.accdb[[#This Row],[TradingDate]],canon!B:E,4,0)</f>
        <v>31</v>
      </c>
    </row>
    <row r="3057" spans="1:12" x14ac:dyDescent="0.2">
      <c r="A3057" s="69" t="s">
        <v>45</v>
      </c>
      <c r="B3057" s="70">
        <v>42949</v>
      </c>
      <c r="C3057" s="69">
        <v>625</v>
      </c>
      <c r="D3057" s="69">
        <v>15</v>
      </c>
      <c r="E3057" s="69">
        <v>190.9</v>
      </c>
      <c r="F3057" s="69">
        <v>65.010000000000005</v>
      </c>
      <c r="G3057" s="69" t="s">
        <v>17</v>
      </c>
      <c r="H3057" s="69" t="str">
        <f>IFERROR(VLOOKUP(Data!$G3057,canon!$I$2:$K$27,2,FALSE),"")</f>
        <v>OUTER</v>
      </c>
      <c r="I3057" s="69" t="str">
        <f>IFERROR(VLOOKUP(Data!$G3057,canon!$I$2:$K$27,3,FALSE),"")</f>
        <v>APPAREL</v>
      </c>
      <c r="J3057" s="69">
        <f t="shared" si="94"/>
        <v>4</v>
      </c>
      <c r="K3057" s="69">
        <f t="shared" si="95"/>
        <v>103</v>
      </c>
      <c r="L3057" s="69">
        <f>VLOOKUP(Table_db1_backend_Daily.accdb[[#This Row],[TradingDate]],canon!B:E,4,0)</f>
        <v>31</v>
      </c>
    </row>
    <row r="3058" spans="1:12" x14ac:dyDescent="0.2">
      <c r="A3058" s="69" t="s">
        <v>45</v>
      </c>
      <c r="B3058" s="70">
        <v>42949</v>
      </c>
      <c r="C3058" s="69">
        <v>269</v>
      </c>
      <c r="D3058" s="69">
        <v>5</v>
      </c>
      <c r="E3058" s="69">
        <v>31.830000000000002</v>
      </c>
      <c r="F3058" s="69">
        <v>-1</v>
      </c>
      <c r="G3058" s="69" t="s">
        <v>19</v>
      </c>
      <c r="H3058" s="69" t="str">
        <f>IFERROR(VLOOKUP(Data!$G3058,canon!$I$2:$K$27,2,FALSE),"")</f>
        <v>PANT</v>
      </c>
      <c r="I3058" s="69" t="str">
        <f>IFERROR(VLOOKUP(Data!$G3058,canon!$I$2:$K$27,3,FALSE),"")</f>
        <v>APPAREL</v>
      </c>
      <c r="J3058" s="69">
        <f t="shared" si="94"/>
        <v>4</v>
      </c>
      <c r="K3058" s="69">
        <f t="shared" si="95"/>
        <v>103</v>
      </c>
      <c r="L3058" s="69">
        <f>VLOOKUP(Table_db1_backend_Daily.accdb[[#This Row],[TradingDate]],canon!B:E,4,0)</f>
        <v>31</v>
      </c>
    </row>
    <row r="3059" spans="1:12" x14ac:dyDescent="0.2">
      <c r="A3059" s="69" t="s">
        <v>45</v>
      </c>
      <c r="B3059" s="70">
        <v>42949</v>
      </c>
      <c r="C3059" s="69">
        <v>-828</v>
      </c>
      <c r="D3059" s="69">
        <v>8</v>
      </c>
      <c r="E3059" s="69">
        <v>39.069999999999993</v>
      </c>
      <c r="F3059" s="69">
        <v>24.789999999999996</v>
      </c>
      <c r="G3059" s="69" t="s">
        <v>22</v>
      </c>
      <c r="H3059" s="69" t="str">
        <f>IFERROR(VLOOKUP(Data!$G3059,canon!$I$2:$K$27,2,FALSE),"")</f>
        <v>SCARF</v>
      </c>
      <c r="I3059" s="69" t="str">
        <f>IFERROR(VLOOKUP(Data!$G3059,canon!$I$2:$K$27,3,FALSE),"")</f>
        <v>N.APPAREL</v>
      </c>
      <c r="J3059" s="69">
        <f t="shared" si="94"/>
        <v>4</v>
      </c>
      <c r="K3059" s="69">
        <f t="shared" si="95"/>
        <v>103</v>
      </c>
      <c r="L3059" s="69">
        <f>VLOOKUP(Table_db1_backend_Daily.accdb[[#This Row],[TradingDate]],canon!B:E,4,0)</f>
        <v>31</v>
      </c>
    </row>
    <row r="3060" spans="1:12" x14ac:dyDescent="0.2">
      <c r="A3060" s="69" t="s">
        <v>45</v>
      </c>
      <c r="B3060" s="70">
        <v>42949</v>
      </c>
      <c r="C3060" s="69">
        <v>274</v>
      </c>
      <c r="D3060" s="69">
        <v>15</v>
      </c>
      <c r="E3060" s="69">
        <v>118.15</v>
      </c>
      <c r="F3060" s="69">
        <v>19.990000000000002</v>
      </c>
      <c r="G3060" s="69" t="s">
        <v>23</v>
      </c>
      <c r="H3060" s="69" t="str">
        <f>IFERROR(VLOOKUP(Data!$G3060,canon!$I$2:$K$27,2,FALSE),"")</f>
        <v>SH&amp;BL</v>
      </c>
      <c r="I3060" s="69" t="str">
        <f>IFERROR(VLOOKUP(Data!$G3060,canon!$I$2:$K$27,3,FALSE),"")</f>
        <v>APPAREL</v>
      </c>
      <c r="J3060" s="69">
        <f t="shared" si="94"/>
        <v>4</v>
      </c>
      <c r="K3060" s="69">
        <f t="shared" si="95"/>
        <v>103</v>
      </c>
      <c r="L3060" s="69">
        <f>VLOOKUP(Table_db1_backend_Daily.accdb[[#This Row],[TradingDate]],canon!B:E,4,0)</f>
        <v>31</v>
      </c>
    </row>
    <row r="3061" spans="1:12" x14ac:dyDescent="0.2">
      <c r="A3061" s="69" t="s">
        <v>45</v>
      </c>
      <c r="B3061" s="70">
        <v>42949</v>
      </c>
      <c r="C3061" s="69">
        <v>398</v>
      </c>
      <c r="D3061" s="69">
        <v>1</v>
      </c>
      <c r="E3061" s="69">
        <v>13.59</v>
      </c>
      <c r="F3061" s="69">
        <v>8.59</v>
      </c>
      <c r="G3061" s="69" t="s">
        <v>32</v>
      </c>
      <c r="H3061" s="69" t="str">
        <f>IFERROR(VLOOKUP(Data!$G3061,canon!$I$2:$K$27,2,FALSE),"")</f>
        <v>SKIRT</v>
      </c>
      <c r="I3061" s="69" t="str">
        <f>IFERROR(VLOOKUP(Data!$G3061,canon!$I$2:$K$27,3,FALSE),"")</f>
        <v>APPAREL</v>
      </c>
      <c r="J3061" s="69">
        <f t="shared" si="94"/>
        <v>4</v>
      </c>
      <c r="K3061" s="69">
        <f t="shared" si="95"/>
        <v>103</v>
      </c>
      <c r="L3061" s="69">
        <f>VLOOKUP(Table_db1_backend_Daily.accdb[[#This Row],[TradingDate]],canon!B:E,4,0)</f>
        <v>31</v>
      </c>
    </row>
    <row r="3062" spans="1:12" x14ac:dyDescent="0.2">
      <c r="A3062" s="69" t="s">
        <v>45</v>
      </c>
      <c r="B3062" s="70">
        <v>42949</v>
      </c>
      <c r="C3062" s="69">
        <v>2548</v>
      </c>
      <c r="D3062" s="69">
        <v>37</v>
      </c>
      <c r="E3062" s="69">
        <v>213.65000000000003</v>
      </c>
      <c r="F3062" s="69">
        <v>17.639999999999997</v>
      </c>
      <c r="G3062" s="69" t="s">
        <v>25</v>
      </c>
      <c r="H3062" s="69" t="str">
        <f>IFERROR(VLOOKUP(Data!$G3062,canon!$I$2:$K$27,2,FALSE),"")</f>
        <v>TOP</v>
      </c>
      <c r="I3062" s="69" t="str">
        <f>IFERROR(VLOOKUP(Data!$G3062,canon!$I$2:$K$27,3,FALSE),"")</f>
        <v>APPAREL</v>
      </c>
      <c r="J3062" s="69">
        <f t="shared" si="94"/>
        <v>4</v>
      </c>
      <c r="K3062" s="69">
        <f t="shared" si="95"/>
        <v>103</v>
      </c>
      <c r="L3062" s="69">
        <f>VLOOKUP(Table_db1_backend_Daily.accdb[[#This Row],[TradingDate]],canon!B:E,4,0)</f>
        <v>31</v>
      </c>
    </row>
    <row r="3063" spans="1:12" x14ac:dyDescent="0.2">
      <c r="A3063" s="69" t="s">
        <v>45</v>
      </c>
      <c r="B3063" s="70">
        <v>42950</v>
      </c>
      <c r="C3063" s="69">
        <v>-35</v>
      </c>
      <c r="D3063" s="69">
        <v>0</v>
      </c>
      <c r="E3063" s="69">
        <v>0</v>
      </c>
      <c r="F3063" s="69">
        <v>0</v>
      </c>
      <c r="G3063" s="69" t="s">
        <v>34</v>
      </c>
      <c r="H3063" s="69" t="str">
        <f>IFERROR(VLOOKUP(Data!$G3063,canon!$I$2:$K$27,2,FALSE),"")</f>
        <v>SHOES</v>
      </c>
      <c r="I3063" s="69" t="str">
        <f>IFERROR(VLOOKUP(Data!$G3063,canon!$I$2:$K$27,3,FALSE),"")</f>
        <v>N.APPAREL</v>
      </c>
      <c r="J3063" s="69">
        <f t="shared" si="94"/>
        <v>5</v>
      </c>
      <c r="K3063" s="69">
        <f t="shared" si="95"/>
        <v>103</v>
      </c>
      <c r="L3063" s="69">
        <f>VLOOKUP(Table_db1_backend_Daily.accdb[[#This Row],[TradingDate]],canon!B:E,4,0)</f>
        <v>31</v>
      </c>
    </row>
    <row r="3064" spans="1:12" x14ac:dyDescent="0.2">
      <c r="A3064" s="69" t="s">
        <v>45</v>
      </c>
      <c r="B3064" s="70">
        <v>42950</v>
      </c>
      <c r="C3064" s="69">
        <v>593</v>
      </c>
      <c r="D3064" s="69">
        <v>8</v>
      </c>
      <c r="E3064" s="69">
        <v>118.09</v>
      </c>
      <c r="F3064" s="69">
        <v>59.819999999999993</v>
      </c>
      <c r="G3064" s="69" t="s">
        <v>35</v>
      </c>
      <c r="H3064" s="69" t="str">
        <f>IFERROR(VLOOKUP(Data!$G3064,canon!$I$2:$K$27,2,FALSE),"")</f>
        <v>DRESS</v>
      </c>
      <c r="I3064" s="69" t="str">
        <f>IFERROR(VLOOKUP(Data!$G3064,canon!$I$2:$K$27,3,FALSE),"")</f>
        <v>APPAREL</v>
      </c>
      <c r="J3064" s="69">
        <f t="shared" si="94"/>
        <v>5</v>
      </c>
      <c r="K3064" s="69">
        <f t="shared" si="95"/>
        <v>103</v>
      </c>
      <c r="L3064" s="69">
        <f>VLOOKUP(Table_db1_backend_Daily.accdb[[#This Row],[TradingDate]],canon!B:E,4,0)</f>
        <v>31</v>
      </c>
    </row>
    <row r="3065" spans="1:12" x14ac:dyDescent="0.2">
      <c r="A3065" s="69" t="s">
        <v>45</v>
      </c>
      <c r="B3065" s="70">
        <v>42950</v>
      </c>
      <c r="C3065" s="69">
        <v>464</v>
      </c>
      <c r="D3065" s="69">
        <v>0</v>
      </c>
      <c r="E3065" s="69">
        <v>0</v>
      </c>
      <c r="F3065" s="69">
        <v>0</v>
      </c>
      <c r="G3065" s="69" t="s">
        <v>10</v>
      </c>
      <c r="H3065" s="69" t="str">
        <f>IFERROR(VLOOKUP(Data!$G3065,canon!$I$2:$K$27,2,FALSE),"")</f>
        <v>ACCESSORY</v>
      </c>
      <c r="I3065" s="69" t="str">
        <f>IFERROR(VLOOKUP(Data!$G3065,canon!$I$2:$K$27,3,FALSE),"")</f>
        <v>N.APPAREL</v>
      </c>
      <c r="J3065" s="69">
        <f t="shared" si="94"/>
        <v>5</v>
      </c>
      <c r="K3065" s="69">
        <f t="shared" si="95"/>
        <v>103</v>
      </c>
      <c r="L3065" s="69">
        <f>VLOOKUP(Table_db1_backend_Daily.accdb[[#This Row],[TradingDate]],canon!B:E,4,0)</f>
        <v>31</v>
      </c>
    </row>
    <row r="3066" spans="1:12" x14ac:dyDescent="0.2">
      <c r="A3066" s="69" t="s">
        <v>45</v>
      </c>
      <c r="B3066" s="70">
        <v>42950</v>
      </c>
      <c r="C3066" s="69">
        <v>1696</v>
      </c>
      <c r="D3066" s="69">
        <v>140</v>
      </c>
      <c r="E3066" s="69">
        <v>1153.5899999999999</v>
      </c>
      <c r="F3066" s="69">
        <v>37.209999999999994</v>
      </c>
      <c r="G3066" s="69" t="s">
        <v>11</v>
      </c>
      <c r="H3066" s="69" t="str">
        <f>IFERROR(VLOOKUP(Data!$G3066,canon!$I$2:$K$27,2,FALSE),"")</f>
        <v>KNIT</v>
      </c>
      <c r="I3066" s="69" t="str">
        <f>IFERROR(VLOOKUP(Data!$G3066,canon!$I$2:$K$27,3,FALSE),"")</f>
        <v>APPAREL</v>
      </c>
      <c r="J3066" s="69">
        <f t="shared" si="94"/>
        <v>5</v>
      </c>
      <c r="K3066" s="69">
        <f t="shared" si="95"/>
        <v>103</v>
      </c>
      <c r="L3066" s="69">
        <f>VLOOKUP(Table_db1_backend_Daily.accdb[[#This Row],[TradingDate]],canon!B:E,4,0)</f>
        <v>31</v>
      </c>
    </row>
    <row r="3067" spans="1:12" x14ac:dyDescent="0.2">
      <c r="A3067" s="69" t="s">
        <v>45</v>
      </c>
      <c r="B3067" s="70">
        <v>42950</v>
      </c>
      <c r="C3067" s="69">
        <v>463</v>
      </c>
      <c r="D3067" s="69">
        <v>12</v>
      </c>
      <c r="E3067" s="69">
        <v>104.42000000000002</v>
      </c>
      <c r="F3067" s="69">
        <v>21.369999999999997</v>
      </c>
      <c r="G3067" s="69" t="s">
        <v>14</v>
      </c>
      <c r="H3067" s="69" t="str">
        <f>IFERROR(VLOOKUP(Data!$G3067,canon!$I$2:$K$27,2,FALSE),"")</f>
        <v>LEGGING</v>
      </c>
      <c r="I3067" s="69" t="str">
        <f>IFERROR(VLOOKUP(Data!$G3067,canon!$I$2:$K$27,3,FALSE),"")</f>
        <v>APPAREL</v>
      </c>
      <c r="J3067" s="69">
        <f t="shared" si="94"/>
        <v>5</v>
      </c>
      <c r="K3067" s="69">
        <f t="shared" si="95"/>
        <v>103</v>
      </c>
      <c r="L3067" s="69">
        <f>VLOOKUP(Table_db1_backend_Daily.accdb[[#This Row],[TradingDate]],canon!B:E,4,0)</f>
        <v>31</v>
      </c>
    </row>
    <row r="3068" spans="1:12" x14ac:dyDescent="0.2">
      <c r="A3068" s="69" t="s">
        <v>45</v>
      </c>
      <c r="B3068" s="70">
        <v>42950</v>
      </c>
      <c r="C3068" s="69">
        <v>-116</v>
      </c>
      <c r="D3068" s="69">
        <v>0</v>
      </c>
      <c r="E3068" s="69">
        <v>0</v>
      </c>
      <c r="F3068" s="69">
        <v>0</v>
      </c>
      <c r="G3068" s="69" t="s">
        <v>37</v>
      </c>
      <c r="H3068" s="69" t="str">
        <f>IFERROR(VLOOKUP(Data!$G3068,canon!$I$2:$K$27,2,FALSE),"")</f>
        <v>SHOES</v>
      </c>
      <c r="I3068" s="69" t="str">
        <f>IFERROR(VLOOKUP(Data!$G3068,canon!$I$2:$K$27,3,FALSE),"")</f>
        <v>N.APPAREL</v>
      </c>
      <c r="J3068" s="69">
        <f t="shared" si="94"/>
        <v>5</v>
      </c>
      <c r="K3068" s="69">
        <f t="shared" si="95"/>
        <v>103</v>
      </c>
      <c r="L3068" s="69">
        <f>VLOOKUP(Table_db1_backend_Daily.accdb[[#This Row],[TradingDate]],canon!B:E,4,0)</f>
        <v>31</v>
      </c>
    </row>
    <row r="3069" spans="1:12" x14ac:dyDescent="0.2">
      <c r="A3069" s="69" t="s">
        <v>45</v>
      </c>
      <c r="B3069" s="70">
        <v>42950</v>
      </c>
      <c r="C3069" s="69">
        <v>-1</v>
      </c>
      <c r="D3069" s="69">
        <v>0</v>
      </c>
      <c r="E3069" s="69">
        <v>0</v>
      </c>
      <c r="F3069" s="69">
        <v>0</v>
      </c>
      <c r="G3069" s="69" t="s">
        <v>29</v>
      </c>
      <c r="H3069" s="69" t="str">
        <f>IFERROR(VLOOKUP(Data!$G3069,canon!$I$2:$K$27,2,FALSE),"")</f>
        <v>SHOES</v>
      </c>
      <c r="I3069" s="69" t="str">
        <f>IFERROR(VLOOKUP(Data!$G3069,canon!$I$2:$K$27,3,FALSE),"")</f>
        <v>N.APPAREL</v>
      </c>
      <c r="J3069" s="69">
        <f t="shared" si="94"/>
        <v>5</v>
      </c>
      <c r="K3069" s="69">
        <f t="shared" si="95"/>
        <v>103</v>
      </c>
      <c r="L3069" s="69">
        <f>VLOOKUP(Table_db1_backend_Daily.accdb[[#This Row],[TradingDate]],canon!B:E,4,0)</f>
        <v>31</v>
      </c>
    </row>
    <row r="3070" spans="1:12" x14ac:dyDescent="0.2">
      <c r="A3070" s="69" t="s">
        <v>45</v>
      </c>
      <c r="B3070" s="70">
        <v>42950</v>
      </c>
      <c r="C3070" s="69">
        <v>603</v>
      </c>
      <c r="D3070" s="69">
        <v>20</v>
      </c>
      <c r="E3070" s="69">
        <v>295.31</v>
      </c>
      <c r="F3070" s="69">
        <v>110.12999999999998</v>
      </c>
      <c r="G3070" s="69" t="s">
        <v>17</v>
      </c>
      <c r="H3070" s="69" t="str">
        <f>IFERROR(VLOOKUP(Data!$G3070,canon!$I$2:$K$27,2,FALSE),"")</f>
        <v>OUTER</v>
      </c>
      <c r="I3070" s="69" t="str">
        <f>IFERROR(VLOOKUP(Data!$G3070,canon!$I$2:$K$27,3,FALSE),"")</f>
        <v>APPAREL</v>
      </c>
      <c r="J3070" s="69">
        <f t="shared" si="94"/>
        <v>5</v>
      </c>
      <c r="K3070" s="69">
        <f t="shared" si="95"/>
        <v>103</v>
      </c>
      <c r="L3070" s="69">
        <f>VLOOKUP(Table_db1_backend_Daily.accdb[[#This Row],[TradingDate]],canon!B:E,4,0)</f>
        <v>31</v>
      </c>
    </row>
    <row r="3071" spans="1:12" x14ac:dyDescent="0.2">
      <c r="A3071" s="69" t="s">
        <v>45</v>
      </c>
      <c r="B3071" s="70">
        <v>42950</v>
      </c>
      <c r="C3071" s="69">
        <v>260</v>
      </c>
      <c r="D3071" s="69">
        <v>9</v>
      </c>
      <c r="E3071" s="69">
        <v>54.540000000000006</v>
      </c>
      <c r="F3071" s="69">
        <v>-4.3399999999999981</v>
      </c>
      <c r="G3071" s="69" t="s">
        <v>19</v>
      </c>
      <c r="H3071" s="69" t="str">
        <f>IFERROR(VLOOKUP(Data!$G3071,canon!$I$2:$K$27,2,FALSE),"")</f>
        <v>PANT</v>
      </c>
      <c r="I3071" s="69" t="str">
        <f>IFERROR(VLOOKUP(Data!$G3071,canon!$I$2:$K$27,3,FALSE),"")</f>
        <v>APPAREL</v>
      </c>
      <c r="J3071" s="69">
        <f t="shared" si="94"/>
        <v>5</v>
      </c>
      <c r="K3071" s="69">
        <f t="shared" si="95"/>
        <v>103</v>
      </c>
      <c r="L3071" s="69">
        <f>VLOOKUP(Table_db1_backend_Daily.accdb[[#This Row],[TradingDate]],canon!B:E,4,0)</f>
        <v>31</v>
      </c>
    </row>
    <row r="3072" spans="1:12" x14ac:dyDescent="0.2">
      <c r="A3072" s="69" t="s">
        <v>45</v>
      </c>
      <c r="B3072" s="70">
        <v>42950</v>
      </c>
      <c r="C3072" s="69">
        <v>-506</v>
      </c>
      <c r="D3072" s="69">
        <v>17</v>
      </c>
      <c r="E3072" s="69">
        <v>101.42999999999999</v>
      </c>
      <c r="F3072" s="69">
        <v>70.720000000000013</v>
      </c>
      <c r="G3072" s="69" t="s">
        <v>22</v>
      </c>
      <c r="H3072" s="69" t="str">
        <f>IFERROR(VLOOKUP(Data!$G3072,canon!$I$2:$K$27,2,FALSE),"")</f>
        <v>SCARF</v>
      </c>
      <c r="I3072" s="69" t="str">
        <f>IFERROR(VLOOKUP(Data!$G3072,canon!$I$2:$K$27,3,FALSE),"")</f>
        <v>N.APPAREL</v>
      </c>
      <c r="J3072" s="69">
        <f t="shared" si="94"/>
        <v>5</v>
      </c>
      <c r="K3072" s="69">
        <f t="shared" si="95"/>
        <v>103</v>
      </c>
      <c r="L3072" s="69">
        <f>VLOOKUP(Table_db1_backend_Daily.accdb[[#This Row],[TradingDate]],canon!B:E,4,0)</f>
        <v>31</v>
      </c>
    </row>
    <row r="3073" spans="1:12" x14ac:dyDescent="0.2">
      <c r="A3073" s="69" t="s">
        <v>45</v>
      </c>
      <c r="B3073" s="70">
        <v>42950</v>
      </c>
      <c r="C3073" s="69">
        <v>265</v>
      </c>
      <c r="D3073" s="69">
        <v>9</v>
      </c>
      <c r="E3073" s="69">
        <v>90.83</v>
      </c>
      <c r="F3073" s="69">
        <v>28.21</v>
      </c>
      <c r="G3073" s="69" t="s">
        <v>23</v>
      </c>
      <c r="H3073" s="69" t="str">
        <f>IFERROR(VLOOKUP(Data!$G3073,canon!$I$2:$K$27,2,FALSE),"")</f>
        <v>SH&amp;BL</v>
      </c>
      <c r="I3073" s="69" t="str">
        <f>IFERROR(VLOOKUP(Data!$G3073,canon!$I$2:$K$27,3,FALSE),"")</f>
        <v>APPAREL</v>
      </c>
      <c r="J3073" s="69">
        <f t="shared" si="94"/>
        <v>5</v>
      </c>
      <c r="K3073" s="69">
        <f t="shared" si="95"/>
        <v>103</v>
      </c>
      <c r="L3073" s="69">
        <f>VLOOKUP(Table_db1_backend_Daily.accdb[[#This Row],[TradingDate]],canon!B:E,4,0)</f>
        <v>31</v>
      </c>
    </row>
    <row r="3074" spans="1:12" x14ac:dyDescent="0.2">
      <c r="A3074" s="69" t="s">
        <v>45</v>
      </c>
      <c r="B3074" s="70">
        <v>42950</v>
      </c>
      <c r="C3074" s="69">
        <v>383</v>
      </c>
      <c r="D3074" s="69">
        <v>15</v>
      </c>
      <c r="E3074" s="69">
        <v>90.94</v>
      </c>
      <c r="F3074" s="69">
        <v>-0.36000000000000165</v>
      </c>
      <c r="G3074" s="69" t="s">
        <v>32</v>
      </c>
      <c r="H3074" s="69" t="str">
        <f>IFERROR(VLOOKUP(Data!$G3074,canon!$I$2:$K$27,2,FALSE),"")</f>
        <v>SKIRT</v>
      </c>
      <c r="I3074" s="69" t="str">
        <f>IFERROR(VLOOKUP(Data!$G3074,canon!$I$2:$K$27,3,FALSE),"")</f>
        <v>APPAREL</v>
      </c>
      <c r="J3074" s="69">
        <f t="shared" ref="J3074:J3137" si="96">WEEKDAY(B3074)</f>
        <v>5</v>
      </c>
      <c r="K3074" s="69">
        <f t="shared" ref="K3074:K3137" si="97">INT(A3074)</f>
        <v>103</v>
      </c>
      <c r="L3074" s="69">
        <f>VLOOKUP(Table_db1_backend_Daily.accdb[[#This Row],[TradingDate]],canon!B:E,4,0)</f>
        <v>31</v>
      </c>
    </row>
    <row r="3075" spans="1:12" x14ac:dyDescent="0.2">
      <c r="A3075" s="69" t="s">
        <v>45</v>
      </c>
      <c r="B3075" s="70">
        <v>42950</v>
      </c>
      <c r="C3075" s="69">
        <v>2423</v>
      </c>
      <c r="D3075" s="69">
        <v>130</v>
      </c>
      <c r="E3075" s="69">
        <v>813.61999999999978</v>
      </c>
      <c r="F3075" s="69">
        <v>97.770000000000053</v>
      </c>
      <c r="G3075" s="69" t="s">
        <v>25</v>
      </c>
      <c r="H3075" s="69" t="str">
        <f>IFERROR(VLOOKUP(Data!$G3075,canon!$I$2:$K$27,2,FALSE),"")</f>
        <v>TOP</v>
      </c>
      <c r="I3075" s="69" t="str">
        <f>IFERROR(VLOOKUP(Data!$G3075,canon!$I$2:$K$27,3,FALSE),"")</f>
        <v>APPAREL</v>
      </c>
      <c r="J3075" s="69">
        <f t="shared" si="96"/>
        <v>5</v>
      </c>
      <c r="K3075" s="69">
        <f t="shared" si="97"/>
        <v>103</v>
      </c>
      <c r="L3075" s="69">
        <f>VLOOKUP(Table_db1_backend_Daily.accdb[[#This Row],[TradingDate]],canon!B:E,4,0)</f>
        <v>31</v>
      </c>
    </row>
    <row r="3076" spans="1:12" x14ac:dyDescent="0.2">
      <c r="A3076" s="69" t="s">
        <v>45</v>
      </c>
      <c r="B3076" s="70">
        <v>42951</v>
      </c>
      <c r="C3076" s="69">
        <v>-35</v>
      </c>
      <c r="D3076" s="69">
        <v>0</v>
      </c>
      <c r="E3076" s="69">
        <v>0</v>
      </c>
      <c r="F3076" s="69">
        <v>0</v>
      </c>
      <c r="G3076" s="69" t="s">
        <v>34</v>
      </c>
      <c r="H3076" s="69" t="str">
        <f>IFERROR(VLOOKUP(Data!$G3076,canon!$I$2:$K$27,2,FALSE),"")</f>
        <v>SHOES</v>
      </c>
      <c r="I3076" s="69" t="str">
        <f>IFERROR(VLOOKUP(Data!$G3076,canon!$I$2:$K$27,3,FALSE),"")</f>
        <v>N.APPAREL</v>
      </c>
      <c r="J3076" s="69">
        <f t="shared" si="96"/>
        <v>6</v>
      </c>
      <c r="K3076" s="69">
        <f t="shared" si="97"/>
        <v>103</v>
      </c>
      <c r="L3076" s="69">
        <f>VLOOKUP(Table_db1_backend_Daily.accdb[[#This Row],[TradingDate]],canon!B:E,4,0)</f>
        <v>31</v>
      </c>
    </row>
    <row r="3077" spans="1:12" x14ac:dyDescent="0.2">
      <c r="A3077" s="69" t="s">
        <v>45</v>
      </c>
      <c r="B3077" s="70">
        <v>42951</v>
      </c>
      <c r="C3077" s="69">
        <v>584</v>
      </c>
      <c r="D3077" s="69">
        <v>17</v>
      </c>
      <c r="E3077" s="69">
        <v>154.52000000000001</v>
      </c>
      <c r="F3077" s="69">
        <v>16.79</v>
      </c>
      <c r="G3077" s="69" t="s">
        <v>35</v>
      </c>
      <c r="H3077" s="69" t="str">
        <f>IFERROR(VLOOKUP(Data!$G3077,canon!$I$2:$K$27,2,FALSE),"")</f>
        <v>DRESS</v>
      </c>
      <c r="I3077" s="69" t="str">
        <f>IFERROR(VLOOKUP(Data!$G3077,canon!$I$2:$K$27,3,FALSE),"")</f>
        <v>APPAREL</v>
      </c>
      <c r="J3077" s="69">
        <f t="shared" si="96"/>
        <v>6</v>
      </c>
      <c r="K3077" s="69">
        <f t="shared" si="97"/>
        <v>103</v>
      </c>
      <c r="L3077" s="69">
        <f>VLOOKUP(Table_db1_backend_Daily.accdb[[#This Row],[TradingDate]],canon!B:E,4,0)</f>
        <v>31</v>
      </c>
    </row>
    <row r="3078" spans="1:12" x14ac:dyDescent="0.2">
      <c r="A3078" s="69" t="s">
        <v>45</v>
      </c>
      <c r="B3078" s="70">
        <v>42951</v>
      </c>
      <c r="C3078" s="69">
        <v>5</v>
      </c>
      <c r="D3078" s="69">
        <v>0</v>
      </c>
      <c r="E3078" s="69">
        <v>0</v>
      </c>
      <c r="F3078" s="69">
        <v>0</v>
      </c>
      <c r="G3078" s="69" t="s">
        <v>10</v>
      </c>
      <c r="H3078" s="69" t="str">
        <f>IFERROR(VLOOKUP(Data!$G3078,canon!$I$2:$K$27,2,FALSE),"")</f>
        <v>ACCESSORY</v>
      </c>
      <c r="I3078" s="69" t="str">
        <f>IFERROR(VLOOKUP(Data!$G3078,canon!$I$2:$K$27,3,FALSE),"")</f>
        <v>N.APPAREL</v>
      </c>
      <c r="J3078" s="69">
        <f t="shared" si="96"/>
        <v>6</v>
      </c>
      <c r="K3078" s="69">
        <f t="shared" si="97"/>
        <v>103</v>
      </c>
      <c r="L3078" s="69">
        <f>VLOOKUP(Table_db1_backend_Daily.accdb[[#This Row],[TradingDate]],canon!B:E,4,0)</f>
        <v>31</v>
      </c>
    </row>
    <row r="3079" spans="1:12" x14ac:dyDescent="0.2">
      <c r="A3079" s="69" t="s">
        <v>45</v>
      </c>
      <c r="B3079" s="70">
        <v>42951</v>
      </c>
      <c r="C3079" s="69">
        <v>1212</v>
      </c>
      <c r="D3079" s="69">
        <v>108</v>
      </c>
      <c r="E3079" s="69">
        <v>936.21</v>
      </c>
      <c r="F3079" s="69">
        <v>51.650000000000013</v>
      </c>
      <c r="G3079" s="69" t="s">
        <v>11</v>
      </c>
      <c r="H3079" s="69" t="str">
        <f>IFERROR(VLOOKUP(Data!$G3079,canon!$I$2:$K$27,2,FALSE),"")</f>
        <v>KNIT</v>
      </c>
      <c r="I3079" s="69" t="str">
        <f>IFERROR(VLOOKUP(Data!$G3079,canon!$I$2:$K$27,3,FALSE),"")</f>
        <v>APPAREL</v>
      </c>
      <c r="J3079" s="69">
        <f t="shared" si="96"/>
        <v>6</v>
      </c>
      <c r="K3079" s="69">
        <f t="shared" si="97"/>
        <v>103</v>
      </c>
      <c r="L3079" s="69">
        <f>VLOOKUP(Table_db1_backend_Daily.accdb[[#This Row],[TradingDate]],canon!B:E,4,0)</f>
        <v>31</v>
      </c>
    </row>
    <row r="3080" spans="1:12" x14ac:dyDescent="0.2">
      <c r="A3080" s="69" t="s">
        <v>45</v>
      </c>
      <c r="B3080" s="70">
        <v>42951</v>
      </c>
      <c r="C3080" s="69">
        <v>286</v>
      </c>
      <c r="D3080" s="69">
        <v>9</v>
      </c>
      <c r="E3080" s="69">
        <v>118.15</v>
      </c>
      <c r="F3080" s="69">
        <v>57.09</v>
      </c>
      <c r="G3080" s="69" t="s">
        <v>14</v>
      </c>
      <c r="H3080" s="69" t="str">
        <f>IFERROR(VLOOKUP(Data!$G3080,canon!$I$2:$K$27,2,FALSE),"")</f>
        <v>LEGGING</v>
      </c>
      <c r="I3080" s="69" t="str">
        <f>IFERROR(VLOOKUP(Data!$G3080,canon!$I$2:$K$27,3,FALSE),"")</f>
        <v>APPAREL</v>
      </c>
      <c r="J3080" s="69">
        <f t="shared" si="96"/>
        <v>6</v>
      </c>
      <c r="K3080" s="69">
        <f t="shared" si="97"/>
        <v>103</v>
      </c>
      <c r="L3080" s="69">
        <f>VLOOKUP(Table_db1_backend_Daily.accdb[[#This Row],[TradingDate]],canon!B:E,4,0)</f>
        <v>31</v>
      </c>
    </row>
    <row r="3081" spans="1:12" x14ac:dyDescent="0.2">
      <c r="A3081" s="69" t="s">
        <v>45</v>
      </c>
      <c r="B3081" s="70">
        <v>42951</v>
      </c>
      <c r="C3081" s="69">
        <v>-116</v>
      </c>
      <c r="D3081" s="69">
        <v>0</v>
      </c>
      <c r="E3081" s="69">
        <v>0</v>
      </c>
      <c r="F3081" s="69">
        <v>0</v>
      </c>
      <c r="G3081" s="69" t="s">
        <v>37</v>
      </c>
      <c r="H3081" s="69" t="str">
        <f>IFERROR(VLOOKUP(Data!$G3081,canon!$I$2:$K$27,2,FALSE),"")</f>
        <v>SHOES</v>
      </c>
      <c r="I3081" s="69" t="str">
        <f>IFERROR(VLOOKUP(Data!$G3081,canon!$I$2:$K$27,3,FALSE),"")</f>
        <v>N.APPAREL</v>
      </c>
      <c r="J3081" s="69">
        <f t="shared" si="96"/>
        <v>6</v>
      </c>
      <c r="K3081" s="69">
        <f t="shared" si="97"/>
        <v>103</v>
      </c>
      <c r="L3081" s="69">
        <f>VLOOKUP(Table_db1_backend_Daily.accdb[[#This Row],[TradingDate]],canon!B:E,4,0)</f>
        <v>31</v>
      </c>
    </row>
    <row r="3082" spans="1:12" x14ac:dyDescent="0.2">
      <c r="A3082" s="69" t="s">
        <v>45</v>
      </c>
      <c r="B3082" s="70">
        <v>42951</v>
      </c>
      <c r="C3082" s="69">
        <v>-1</v>
      </c>
      <c r="D3082" s="69">
        <v>0</v>
      </c>
      <c r="E3082" s="69">
        <v>0</v>
      </c>
      <c r="F3082" s="69">
        <v>0</v>
      </c>
      <c r="G3082" s="69" t="s">
        <v>29</v>
      </c>
      <c r="H3082" s="69" t="str">
        <f>IFERROR(VLOOKUP(Data!$G3082,canon!$I$2:$K$27,2,FALSE),"")</f>
        <v>SHOES</v>
      </c>
      <c r="I3082" s="69" t="str">
        <f>IFERROR(VLOOKUP(Data!$G3082,canon!$I$2:$K$27,3,FALSE),"")</f>
        <v>N.APPAREL</v>
      </c>
      <c r="J3082" s="69">
        <f t="shared" si="96"/>
        <v>6</v>
      </c>
      <c r="K3082" s="69">
        <f t="shared" si="97"/>
        <v>103</v>
      </c>
      <c r="L3082" s="69">
        <f>VLOOKUP(Table_db1_backend_Daily.accdb[[#This Row],[TradingDate]],canon!B:E,4,0)</f>
        <v>31</v>
      </c>
    </row>
    <row r="3083" spans="1:12" x14ac:dyDescent="0.2">
      <c r="A3083" s="69" t="s">
        <v>45</v>
      </c>
      <c r="B3083" s="70">
        <v>42951</v>
      </c>
      <c r="C3083" s="69">
        <v>517</v>
      </c>
      <c r="D3083" s="69">
        <v>39</v>
      </c>
      <c r="E3083" s="69">
        <v>395.34999999999991</v>
      </c>
      <c r="F3083" s="69">
        <v>-13.450000000000008</v>
      </c>
      <c r="G3083" s="69" t="s">
        <v>17</v>
      </c>
      <c r="H3083" s="69" t="str">
        <f>IFERROR(VLOOKUP(Data!$G3083,canon!$I$2:$K$27,2,FALSE),"")</f>
        <v>OUTER</v>
      </c>
      <c r="I3083" s="69" t="str">
        <f>IFERROR(VLOOKUP(Data!$G3083,canon!$I$2:$K$27,3,FALSE),"")</f>
        <v>APPAREL</v>
      </c>
      <c r="J3083" s="69">
        <f t="shared" si="96"/>
        <v>6</v>
      </c>
      <c r="K3083" s="69">
        <f t="shared" si="97"/>
        <v>103</v>
      </c>
      <c r="L3083" s="69">
        <f>VLOOKUP(Table_db1_backend_Daily.accdb[[#This Row],[TradingDate]],canon!B:E,4,0)</f>
        <v>31</v>
      </c>
    </row>
    <row r="3084" spans="1:12" x14ac:dyDescent="0.2">
      <c r="A3084" s="69" t="s">
        <v>45</v>
      </c>
      <c r="B3084" s="70">
        <v>42951</v>
      </c>
      <c r="C3084" s="69">
        <v>209</v>
      </c>
      <c r="D3084" s="69">
        <v>26</v>
      </c>
      <c r="E3084" s="69">
        <v>118.28</v>
      </c>
      <c r="F3084" s="69">
        <v>-37.82</v>
      </c>
      <c r="G3084" s="69" t="s">
        <v>19</v>
      </c>
      <c r="H3084" s="69" t="str">
        <f>IFERROR(VLOOKUP(Data!$G3084,canon!$I$2:$K$27,2,FALSE),"")</f>
        <v>PANT</v>
      </c>
      <c r="I3084" s="69" t="str">
        <f>IFERROR(VLOOKUP(Data!$G3084,canon!$I$2:$K$27,3,FALSE),"")</f>
        <v>APPAREL</v>
      </c>
      <c r="J3084" s="69">
        <f t="shared" si="96"/>
        <v>6</v>
      </c>
      <c r="K3084" s="69">
        <f t="shared" si="97"/>
        <v>103</v>
      </c>
      <c r="L3084" s="69">
        <f>VLOOKUP(Table_db1_backend_Daily.accdb[[#This Row],[TradingDate]],canon!B:E,4,0)</f>
        <v>31</v>
      </c>
    </row>
    <row r="3085" spans="1:12" x14ac:dyDescent="0.2">
      <c r="A3085" s="69" t="s">
        <v>45</v>
      </c>
      <c r="B3085" s="70">
        <v>42951</v>
      </c>
      <c r="C3085" s="69">
        <v>-1071</v>
      </c>
      <c r="D3085" s="69">
        <v>15</v>
      </c>
      <c r="E3085" s="69">
        <v>84.32</v>
      </c>
      <c r="F3085" s="69">
        <v>59.13000000000001</v>
      </c>
      <c r="G3085" s="69" t="s">
        <v>22</v>
      </c>
      <c r="H3085" s="69" t="str">
        <f>IFERROR(VLOOKUP(Data!$G3085,canon!$I$2:$K$27,2,FALSE),"")</f>
        <v>SCARF</v>
      </c>
      <c r="I3085" s="69" t="str">
        <f>IFERROR(VLOOKUP(Data!$G3085,canon!$I$2:$K$27,3,FALSE),"")</f>
        <v>N.APPAREL</v>
      </c>
      <c r="J3085" s="69">
        <f t="shared" si="96"/>
        <v>6</v>
      </c>
      <c r="K3085" s="69">
        <f t="shared" si="97"/>
        <v>103</v>
      </c>
      <c r="L3085" s="69">
        <f>VLOOKUP(Table_db1_backend_Daily.accdb[[#This Row],[TradingDate]],canon!B:E,4,0)</f>
        <v>31</v>
      </c>
    </row>
    <row r="3086" spans="1:12" x14ac:dyDescent="0.2">
      <c r="A3086" s="69" t="s">
        <v>45</v>
      </c>
      <c r="B3086" s="70">
        <v>42951</v>
      </c>
      <c r="C3086" s="69">
        <v>173</v>
      </c>
      <c r="D3086" s="69">
        <v>3</v>
      </c>
      <c r="E3086" s="69">
        <v>22.73</v>
      </c>
      <c r="F3086" s="69">
        <v>2.08</v>
      </c>
      <c r="G3086" s="69" t="s">
        <v>23</v>
      </c>
      <c r="H3086" s="69" t="str">
        <f>IFERROR(VLOOKUP(Data!$G3086,canon!$I$2:$K$27,2,FALSE),"")</f>
        <v>SH&amp;BL</v>
      </c>
      <c r="I3086" s="69" t="str">
        <f>IFERROR(VLOOKUP(Data!$G3086,canon!$I$2:$K$27,3,FALSE),"")</f>
        <v>APPAREL</v>
      </c>
      <c r="J3086" s="69">
        <f t="shared" si="96"/>
        <v>6</v>
      </c>
      <c r="K3086" s="69">
        <f t="shared" si="97"/>
        <v>103</v>
      </c>
      <c r="L3086" s="69">
        <f>VLOOKUP(Table_db1_backend_Daily.accdb[[#This Row],[TradingDate]],canon!B:E,4,0)</f>
        <v>31</v>
      </c>
    </row>
    <row r="3087" spans="1:12" x14ac:dyDescent="0.2">
      <c r="A3087" s="69" t="s">
        <v>45</v>
      </c>
      <c r="B3087" s="70">
        <v>42951</v>
      </c>
      <c r="C3087" s="69">
        <v>228</v>
      </c>
      <c r="D3087" s="69">
        <v>8</v>
      </c>
      <c r="E3087" s="69">
        <v>86.36</v>
      </c>
      <c r="F3087" s="69">
        <v>31.79</v>
      </c>
      <c r="G3087" s="69" t="s">
        <v>32</v>
      </c>
      <c r="H3087" s="69" t="str">
        <f>IFERROR(VLOOKUP(Data!$G3087,canon!$I$2:$K$27,2,FALSE),"")</f>
        <v>SKIRT</v>
      </c>
      <c r="I3087" s="69" t="str">
        <f>IFERROR(VLOOKUP(Data!$G3087,canon!$I$2:$K$27,3,FALSE),"")</f>
        <v>APPAREL</v>
      </c>
      <c r="J3087" s="69">
        <f t="shared" si="96"/>
        <v>6</v>
      </c>
      <c r="K3087" s="69">
        <f t="shared" si="97"/>
        <v>103</v>
      </c>
      <c r="L3087" s="69">
        <f>VLOOKUP(Table_db1_backend_Daily.accdb[[#This Row],[TradingDate]],canon!B:E,4,0)</f>
        <v>31</v>
      </c>
    </row>
    <row r="3088" spans="1:12" x14ac:dyDescent="0.2">
      <c r="A3088" s="69" t="s">
        <v>45</v>
      </c>
      <c r="B3088" s="70">
        <v>42951</v>
      </c>
      <c r="C3088" s="69">
        <v>1409</v>
      </c>
      <c r="D3088" s="69">
        <v>55</v>
      </c>
      <c r="E3088" s="69">
        <v>395.33000000000004</v>
      </c>
      <c r="F3088" s="69">
        <v>114.71000000000002</v>
      </c>
      <c r="G3088" s="69" t="s">
        <v>25</v>
      </c>
      <c r="H3088" s="69" t="str">
        <f>IFERROR(VLOOKUP(Data!$G3088,canon!$I$2:$K$27,2,FALSE),"")</f>
        <v>TOP</v>
      </c>
      <c r="I3088" s="69" t="str">
        <f>IFERROR(VLOOKUP(Data!$G3088,canon!$I$2:$K$27,3,FALSE),"")</f>
        <v>APPAREL</v>
      </c>
      <c r="J3088" s="69">
        <f t="shared" si="96"/>
        <v>6</v>
      </c>
      <c r="K3088" s="69">
        <f t="shared" si="97"/>
        <v>103</v>
      </c>
      <c r="L3088" s="69">
        <f>VLOOKUP(Table_db1_backend_Daily.accdb[[#This Row],[TradingDate]],canon!B:E,4,0)</f>
        <v>31</v>
      </c>
    </row>
    <row r="3089" spans="1:12" x14ac:dyDescent="0.2">
      <c r="A3089" s="69" t="s">
        <v>45</v>
      </c>
      <c r="B3089" s="70">
        <v>42952</v>
      </c>
      <c r="C3089" s="69">
        <v>-35</v>
      </c>
      <c r="D3089" s="69">
        <v>0</v>
      </c>
      <c r="E3089" s="69">
        <v>0</v>
      </c>
      <c r="F3089" s="69">
        <v>0</v>
      </c>
      <c r="G3089" s="69" t="s">
        <v>34</v>
      </c>
      <c r="H3089" s="69" t="str">
        <f>IFERROR(VLOOKUP(Data!$G3089,canon!$I$2:$K$27,2,FALSE),"")</f>
        <v>SHOES</v>
      </c>
      <c r="I3089" s="69" t="str">
        <f>IFERROR(VLOOKUP(Data!$G3089,canon!$I$2:$K$27,3,FALSE),"")</f>
        <v>N.APPAREL</v>
      </c>
      <c r="J3089" s="69">
        <f t="shared" si="96"/>
        <v>7</v>
      </c>
      <c r="K3089" s="69">
        <f t="shared" si="97"/>
        <v>103</v>
      </c>
      <c r="L3089" s="69">
        <f>VLOOKUP(Table_db1_backend_Daily.accdb[[#This Row],[TradingDate]],canon!B:E,4,0)</f>
        <v>31</v>
      </c>
    </row>
    <row r="3090" spans="1:12" x14ac:dyDescent="0.2">
      <c r="A3090" s="69" t="s">
        <v>45</v>
      </c>
      <c r="B3090" s="70">
        <v>42952</v>
      </c>
      <c r="C3090" s="69">
        <v>569</v>
      </c>
      <c r="D3090" s="69">
        <v>14</v>
      </c>
      <c r="E3090" s="69">
        <v>127.25999999999999</v>
      </c>
      <c r="F3090" s="69">
        <v>11.39</v>
      </c>
      <c r="G3090" s="69" t="s">
        <v>35</v>
      </c>
      <c r="H3090" s="69" t="str">
        <f>IFERROR(VLOOKUP(Data!$G3090,canon!$I$2:$K$27,2,FALSE),"")</f>
        <v>DRESS</v>
      </c>
      <c r="I3090" s="69" t="str">
        <f>IFERROR(VLOOKUP(Data!$G3090,canon!$I$2:$K$27,3,FALSE),"")</f>
        <v>APPAREL</v>
      </c>
      <c r="J3090" s="69">
        <f t="shared" si="96"/>
        <v>7</v>
      </c>
      <c r="K3090" s="69">
        <f t="shared" si="97"/>
        <v>103</v>
      </c>
      <c r="L3090" s="69">
        <f>VLOOKUP(Table_db1_backend_Daily.accdb[[#This Row],[TradingDate]],canon!B:E,4,0)</f>
        <v>31</v>
      </c>
    </row>
    <row r="3091" spans="1:12" x14ac:dyDescent="0.2">
      <c r="A3091" s="69" t="s">
        <v>45</v>
      </c>
      <c r="B3091" s="70">
        <v>42952</v>
      </c>
      <c r="C3091" s="69">
        <v>5</v>
      </c>
      <c r="D3091" s="69">
        <v>0</v>
      </c>
      <c r="E3091" s="69">
        <v>0</v>
      </c>
      <c r="F3091" s="69">
        <v>0</v>
      </c>
      <c r="G3091" s="69" t="s">
        <v>10</v>
      </c>
      <c r="H3091" s="69" t="str">
        <f>IFERROR(VLOOKUP(Data!$G3091,canon!$I$2:$K$27,2,FALSE),"")</f>
        <v>ACCESSORY</v>
      </c>
      <c r="I3091" s="69" t="str">
        <f>IFERROR(VLOOKUP(Data!$G3091,canon!$I$2:$K$27,3,FALSE),"")</f>
        <v>N.APPAREL</v>
      </c>
      <c r="J3091" s="69">
        <f t="shared" si="96"/>
        <v>7</v>
      </c>
      <c r="K3091" s="69">
        <f t="shared" si="97"/>
        <v>103</v>
      </c>
      <c r="L3091" s="69">
        <f>VLOOKUP(Table_db1_backend_Daily.accdb[[#This Row],[TradingDate]],canon!B:E,4,0)</f>
        <v>31</v>
      </c>
    </row>
    <row r="3092" spans="1:12" x14ac:dyDescent="0.2">
      <c r="A3092" s="69" t="s">
        <v>45</v>
      </c>
      <c r="B3092" s="70">
        <v>42952</v>
      </c>
      <c r="C3092" s="69">
        <v>1104</v>
      </c>
      <c r="D3092" s="69">
        <v>108</v>
      </c>
      <c r="E3092" s="69">
        <v>958.99999999999977</v>
      </c>
      <c r="F3092" s="69">
        <v>77.010000000000019</v>
      </c>
      <c r="G3092" s="69" t="s">
        <v>11</v>
      </c>
      <c r="H3092" s="69" t="str">
        <f>IFERROR(VLOOKUP(Data!$G3092,canon!$I$2:$K$27,2,FALSE),"")</f>
        <v>KNIT</v>
      </c>
      <c r="I3092" s="69" t="str">
        <f>IFERROR(VLOOKUP(Data!$G3092,canon!$I$2:$K$27,3,FALSE),"")</f>
        <v>APPAREL</v>
      </c>
      <c r="J3092" s="69">
        <f t="shared" si="96"/>
        <v>7</v>
      </c>
      <c r="K3092" s="69">
        <f t="shared" si="97"/>
        <v>103</v>
      </c>
      <c r="L3092" s="69">
        <f>VLOOKUP(Table_db1_backend_Daily.accdb[[#This Row],[TradingDate]],canon!B:E,4,0)</f>
        <v>31</v>
      </c>
    </row>
    <row r="3093" spans="1:12" x14ac:dyDescent="0.2">
      <c r="A3093" s="69" t="s">
        <v>45</v>
      </c>
      <c r="B3093" s="70">
        <v>42952</v>
      </c>
      <c r="C3093" s="69">
        <v>271</v>
      </c>
      <c r="D3093" s="69">
        <v>15</v>
      </c>
      <c r="E3093" s="69">
        <v>177.23000000000002</v>
      </c>
      <c r="F3093" s="69">
        <v>78.680000000000007</v>
      </c>
      <c r="G3093" s="69" t="s">
        <v>14</v>
      </c>
      <c r="H3093" s="69" t="str">
        <f>IFERROR(VLOOKUP(Data!$G3093,canon!$I$2:$K$27,2,FALSE),"")</f>
        <v>LEGGING</v>
      </c>
      <c r="I3093" s="69" t="str">
        <f>IFERROR(VLOOKUP(Data!$G3093,canon!$I$2:$K$27,3,FALSE),"")</f>
        <v>APPAREL</v>
      </c>
      <c r="J3093" s="69">
        <f t="shared" si="96"/>
        <v>7</v>
      </c>
      <c r="K3093" s="69">
        <f t="shared" si="97"/>
        <v>103</v>
      </c>
      <c r="L3093" s="69">
        <f>VLOOKUP(Table_db1_backend_Daily.accdb[[#This Row],[TradingDate]],canon!B:E,4,0)</f>
        <v>31</v>
      </c>
    </row>
    <row r="3094" spans="1:12" x14ac:dyDescent="0.2">
      <c r="A3094" s="69" t="s">
        <v>45</v>
      </c>
      <c r="B3094" s="70">
        <v>42952</v>
      </c>
      <c r="C3094" s="69">
        <v>-116</v>
      </c>
      <c r="D3094" s="69">
        <v>0</v>
      </c>
      <c r="E3094" s="69">
        <v>0</v>
      </c>
      <c r="F3094" s="69">
        <v>0</v>
      </c>
      <c r="G3094" s="69" t="s">
        <v>37</v>
      </c>
      <c r="H3094" s="69" t="str">
        <f>IFERROR(VLOOKUP(Data!$G3094,canon!$I$2:$K$27,2,FALSE),"")</f>
        <v>SHOES</v>
      </c>
      <c r="I3094" s="69" t="str">
        <f>IFERROR(VLOOKUP(Data!$G3094,canon!$I$2:$K$27,3,FALSE),"")</f>
        <v>N.APPAREL</v>
      </c>
      <c r="J3094" s="69">
        <f t="shared" si="96"/>
        <v>7</v>
      </c>
      <c r="K3094" s="69">
        <f t="shared" si="97"/>
        <v>103</v>
      </c>
      <c r="L3094" s="69">
        <f>VLOOKUP(Table_db1_backend_Daily.accdb[[#This Row],[TradingDate]],canon!B:E,4,0)</f>
        <v>31</v>
      </c>
    </row>
    <row r="3095" spans="1:12" x14ac:dyDescent="0.2">
      <c r="A3095" s="69" t="s">
        <v>45</v>
      </c>
      <c r="B3095" s="70">
        <v>42952</v>
      </c>
      <c r="C3095" s="69">
        <v>-1</v>
      </c>
      <c r="D3095" s="69">
        <v>0</v>
      </c>
      <c r="E3095" s="69">
        <v>0</v>
      </c>
      <c r="F3095" s="69">
        <v>0</v>
      </c>
      <c r="G3095" s="69" t="s">
        <v>29</v>
      </c>
      <c r="H3095" s="69" t="str">
        <f>IFERROR(VLOOKUP(Data!$G3095,canon!$I$2:$K$27,2,FALSE),"")</f>
        <v>SHOES</v>
      </c>
      <c r="I3095" s="69" t="str">
        <f>IFERROR(VLOOKUP(Data!$G3095,canon!$I$2:$K$27,3,FALSE),"")</f>
        <v>N.APPAREL</v>
      </c>
      <c r="J3095" s="69">
        <f t="shared" si="96"/>
        <v>7</v>
      </c>
      <c r="K3095" s="69">
        <f t="shared" si="97"/>
        <v>103</v>
      </c>
      <c r="L3095" s="69">
        <f>VLOOKUP(Table_db1_backend_Daily.accdb[[#This Row],[TradingDate]],canon!B:E,4,0)</f>
        <v>31</v>
      </c>
    </row>
    <row r="3096" spans="1:12" x14ac:dyDescent="0.2">
      <c r="A3096" s="69" t="s">
        <v>45</v>
      </c>
      <c r="B3096" s="70">
        <v>42952</v>
      </c>
      <c r="C3096" s="69">
        <v>469</v>
      </c>
      <c r="D3096" s="69">
        <v>48</v>
      </c>
      <c r="E3096" s="69">
        <v>504.43999999999988</v>
      </c>
      <c r="F3096" s="69">
        <v>-49.63</v>
      </c>
      <c r="G3096" s="69" t="s">
        <v>17</v>
      </c>
      <c r="H3096" s="69" t="str">
        <f>IFERROR(VLOOKUP(Data!$G3096,canon!$I$2:$K$27,2,FALSE),"")</f>
        <v>OUTER</v>
      </c>
      <c r="I3096" s="69" t="str">
        <f>IFERROR(VLOOKUP(Data!$G3096,canon!$I$2:$K$27,3,FALSE),"")</f>
        <v>APPAREL</v>
      </c>
      <c r="J3096" s="69">
        <f t="shared" si="96"/>
        <v>7</v>
      </c>
      <c r="K3096" s="69">
        <f t="shared" si="97"/>
        <v>103</v>
      </c>
      <c r="L3096" s="69">
        <f>VLOOKUP(Table_db1_backend_Daily.accdb[[#This Row],[TradingDate]],canon!B:E,4,0)</f>
        <v>31</v>
      </c>
    </row>
    <row r="3097" spans="1:12" x14ac:dyDescent="0.2">
      <c r="A3097" s="69" t="s">
        <v>45</v>
      </c>
      <c r="B3097" s="70">
        <v>42952</v>
      </c>
      <c r="C3097" s="69">
        <v>195</v>
      </c>
      <c r="D3097" s="69">
        <v>14</v>
      </c>
      <c r="E3097" s="69">
        <v>72.709999999999994</v>
      </c>
      <c r="F3097" s="69">
        <v>-21.65</v>
      </c>
      <c r="G3097" s="69" t="s">
        <v>19</v>
      </c>
      <c r="H3097" s="69" t="str">
        <f>IFERROR(VLOOKUP(Data!$G3097,canon!$I$2:$K$27,2,FALSE),"")</f>
        <v>PANT</v>
      </c>
      <c r="I3097" s="69" t="str">
        <f>IFERROR(VLOOKUP(Data!$G3097,canon!$I$2:$K$27,3,FALSE),"")</f>
        <v>APPAREL</v>
      </c>
      <c r="J3097" s="69">
        <f t="shared" si="96"/>
        <v>7</v>
      </c>
      <c r="K3097" s="69">
        <f t="shared" si="97"/>
        <v>103</v>
      </c>
      <c r="L3097" s="69">
        <f>VLOOKUP(Table_db1_backend_Daily.accdb[[#This Row],[TradingDate]],canon!B:E,4,0)</f>
        <v>31</v>
      </c>
    </row>
    <row r="3098" spans="1:12" x14ac:dyDescent="0.2">
      <c r="A3098" s="69" t="s">
        <v>45</v>
      </c>
      <c r="B3098" s="70">
        <v>42952</v>
      </c>
      <c r="C3098" s="69">
        <v>-1094</v>
      </c>
      <c r="D3098" s="69">
        <v>23</v>
      </c>
      <c r="E3098" s="69">
        <v>142.15</v>
      </c>
      <c r="F3098" s="69">
        <v>101.42</v>
      </c>
      <c r="G3098" s="69" t="s">
        <v>22</v>
      </c>
      <c r="H3098" s="69" t="str">
        <f>IFERROR(VLOOKUP(Data!$G3098,canon!$I$2:$K$27,2,FALSE),"")</f>
        <v>SCARF</v>
      </c>
      <c r="I3098" s="69" t="str">
        <f>IFERROR(VLOOKUP(Data!$G3098,canon!$I$2:$K$27,3,FALSE),"")</f>
        <v>N.APPAREL</v>
      </c>
      <c r="J3098" s="69">
        <f t="shared" si="96"/>
        <v>7</v>
      </c>
      <c r="K3098" s="69">
        <f t="shared" si="97"/>
        <v>103</v>
      </c>
      <c r="L3098" s="69">
        <f>VLOOKUP(Table_db1_backend_Daily.accdb[[#This Row],[TradingDate]],canon!B:E,4,0)</f>
        <v>31</v>
      </c>
    </row>
    <row r="3099" spans="1:12" x14ac:dyDescent="0.2">
      <c r="A3099" s="69" t="s">
        <v>45</v>
      </c>
      <c r="B3099" s="70">
        <v>42952</v>
      </c>
      <c r="C3099" s="69">
        <v>162</v>
      </c>
      <c r="D3099" s="69">
        <v>11</v>
      </c>
      <c r="E3099" s="69">
        <v>118.14</v>
      </c>
      <c r="F3099" s="69">
        <v>33.15</v>
      </c>
      <c r="G3099" s="69" t="s">
        <v>23</v>
      </c>
      <c r="H3099" s="69" t="str">
        <f>IFERROR(VLOOKUP(Data!$G3099,canon!$I$2:$K$27,2,FALSE),"")</f>
        <v>SH&amp;BL</v>
      </c>
      <c r="I3099" s="69" t="str">
        <f>IFERROR(VLOOKUP(Data!$G3099,canon!$I$2:$K$27,3,FALSE),"")</f>
        <v>APPAREL</v>
      </c>
      <c r="J3099" s="69">
        <f t="shared" si="96"/>
        <v>7</v>
      </c>
      <c r="K3099" s="69">
        <f t="shared" si="97"/>
        <v>103</v>
      </c>
      <c r="L3099" s="69">
        <f>VLOOKUP(Table_db1_backend_Daily.accdb[[#This Row],[TradingDate]],canon!B:E,4,0)</f>
        <v>31</v>
      </c>
    </row>
    <row r="3100" spans="1:12" x14ac:dyDescent="0.2">
      <c r="A3100" s="69" t="s">
        <v>45</v>
      </c>
      <c r="B3100" s="70">
        <v>42952</v>
      </c>
      <c r="C3100" s="69">
        <v>221</v>
      </c>
      <c r="D3100" s="69">
        <v>7</v>
      </c>
      <c r="E3100" s="69">
        <v>50</v>
      </c>
      <c r="F3100" s="69">
        <v>9.7899999999999991</v>
      </c>
      <c r="G3100" s="69" t="s">
        <v>32</v>
      </c>
      <c r="H3100" s="69" t="str">
        <f>IFERROR(VLOOKUP(Data!$G3100,canon!$I$2:$K$27,2,FALSE),"")</f>
        <v>SKIRT</v>
      </c>
      <c r="I3100" s="69" t="str">
        <f>IFERROR(VLOOKUP(Data!$G3100,canon!$I$2:$K$27,3,FALSE),"")</f>
        <v>APPAREL</v>
      </c>
      <c r="J3100" s="69">
        <f t="shared" si="96"/>
        <v>7</v>
      </c>
      <c r="K3100" s="69">
        <f t="shared" si="97"/>
        <v>103</v>
      </c>
      <c r="L3100" s="69">
        <f>VLOOKUP(Table_db1_backend_Daily.accdb[[#This Row],[TradingDate]],canon!B:E,4,0)</f>
        <v>31</v>
      </c>
    </row>
    <row r="3101" spans="1:12" x14ac:dyDescent="0.2">
      <c r="A3101" s="69" t="s">
        <v>45</v>
      </c>
      <c r="B3101" s="70">
        <v>42952</v>
      </c>
      <c r="C3101" s="69">
        <v>1360</v>
      </c>
      <c r="D3101" s="69">
        <v>45</v>
      </c>
      <c r="E3101" s="69">
        <v>286.28000000000014</v>
      </c>
      <c r="F3101" s="69">
        <v>66.300000000000011</v>
      </c>
      <c r="G3101" s="69" t="s">
        <v>25</v>
      </c>
      <c r="H3101" s="69" t="str">
        <f>IFERROR(VLOOKUP(Data!$G3101,canon!$I$2:$K$27,2,FALSE),"")</f>
        <v>TOP</v>
      </c>
      <c r="I3101" s="69" t="str">
        <f>IFERROR(VLOOKUP(Data!$G3101,canon!$I$2:$K$27,3,FALSE),"")</f>
        <v>APPAREL</v>
      </c>
      <c r="J3101" s="69">
        <f t="shared" si="96"/>
        <v>7</v>
      </c>
      <c r="K3101" s="69">
        <f t="shared" si="97"/>
        <v>103</v>
      </c>
      <c r="L3101" s="69">
        <f>VLOOKUP(Table_db1_backend_Daily.accdb[[#This Row],[TradingDate]],canon!B:E,4,0)</f>
        <v>31</v>
      </c>
    </row>
    <row r="3102" spans="1:12" x14ac:dyDescent="0.2">
      <c r="A3102" s="69" t="s">
        <v>46</v>
      </c>
      <c r="B3102" s="70">
        <v>42925</v>
      </c>
      <c r="C3102" s="69">
        <v>-45</v>
      </c>
      <c r="D3102" s="69">
        <v>2</v>
      </c>
      <c r="E3102" s="69">
        <v>9.1</v>
      </c>
      <c r="F3102" s="69">
        <v>3.32</v>
      </c>
      <c r="G3102" s="69" t="s">
        <v>27</v>
      </c>
      <c r="H3102" s="69" t="str">
        <f>IFERROR(VLOOKUP(Data!$G3102,canon!$I$2:$K$27,2,FALSE),"")</f>
        <v>ACCESSORY</v>
      </c>
      <c r="I3102" s="69" t="str">
        <f>IFERROR(VLOOKUP(Data!$G3102,canon!$I$2:$K$27,3,FALSE),"")</f>
        <v>N.APPAREL</v>
      </c>
      <c r="J3102" s="69">
        <f t="shared" si="96"/>
        <v>1</v>
      </c>
      <c r="K3102" s="69">
        <f t="shared" si="97"/>
        <v>201</v>
      </c>
      <c r="L3102" s="69">
        <f>VLOOKUP(Table_db1_backend_Daily.accdb[[#This Row],[TradingDate]],canon!B:E,4,0)</f>
        <v>28</v>
      </c>
    </row>
    <row r="3103" spans="1:12" x14ac:dyDescent="0.2">
      <c r="A3103" s="69" t="s">
        <v>46</v>
      </c>
      <c r="B3103" s="70">
        <v>42925</v>
      </c>
      <c r="C3103" s="69">
        <v>-189</v>
      </c>
      <c r="D3103" s="69">
        <v>0</v>
      </c>
      <c r="E3103" s="69">
        <v>0</v>
      </c>
      <c r="F3103" s="69">
        <v>0</v>
      </c>
      <c r="G3103" s="69" t="s">
        <v>34</v>
      </c>
      <c r="H3103" s="69" t="str">
        <f>IFERROR(VLOOKUP(Data!$G3103,canon!$I$2:$K$27,2,FALSE),"")</f>
        <v>SHOES</v>
      </c>
      <c r="I3103" s="69" t="str">
        <f>IFERROR(VLOOKUP(Data!$G3103,canon!$I$2:$K$27,3,FALSE),"")</f>
        <v>N.APPAREL</v>
      </c>
      <c r="J3103" s="69">
        <f t="shared" si="96"/>
        <v>1</v>
      </c>
      <c r="K3103" s="69">
        <f t="shared" si="97"/>
        <v>201</v>
      </c>
      <c r="L3103" s="69">
        <f>VLOOKUP(Table_db1_backend_Daily.accdb[[#This Row],[TradingDate]],canon!B:E,4,0)</f>
        <v>28</v>
      </c>
    </row>
    <row r="3104" spans="1:12" x14ac:dyDescent="0.2">
      <c r="A3104" s="69" t="s">
        <v>46</v>
      </c>
      <c r="B3104" s="70">
        <v>42925</v>
      </c>
      <c r="C3104" s="69">
        <v>-36</v>
      </c>
      <c r="D3104" s="69">
        <v>0</v>
      </c>
      <c r="E3104" s="69">
        <v>0</v>
      </c>
      <c r="F3104" s="69">
        <v>0</v>
      </c>
      <c r="G3104" s="69" t="s">
        <v>38</v>
      </c>
      <c r="H3104" s="69" t="str">
        <f>IFERROR(VLOOKUP(Data!$G3104,canon!$I$2:$K$27,2,FALSE),"")</f>
        <v>SHOES</v>
      </c>
      <c r="I3104" s="69" t="str">
        <f>IFERROR(VLOOKUP(Data!$G3104,canon!$I$2:$K$27,3,FALSE),"")</f>
        <v>N.APPAREL</v>
      </c>
      <c r="J3104" s="69">
        <f t="shared" si="96"/>
        <v>1</v>
      </c>
      <c r="K3104" s="69">
        <f t="shared" si="97"/>
        <v>201</v>
      </c>
      <c r="L3104" s="69">
        <f>VLOOKUP(Table_db1_backend_Daily.accdb[[#This Row],[TradingDate]],canon!B:E,4,0)</f>
        <v>28</v>
      </c>
    </row>
    <row r="3105" spans="1:12" x14ac:dyDescent="0.2">
      <c r="A3105" s="69" t="s">
        <v>46</v>
      </c>
      <c r="B3105" s="70">
        <v>42925</v>
      </c>
      <c r="C3105" s="69">
        <v>336</v>
      </c>
      <c r="D3105" s="69">
        <v>2</v>
      </c>
      <c r="E3105" s="69">
        <v>27.17</v>
      </c>
      <c r="F3105" s="69">
        <v>10.65</v>
      </c>
      <c r="G3105" s="69" t="s">
        <v>35</v>
      </c>
      <c r="H3105" s="69" t="str">
        <f>IFERROR(VLOOKUP(Data!$G3105,canon!$I$2:$K$27,2,FALSE),"")</f>
        <v>DRESS</v>
      </c>
      <c r="I3105" s="69" t="str">
        <f>IFERROR(VLOOKUP(Data!$G3105,canon!$I$2:$K$27,3,FALSE),"")</f>
        <v>APPAREL</v>
      </c>
      <c r="J3105" s="69">
        <f t="shared" si="96"/>
        <v>1</v>
      </c>
      <c r="K3105" s="69">
        <f t="shared" si="97"/>
        <v>201</v>
      </c>
      <c r="L3105" s="69">
        <f>VLOOKUP(Table_db1_backend_Daily.accdb[[#This Row],[TradingDate]],canon!B:E,4,0)</f>
        <v>28</v>
      </c>
    </row>
    <row r="3106" spans="1:12" x14ac:dyDescent="0.2">
      <c r="A3106" s="69" t="s">
        <v>46</v>
      </c>
      <c r="B3106" s="70">
        <v>42925</v>
      </c>
      <c r="C3106" s="69">
        <v>45</v>
      </c>
      <c r="D3106" s="69">
        <v>0</v>
      </c>
      <c r="E3106" s="69">
        <v>0</v>
      </c>
      <c r="F3106" s="69">
        <v>0</v>
      </c>
      <c r="G3106" s="69" t="s">
        <v>10</v>
      </c>
      <c r="H3106" s="69" t="str">
        <f>IFERROR(VLOOKUP(Data!$G3106,canon!$I$2:$K$27,2,FALSE),"")</f>
        <v>ACCESSORY</v>
      </c>
      <c r="I3106" s="69" t="str">
        <f>IFERROR(VLOOKUP(Data!$G3106,canon!$I$2:$K$27,3,FALSE),"")</f>
        <v>N.APPAREL</v>
      </c>
      <c r="J3106" s="69">
        <f t="shared" si="96"/>
        <v>1</v>
      </c>
      <c r="K3106" s="69">
        <f t="shared" si="97"/>
        <v>201</v>
      </c>
      <c r="L3106" s="69">
        <f>VLOOKUP(Table_db1_backend_Daily.accdb[[#This Row],[TradingDate]],canon!B:E,4,0)</f>
        <v>28</v>
      </c>
    </row>
    <row r="3107" spans="1:12" x14ac:dyDescent="0.2">
      <c r="A3107" s="69" t="s">
        <v>46</v>
      </c>
      <c r="B3107" s="70">
        <v>42925</v>
      </c>
      <c r="C3107" s="69">
        <v>1888</v>
      </c>
      <c r="D3107" s="69">
        <v>13</v>
      </c>
      <c r="E3107" s="69">
        <v>213.43</v>
      </c>
      <c r="F3107" s="69">
        <v>101.28999999999998</v>
      </c>
      <c r="G3107" s="69" t="s">
        <v>11</v>
      </c>
      <c r="H3107" s="69" t="str">
        <f>IFERROR(VLOOKUP(Data!$G3107,canon!$I$2:$K$27,2,FALSE),"")</f>
        <v>KNIT</v>
      </c>
      <c r="I3107" s="69" t="str">
        <f>IFERROR(VLOOKUP(Data!$G3107,canon!$I$2:$K$27,3,FALSE),"")</f>
        <v>APPAREL</v>
      </c>
      <c r="J3107" s="69">
        <f t="shared" si="96"/>
        <v>1</v>
      </c>
      <c r="K3107" s="69">
        <f t="shared" si="97"/>
        <v>201</v>
      </c>
      <c r="L3107" s="69">
        <f>VLOOKUP(Table_db1_backend_Daily.accdb[[#This Row],[TradingDate]],canon!B:E,4,0)</f>
        <v>28</v>
      </c>
    </row>
    <row r="3108" spans="1:12" x14ac:dyDescent="0.2">
      <c r="A3108" s="69" t="s">
        <v>46</v>
      </c>
      <c r="B3108" s="70">
        <v>42925</v>
      </c>
      <c r="C3108" s="69">
        <v>324</v>
      </c>
      <c r="D3108" s="69">
        <v>3</v>
      </c>
      <c r="E3108" s="69">
        <v>27.26</v>
      </c>
      <c r="F3108" s="69">
        <v>6.18</v>
      </c>
      <c r="G3108" s="69" t="s">
        <v>14</v>
      </c>
      <c r="H3108" s="69" t="str">
        <f>IFERROR(VLOOKUP(Data!$G3108,canon!$I$2:$K$27,2,FALSE),"")</f>
        <v>LEGGING</v>
      </c>
      <c r="I3108" s="69" t="str">
        <f>IFERROR(VLOOKUP(Data!$G3108,canon!$I$2:$K$27,3,FALSE),"")</f>
        <v>APPAREL</v>
      </c>
      <c r="J3108" s="69">
        <f t="shared" si="96"/>
        <v>1</v>
      </c>
      <c r="K3108" s="69">
        <f t="shared" si="97"/>
        <v>201</v>
      </c>
      <c r="L3108" s="69">
        <f>VLOOKUP(Table_db1_backend_Daily.accdb[[#This Row],[TradingDate]],canon!B:E,4,0)</f>
        <v>28</v>
      </c>
    </row>
    <row r="3109" spans="1:12" x14ac:dyDescent="0.2">
      <c r="A3109" s="69" t="s">
        <v>46</v>
      </c>
      <c r="B3109" s="70">
        <v>42925</v>
      </c>
      <c r="C3109" s="69">
        <v>-4</v>
      </c>
      <c r="D3109" s="69">
        <v>0</v>
      </c>
      <c r="E3109" s="69">
        <v>0</v>
      </c>
      <c r="F3109" s="69">
        <v>0</v>
      </c>
      <c r="G3109" s="69" t="s">
        <v>37</v>
      </c>
      <c r="H3109" s="69" t="str">
        <f>IFERROR(VLOOKUP(Data!$G3109,canon!$I$2:$K$27,2,FALSE),"")</f>
        <v>SHOES</v>
      </c>
      <c r="I3109" s="69" t="str">
        <f>IFERROR(VLOOKUP(Data!$G3109,canon!$I$2:$K$27,3,FALSE),"")</f>
        <v>N.APPAREL</v>
      </c>
      <c r="J3109" s="69">
        <f t="shared" si="96"/>
        <v>1</v>
      </c>
      <c r="K3109" s="69">
        <f t="shared" si="97"/>
        <v>201</v>
      </c>
      <c r="L3109" s="69">
        <f>VLOOKUP(Table_db1_backend_Daily.accdb[[#This Row],[TradingDate]],canon!B:E,4,0)</f>
        <v>28</v>
      </c>
    </row>
    <row r="3110" spans="1:12" x14ac:dyDescent="0.2">
      <c r="A3110" s="69" t="s">
        <v>46</v>
      </c>
      <c r="B3110" s="70">
        <v>42925</v>
      </c>
      <c r="C3110" s="69">
        <v>-35</v>
      </c>
      <c r="D3110" s="69">
        <v>0</v>
      </c>
      <c r="E3110" s="69">
        <v>0</v>
      </c>
      <c r="F3110" s="69">
        <v>0</v>
      </c>
      <c r="G3110" s="69" t="s">
        <v>29</v>
      </c>
      <c r="H3110" s="69" t="str">
        <f>IFERROR(VLOOKUP(Data!$G3110,canon!$I$2:$K$27,2,FALSE),"")</f>
        <v>SHOES</v>
      </c>
      <c r="I3110" s="69" t="str">
        <f>IFERROR(VLOOKUP(Data!$G3110,canon!$I$2:$K$27,3,FALSE),"")</f>
        <v>N.APPAREL</v>
      </c>
      <c r="J3110" s="69">
        <f t="shared" si="96"/>
        <v>1</v>
      </c>
      <c r="K3110" s="69">
        <f t="shared" si="97"/>
        <v>201</v>
      </c>
      <c r="L3110" s="69">
        <f>VLOOKUP(Table_db1_backend_Daily.accdb[[#This Row],[TradingDate]],canon!B:E,4,0)</f>
        <v>28</v>
      </c>
    </row>
    <row r="3111" spans="1:12" x14ac:dyDescent="0.2">
      <c r="A3111" s="69" t="s">
        <v>46</v>
      </c>
      <c r="B3111" s="70">
        <v>42925</v>
      </c>
      <c r="C3111" s="69">
        <v>367</v>
      </c>
      <c r="D3111" s="69">
        <v>2</v>
      </c>
      <c r="E3111" s="69">
        <v>27.18</v>
      </c>
      <c r="F3111" s="69">
        <v>7.52</v>
      </c>
      <c r="G3111" s="69" t="s">
        <v>17</v>
      </c>
      <c r="H3111" s="69" t="str">
        <f>IFERROR(VLOOKUP(Data!$G3111,canon!$I$2:$K$27,2,FALSE),"")</f>
        <v>OUTER</v>
      </c>
      <c r="I3111" s="69" t="str">
        <f>IFERROR(VLOOKUP(Data!$G3111,canon!$I$2:$K$27,3,FALSE),"")</f>
        <v>APPAREL</v>
      </c>
      <c r="J3111" s="69">
        <f t="shared" si="96"/>
        <v>1</v>
      </c>
      <c r="K3111" s="69">
        <f t="shared" si="97"/>
        <v>201</v>
      </c>
      <c r="L3111" s="69">
        <f>VLOOKUP(Table_db1_backend_Daily.accdb[[#This Row],[TradingDate]],canon!B:E,4,0)</f>
        <v>28</v>
      </c>
    </row>
    <row r="3112" spans="1:12" x14ac:dyDescent="0.2">
      <c r="A3112" s="69" t="s">
        <v>46</v>
      </c>
      <c r="B3112" s="70">
        <v>42925</v>
      </c>
      <c r="C3112" s="69">
        <v>371</v>
      </c>
      <c r="D3112" s="69">
        <v>0</v>
      </c>
      <c r="E3112" s="69">
        <v>0</v>
      </c>
      <c r="F3112" s="69">
        <v>0</v>
      </c>
      <c r="G3112" s="69" t="s">
        <v>19</v>
      </c>
      <c r="H3112" s="69" t="str">
        <f>IFERROR(VLOOKUP(Data!$G3112,canon!$I$2:$K$27,2,FALSE),"")</f>
        <v>PANT</v>
      </c>
      <c r="I3112" s="69" t="str">
        <f>IFERROR(VLOOKUP(Data!$G3112,canon!$I$2:$K$27,3,FALSE),"")</f>
        <v>APPAREL</v>
      </c>
      <c r="J3112" s="69">
        <f t="shared" si="96"/>
        <v>1</v>
      </c>
      <c r="K3112" s="69">
        <f t="shared" si="97"/>
        <v>201</v>
      </c>
      <c r="L3112" s="69">
        <f>VLOOKUP(Table_db1_backend_Daily.accdb[[#This Row],[TradingDate]],canon!B:E,4,0)</f>
        <v>28</v>
      </c>
    </row>
    <row r="3113" spans="1:12" x14ac:dyDescent="0.2">
      <c r="A3113" s="69" t="s">
        <v>46</v>
      </c>
      <c r="B3113" s="70">
        <v>42925</v>
      </c>
      <c r="C3113" s="69">
        <v>336</v>
      </c>
      <c r="D3113" s="69">
        <v>8</v>
      </c>
      <c r="E3113" s="69">
        <v>36.39</v>
      </c>
      <c r="F3113" s="69">
        <v>22.77</v>
      </c>
      <c r="G3113" s="69" t="s">
        <v>22</v>
      </c>
      <c r="H3113" s="69" t="str">
        <f>IFERROR(VLOOKUP(Data!$G3113,canon!$I$2:$K$27,2,FALSE),"")</f>
        <v>SCARF</v>
      </c>
      <c r="I3113" s="69" t="str">
        <f>IFERROR(VLOOKUP(Data!$G3113,canon!$I$2:$K$27,3,FALSE),"")</f>
        <v>N.APPAREL</v>
      </c>
      <c r="J3113" s="69">
        <f t="shared" si="96"/>
        <v>1</v>
      </c>
      <c r="K3113" s="69">
        <f t="shared" si="97"/>
        <v>201</v>
      </c>
      <c r="L3113" s="69">
        <f>VLOOKUP(Table_db1_backend_Daily.accdb[[#This Row],[TradingDate]],canon!B:E,4,0)</f>
        <v>28</v>
      </c>
    </row>
    <row r="3114" spans="1:12" x14ac:dyDescent="0.2">
      <c r="A3114" s="69" t="s">
        <v>46</v>
      </c>
      <c r="B3114" s="70">
        <v>42925</v>
      </c>
      <c r="C3114" s="69">
        <v>237</v>
      </c>
      <c r="D3114" s="69">
        <v>0</v>
      </c>
      <c r="E3114" s="69">
        <v>0</v>
      </c>
      <c r="F3114" s="69">
        <v>0</v>
      </c>
      <c r="G3114" s="69" t="s">
        <v>23</v>
      </c>
      <c r="H3114" s="69" t="str">
        <f>IFERROR(VLOOKUP(Data!$G3114,canon!$I$2:$K$27,2,FALSE),"")</f>
        <v>SH&amp;BL</v>
      </c>
      <c r="I3114" s="69" t="str">
        <f>IFERROR(VLOOKUP(Data!$G3114,canon!$I$2:$K$27,3,FALSE),"")</f>
        <v>APPAREL</v>
      </c>
      <c r="J3114" s="69">
        <f t="shared" si="96"/>
        <v>1</v>
      </c>
      <c r="K3114" s="69">
        <f t="shared" si="97"/>
        <v>201</v>
      </c>
      <c r="L3114" s="69">
        <f>VLOOKUP(Table_db1_backend_Daily.accdb[[#This Row],[TradingDate]],canon!B:E,4,0)</f>
        <v>28</v>
      </c>
    </row>
    <row r="3115" spans="1:12" x14ac:dyDescent="0.2">
      <c r="A3115" s="69" t="s">
        <v>46</v>
      </c>
      <c r="B3115" s="70">
        <v>42925</v>
      </c>
      <c r="C3115" s="69">
        <v>305</v>
      </c>
      <c r="D3115" s="69">
        <v>0</v>
      </c>
      <c r="E3115" s="69">
        <v>0</v>
      </c>
      <c r="F3115" s="69">
        <v>0</v>
      </c>
      <c r="G3115" s="69" t="s">
        <v>32</v>
      </c>
      <c r="H3115" s="69" t="str">
        <f>IFERROR(VLOOKUP(Data!$G3115,canon!$I$2:$K$27,2,FALSE),"")</f>
        <v>SKIRT</v>
      </c>
      <c r="I3115" s="69" t="str">
        <f>IFERROR(VLOOKUP(Data!$G3115,canon!$I$2:$K$27,3,FALSE),"")</f>
        <v>APPAREL</v>
      </c>
      <c r="J3115" s="69">
        <f t="shared" si="96"/>
        <v>1</v>
      </c>
      <c r="K3115" s="69">
        <f t="shared" si="97"/>
        <v>201</v>
      </c>
      <c r="L3115" s="69">
        <f>VLOOKUP(Table_db1_backend_Daily.accdb[[#This Row],[TradingDate]],canon!B:E,4,0)</f>
        <v>28</v>
      </c>
    </row>
    <row r="3116" spans="1:12" x14ac:dyDescent="0.2">
      <c r="A3116" s="69" t="s">
        <v>46</v>
      </c>
      <c r="B3116" s="70">
        <v>42925</v>
      </c>
      <c r="C3116" s="69">
        <v>1437</v>
      </c>
      <c r="D3116" s="69">
        <v>14</v>
      </c>
      <c r="E3116" s="69">
        <v>95.460000000000008</v>
      </c>
      <c r="F3116" s="69">
        <v>24.8</v>
      </c>
      <c r="G3116" s="69" t="s">
        <v>25</v>
      </c>
      <c r="H3116" s="69" t="str">
        <f>IFERROR(VLOOKUP(Data!$G3116,canon!$I$2:$K$27,2,FALSE),"")</f>
        <v>TOP</v>
      </c>
      <c r="I3116" s="69" t="str">
        <f>IFERROR(VLOOKUP(Data!$G3116,canon!$I$2:$K$27,3,FALSE),"")</f>
        <v>APPAREL</v>
      </c>
      <c r="J3116" s="69">
        <f t="shared" si="96"/>
        <v>1</v>
      </c>
      <c r="K3116" s="69">
        <f t="shared" si="97"/>
        <v>201</v>
      </c>
      <c r="L3116" s="69">
        <f>VLOOKUP(Table_db1_backend_Daily.accdb[[#This Row],[TradingDate]],canon!B:E,4,0)</f>
        <v>28</v>
      </c>
    </row>
    <row r="3117" spans="1:12" x14ac:dyDescent="0.2">
      <c r="A3117" s="69" t="s">
        <v>46</v>
      </c>
      <c r="B3117" s="70">
        <v>42926</v>
      </c>
      <c r="C3117" s="69">
        <v>-45</v>
      </c>
      <c r="D3117" s="69">
        <v>0</v>
      </c>
      <c r="E3117" s="69">
        <v>0</v>
      </c>
      <c r="F3117" s="69">
        <v>0</v>
      </c>
      <c r="G3117" s="69" t="s">
        <v>27</v>
      </c>
      <c r="H3117" s="69" t="str">
        <f>IFERROR(VLOOKUP(Data!$G3117,canon!$I$2:$K$27,2,FALSE),"")</f>
        <v>ACCESSORY</v>
      </c>
      <c r="I3117" s="69" t="str">
        <f>IFERROR(VLOOKUP(Data!$G3117,canon!$I$2:$K$27,3,FALSE),"")</f>
        <v>N.APPAREL</v>
      </c>
      <c r="J3117" s="69">
        <f t="shared" si="96"/>
        <v>2</v>
      </c>
      <c r="K3117" s="69">
        <f t="shared" si="97"/>
        <v>201</v>
      </c>
      <c r="L3117" s="69">
        <f>VLOOKUP(Table_db1_backend_Daily.accdb[[#This Row],[TradingDate]],canon!B:E,4,0)</f>
        <v>28</v>
      </c>
    </row>
    <row r="3118" spans="1:12" x14ac:dyDescent="0.2">
      <c r="A3118" s="69" t="s">
        <v>46</v>
      </c>
      <c r="B3118" s="70">
        <v>42926</v>
      </c>
      <c r="C3118" s="69">
        <v>-189</v>
      </c>
      <c r="D3118" s="69">
        <v>0</v>
      </c>
      <c r="E3118" s="69">
        <v>0</v>
      </c>
      <c r="F3118" s="69">
        <v>0</v>
      </c>
      <c r="G3118" s="69" t="s">
        <v>34</v>
      </c>
      <c r="H3118" s="69" t="str">
        <f>IFERROR(VLOOKUP(Data!$G3118,canon!$I$2:$K$27,2,FALSE),"")</f>
        <v>SHOES</v>
      </c>
      <c r="I3118" s="69" t="str">
        <f>IFERROR(VLOOKUP(Data!$G3118,canon!$I$2:$K$27,3,FALSE),"")</f>
        <v>N.APPAREL</v>
      </c>
      <c r="J3118" s="69">
        <f t="shared" si="96"/>
        <v>2</v>
      </c>
      <c r="K3118" s="69">
        <f t="shared" si="97"/>
        <v>201</v>
      </c>
      <c r="L3118" s="69">
        <f>VLOOKUP(Table_db1_backend_Daily.accdb[[#This Row],[TradingDate]],canon!B:E,4,0)</f>
        <v>28</v>
      </c>
    </row>
    <row r="3119" spans="1:12" x14ac:dyDescent="0.2">
      <c r="A3119" s="69" t="s">
        <v>46</v>
      </c>
      <c r="B3119" s="70">
        <v>42926</v>
      </c>
      <c r="C3119" s="69">
        <v>-36</v>
      </c>
      <c r="D3119" s="69">
        <v>0</v>
      </c>
      <c r="E3119" s="69">
        <v>0</v>
      </c>
      <c r="F3119" s="69">
        <v>0</v>
      </c>
      <c r="G3119" s="69" t="s">
        <v>38</v>
      </c>
      <c r="H3119" s="69" t="str">
        <f>IFERROR(VLOOKUP(Data!$G3119,canon!$I$2:$K$27,2,FALSE),"")</f>
        <v>SHOES</v>
      </c>
      <c r="I3119" s="69" t="str">
        <f>IFERROR(VLOOKUP(Data!$G3119,canon!$I$2:$K$27,3,FALSE),"")</f>
        <v>N.APPAREL</v>
      </c>
      <c r="J3119" s="69">
        <f t="shared" si="96"/>
        <v>2</v>
      </c>
      <c r="K3119" s="69">
        <f t="shared" si="97"/>
        <v>201</v>
      </c>
      <c r="L3119" s="69">
        <f>VLOOKUP(Table_db1_backend_Daily.accdb[[#This Row],[TradingDate]],canon!B:E,4,0)</f>
        <v>28</v>
      </c>
    </row>
    <row r="3120" spans="1:12" x14ac:dyDescent="0.2">
      <c r="A3120" s="69" t="s">
        <v>46</v>
      </c>
      <c r="B3120" s="70">
        <v>42926</v>
      </c>
      <c r="C3120" s="69">
        <v>335</v>
      </c>
      <c r="D3120" s="69">
        <v>1</v>
      </c>
      <c r="E3120" s="69">
        <v>13.64</v>
      </c>
      <c r="F3120" s="69">
        <v>4.9400000000000004</v>
      </c>
      <c r="G3120" s="69" t="s">
        <v>35</v>
      </c>
      <c r="H3120" s="69" t="str">
        <f>IFERROR(VLOOKUP(Data!$G3120,canon!$I$2:$K$27,2,FALSE),"")</f>
        <v>DRESS</v>
      </c>
      <c r="I3120" s="69" t="str">
        <f>IFERROR(VLOOKUP(Data!$G3120,canon!$I$2:$K$27,3,FALSE),"")</f>
        <v>APPAREL</v>
      </c>
      <c r="J3120" s="69">
        <f t="shared" si="96"/>
        <v>2</v>
      </c>
      <c r="K3120" s="69">
        <f t="shared" si="97"/>
        <v>201</v>
      </c>
      <c r="L3120" s="69">
        <f>VLOOKUP(Table_db1_backend_Daily.accdb[[#This Row],[TradingDate]],canon!B:E,4,0)</f>
        <v>28</v>
      </c>
    </row>
    <row r="3121" spans="1:12" x14ac:dyDescent="0.2">
      <c r="A3121" s="69" t="s">
        <v>46</v>
      </c>
      <c r="B3121" s="70">
        <v>42926</v>
      </c>
      <c r="C3121" s="69">
        <v>45</v>
      </c>
      <c r="D3121" s="69">
        <v>0</v>
      </c>
      <c r="E3121" s="69">
        <v>0</v>
      </c>
      <c r="F3121" s="69">
        <v>0</v>
      </c>
      <c r="G3121" s="69" t="s">
        <v>10</v>
      </c>
      <c r="H3121" s="69" t="str">
        <f>IFERROR(VLOOKUP(Data!$G3121,canon!$I$2:$K$27,2,FALSE),"")</f>
        <v>ACCESSORY</v>
      </c>
      <c r="I3121" s="69" t="str">
        <f>IFERROR(VLOOKUP(Data!$G3121,canon!$I$2:$K$27,3,FALSE),"")</f>
        <v>N.APPAREL</v>
      </c>
      <c r="J3121" s="69">
        <f t="shared" si="96"/>
        <v>2</v>
      </c>
      <c r="K3121" s="69">
        <f t="shared" si="97"/>
        <v>201</v>
      </c>
      <c r="L3121" s="69">
        <f>VLOOKUP(Table_db1_backend_Daily.accdb[[#This Row],[TradingDate]],canon!B:E,4,0)</f>
        <v>28</v>
      </c>
    </row>
    <row r="3122" spans="1:12" x14ac:dyDescent="0.2">
      <c r="A3122" s="69" t="s">
        <v>46</v>
      </c>
      <c r="B3122" s="70">
        <v>42926</v>
      </c>
      <c r="C3122" s="69">
        <v>2215</v>
      </c>
      <c r="D3122" s="69">
        <v>25</v>
      </c>
      <c r="E3122" s="69">
        <v>345.00999999999993</v>
      </c>
      <c r="F3122" s="69">
        <v>154.19</v>
      </c>
      <c r="G3122" s="69" t="s">
        <v>11</v>
      </c>
      <c r="H3122" s="69" t="str">
        <f>IFERROR(VLOOKUP(Data!$G3122,canon!$I$2:$K$27,2,FALSE),"")</f>
        <v>KNIT</v>
      </c>
      <c r="I3122" s="69" t="str">
        <f>IFERROR(VLOOKUP(Data!$G3122,canon!$I$2:$K$27,3,FALSE),"")</f>
        <v>APPAREL</v>
      </c>
      <c r="J3122" s="69">
        <f t="shared" si="96"/>
        <v>2</v>
      </c>
      <c r="K3122" s="69">
        <f t="shared" si="97"/>
        <v>201</v>
      </c>
      <c r="L3122" s="69">
        <f>VLOOKUP(Table_db1_backend_Daily.accdb[[#This Row],[TradingDate]],canon!B:E,4,0)</f>
        <v>28</v>
      </c>
    </row>
    <row r="3123" spans="1:12" x14ac:dyDescent="0.2">
      <c r="A3123" s="69" t="s">
        <v>46</v>
      </c>
      <c r="B3123" s="70">
        <v>42926</v>
      </c>
      <c r="C3123" s="69">
        <v>320</v>
      </c>
      <c r="D3123" s="69">
        <v>4</v>
      </c>
      <c r="E3123" s="69">
        <v>49.95</v>
      </c>
      <c r="F3123" s="69">
        <v>23</v>
      </c>
      <c r="G3123" s="69" t="s">
        <v>14</v>
      </c>
      <c r="H3123" s="69" t="str">
        <f>IFERROR(VLOOKUP(Data!$G3123,canon!$I$2:$K$27,2,FALSE),"")</f>
        <v>LEGGING</v>
      </c>
      <c r="I3123" s="69" t="str">
        <f>IFERROR(VLOOKUP(Data!$G3123,canon!$I$2:$K$27,3,FALSE),"")</f>
        <v>APPAREL</v>
      </c>
      <c r="J3123" s="69">
        <f t="shared" si="96"/>
        <v>2</v>
      </c>
      <c r="K3123" s="69">
        <f t="shared" si="97"/>
        <v>201</v>
      </c>
      <c r="L3123" s="69">
        <f>VLOOKUP(Table_db1_backend_Daily.accdb[[#This Row],[TradingDate]],canon!B:E,4,0)</f>
        <v>28</v>
      </c>
    </row>
    <row r="3124" spans="1:12" x14ac:dyDescent="0.2">
      <c r="A3124" s="69" t="s">
        <v>46</v>
      </c>
      <c r="B3124" s="70">
        <v>42926</v>
      </c>
      <c r="C3124" s="69">
        <v>-4</v>
      </c>
      <c r="D3124" s="69">
        <v>0</v>
      </c>
      <c r="E3124" s="69">
        <v>0</v>
      </c>
      <c r="F3124" s="69">
        <v>0</v>
      </c>
      <c r="G3124" s="69" t="s">
        <v>37</v>
      </c>
      <c r="H3124" s="69" t="str">
        <f>IFERROR(VLOOKUP(Data!$G3124,canon!$I$2:$K$27,2,FALSE),"")</f>
        <v>SHOES</v>
      </c>
      <c r="I3124" s="69" t="str">
        <f>IFERROR(VLOOKUP(Data!$G3124,canon!$I$2:$K$27,3,FALSE),"")</f>
        <v>N.APPAREL</v>
      </c>
      <c r="J3124" s="69">
        <f t="shared" si="96"/>
        <v>2</v>
      </c>
      <c r="K3124" s="69">
        <f t="shared" si="97"/>
        <v>201</v>
      </c>
      <c r="L3124" s="69">
        <f>VLOOKUP(Table_db1_backend_Daily.accdb[[#This Row],[TradingDate]],canon!B:E,4,0)</f>
        <v>28</v>
      </c>
    </row>
    <row r="3125" spans="1:12" x14ac:dyDescent="0.2">
      <c r="A3125" s="69" t="s">
        <v>46</v>
      </c>
      <c r="B3125" s="70">
        <v>42926</v>
      </c>
      <c r="C3125" s="69">
        <v>-35</v>
      </c>
      <c r="D3125" s="69">
        <v>0</v>
      </c>
      <c r="E3125" s="69">
        <v>0</v>
      </c>
      <c r="F3125" s="69">
        <v>0</v>
      </c>
      <c r="G3125" s="69" t="s">
        <v>29</v>
      </c>
      <c r="H3125" s="69" t="str">
        <f>IFERROR(VLOOKUP(Data!$G3125,canon!$I$2:$K$27,2,FALSE),"")</f>
        <v>SHOES</v>
      </c>
      <c r="I3125" s="69" t="str">
        <f>IFERROR(VLOOKUP(Data!$G3125,canon!$I$2:$K$27,3,FALSE),"")</f>
        <v>N.APPAREL</v>
      </c>
      <c r="J3125" s="69">
        <f t="shared" si="96"/>
        <v>2</v>
      </c>
      <c r="K3125" s="69">
        <f t="shared" si="97"/>
        <v>201</v>
      </c>
      <c r="L3125" s="69">
        <f>VLOOKUP(Table_db1_backend_Daily.accdb[[#This Row],[TradingDate]],canon!B:E,4,0)</f>
        <v>28</v>
      </c>
    </row>
    <row r="3126" spans="1:12" x14ac:dyDescent="0.2">
      <c r="A3126" s="69" t="s">
        <v>46</v>
      </c>
      <c r="B3126" s="70">
        <v>42926</v>
      </c>
      <c r="C3126" s="69">
        <v>363</v>
      </c>
      <c r="D3126" s="69">
        <v>4</v>
      </c>
      <c r="E3126" s="69">
        <v>49.960000000000008</v>
      </c>
      <c r="F3126" s="69">
        <v>12.700000000000001</v>
      </c>
      <c r="G3126" s="69" t="s">
        <v>17</v>
      </c>
      <c r="H3126" s="69" t="str">
        <f>IFERROR(VLOOKUP(Data!$G3126,canon!$I$2:$K$27,2,FALSE),"")</f>
        <v>OUTER</v>
      </c>
      <c r="I3126" s="69" t="str">
        <f>IFERROR(VLOOKUP(Data!$G3126,canon!$I$2:$K$27,3,FALSE),"")</f>
        <v>APPAREL</v>
      </c>
      <c r="J3126" s="69">
        <f t="shared" si="96"/>
        <v>2</v>
      </c>
      <c r="K3126" s="69">
        <f t="shared" si="97"/>
        <v>201</v>
      </c>
      <c r="L3126" s="69">
        <f>VLOOKUP(Table_db1_backend_Daily.accdb[[#This Row],[TradingDate]],canon!B:E,4,0)</f>
        <v>28</v>
      </c>
    </row>
    <row r="3127" spans="1:12" x14ac:dyDescent="0.2">
      <c r="A3127" s="69" t="s">
        <v>46</v>
      </c>
      <c r="B3127" s="70">
        <v>42926</v>
      </c>
      <c r="C3127" s="69">
        <v>370</v>
      </c>
      <c r="D3127" s="69">
        <v>1</v>
      </c>
      <c r="E3127" s="69">
        <v>9.08</v>
      </c>
      <c r="F3127" s="69">
        <v>4.41</v>
      </c>
      <c r="G3127" s="69" t="s">
        <v>19</v>
      </c>
      <c r="H3127" s="69" t="str">
        <f>IFERROR(VLOOKUP(Data!$G3127,canon!$I$2:$K$27,2,FALSE),"")</f>
        <v>PANT</v>
      </c>
      <c r="I3127" s="69" t="str">
        <f>IFERROR(VLOOKUP(Data!$G3127,canon!$I$2:$K$27,3,FALSE),"")</f>
        <v>APPAREL</v>
      </c>
      <c r="J3127" s="69">
        <f t="shared" si="96"/>
        <v>2</v>
      </c>
      <c r="K3127" s="69">
        <f t="shared" si="97"/>
        <v>201</v>
      </c>
      <c r="L3127" s="69">
        <f>VLOOKUP(Table_db1_backend_Daily.accdb[[#This Row],[TradingDate]],canon!B:E,4,0)</f>
        <v>28</v>
      </c>
    </row>
    <row r="3128" spans="1:12" x14ac:dyDescent="0.2">
      <c r="A3128" s="69" t="s">
        <v>46</v>
      </c>
      <c r="B3128" s="70">
        <v>42926</v>
      </c>
      <c r="C3128" s="69">
        <v>334</v>
      </c>
      <c r="D3128" s="69">
        <v>2</v>
      </c>
      <c r="E3128" s="69">
        <v>11.82</v>
      </c>
      <c r="F3128" s="69">
        <v>7.4799999999999995</v>
      </c>
      <c r="G3128" s="69" t="s">
        <v>22</v>
      </c>
      <c r="H3128" s="69" t="str">
        <f>IFERROR(VLOOKUP(Data!$G3128,canon!$I$2:$K$27,2,FALSE),"")</f>
        <v>SCARF</v>
      </c>
      <c r="I3128" s="69" t="str">
        <f>IFERROR(VLOOKUP(Data!$G3128,canon!$I$2:$K$27,3,FALSE),"")</f>
        <v>N.APPAREL</v>
      </c>
      <c r="J3128" s="69">
        <f t="shared" si="96"/>
        <v>2</v>
      </c>
      <c r="K3128" s="69">
        <f t="shared" si="97"/>
        <v>201</v>
      </c>
      <c r="L3128" s="69">
        <f>VLOOKUP(Table_db1_backend_Daily.accdb[[#This Row],[TradingDate]],canon!B:E,4,0)</f>
        <v>28</v>
      </c>
    </row>
    <row r="3129" spans="1:12" x14ac:dyDescent="0.2">
      <c r="A3129" s="69" t="s">
        <v>46</v>
      </c>
      <c r="B3129" s="70">
        <v>42926</v>
      </c>
      <c r="C3129" s="69">
        <v>237</v>
      </c>
      <c r="D3129" s="69">
        <v>0</v>
      </c>
      <c r="E3129" s="69">
        <v>0</v>
      </c>
      <c r="F3129" s="69">
        <v>0</v>
      </c>
      <c r="G3129" s="69" t="s">
        <v>23</v>
      </c>
      <c r="H3129" s="69" t="str">
        <f>IFERROR(VLOOKUP(Data!$G3129,canon!$I$2:$K$27,2,FALSE),"")</f>
        <v>SH&amp;BL</v>
      </c>
      <c r="I3129" s="69" t="str">
        <f>IFERROR(VLOOKUP(Data!$G3129,canon!$I$2:$K$27,3,FALSE),"")</f>
        <v>APPAREL</v>
      </c>
      <c r="J3129" s="69">
        <f t="shared" si="96"/>
        <v>2</v>
      </c>
      <c r="K3129" s="69">
        <f t="shared" si="97"/>
        <v>201</v>
      </c>
      <c r="L3129" s="69">
        <f>VLOOKUP(Table_db1_backend_Daily.accdb[[#This Row],[TradingDate]],canon!B:E,4,0)</f>
        <v>28</v>
      </c>
    </row>
    <row r="3130" spans="1:12" x14ac:dyDescent="0.2">
      <c r="A3130" s="69" t="s">
        <v>46</v>
      </c>
      <c r="B3130" s="70">
        <v>42926</v>
      </c>
      <c r="C3130" s="69">
        <v>301</v>
      </c>
      <c r="D3130" s="69">
        <v>4</v>
      </c>
      <c r="E3130" s="69">
        <v>63.5</v>
      </c>
      <c r="F3130" s="69">
        <v>43.72</v>
      </c>
      <c r="G3130" s="69" t="s">
        <v>32</v>
      </c>
      <c r="H3130" s="69" t="str">
        <f>IFERROR(VLOOKUP(Data!$G3130,canon!$I$2:$K$27,2,FALSE),"")</f>
        <v>SKIRT</v>
      </c>
      <c r="I3130" s="69" t="str">
        <f>IFERROR(VLOOKUP(Data!$G3130,canon!$I$2:$K$27,3,FALSE),"")</f>
        <v>APPAREL</v>
      </c>
      <c r="J3130" s="69">
        <f t="shared" si="96"/>
        <v>2</v>
      </c>
      <c r="K3130" s="69">
        <f t="shared" si="97"/>
        <v>201</v>
      </c>
      <c r="L3130" s="69">
        <f>VLOOKUP(Table_db1_backend_Daily.accdb[[#This Row],[TradingDate]],canon!B:E,4,0)</f>
        <v>28</v>
      </c>
    </row>
    <row r="3131" spans="1:12" x14ac:dyDescent="0.2">
      <c r="A3131" s="69" t="s">
        <v>46</v>
      </c>
      <c r="B3131" s="70">
        <v>42926</v>
      </c>
      <c r="C3131" s="69">
        <v>1411</v>
      </c>
      <c r="D3131" s="69">
        <v>26</v>
      </c>
      <c r="E3131" s="69">
        <v>150.01000000000002</v>
      </c>
      <c r="F3131" s="69">
        <v>23.06</v>
      </c>
      <c r="G3131" s="69" t="s">
        <v>25</v>
      </c>
      <c r="H3131" s="69" t="str">
        <f>IFERROR(VLOOKUP(Data!$G3131,canon!$I$2:$K$27,2,FALSE),"")</f>
        <v>TOP</v>
      </c>
      <c r="I3131" s="69" t="str">
        <f>IFERROR(VLOOKUP(Data!$G3131,canon!$I$2:$K$27,3,FALSE),"")</f>
        <v>APPAREL</v>
      </c>
      <c r="J3131" s="69">
        <f t="shared" si="96"/>
        <v>2</v>
      </c>
      <c r="K3131" s="69">
        <f t="shared" si="97"/>
        <v>201</v>
      </c>
      <c r="L3131" s="69">
        <f>VLOOKUP(Table_db1_backend_Daily.accdb[[#This Row],[TradingDate]],canon!B:E,4,0)</f>
        <v>28</v>
      </c>
    </row>
    <row r="3132" spans="1:12" x14ac:dyDescent="0.2">
      <c r="A3132" s="69" t="s">
        <v>46</v>
      </c>
      <c r="B3132" s="70">
        <v>42927</v>
      </c>
      <c r="C3132" s="69">
        <v>-46</v>
      </c>
      <c r="D3132" s="69">
        <v>1</v>
      </c>
      <c r="E3132" s="69">
        <v>4.55</v>
      </c>
      <c r="F3132" s="69">
        <v>1.66</v>
      </c>
      <c r="G3132" s="69" t="s">
        <v>27</v>
      </c>
      <c r="H3132" s="69" t="str">
        <f>IFERROR(VLOOKUP(Data!$G3132,canon!$I$2:$K$27,2,FALSE),"")</f>
        <v>ACCESSORY</v>
      </c>
      <c r="I3132" s="69" t="str">
        <f>IFERROR(VLOOKUP(Data!$G3132,canon!$I$2:$K$27,3,FALSE),"")</f>
        <v>N.APPAREL</v>
      </c>
      <c r="J3132" s="69">
        <f t="shared" si="96"/>
        <v>3</v>
      </c>
      <c r="K3132" s="69">
        <f t="shared" si="97"/>
        <v>201</v>
      </c>
      <c r="L3132" s="69">
        <f>VLOOKUP(Table_db1_backend_Daily.accdb[[#This Row],[TradingDate]],canon!B:E,4,0)</f>
        <v>28</v>
      </c>
    </row>
    <row r="3133" spans="1:12" x14ac:dyDescent="0.2">
      <c r="A3133" s="69" t="s">
        <v>46</v>
      </c>
      <c r="B3133" s="70">
        <v>42927</v>
      </c>
      <c r="C3133" s="69">
        <v>-189</v>
      </c>
      <c r="D3133" s="69">
        <v>0</v>
      </c>
      <c r="E3133" s="69">
        <v>0</v>
      </c>
      <c r="F3133" s="69">
        <v>0</v>
      </c>
      <c r="G3133" s="69" t="s">
        <v>34</v>
      </c>
      <c r="H3133" s="69" t="str">
        <f>IFERROR(VLOOKUP(Data!$G3133,canon!$I$2:$K$27,2,FALSE),"")</f>
        <v>SHOES</v>
      </c>
      <c r="I3133" s="69" t="str">
        <f>IFERROR(VLOOKUP(Data!$G3133,canon!$I$2:$K$27,3,FALSE),"")</f>
        <v>N.APPAREL</v>
      </c>
      <c r="J3133" s="69">
        <f t="shared" si="96"/>
        <v>3</v>
      </c>
      <c r="K3133" s="69">
        <f t="shared" si="97"/>
        <v>201</v>
      </c>
      <c r="L3133" s="69">
        <f>VLOOKUP(Table_db1_backend_Daily.accdb[[#This Row],[TradingDate]],canon!B:E,4,0)</f>
        <v>28</v>
      </c>
    </row>
    <row r="3134" spans="1:12" x14ac:dyDescent="0.2">
      <c r="A3134" s="69" t="s">
        <v>46</v>
      </c>
      <c r="B3134" s="70">
        <v>42927</v>
      </c>
      <c r="C3134" s="69">
        <v>-36</v>
      </c>
      <c r="D3134" s="69">
        <v>0</v>
      </c>
      <c r="E3134" s="69">
        <v>0</v>
      </c>
      <c r="F3134" s="69">
        <v>0</v>
      </c>
      <c r="G3134" s="69" t="s">
        <v>38</v>
      </c>
      <c r="H3134" s="69" t="str">
        <f>IFERROR(VLOOKUP(Data!$G3134,canon!$I$2:$K$27,2,FALSE),"")</f>
        <v>SHOES</v>
      </c>
      <c r="I3134" s="69" t="str">
        <f>IFERROR(VLOOKUP(Data!$G3134,canon!$I$2:$K$27,3,FALSE),"")</f>
        <v>N.APPAREL</v>
      </c>
      <c r="J3134" s="69">
        <f t="shared" si="96"/>
        <v>3</v>
      </c>
      <c r="K3134" s="69">
        <f t="shared" si="97"/>
        <v>201</v>
      </c>
      <c r="L3134" s="69">
        <f>VLOOKUP(Table_db1_backend_Daily.accdb[[#This Row],[TradingDate]],canon!B:E,4,0)</f>
        <v>28</v>
      </c>
    </row>
    <row r="3135" spans="1:12" x14ac:dyDescent="0.2">
      <c r="A3135" s="69" t="s">
        <v>46</v>
      </c>
      <c r="B3135" s="70">
        <v>42927</v>
      </c>
      <c r="C3135" s="69">
        <v>317</v>
      </c>
      <c r="D3135" s="69">
        <v>18</v>
      </c>
      <c r="E3135" s="69">
        <v>213.62</v>
      </c>
      <c r="F3135" s="69">
        <v>64.490000000000009</v>
      </c>
      <c r="G3135" s="69" t="s">
        <v>35</v>
      </c>
      <c r="H3135" s="69" t="str">
        <f>IFERROR(VLOOKUP(Data!$G3135,canon!$I$2:$K$27,2,FALSE),"")</f>
        <v>DRESS</v>
      </c>
      <c r="I3135" s="69" t="str">
        <f>IFERROR(VLOOKUP(Data!$G3135,canon!$I$2:$K$27,3,FALSE),"")</f>
        <v>APPAREL</v>
      </c>
      <c r="J3135" s="69">
        <f t="shared" si="96"/>
        <v>3</v>
      </c>
      <c r="K3135" s="69">
        <f t="shared" si="97"/>
        <v>201</v>
      </c>
      <c r="L3135" s="69">
        <f>VLOOKUP(Table_db1_backend_Daily.accdb[[#This Row],[TradingDate]],canon!B:E,4,0)</f>
        <v>28</v>
      </c>
    </row>
    <row r="3136" spans="1:12" x14ac:dyDescent="0.2">
      <c r="A3136" s="69" t="s">
        <v>46</v>
      </c>
      <c r="B3136" s="70">
        <v>42927</v>
      </c>
      <c r="C3136" s="69">
        <v>45</v>
      </c>
      <c r="D3136" s="69">
        <v>0</v>
      </c>
      <c r="E3136" s="69">
        <v>0</v>
      </c>
      <c r="F3136" s="69">
        <v>0</v>
      </c>
      <c r="G3136" s="69" t="s">
        <v>10</v>
      </c>
      <c r="H3136" s="69" t="str">
        <f>IFERROR(VLOOKUP(Data!$G3136,canon!$I$2:$K$27,2,FALSE),"")</f>
        <v>ACCESSORY</v>
      </c>
      <c r="I3136" s="69" t="str">
        <f>IFERROR(VLOOKUP(Data!$G3136,canon!$I$2:$K$27,3,FALSE),"")</f>
        <v>N.APPAREL</v>
      </c>
      <c r="J3136" s="69">
        <f t="shared" si="96"/>
        <v>3</v>
      </c>
      <c r="K3136" s="69">
        <f t="shared" si="97"/>
        <v>201</v>
      </c>
      <c r="L3136" s="69">
        <f>VLOOKUP(Table_db1_backend_Daily.accdb[[#This Row],[TradingDate]],canon!B:E,4,0)</f>
        <v>28</v>
      </c>
    </row>
    <row r="3137" spans="1:12" x14ac:dyDescent="0.2">
      <c r="A3137" s="69" t="s">
        <v>46</v>
      </c>
      <c r="B3137" s="70">
        <v>42927</v>
      </c>
      <c r="C3137" s="69">
        <v>2220</v>
      </c>
      <c r="D3137" s="69">
        <v>69</v>
      </c>
      <c r="E3137" s="69">
        <v>731.63</v>
      </c>
      <c r="F3137" s="69">
        <v>176.48000000000002</v>
      </c>
      <c r="G3137" s="69" t="s">
        <v>11</v>
      </c>
      <c r="H3137" s="69" t="str">
        <f>IFERROR(VLOOKUP(Data!$G3137,canon!$I$2:$K$27,2,FALSE),"")</f>
        <v>KNIT</v>
      </c>
      <c r="I3137" s="69" t="str">
        <f>IFERROR(VLOOKUP(Data!$G3137,canon!$I$2:$K$27,3,FALSE),"")</f>
        <v>APPAREL</v>
      </c>
      <c r="J3137" s="69">
        <f t="shared" si="96"/>
        <v>3</v>
      </c>
      <c r="K3137" s="69">
        <f t="shared" si="97"/>
        <v>201</v>
      </c>
      <c r="L3137" s="69">
        <f>VLOOKUP(Table_db1_backend_Daily.accdb[[#This Row],[TradingDate]],canon!B:E,4,0)</f>
        <v>28</v>
      </c>
    </row>
    <row r="3138" spans="1:12" x14ac:dyDescent="0.2">
      <c r="A3138" s="69" t="s">
        <v>46</v>
      </c>
      <c r="B3138" s="70">
        <v>42927</v>
      </c>
      <c r="C3138" s="69">
        <v>319</v>
      </c>
      <c r="D3138" s="69">
        <v>1</v>
      </c>
      <c r="E3138" s="69">
        <v>18.16</v>
      </c>
      <c r="F3138" s="69">
        <v>10.77</v>
      </c>
      <c r="G3138" s="69" t="s">
        <v>14</v>
      </c>
      <c r="H3138" s="69" t="str">
        <f>IFERROR(VLOOKUP(Data!$G3138,canon!$I$2:$K$27,2,FALSE),"")</f>
        <v>LEGGING</v>
      </c>
      <c r="I3138" s="69" t="str">
        <f>IFERROR(VLOOKUP(Data!$G3138,canon!$I$2:$K$27,3,FALSE),"")</f>
        <v>APPAREL</v>
      </c>
      <c r="J3138" s="69">
        <f t="shared" ref="J3138:J3201" si="98">WEEKDAY(B3138)</f>
        <v>3</v>
      </c>
      <c r="K3138" s="69">
        <f t="shared" ref="K3138:K3201" si="99">INT(A3138)</f>
        <v>201</v>
      </c>
      <c r="L3138" s="69">
        <f>VLOOKUP(Table_db1_backend_Daily.accdb[[#This Row],[TradingDate]],canon!B:E,4,0)</f>
        <v>28</v>
      </c>
    </row>
    <row r="3139" spans="1:12" x14ac:dyDescent="0.2">
      <c r="A3139" s="69" t="s">
        <v>46</v>
      </c>
      <c r="B3139" s="70">
        <v>42927</v>
      </c>
      <c r="C3139" s="69">
        <v>-4</v>
      </c>
      <c r="D3139" s="69">
        <v>0</v>
      </c>
      <c r="E3139" s="69">
        <v>0</v>
      </c>
      <c r="F3139" s="69">
        <v>0</v>
      </c>
      <c r="G3139" s="69" t="s">
        <v>37</v>
      </c>
      <c r="H3139" s="69" t="str">
        <f>IFERROR(VLOOKUP(Data!$G3139,canon!$I$2:$K$27,2,FALSE),"")</f>
        <v>SHOES</v>
      </c>
      <c r="I3139" s="69" t="str">
        <f>IFERROR(VLOOKUP(Data!$G3139,canon!$I$2:$K$27,3,FALSE),"")</f>
        <v>N.APPAREL</v>
      </c>
      <c r="J3139" s="69">
        <f t="shared" si="98"/>
        <v>3</v>
      </c>
      <c r="K3139" s="69">
        <f t="shared" si="99"/>
        <v>201</v>
      </c>
      <c r="L3139" s="69">
        <f>VLOOKUP(Table_db1_backend_Daily.accdb[[#This Row],[TradingDate]],canon!B:E,4,0)</f>
        <v>28</v>
      </c>
    </row>
    <row r="3140" spans="1:12" x14ac:dyDescent="0.2">
      <c r="A3140" s="69" t="s">
        <v>46</v>
      </c>
      <c r="B3140" s="70">
        <v>42927</v>
      </c>
      <c r="C3140" s="69">
        <v>-35</v>
      </c>
      <c r="D3140" s="69">
        <v>0</v>
      </c>
      <c r="E3140" s="69">
        <v>0</v>
      </c>
      <c r="F3140" s="69">
        <v>0</v>
      </c>
      <c r="G3140" s="69" t="s">
        <v>29</v>
      </c>
      <c r="H3140" s="69" t="str">
        <f>IFERROR(VLOOKUP(Data!$G3140,canon!$I$2:$K$27,2,FALSE),"")</f>
        <v>SHOES</v>
      </c>
      <c r="I3140" s="69" t="str">
        <f>IFERROR(VLOOKUP(Data!$G3140,canon!$I$2:$K$27,3,FALSE),"")</f>
        <v>N.APPAREL</v>
      </c>
      <c r="J3140" s="69">
        <f t="shared" si="98"/>
        <v>3</v>
      </c>
      <c r="K3140" s="69">
        <f t="shared" si="99"/>
        <v>201</v>
      </c>
      <c r="L3140" s="69">
        <f>VLOOKUP(Table_db1_backend_Daily.accdb[[#This Row],[TradingDate]],canon!B:E,4,0)</f>
        <v>28</v>
      </c>
    </row>
    <row r="3141" spans="1:12" x14ac:dyDescent="0.2">
      <c r="A3141" s="69" t="s">
        <v>46</v>
      </c>
      <c r="B3141" s="70">
        <v>42927</v>
      </c>
      <c r="C3141" s="69">
        <v>384</v>
      </c>
      <c r="D3141" s="69">
        <v>3</v>
      </c>
      <c r="E3141" s="69">
        <v>36.370000000000005</v>
      </c>
      <c r="F3141" s="69">
        <v>9.59</v>
      </c>
      <c r="G3141" s="69" t="s">
        <v>17</v>
      </c>
      <c r="H3141" s="69" t="str">
        <f>IFERROR(VLOOKUP(Data!$G3141,canon!$I$2:$K$27,2,FALSE),"")</f>
        <v>OUTER</v>
      </c>
      <c r="I3141" s="69" t="str">
        <f>IFERROR(VLOOKUP(Data!$G3141,canon!$I$2:$K$27,3,FALSE),"")</f>
        <v>APPAREL</v>
      </c>
      <c r="J3141" s="69">
        <f t="shared" si="98"/>
        <v>3</v>
      </c>
      <c r="K3141" s="69">
        <f t="shared" si="99"/>
        <v>201</v>
      </c>
      <c r="L3141" s="69">
        <f>VLOOKUP(Table_db1_backend_Daily.accdb[[#This Row],[TradingDate]],canon!B:E,4,0)</f>
        <v>28</v>
      </c>
    </row>
    <row r="3142" spans="1:12" x14ac:dyDescent="0.2">
      <c r="A3142" s="69" t="s">
        <v>46</v>
      </c>
      <c r="B3142" s="70">
        <v>42927</v>
      </c>
      <c r="C3142" s="69">
        <v>366</v>
      </c>
      <c r="D3142" s="69">
        <v>4</v>
      </c>
      <c r="E3142" s="69">
        <v>45.45</v>
      </c>
      <c r="F3142" s="69">
        <v>18.43</v>
      </c>
      <c r="G3142" s="69" t="s">
        <v>19</v>
      </c>
      <c r="H3142" s="69" t="str">
        <f>IFERROR(VLOOKUP(Data!$G3142,canon!$I$2:$K$27,2,FALSE),"")</f>
        <v>PANT</v>
      </c>
      <c r="I3142" s="69" t="str">
        <f>IFERROR(VLOOKUP(Data!$G3142,canon!$I$2:$K$27,3,FALSE),"")</f>
        <v>APPAREL</v>
      </c>
      <c r="J3142" s="69">
        <f t="shared" si="98"/>
        <v>3</v>
      </c>
      <c r="K3142" s="69">
        <f t="shared" si="99"/>
        <v>201</v>
      </c>
      <c r="L3142" s="69">
        <f>VLOOKUP(Table_db1_backend_Daily.accdb[[#This Row],[TradingDate]],canon!B:E,4,0)</f>
        <v>28</v>
      </c>
    </row>
    <row r="3143" spans="1:12" x14ac:dyDescent="0.2">
      <c r="A3143" s="69" t="s">
        <v>46</v>
      </c>
      <c r="B3143" s="70">
        <v>42927</v>
      </c>
      <c r="C3143" s="69">
        <v>333</v>
      </c>
      <c r="D3143" s="69">
        <v>1</v>
      </c>
      <c r="E3143" s="69">
        <v>4.55</v>
      </c>
      <c r="F3143" s="69">
        <v>2.38</v>
      </c>
      <c r="G3143" s="69" t="s">
        <v>22</v>
      </c>
      <c r="H3143" s="69" t="str">
        <f>IFERROR(VLOOKUP(Data!$G3143,canon!$I$2:$K$27,2,FALSE),"")</f>
        <v>SCARF</v>
      </c>
      <c r="I3143" s="69" t="str">
        <f>IFERROR(VLOOKUP(Data!$G3143,canon!$I$2:$K$27,3,FALSE),"")</f>
        <v>N.APPAREL</v>
      </c>
      <c r="J3143" s="69">
        <f t="shared" si="98"/>
        <v>3</v>
      </c>
      <c r="K3143" s="69">
        <f t="shared" si="99"/>
        <v>201</v>
      </c>
      <c r="L3143" s="69">
        <f>VLOOKUP(Table_db1_backend_Daily.accdb[[#This Row],[TradingDate]],canon!B:E,4,0)</f>
        <v>28</v>
      </c>
    </row>
    <row r="3144" spans="1:12" x14ac:dyDescent="0.2">
      <c r="A3144" s="69" t="s">
        <v>46</v>
      </c>
      <c r="B3144" s="70">
        <v>42927</v>
      </c>
      <c r="C3144" s="69">
        <v>249</v>
      </c>
      <c r="D3144" s="69">
        <v>0</v>
      </c>
      <c r="E3144" s="69">
        <v>0</v>
      </c>
      <c r="F3144" s="69">
        <v>0</v>
      </c>
      <c r="G3144" s="69" t="s">
        <v>23</v>
      </c>
      <c r="H3144" s="69" t="str">
        <f>IFERROR(VLOOKUP(Data!$G3144,canon!$I$2:$K$27,2,FALSE),"")</f>
        <v>SH&amp;BL</v>
      </c>
      <c r="I3144" s="69" t="str">
        <f>IFERROR(VLOOKUP(Data!$G3144,canon!$I$2:$K$27,3,FALSE),"")</f>
        <v>APPAREL</v>
      </c>
      <c r="J3144" s="69">
        <f t="shared" si="98"/>
        <v>3</v>
      </c>
      <c r="K3144" s="69">
        <f t="shared" si="99"/>
        <v>201</v>
      </c>
      <c r="L3144" s="69">
        <f>VLOOKUP(Table_db1_backend_Daily.accdb[[#This Row],[TradingDate]],canon!B:E,4,0)</f>
        <v>28</v>
      </c>
    </row>
    <row r="3145" spans="1:12" x14ac:dyDescent="0.2">
      <c r="A3145" s="69" t="s">
        <v>46</v>
      </c>
      <c r="B3145" s="70">
        <v>42927</v>
      </c>
      <c r="C3145" s="69">
        <v>299</v>
      </c>
      <c r="D3145" s="69">
        <v>2</v>
      </c>
      <c r="E3145" s="69">
        <v>36.36</v>
      </c>
      <c r="F3145" s="69">
        <v>26.36</v>
      </c>
      <c r="G3145" s="69" t="s">
        <v>32</v>
      </c>
      <c r="H3145" s="69" t="str">
        <f>IFERROR(VLOOKUP(Data!$G3145,canon!$I$2:$K$27,2,FALSE),"")</f>
        <v>SKIRT</v>
      </c>
      <c r="I3145" s="69" t="str">
        <f>IFERROR(VLOOKUP(Data!$G3145,canon!$I$2:$K$27,3,FALSE),"")</f>
        <v>APPAREL</v>
      </c>
      <c r="J3145" s="69">
        <f t="shared" si="98"/>
        <v>3</v>
      </c>
      <c r="K3145" s="69">
        <f t="shared" si="99"/>
        <v>201</v>
      </c>
      <c r="L3145" s="69">
        <f>VLOOKUP(Table_db1_backend_Daily.accdb[[#This Row],[TradingDate]],canon!B:E,4,0)</f>
        <v>28</v>
      </c>
    </row>
    <row r="3146" spans="1:12" x14ac:dyDescent="0.2">
      <c r="A3146" s="69" t="s">
        <v>46</v>
      </c>
      <c r="B3146" s="70">
        <v>42927</v>
      </c>
      <c r="C3146" s="69">
        <v>1440</v>
      </c>
      <c r="D3146" s="69">
        <v>49</v>
      </c>
      <c r="E3146" s="69">
        <v>295.5</v>
      </c>
      <c r="F3146" s="69">
        <v>46.400000000000006</v>
      </c>
      <c r="G3146" s="69" t="s">
        <v>25</v>
      </c>
      <c r="H3146" s="69" t="str">
        <f>IFERROR(VLOOKUP(Data!$G3146,canon!$I$2:$K$27,2,FALSE),"")</f>
        <v>TOP</v>
      </c>
      <c r="I3146" s="69" t="str">
        <f>IFERROR(VLOOKUP(Data!$G3146,canon!$I$2:$K$27,3,FALSE),"")</f>
        <v>APPAREL</v>
      </c>
      <c r="J3146" s="69">
        <f t="shared" si="98"/>
        <v>3</v>
      </c>
      <c r="K3146" s="69">
        <f t="shared" si="99"/>
        <v>201</v>
      </c>
      <c r="L3146" s="69">
        <f>VLOOKUP(Table_db1_backend_Daily.accdb[[#This Row],[TradingDate]],canon!B:E,4,0)</f>
        <v>28</v>
      </c>
    </row>
    <row r="3147" spans="1:12" x14ac:dyDescent="0.2">
      <c r="A3147" s="69" t="s">
        <v>46</v>
      </c>
      <c r="B3147" s="70">
        <v>42928</v>
      </c>
      <c r="C3147" s="69">
        <v>-49</v>
      </c>
      <c r="D3147" s="69">
        <v>3</v>
      </c>
      <c r="E3147" s="69">
        <v>13.65</v>
      </c>
      <c r="F3147" s="69">
        <v>4.9800000000000004</v>
      </c>
      <c r="G3147" s="69" t="s">
        <v>27</v>
      </c>
      <c r="H3147" s="69" t="str">
        <f>IFERROR(VLOOKUP(Data!$G3147,canon!$I$2:$K$27,2,FALSE),"")</f>
        <v>ACCESSORY</v>
      </c>
      <c r="I3147" s="69" t="str">
        <f>IFERROR(VLOOKUP(Data!$G3147,canon!$I$2:$K$27,3,FALSE),"")</f>
        <v>N.APPAREL</v>
      </c>
      <c r="J3147" s="69">
        <f t="shared" si="98"/>
        <v>4</v>
      </c>
      <c r="K3147" s="69">
        <f t="shared" si="99"/>
        <v>201</v>
      </c>
      <c r="L3147" s="69">
        <f>VLOOKUP(Table_db1_backend_Daily.accdb[[#This Row],[TradingDate]],canon!B:E,4,0)</f>
        <v>28</v>
      </c>
    </row>
    <row r="3148" spans="1:12" x14ac:dyDescent="0.2">
      <c r="A3148" s="69" t="s">
        <v>46</v>
      </c>
      <c r="B3148" s="70">
        <v>42928</v>
      </c>
      <c r="C3148" s="69">
        <v>-189</v>
      </c>
      <c r="D3148" s="69">
        <v>0</v>
      </c>
      <c r="E3148" s="69">
        <v>0</v>
      </c>
      <c r="F3148" s="69">
        <v>0</v>
      </c>
      <c r="G3148" s="69" t="s">
        <v>34</v>
      </c>
      <c r="H3148" s="69" t="str">
        <f>IFERROR(VLOOKUP(Data!$G3148,canon!$I$2:$K$27,2,FALSE),"")</f>
        <v>SHOES</v>
      </c>
      <c r="I3148" s="69" t="str">
        <f>IFERROR(VLOOKUP(Data!$G3148,canon!$I$2:$K$27,3,FALSE),"")</f>
        <v>N.APPAREL</v>
      </c>
      <c r="J3148" s="69">
        <f t="shared" si="98"/>
        <v>4</v>
      </c>
      <c r="K3148" s="69">
        <f t="shared" si="99"/>
        <v>201</v>
      </c>
      <c r="L3148" s="69">
        <f>VLOOKUP(Table_db1_backend_Daily.accdb[[#This Row],[TradingDate]],canon!B:E,4,0)</f>
        <v>28</v>
      </c>
    </row>
    <row r="3149" spans="1:12" x14ac:dyDescent="0.2">
      <c r="A3149" s="69" t="s">
        <v>46</v>
      </c>
      <c r="B3149" s="70">
        <v>42928</v>
      </c>
      <c r="C3149" s="69">
        <v>-36</v>
      </c>
      <c r="D3149" s="69">
        <v>0</v>
      </c>
      <c r="E3149" s="69">
        <v>0</v>
      </c>
      <c r="F3149" s="69">
        <v>0</v>
      </c>
      <c r="G3149" s="69" t="s">
        <v>38</v>
      </c>
      <c r="H3149" s="69" t="str">
        <f>IFERROR(VLOOKUP(Data!$G3149,canon!$I$2:$K$27,2,FALSE),"")</f>
        <v>SHOES</v>
      </c>
      <c r="I3149" s="69" t="str">
        <f>IFERROR(VLOOKUP(Data!$G3149,canon!$I$2:$K$27,3,FALSE),"")</f>
        <v>N.APPAREL</v>
      </c>
      <c r="J3149" s="69">
        <f t="shared" si="98"/>
        <v>4</v>
      </c>
      <c r="K3149" s="69">
        <f t="shared" si="99"/>
        <v>201</v>
      </c>
      <c r="L3149" s="69">
        <f>VLOOKUP(Table_db1_backend_Daily.accdb[[#This Row],[TradingDate]],canon!B:E,4,0)</f>
        <v>28</v>
      </c>
    </row>
    <row r="3150" spans="1:12" x14ac:dyDescent="0.2">
      <c r="A3150" s="69" t="s">
        <v>46</v>
      </c>
      <c r="B3150" s="70">
        <v>42928</v>
      </c>
      <c r="C3150" s="69">
        <v>304</v>
      </c>
      <c r="D3150" s="69">
        <v>13</v>
      </c>
      <c r="E3150" s="69">
        <v>118.17</v>
      </c>
      <c r="F3150" s="69">
        <v>9.0299999999999994</v>
      </c>
      <c r="G3150" s="69" t="s">
        <v>35</v>
      </c>
      <c r="H3150" s="69" t="str">
        <f>IFERROR(VLOOKUP(Data!$G3150,canon!$I$2:$K$27,2,FALSE),"")</f>
        <v>DRESS</v>
      </c>
      <c r="I3150" s="69" t="str">
        <f>IFERROR(VLOOKUP(Data!$G3150,canon!$I$2:$K$27,3,FALSE),"")</f>
        <v>APPAREL</v>
      </c>
      <c r="J3150" s="69">
        <f t="shared" si="98"/>
        <v>4</v>
      </c>
      <c r="K3150" s="69">
        <f t="shared" si="99"/>
        <v>201</v>
      </c>
      <c r="L3150" s="69">
        <f>VLOOKUP(Table_db1_backend_Daily.accdb[[#This Row],[TradingDate]],canon!B:E,4,0)</f>
        <v>28</v>
      </c>
    </row>
    <row r="3151" spans="1:12" x14ac:dyDescent="0.2">
      <c r="A3151" s="69" t="s">
        <v>46</v>
      </c>
      <c r="B3151" s="70">
        <v>42928</v>
      </c>
      <c r="C3151" s="69">
        <v>45</v>
      </c>
      <c r="D3151" s="69">
        <v>0</v>
      </c>
      <c r="E3151" s="69">
        <v>0</v>
      </c>
      <c r="F3151" s="69">
        <v>0</v>
      </c>
      <c r="G3151" s="69" t="s">
        <v>10</v>
      </c>
      <c r="H3151" s="69" t="str">
        <f>IFERROR(VLOOKUP(Data!$G3151,canon!$I$2:$K$27,2,FALSE),"")</f>
        <v>ACCESSORY</v>
      </c>
      <c r="I3151" s="69" t="str">
        <f>IFERROR(VLOOKUP(Data!$G3151,canon!$I$2:$K$27,3,FALSE),"")</f>
        <v>N.APPAREL</v>
      </c>
      <c r="J3151" s="69">
        <f t="shared" si="98"/>
        <v>4</v>
      </c>
      <c r="K3151" s="69">
        <f t="shared" si="99"/>
        <v>201</v>
      </c>
      <c r="L3151" s="69">
        <f>VLOOKUP(Table_db1_backend_Daily.accdb[[#This Row],[TradingDate]],canon!B:E,4,0)</f>
        <v>28</v>
      </c>
    </row>
    <row r="3152" spans="1:12" x14ac:dyDescent="0.2">
      <c r="A3152" s="69" t="s">
        <v>46</v>
      </c>
      <c r="B3152" s="70">
        <v>42928</v>
      </c>
      <c r="C3152" s="69">
        <v>2166</v>
      </c>
      <c r="D3152" s="69">
        <v>54</v>
      </c>
      <c r="E3152" s="69">
        <v>536.18999999999994</v>
      </c>
      <c r="F3152" s="69">
        <v>129.69999999999999</v>
      </c>
      <c r="G3152" s="69" t="s">
        <v>11</v>
      </c>
      <c r="H3152" s="69" t="str">
        <f>IFERROR(VLOOKUP(Data!$G3152,canon!$I$2:$K$27,2,FALSE),"")</f>
        <v>KNIT</v>
      </c>
      <c r="I3152" s="69" t="str">
        <f>IFERROR(VLOOKUP(Data!$G3152,canon!$I$2:$K$27,3,FALSE),"")</f>
        <v>APPAREL</v>
      </c>
      <c r="J3152" s="69">
        <f t="shared" si="98"/>
        <v>4</v>
      </c>
      <c r="K3152" s="69">
        <f t="shared" si="99"/>
        <v>201</v>
      </c>
      <c r="L3152" s="69">
        <f>VLOOKUP(Table_db1_backend_Daily.accdb[[#This Row],[TradingDate]],canon!B:E,4,0)</f>
        <v>28</v>
      </c>
    </row>
    <row r="3153" spans="1:12" x14ac:dyDescent="0.2">
      <c r="A3153" s="69" t="s">
        <v>46</v>
      </c>
      <c r="B3153" s="70">
        <v>42928</v>
      </c>
      <c r="C3153" s="69">
        <v>316</v>
      </c>
      <c r="D3153" s="69">
        <v>3</v>
      </c>
      <c r="E3153" s="69">
        <v>54.53</v>
      </c>
      <c r="F3153" s="69">
        <v>33.880000000000003</v>
      </c>
      <c r="G3153" s="69" t="s">
        <v>14</v>
      </c>
      <c r="H3153" s="69" t="str">
        <f>IFERROR(VLOOKUP(Data!$G3153,canon!$I$2:$K$27,2,FALSE),"")</f>
        <v>LEGGING</v>
      </c>
      <c r="I3153" s="69" t="str">
        <f>IFERROR(VLOOKUP(Data!$G3153,canon!$I$2:$K$27,3,FALSE),"")</f>
        <v>APPAREL</v>
      </c>
      <c r="J3153" s="69">
        <f t="shared" si="98"/>
        <v>4</v>
      </c>
      <c r="K3153" s="69">
        <f t="shared" si="99"/>
        <v>201</v>
      </c>
      <c r="L3153" s="69">
        <f>VLOOKUP(Table_db1_backend_Daily.accdb[[#This Row],[TradingDate]],canon!B:E,4,0)</f>
        <v>28</v>
      </c>
    </row>
    <row r="3154" spans="1:12" x14ac:dyDescent="0.2">
      <c r="A3154" s="69" t="s">
        <v>46</v>
      </c>
      <c r="B3154" s="70">
        <v>42928</v>
      </c>
      <c r="C3154" s="69">
        <v>-4</v>
      </c>
      <c r="D3154" s="69">
        <v>0</v>
      </c>
      <c r="E3154" s="69">
        <v>0</v>
      </c>
      <c r="F3154" s="69">
        <v>0</v>
      </c>
      <c r="G3154" s="69" t="s">
        <v>37</v>
      </c>
      <c r="H3154" s="69" t="str">
        <f>IFERROR(VLOOKUP(Data!$G3154,canon!$I$2:$K$27,2,FALSE),"")</f>
        <v>SHOES</v>
      </c>
      <c r="I3154" s="69" t="str">
        <f>IFERROR(VLOOKUP(Data!$G3154,canon!$I$2:$K$27,3,FALSE),"")</f>
        <v>N.APPAREL</v>
      </c>
      <c r="J3154" s="69">
        <f t="shared" si="98"/>
        <v>4</v>
      </c>
      <c r="K3154" s="69">
        <f t="shared" si="99"/>
        <v>201</v>
      </c>
      <c r="L3154" s="69">
        <f>VLOOKUP(Table_db1_backend_Daily.accdb[[#This Row],[TradingDate]],canon!B:E,4,0)</f>
        <v>28</v>
      </c>
    </row>
    <row r="3155" spans="1:12" x14ac:dyDescent="0.2">
      <c r="A3155" s="69" t="s">
        <v>46</v>
      </c>
      <c r="B3155" s="70">
        <v>42928</v>
      </c>
      <c r="C3155" s="69">
        <v>-35</v>
      </c>
      <c r="D3155" s="69">
        <v>0</v>
      </c>
      <c r="E3155" s="69">
        <v>0</v>
      </c>
      <c r="F3155" s="69">
        <v>0</v>
      </c>
      <c r="G3155" s="69" t="s">
        <v>29</v>
      </c>
      <c r="H3155" s="69" t="str">
        <f>IFERROR(VLOOKUP(Data!$G3155,canon!$I$2:$K$27,2,FALSE),"")</f>
        <v>SHOES</v>
      </c>
      <c r="I3155" s="69" t="str">
        <f>IFERROR(VLOOKUP(Data!$G3155,canon!$I$2:$K$27,3,FALSE),"")</f>
        <v>N.APPAREL</v>
      </c>
      <c r="J3155" s="69">
        <f t="shared" si="98"/>
        <v>4</v>
      </c>
      <c r="K3155" s="69">
        <f t="shared" si="99"/>
        <v>201</v>
      </c>
      <c r="L3155" s="69">
        <f>VLOOKUP(Table_db1_backend_Daily.accdb[[#This Row],[TradingDate]],canon!B:E,4,0)</f>
        <v>28</v>
      </c>
    </row>
    <row r="3156" spans="1:12" x14ac:dyDescent="0.2">
      <c r="A3156" s="69" t="s">
        <v>46</v>
      </c>
      <c r="B3156" s="70">
        <v>42928</v>
      </c>
      <c r="C3156" s="69">
        <v>381</v>
      </c>
      <c r="D3156" s="69">
        <v>3</v>
      </c>
      <c r="E3156" s="69">
        <v>36.26</v>
      </c>
      <c r="F3156" s="69">
        <v>8.83</v>
      </c>
      <c r="G3156" s="69" t="s">
        <v>17</v>
      </c>
      <c r="H3156" s="69" t="str">
        <f>IFERROR(VLOOKUP(Data!$G3156,canon!$I$2:$K$27,2,FALSE),"")</f>
        <v>OUTER</v>
      </c>
      <c r="I3156" s="69" t="str">
        <f>IFERROR(VLOOKUP(Data!$G3156,canon!$I$2:$K$27,3,FALSE),"")</f>
        <v>APPAREL</v>
      </c>
      <c r="J3156" s="69">
        <f t="shared" si="98"/>
        <v>4</v>
      </c>
      <c r="K3156" s="69">
        <f t="shared" si="99"/>
        <v>201</v>
      </c>
      <c r="L3156" s="69">
        <f>VLOOKUP(Table_db1_backend_Daily.accdb[[#This Row],[TradingDate]],canon!B:E,4,0)</f>
        <v>28</v>
      </c>
    </row>
    <row r="3157" spans="1:12" x14ac:dyDescent="0.2">
      <c r="A3157" s="69" t="s">
        <v>46</v>
      </c>
      <c r="B3157" s="70">
        <v>42928</v>
      </c>
      <c r="C3157" s="69">
        <v>366</v>
      </c>
      <c r="D3157" s="69">
        <v>0</v>
      </c>
      <c r="E3157" s="69">
        <v>0</v>
      </c>
      <c r="F3157" s="69">
        <v>0</v>
      </c>
      <c r="G3157" s="69" t="s">
        <v>19</v>
      </c>
      <c r="H3157" s="69" t="str">
        <f>IFERROR(VLOOKUP(Data!$G3157,canon!$I$2:$K$27,2,FALSE),"")</f>
        <v>PANT</v>
      </c>
      <c r="I3157" s="69" t="str">
        <f>IFERROR(VLOOKUP(Data!$G3157,canon!$I$2:$K$27,3,FALSE),"")</f>
        <v>APPAREL</v>
      </c>
      <c r="J3157" s="69">
        <f t="shared" si="98"/>
        <v>4</v>
      </c>
      <c r="K3157" s="69">
        <f t="shared" si="99"/>
        <v>201</v>
      </c>
      <c r="L3157" s="69">
        <f>VLOOKUP(Table_db1_backend_Daily.accdb[[#This Row],[TradingDate]],canon!B:E,4,0)</f>
        <v>28</v>
      </c>
    </row>
    <row r="3158" spans="1:12" x14ac:dyDescent="0.2">
      <c r="A3158" s="69" t="s">
        <v>46</v>
      </c>
      <c r="B3158" s="70">
        <v>42928</v>
      </c>
      <c r="C3158" s="69">
        <v>331</v>
      </c>
      <c r="D3158" s="69">
        <v>2</v>
      </c>
      <c r="E3158" s="69">
        <v>9.1</v>
      </c>
      <c r="F3158" s="69">
        <v>5.41</v>
      </c>
      <c r="G3158" s="69" t="s">
        <v>22</v>
      </c>
      <c r="H3158" s="69" t="str">
        <f>IFERROR(VLOOKUP(Data!$G3158,canon!$I$2:$K$27,2,FALSE),"")</f>
        <v>SCARF</v>
      </c>
      <c r="I3158" s="69" t="str">
        <f>IFERROR(VLOOKUP(Data!$G3158,canon!$I$2:$K$27,3,FALSE),"")</f>
        <v>N.APPAREL</v>
      </c>
      <c r="J3158" s="69">
        <f t="shared" si="98"/>
        <v>4</v>
      </c>
      <c r="K3158" s="69">
        <f t="shared" si="99"/>
        <v>201</v>
      </c>
      <c r="L3158" s="69">
        <f>VLOOKUP(Table_db1_backend_Daily.accdb[[#This Row],[TradingDate]],canon!B:E,4,0)</f>
        <v>28</v>
      </c>
    </row>
    <row r="3159" spans="1:12" x14ac:dyDescent="0.2">
      <c r="A3159" s="69" t="s">
        <v>46</v>
      </c>
      <c r="B3159" s="70">
        <v>42928</v>
      </c>
      <c r="C3159" s="69">
        <v>248</v>
      </c>
      <c r="D3159" s="69">
        <v>1</v>
      </c>
      <c r="E3159" s="69">
        <v>18.18</v>
      </c>
      <c r="F3159" s="69">
        <v>9.6999999999999993</v>
      </c>
      <c r="G3159" s="69" t="s">
        <v>23</v>
      </c>
      <c r="H3159" s="69" t="str">
        <f>IFERROR(VLOOKUP(Data!$G3159,canon!$I$2:$K$27,2,FALSE),"")</f>
        <v>SH&amp;BL</v>
      </c>
      <c r="I3159" s="69" t="str">
        <f>IFERROR(VLOOKUP(Data!$G3159,canon!$I$2:$K$27,3,FALSE),"")</f>
        <v>APPAREL</v>
      </c>
      <c r="J3159" s="69">
        <f t="shared" si="98"/>
        <v>4</v>
      </c>
      <c r="K3159" s="69">
        <f t="shared" si="99"/>
        <v>201</v>
      </c>
      <c r="L3159" s="69">
        <f>VLOOKUP(Table_db1_backend_Daily.accdb[[#This Row],[TradingDate]],canon!B:E,4,0)</f>
        <v>28</v>
      </c>
    </row>
    <row r="3160" spans="1:12" x14ac:dyDescent="0.2">
      <c r="A3160" s="69" t="s">
        <v>46</v>
      </c>
      <c r="B3160" s="70">
        <v>42928</v>
      </c>
      <c r="C3160" s="69">
        <v>297</v>
      </c>
      <c r="D3160" s="69">
        <v>2</v>
      </c>
      <c r="E3160" s="69">
        <v>36.299999999999997</v>
      </c>
      <c r="F3160" s="69">
        <v>26.73</v>
      </c>
      <c r="G3160" s="69" t="s">
        <v>32</v>
      </c>
      <c r="H3160" s="69" t="str">
        <f>IFERROR(VLOOKUP(Data!$G3160,canon!$I$2:$K$27,2,FALSE),"")</f>
        <v>SKIRT</v>
      </c>
      <c r="I3160" s="69" t="str">
        <f>IFERROR(VLOOKUP(Data!$G3160,canon!$I$2:$K$27,3,FALSE),"")</f>
        <v>APPAREL</v>
      </c>
      <c r="J3160" s="69">
        <f t="shared" si="98"/>
        <v>4</v>
      </c>
      <c r="K3160" s="69">
        <f t="shared" si="99"/>
        <v>201</v>
      </c>
      <c r="L3160" s="69">
        <f>VLOOKUP(Table_db1_backend_Daily.accdb[[#This Row],[TradingDate]],canon!B:E,4,0)</f>
        <v>28</v>
      </c>
    </row>
    <row r="3161" spans="1:12" x14ac:dyDescent="0.2">
      <c r="A3161" s="69" t="s">
        <v>46</v>
      </c>
      <c r="B3161" s="70">
        <v>42928</v>
      </c>
      <c r="C3161" s="69">
        <v>1401</v>
      </c>
      <c r="D3161" s="69">
        <v>39</v>
      </c>
      <c r="E3161" s="69">
        <v>245.5</v>
      </c>
      <c r="F3161" s="69">
        <v>39.51</v>
      </c>
      <c r="G3161" s="69" t="s">
        <v>25</v>
      </c>
      <c r="H3161" s="69" t="str">
        <f>IFERROR(VLOOKUP(Data!$G3161,canon!$I$2:$K$27,2,FALSE),"")</f>
        <v>TOP</v>
      </c>
      <c r="I3161" s="69" t="str">
        <f>IFERROR(VLOOKUP(Data!$G3161,canon!$I$2:$K$27,3,FALSE),"")</f>
        <v>APPAREL</v>
      </c>
      <c r="J3161" s="69">
        <f t="shared" si="98"/>
        <v>4</v>
      </c>
      <c r="K3161" s="69">
        <f t="shared" si="99"/>
        <v>201</v>
      </c>
      <c r="L3161" s="69">
        <f>VLOOKUP(Table_db1_backend_Daily.accdb[[#This Row],[TradingDate]],canon!B:E,4,0)</f>
        <v>28</v>
      </c>
    </row>
    <row r="3162" spans="1:12" x14ac:dyDescent="0.2">
      <c r="A3162" s="69" t="s">
        <v>46</v>
      </c>
      <c r="B3162" s="70">
        <v>42929</v>
      </c>
      <c r="C3162" s="69">
        <v>-53</v>
      </c>
      <c r="D3162" s="69">
        <v>4</v>
      </c>
      <c r="E3162" s="69">
        <v>18.2</v>
      </c>
      <c r="F3162" s="69">
        <v>6.64</v>
      </c>
      <c r="G3162" s="69" t="s">
        <v>27</v>
      </c>
      <c r="H3162" s="69" t="str">
        <f>IFERROR(VLOOKUP(Data!$G3162,canon!$I$2:$K$27,2,FALSE),"")</f>
        <v>ACCESSORY</v>
      </c>
      <c r="I3162" s="69" t="str">
        <f>IFERROR(VLOOKUP(Data!$G3162,canon!$I$2:$K$27,3,FALSE),"")</f>
        <v>N.APPAREL</v>
      </c>
      <c r="J3162" s="69">
        <f t="shared" si="98"/>
        <v>5</v>
      </c>
      <c r="K3162" s="69">
        <f t="shared" si="99"/>
        <v>201</v>
      </c>
      <c r="L3162" s="69">
        <f>VLOOKUP(Table_db1_backend_Daily.accdb[[#This Row],[TradingDate]],canon!B:E,4,0)</f>
        <v>28</v>
      </c>
    </row>
    <row r="3163" spans="1:12" x14ac:dyDescent="0.2">
      <c r="A3163" s="69" t="s">
        <v>46</v>
      </c>
      <c r="B3163" s="70">
        <v>42929</v>
      </c>
      <c r="C3163" s="69">
        <v>-189</v>
      </c>
      <c r="D3163" s="69">
        <v>0</v>
      </c>
      <c r="E3163" s="69">
        <v>0</v>
      </c>
      <c r="F3163" s="69">
        <v>0</v>
      </c>
      <c r="G3163" s="69" t="s">
        <v>34</v>
      </c>
      <c r="H3163" s="69" t="str">
        <f>IFERROR(VLOOKUP(Data!$G3163,canon!$I$2:$K$27,2,FALSE),"")</f>
        <v>SHOES</v>
      </c>
      <c r="I3163" s="69" t="str">
        <f>IFERROR(VLOOKUP(Data!$G3163,canon!$I$2:$K$27,3,FALSE),"")</f>
        <v>N.APPAREL</v>
      </c>
      <c r="J3163" s="69">
        <f t="shared" si="98"/>
        <v>5</v>
      </c>
      <c r="K3163" s="69">
        <f t="shared" si="99"/>
        <v>201</v>
      </c>
      <c r="L3163" s="69">
        <f>VLOOKUP(Table_db1_backend_Daily.accdb[[#This Row],[TradingDate]],canon!B:E,4,0)</f>
        <v>28</v>
      </c>
    </row>
    <row r="3164" spans="1:12" x14ac:dyDescent="0.2">
      <c r="A3164" s="69" t="s">
        <v>46</v>
      </c>
      <c r="B3164" s="70">
        <v>42929</v>
      </c>
      <c r="C3164" s="69">
        <v>-36</v>
      </c>
      <c r="D3164" s="69">
        <v>0</v>
      </c>
      <c r="E3164" s="69">
        <v>0</v>
      </c>
      <c r="F3164" s="69">
        <v>0</v>
      </c>
      <c r="G3164" s="69" t="s">
        <v>38</v>
      </c>
      <c r="H3164" s="69" t="str">
        <f>IFERROR(VLOOKUP(Data!$G3164,canon!$I$2:$K$27,2,FALSE),"")</f>
        <v>SHOES</v>
      </c>
      <c r="I3164" s="69" t="str">
        <f>IFERROR(VLOOKUP(Data!$G3164,canon!$I$2:$K$27,3,FALSE),"")</f>
        <v>N.APPAREL</v>
      </c>
      <c r="J3164" s="69">
        <f t="shared" si="98"/>
        <v>5</v>
      </c>
      <c r="K3164" s="69">
        <f t="shared" si="99"/>
        <v>201</v>
      </c>
      <c r="L3164" s="69">
        <f>VLOOKUP(Table_db1_backend_Daily.accdb[[#This Row],[TradingDate]],canon!B:E,4,0)</f>
        <v>28</v>
      </c>
    </row>
    <row r="3165" spans="1:12" x14ac:dyDescent="0.2">
      <c r="A3165" s="69" t="s">
        <v>46</v>
      </c>
      <c r="B3165" s="70">
        <v>42929</v>
      </c>
      <c r="C3165" s="69">
        <v>298</v>
      </c>
      <c r="D3165" s="69">
        <v>6</v>
      </c>
      <c r="E3165" s="69">
        <v>68.180000000000007</v>
      </c>
      <c r="F3165" s="69">
        <v>16.22</v>
      </c>
      <c r="G3165" s="69" t="s">
        <v>35</v>
      </c>
      <c r="H3165" s="69" t="str">
        <f>IFERROR(VLOOKUP(Data!$G3165,canon!$I$2:$K$27,2,FALSE),"")</f>
        <v>DRESS</v>
      </c>
      <c r="I3165" s="69" t="str">
        <f>IFERROR(VLOOKUP(Data!$G3165,canon!$I$2:$K$27,3,FALSE),"")</f>
        <v>APPAREL</v>
      </c>
      <c r="J3165" s="69">
        <f t="shared" si="98"/>
        <v>5</v>
      </c>
      <c r="K3165" s="69">
        <f t="shared" si="99"/>
        <v>201</v>
      </c>
      <c r="L3165" s="69">
        <f>VLOOKUP(Table_db1_backend_Daily.accdb[[#This Row],[TradingDate]],canon!B:E,4,0)</f>
        <v>28</v>
      </c>
    </row>
    <row r="3166" spans="1:12" x14ac:dyDescent="0.2">
      <c r="A3166" s="69" t="s">
        <v>46</v>
      </c>
      <c r="B3166" s="70">
        <v>42929</v>
      </c>
      <c r="C3166" s="69">
        <v>45</v>
      </c>
      <c r="D3166" s="69">
        <v>0</v>
      </c>
      <c r="E3166" s="69">
        <v>0</v>
      </c>
      <c r="F3166" s="69">
        <v>0</v>
      </c>
      <c r="G3166" s="69" t="s">
        <v>10</v>
      </c>
      <c r="H3166" s="69" t="str">
        <f>IFERROR(VLOOKUP(Data!$G3166,canon!$I$2:$K$27,2,FALSE),"")</f>
        <v>ACCESSORY</v>
      </c>
      <c r="I3166" s="69" t="str">
        <f>IFERROR(VLOOKUP(Data!$G3166,canon!$I$2:$K$27,3,FALSE),"")</f>
        <v>N.APPAREL</v>
      </c>
      <c r="J3166" s="69">
        <f t="shared" si="98"/>
        <v>5</v>
      </c>
      <c r="K3166" s="69">
        <f t="shared" si="99"/>
        <v>201</v>
      </c>
      <c r="L3166" s="69">
        <f>VLOOKUP(Table_db1_backend_Daily.accdb[[#This Row],[TradingDate]],canon!B:E,4,0)</f>
        <v>28</v>
      </c>
    </row>
    <row r="3167" spans="1:12" x14ac:dyDescent="0.2">
      <c r="A3167" s="69" t="s">
        <v>46</v>
      </c>
      <c r="B3167" s="70">
        <v>42929</v>
      </c>
      <c r="C3167" s="69">
        <v>2073</v>
      </c>
      <c r="D3167" s="69">
        <v>93</v>
      </c>
      <c r="E3167" s="69">
        <v>1072.53</v>
      </c>
      <c r="F3167" s="69">
        <v>341.18000000000006</v>
      </c>
      <c r="G3167" s="69" t="s">
        <v>11</v>
      </c>
      <c r="H3167" s="69" t="str">
        <f>IFERROR(VLOOKUP(Data!$G3167,canon!$I$2:$K$27,2,FALSE),"")</f>
        <v>KNIT</v>
      </c>
      <c r="I3167" s="69" t="str">
        <f>IFERROR(VLOOKUP(Data!$G3167,canon!$I$2:$K$27,3,FALSE),"")</f>
        <v>APPAREL</v>
      </c>
      <c r="J3167" s="69">
        <f t="shared" si="98"/>
        <v>5</v>
      </c>
      <c r="K3167" s="69">
        <f t="shared" si="99"/>
        <v>201</v>
      </c>
      <c r="L3167" s="69">
        <f>VLOOKUP(Table_db1_backend_Daily.accdb[[#This Row],[TradingDate]],canon!B:E,4,0)</f>
        <v>28</v>
      </c>
    </row>
    <row r="3168" spans="1:12" x14ac:dyDescent="0.2">
      <c r="A3168" s="69" t="s">
        <v>46</v>
      </c>
      <c r="B3168" s="70">
        <v>42929</v>
      </c>
      <c r="C3168" s="69">
        <v>311</v>
      </c>
      <c r="D3168" s="69">
        <v>5</v>
      </c>
      <c r="E3168" s="69">
        <v>72.73</v>
      </c>
      <c r="F3168" s="69">
        <v>41.33</v>
      </c>
      <c r="G3168" s="69" t="s">
        <v>14</v>
      </c>
      <c r="H3168" s="69" t="str">
        <f>IFERROR(VLOOKUP(Data!$G3168,canon!$I$2:$K$27,2,FALSE),"")</f>
        <v>LEGGING</v>
      </c>
      <c r="I3168" s="69" t="str">
        <f>IFERROR(VLOOKUP(Data!$G3168,canon!$I$2:$K$27,3,FALSE),"")</f>
        <v>APPAREL</v>
      </c>
      <c r="J3168" s="69">
        <f t="shared" si="98"/>
        <v>5</v>
      </c>
      <c r="K3168" s="69">
        <f t="shared" si="99"/>
        <v>201</v>
      </c>
      <c r="L3168" s="69">
        <f>VLOOKUP(Table_db1_backend_Daily.accdb[[#This Row],[TradingDate]],canon!B:E,4,0)</f>
        <v>28</v>
      </c>
    </row>
    <row r="3169" spans="1:12" x14ac:dyDescent="0.2">
      <c r="A3169" s="69" t="s">
        <v>46</v>
      </c>
      <c r="B3169" s="70">
        <v>42929</v>
      </c>
      <c r="C3169" s="69">
        <v>-4</v>
      </c>
      <c r="D3169" s="69">
        <v>0</v>
      </c>
      <c r="E3169" s="69">
        <v>0</v>
      </c>
      <c r="F3169" s="69">
        <v>0</v>
      </c>
      <c r="G3169" s="69" t="s">
        <v>37</v>
      </c>
      <c r="H3169" s="69" t="str">
        <f>IFERROR(VLOOKUP(Data!$G3169,canon!$I$2:$K$27,2,FALSE),"")</f>
        <v>SHOES</v>
      </c>
      <c r="I3169" s="69" t="str">
        <f>IFERROR(VLOOKUP(Data!$G3169,canon!$I$2:$K$27,3,FALSE),"")</f>
        <v>N.APPAREL</v>
      </c>
      <c r="J3169" s="69">
        <f t="shared" si="98"/>
        <v>5</v>
      </c>
      <c r="K3169" s="69">
        <f t="shared" si="99"/>
        <v>201</v>
      </c>
      <c r="L3169" s="69">
        <f>VLOOKUP(Table_db1_backend_Daily.accdb[[#This Row],[TradingDate]],canon!B:E,4,0)</f>
        <v>28</v>
      </c>
    </row>
    <row r="3170" spans="1:12" x14ac:dyDescent="0.2">
      <c r="A3170" s="69" t="s">
        <v>46</v>
      </c>
      <c r="B3170" s="70">
        <v>42929</v>
      </c>
      <c r="C3170" s="69">
        <v>-35</v>
      </c>
      <c r="D3170" s="69">
        <v>0</v>
      </c>
      <c r="E3170" s="69">
        <v>0</v>
      </c>
      <c r="F3170" s="69">
        <v>0</v>
      </c>
      <c r="G3170" s="69" t="s">
        <v>29</v>
      </c>
      <c r="H3170" s="69" t="str">
        <f>IFERROR(VLOOKUP(Data!$G3170,canon!$I$2:$K$27,2,FALSE),"")</f>
        <v>SHOES</v>
      </c>
      <c r="I3170" s="69" t="str">
        <f>IFERROR(VLOOKUP(Data!$G3170,canon!$I$2:$K$27,3,FALSE),"")</f>
        <v>N.APPAREL</v>
      </c>
      <c r="J3170" s="69">
        <f t="shared" si="98"/>
        <v>5</v>
      </c>
      <c r="K3170" s="69">
        <f t="shared" si="99"/>
        <v>201</v>
      </c>
      <c r="L3170" s="69">
        <f>VLOOKUP(Table_db1_backend_Daily.accdb[[#This Row],[TradingDate]],canon!B:E,4,0)</f>
        <v>28</v>
      </c>
    </row>
    <row r="3171" spans="1:12" x14ac:dyDescent="0.2">
      <c r="A3171" s="69" t="s">
        <v>46</v>
      </c>
      <c r="B3171" s="70">
        <v>42929</v>
      </c>
      <c r="C3171" s="69">
        <v>373</v>
      </c>
      <c r="D3171" s="69">
        <v>8</v>
      </c>
      <c r="E3171" s="69">
        <v>90.76</v>
      </c>
      <c r="F3171" s="69">
        <v>24.979999999999997</v>
      </c>
      <c r="G3171" s="69" t="s">
        <v>17</v>
      </c>
      <c r="H3171" s="69" t="str">
        <f>IFERROR(VLOOKUP(Data!$G3171,canon!$I$2:$K$27,2,FALSE),"")</f>
        <v>OUTER</v>
      </c>
      <c r="I3171" s="69" t="str">
        <f>IFERROR(VLOOKUP(Data!$G3171,canon!$I$2:$K$27,3,FALSE),"")</f>
        <v>APPAREL</v>
      </c>
      <c r="J3171" s="69">
        <f t="shared" si="98"/>
        <v>5</v>
      </c>
      <c r="K3171" s="69">
        <f t="shared" si="99"/>
        <v>201</v>
      </c>
      <c r="L3171" s="69">
        <f>VLOOKUP(Table_db1_backend_Daily.accdb[[#This Row],[TradingDate]],canon!B:E,4,0)</f>
        <v>28</v>
      </c>
    </row>
    <row r="3172" spans="1:12" x14ac:dyDescent="0.2">
      <c r="A3172" s="69" t="s">
        <v>46</v>
      </c>
      <c r="B3172" s="70">
        <v>42929</v>
      </c>
      <c r="C3172" s="69">
        <v>359</v>
      </c>
      <c r="D3172" s="69">
        <v>7</v>
      </c>
      <c r="E3172" s="69">
        <v>72.72</v>
      </c>
      <c r="F3172" s="69">
        <v>24.520000000000003</v>
      </c>
      <c r="G3172" s="69" t="s">
        <v>19</v>
      </c>
      <c r="H3172" s="69" t="str">
        <f>IFERROR(VLOOKUP(Data!$G3172,canon!$I$2:$K$27,2,FALSE),"")</f>
        <v>PANT</v>
      </c>
      <c r="I3172" s="69" t="str">
        <f>IFERROR(VLOOKUP(Data!$G3172,canon!$I$2:$K$27,3,FALSE),"")</f>
        <v>APPAREL</v>
      </c>
      <c r="J3172" s="69">
        <f t="shared" si="98"/>
        <v>5</v>
      </c>
      <c r="K3172" s="69">
        <f t="shared" si="99"/>
        <v>201</v>
      </c>
      <c r="L3172" s="69">
        <f>VLOOKUP(Table_db1_backend_Daily.accdb[[#This Row],[TradingDate]],canon!B:E,4,0)</f>
        <v>28</v>
      </c>
    </row>
    <row r="3173" spans="1:12" x14ac:dyDescent="0.2">
      <c r="A3173" s="69" t="s">
        <v>46</v>
      </c>
      <c r="B3173" s="70">
        <v>42929</v>
      </c>
      <c r="C3173" s="69">
        <v>322</v>
      </c>
      <c r="D3173" s="69">
        <v>9</v>
      </c>
      <c r="E3173" s="69">
        <v>46.349999999999994</v>
      </c>
      <c r="F3173" s="69">
        <v>31.36</v>
      </c>
      <c r="G3173" s="69" t="s">
        <v>22</v>
      </c>
      <c r="H3173" s="69" t="str">
        <f>IFERROR(VLOOKUP(Data!$G3173,canon!$I$2:$K$27,2,FALSE),"")</f>
        <v>SCARF</v>
      </c>
      <c r="I3173" s="69" t="str">
        <f>IFERROR(VLOOKUP(Data!$G3173,canon!$I$2:$K$27,3,FALSE),"")</f>
        <v>N.APPAREL</v>
      </c>
      <c r="J3173" s="69">
        <f t="shared" si="98"/>
        <v>5</v>
      </c>
      <c r="K3173" s="69">
        <f t="shared" si="99"/>
        <v>201</v>
      </c>
      <c r="L3173" s="69">
        <f>VLOOKUP(Table_db1_backend_Daily.accdb[[#This Row],[TradingDate]],canon!B:E,4,0)</f>
        <v>28</v>
      </c>
    </row>
    <row r="3174" spans="1:12" x14ac:dyDescent="0.2">
      <c r="A3174" s="69" t="s">
        <v>46</v>
      </c>
      <c r="B3174" s="70">
        <v>42929</v>
      </c>
      <c r="C3174" s="69">
        <v>231</v>
      </c>
      <c r="D3174" s="69">
        <v>17</v>
      </c>
      <c r="E3174" s="69">
        <v>154.51999999999998</v>
      </c>
      <c r="F3174" s="69">
        <v>10.36</v>
      </c>
      <c r="G3174" s="69" t="s">
        <v>23</v>
      </c>
      <c r="H3174" s="69" t="str">
        <f>IFERROR(VLOOKUP(Data!$G3174,canon!$I$2:$K$27,2,FALSE),"")</f>
        <v>SH&amp;BL</v>
      </c>
      <c r="I3174" s="69" t="str">
        <f>IFERROR(VLOOKUP(Data!$G3174,canon!$I$2:$K$27,3,FALSE),"")</f>
        <v>APPAREL</v>
      </c>
      <c r="J3174" s="69">
        <f t="shared" si="98"/>
        <v>5</v>
      </c>
      <c r="K3174" s="69">
        <f t="shared" si="99"/>
        <v>201</v>
      </c>
      <c r="L3174" s="69">
        <f>VLOOKUP(Table_db1_backend_Daily.accdb[[#This Row],[TradingDate]],canon!B:E,4,0)</f>
        <v>28</v>
      </c>
    </row>
    <row r="3175" spans="1:12" x14ac:dyDescent="0.2">
      <c r="A3175" s="69" t="s">
        <v>46</v>
      </c>
      <c r="B3175" s="70">
        <v>42929</v>
      </c>
      <c r="C3175" s="69">
        <v>295</v>
      </c>
      <c r="D3175" s="69">
        <v>2</v>
      </c>
      <c r="E3175" s="69">
        <v>27.23</v>
      </c>
      <c r="F3175" s="69">
        <v>16.8</v>
      </c>
      <c r="G3175" s="69" t="s">
        <v>32</v>
      </c>
      <c r="H3175" s="69" t="str">
        <f>IFERROR(VLOOKUP(Data!$G3175,canon!$I$2:$K$27,2,FALSE),"")</f>
        <v>SKIRT</v>
      </c>
      <c r="I3175" s="69" t="str">
        <f>IFERROR(VLOOKUP(Data!$G3175,canon!$I$2:$K$27,3,FALSE),"")</f>
        <v>APPAREL</v>
      </c>
      <c r="J3175" s="69">
        <f t="shared" si="98"/>
        <v>5</v>
      </c>
      <c r="K3175" s="69">
        <f t="shared" si="99"/>
        <v>201</v>
      </c>
      <c r="L3175" s="69">
        <f>VLOOKUP(Table_db1_backend_Daily.accdb[[#This Row],[TradingDate]],canon!B:E,4,0)</f>
        <v>28</v>
      </c>
    </row>
    <row r="3176" spans="1:12" x14ac:dyDescent="0.2">
      <c r="A3176" s="69" t="s">
        <v>46</v>
      </c>
      <c r="B3176" s="70">
        <v>42929</v>
      </c>
      <c r="C3176" s="69">
        <v>1362</v>
      </c>
      <c r="D3176" s="69">
        <v>39</v>
      </c>
      <c r="E3176" s="69">
        <v>299.95</v>
      </c>
      <c r="F3176" s="69">
        <v>83.239999999999981</v>
      </c>
      <c r="G3176" s="69" t="s">
        <v>25</v>
      </c>
      <c r="H3176" s="69" t="str">
        <f>IFERROR(VLOOKUP(Data!$G3176,canon!$I$2:$K$27,2,FALSE),"")</f>
        <v>TOP</v>
      </c>
      <c r="I3176" s="69" t="str">
        <f>IFERROR(VLOOKUP(Data!$G3176,canon!$I$2:$K$27,3,FALSE),"")</f>
        <v>APPAREL</v>
      </c>
      <c r="J3176" s="69">
        <f t="shared" si="98"/>
        <v>5</v>
      </c>
      <c r="K3176" s="69">
        <f t="shared" si="99"/>
        <v>201</v>
      </c>
      <c r="L3176" s="69">
        <f>VLOOKUP(Table_db1_backend_Daily.accdb[[#This Row],[TradingDate]],canon!B:E,4,0)</f>
        <v>28</v>
      </c>
    </row>
    <row r="3177" spans="1:12" x14ac:dyDescent="0.2">
      <c r="A3177" s="69" t="s">
        <v>46</v>
      </c>
      <c r="B3177" s="70">
        <v>42930</v>
      </c>
      <c r="C3177" s="69">
        <v>-54</v>
      </c>
      <c r="D3177" s="69">
        <v>1</v>
      </c>
      <c r="E3177" s="69">
        <v>4.55</v>
      </c>
      <c r="F3177" s="69">
        <v>1.66</v>
      </c>
      <c r="G3177" s="69" t="s">
        <v>27</v>
      </c>
      <c r="H3177" s="69" t="str">
        <f>IFERROR(VLOOKUP(Data!$G3177,canon!$I$2:$K$27,2,FALSE),"")</f>
        <v>ACCESSORY</v>
      </c>
      <c r="I3177" s="69" t="str">
        <f>IFERROR(VLOOKUP(Data!$G3177,canon!$I$2:$K$27,3,FALSE),"")</f>
        <v>N.APPAREL</v>
      </c>
      <c r="J3177" s="69">
        <f t="shared" si="98"/>
        <v>6</v>
      </c>
      <c r="K3177" s="69">
        <f t="shared" si="99"/>
        <v>201</v>
      </c>
      <c r="L3177" s="69">
        <f>VLOOKUP(Table_db1_backend_Daily.accdb[[#This Row],[TradingDate]],canon!B:E,4,0)</f>
        <v>28</v>
      </c>
    </row>
    <row r="3178" spans="1:12" x14ac:dyDescent="0.2">
      <c r="A3178" s="69" t="s">
        <v>46</v>
      </c>
      <c r="B3178" s="70">
        <v>42930</v>
      </c>
      <c r="C3178" s="69">
        <v>-189</v>
      </c>
      <c r="D3178" s="69">
        <v>0</v>
      </c>
      <c r="E3178" s="69">
        <v>0</v>
      </c>
      <c r="F3178" s="69">
        <v>0</v>
      </c>
      <c r="G3178" s="69" t="s">
        <v>34</v>
      </c>
      <c r="H3178" s="69" t="str">
        <f>IFERROR(VLOOKUP(Data!$G3178,canon!$I$2:$K$27,2,FALSE),"")</f>
        <v>SHOES</v>
      </c>
      <c r="I3178" s="69" t="str">
        <f>IFERROR(VLOOKUP(Data!$G3178,canon!$I$2:$K$27,3,FALSE),"")</f>
        <v>N.APPAREL</v>
      </c>
      <c r="J3178" s="69">
        <f t="shared" si="98"/>
        <v>6</v>
      </c>
      <c r="K3178" s="69">
        <f t="shared" si="99"/>
        <v>201</v>
      </c>
      <c r="L3178" s="69">
        <f>VLOOKUP(Table_db1_backend_Daily.accdb[[#This Row],[TradingDate]],canon!B:E,4,0)</f>
        <v>28</v>
      </c>
    </row>
    <row r="3179" spans="1:12" x14ac:dyDescent="0.2">
      <c r="A3179" s="69" t="s">
        <v>46</v>
      </c>
      <c r="B3179" s="70">
        <v>42930</v>
      </c>
      <c r="C3179" s="69">
        <v>-36</v>
      </c>
      <c r="D3179" s="69">
        <v>0</v>
      </c>
      <c r="E3179" s="69">
        <v>0</v>
      </c>
      <c r="F3179" s="69">
        <v>0</v>
      </c>
      <c r="G3179" s="69" t="s">
        <v>38</v>
      </c>
      <c r="H3179" s="69" t="str">
        <f>IFERROR(VLOOKUP(Data!$G3179,canon!$I$2:$K$27,2,FALSE),"")</f>
        <v>SHOES</v>
      </c>
      <c r="I3179" s="69" t="str">
        <f>IFERROR(VLOOKUP(Data!$G3179,canon!$I$2:$K$27,3,FALSE),"")</f>
        <v>N.APPAREL</v>
      </c>
      <c r="J3179" s="69">
        <f t="shared" si="98"/>
        <v>6</v>
      </c>
      <c r="K3179" s="69">
        <f t="shared" si="99"/>
        <v>201</v>
      </c>
      <c r="L3179" s="69">
        <f>VLOOKUP(Table_db1_backend_Daily.accdb[[#This Row],[TradingDate]],canon!B:E,4,0)</f>
        <v>28</v>
      </c>
    </row>
    <row r="3180" spans="1:12" x14ac:dyDescent="0.2">
      <c r="A3180" s="69" t="s">
        <v>46</v>
      </c>
      <c r="B3180" s="70">
        <v>42930</v>
      </c>
      <c r="C3180" s="69">
        <v>287</v>
      </c>
      <c r="D3180" s="69">
        <v>11</v>
      </c>
      <c r="E3180" s="69">
        <v>286.26</v>
      </c>
      <c r="F3180" s="69">
        <v>196.7</v>
      </c>
      <c r="G3180" s="69" t="s">
        <v>35</v>
      </c>
      <c r="H3180" s="69" t="str">
        <f>IFERROR(VLOOKUP(Data!$G3180,canon!$I$2:$K$27,2,FALSE),"")</f>
        <v>DRESS</v>
      </c>
      <c r="I3180" s="69" t="str">
        <f>IFERROR(VLOOKUP(Data!$G3180,canon!$I$2:$K$27,3,FALSE),"")</f>
        <v>APPAREL</v>
      </c>
      <c r="J3180" s="69">
        <f t="shared" si="98"/>
        <v>6</v>
      </c>
      <c r="K3180" s="69">
        <f t="shared" si="99"/>
        <v>201</v>
      </c>
      <c r="L3180" s="69">
        <f>VLOOKUP(Table_db1_backend_Daily.accdb[[#This Row],[TradingDate]],canon!B:E,4,0)</f>
        <v>28</v>
      </c>
    </row>
    <row r="3181" spans="1:12" x14ac:dyDescent="0.2">
      <c r="A3181" s="69" t="s">
        <v>46</v>
      </c>
      <c r="B3181" s="70">
        <v>42930</v>
      </c>
      <c r="C3181" s="69">
        <v>45</v>
      </c>
      <c r="D3181" s="69">
        <v>0</v>
      </c>
      <c r="E3181" s="69">
        <v>0</v>
      </c>
      <c r="F3181" s="69">
        <v>0</v>
      </c>
      <c r="G3181" s="69" t="s">
        <v>10</v>
      </c>
      <c r="H3181" s="69" t="str">
        <f>IFERROR(VLOOKUP(Data!$G3181,canon!$I$2:$K$27,2,FALSE),"")</f>
        <v>ACCESSORY</v>
      </c>
      <c r="I3181" s="69" t="str">
        <f>IFERROR(VLOOKUP(Data!$G3181,canon!$I$2:$K$27,3,FALSE),"")</f>
        <v>N.APPAREL</v>
      </c>
      <c r="J3181" s="69">
        <f t="shared" si="98"/>
        <v>6</v>
      </c>
      <c r="K3181" s="69">
        <f t="shared" si="99"/>
        <v>201</v>
      </c>
      <c r="L3181" s="69">
        <f>VLOOKUP(Table_db1_backend_Daily.accdb[[#This Row],[TradingDate]],canon!B:E,4,0)</f>
        <v>28</v>
      </c>
    </row>
    <row r="3182" spans="1:12" x14ac:dyDescent="0.2">
      <c r="A3182" s="69" t="s">
        <v>46</v>
      </c>
      <c r="B3182" s="70">
        <v>42930</v>
      </c>
      <c r="C3182" s="69">
        <v>2004</v>
      </c>
      <c r="D3182" s="69">
        <v>69</v>
      </c>
      <c r="E3182" s="69">
        <v>921.89999999999986</v>
      </c>
      <c r="F3182" s="69">
        <v>348.58000000000004</v>
      </c>
      <c r="G3182" s="69" t="s">
        <v>11</v>
      </c>
      <c r="H3182" s="69" t="str">
        <f>IFERROR(VLOOKUP(Data!$G3182,canon!$I$2:$K$27,2,FALSE),"")</f>
        <v>KNIT</v>
      </c>
      <c r="I3182" s="69" t="str">
        <f>IFERROR(VLOOKUP(Data!$G3182,canon!$I$2:$K$27,3,FALSE),"")</f>
        <v>APPAREL</v>
      </c>
      <c r="J3182" s="69">
        <f t="shared" si="98"/>
        <v>6</v>
      </c>
      <c r="K3182" s="69">
        <f t="shared" si="99"/>
        <v>201</v>
      </c>
      <c r="L3182" s="69">
        <f>VLOOKUP(Table_db1_backend_Daily.accdb[[#This Row],[TradingDate]],canon!B:E,4,0)</f>
        <v>28</v>
      </c>
    </row>
    <row r="3183" spans="1:12" x14ac:dyDescent="0.2">
      <c r="A3183" s="69" t="s">
        <v>46</v>
      </c>
      <c r="B3183" s="70">
        <v>42930</v>
      </c>
      <c r="C3183" s="69">
        <v>310</v>
      </c>
      <c r="D3183" s="69">
        <v>1</v>
      </c>
      <c r="E3183" s="69">
        <v>9.09</v>
      </c>
      <c r="F3183" s="69">
        <v>1.81</v>
      </c>
      <c r="G3183" s="69" t="s">
        <v>14</v>
      </c>
      <c r="H3183" s="69" t="str">
        <f>IFERROR(VLOOKUP(Data!$G3183,canon!$I$2:$K$27,2,FALSE),"")</f>
        <v>LEGGING</v>
      </c>
      <c r="I3183" s="69" t="str">
        <f>IFERROR(VLOOKUP(Data!$G3183,canon!$I$2:$K$27,3,FALSE),"")</f>
        <v>APPAREL</v>
      </c>
      <c r="J3183" s="69">
        <f t="shared" si="98"/>
        <v>6</v>
      </c>
      <c r="K3183" s="69">
        <f t="shared" si="99"/>
        <v>201</v>
      </c>
      <c r="L3183" s="69">
        <f>VLOOKUP(Table_db1_backend_Daily.accdb[[#This Row],[TradingDate]],canon!B:E,4,0)</f>
        <v>28</v>
      </c>
    </row>
    <row r="3184" spans="1:12" x14ac:dyDescent="0.2">
      <c r="A3184" s="69" t="s">
        <v>46</v>
      </c>
      <c r="B3184" s="70">
        <v>42930</v>
      </c>
      <c r="C3184" s="69">
        <v>-4</v>
      </c>
      <c r="D3184" s="69">
        <v>0</v>
      </c>
      <c r="E3184" s="69">
        <v>0</v>
      </c>
      <c r="F3184" s="69">
        <v>0</v>
      </c>
      <c r="G3184" s="69" t="s">
        <v>37</v>
      </c>
      <c r="H3184" s="69" t="str">
        <f>IFERROR(VLOOKUP(Data!$G3184,canon!$I$2:$K$27,2,FALSE),"")</f>
        <v>SHOES</v>
      </c>
      <c r="I3184" s="69" t="str">
        <f>IFERROR(VLOOKUP(Data!$G3184,canon!$I$2:$K$27,3,FALSE),"")</f>
        <v>N.APPAREL</v>
      </c>
      <c r="J3184" s="69">
        <f t="shared" si="98"/>
        <v>6</v>
      </c>
      <c r="K3184" s="69">
        <f t="shared" si="99"/>
        <v>201</v>
      </c>
      <c r="L3184" s="69">
        <f>VLOOKUP(Table_db1_backend_Daily.accdb[[#This Row],[TradingDate]],canon!B:E,4,0)</f>
        <v>28</v>
      </c>
    </row>
    <row r="3185" spans="1:12" x14ac:dyDescent="0.2">
      <c r="A3185" s="69" t="s">
        <v>46</v>
      </c>
      <c r="B3185" s="70">
        <v>42930</v>
      </c>
      <c r="C3185" s="69">
        <v>-35</v>
      </c>
      <c r="D3185" s="69">
        <v>0</v>
      </c>
      <c r="E3185" s="69">
        <v>0</v>
      </c>
      <c r="F3185" s="69">
        <v>0</v>
      </c>
      <c r="G3185" s="69" t="s">
        <v>29</v>
      </c>
      <c r="H3185" s="69" t="str">
        <f>IFERROR(VLOOKUP(Data!$G3185,canon!$I$2:$K$27,2,FALSE),"")</f>
        <v>SHOES</v>
      </c>
      <c r="I3185" s="69" t="str">
        <f>IFERROR(VLOOKUP(Data!$G3185,canon!$I$2:$K$27,3,FALSE),"")</f>
        <v>N.APPAREL</v>
      </c>
      <c r="J3185" s="69">
        <f t="shared" si="98"/>
        <v>6</v>
      </c>
      <c r="K3185" s="69">
        <f t="shared" si="99"/>
        <v>201</v>
      </c>
      <c r="L3185" s="69">
        <f>VLOOKUP(Table_db1_backend_Daily.accdb[[#This Row],[TradingDate]],canon!B:E,4,0)</f>
        <v>28</v>
      </c>
    </row>
    <row r="3186" spans="1:12" x14ac:dyDescent="0.2">
      <c r="A3186" s="69" t="s">
        <v>46</v>
      </c>
      <c r="B3186" s="70">
        <v>42930</v>
      </c>
      <c r="C3186" s="69">
        <v>363</v>
      </c>
      <c r="D3186" s="69">
        <v>10</v>
      </c>
      <c r="E3186" s="69">
        <v>158.82000000000002</v>
      </c>
      <c r="F3186" s="69">
        <v>69.3</v>
      </c>
      <c r="G3186" s="69" t="s">
        <v>17</v>
      </c>
      <c r="H3186" s="69" t="str">
        <f>IFERROR(VLOOKUP(Data!$G3186,canon!$I$2:$K$27,2,FALSE),"")</f>
        <v>OUTER</v>
      </c>
      <c r="I3186" s="69" t="str">
        <f>IFERROR(VLOOKUP(Data!$G3186,canon!$I$2:$K$27,3,FALSE),"")</f>
        <v>APPAREL</v>
      </c>
      <c r="J3186" s="69">
        <f t="shared" si="98"/>
        <v>6</v>
      </c>
      <c r="K3186" s="69">
        <f t="shared" si="99"/>
        <v>201</v>
      </c>
      <c r="L3186" s="69">
        <f>VLOOKUP(Table_db1_backend_Daily.accdb[[#This Row],[TradingDate]],canon!B:E,4,0)</f>
        <v>28</v>
      </c>
    </row>
    <row r="3187" spans="1:12" x14ac:dyDescent="0.2">
      <c r="A3187" s="69" t="s">
        <v>46</v>
      </c>
      <c r="B3187" s="70">
        <v>42930</v>
      </c>
      <c r="C3187" s="69">
        <v>355</v>
      </c>
      <c r="D3187" s="69">
        <v>4</v>
      </c>
      <c r="E3187" s="69">
        <v>36.36</v>
      </c>
      <c r="F3187" s="69">
        <v>13.97</v>
      </c>
      <c r="G3187" s="69" t="s">
        <v>19</v>
      </c>
      <c r="H3187" s="69" t="str">
        <f>IFERROR(VLOOKUP(Data!$G3187,canon!$I$2:$K$27,2,FALSE),"")</f>
        <v>PANT</v>
      </c>
      <c r="I3187" s="69" t="str">
        <f>IFERROR(VLOOKUP(Data!$G3187,canon!$I$2:$K$27,3,FALSE),"")</f>
        <v>APPAREL</v>
      </c>
      <c r="J3187" s="69">
        <f t="shared" si="98"/>
        <v>6</v>
      </c>
      <c r="K3187" s="69">
        <f t="shared" si="99"/>
        <v>201</v>
      </c>
      <c r="L3187" s="69">
        <f>VLOOKUP(Table_db1_backend_Daily.accdb[[#This Row],[TradingDate]],canon!B:E,4,0)</f>
        <v>28</v>
      </c>
    </row>
    <row r="3188" spans="1:12" x14ac:dyDescent="0.2">
      <c r="A3188" s="69" t="s">
        <v>46</v>
      </c>
      <c r="B3188" s="70">
        <v>42930</v>
      </c>
      <c r="C3188" s="69">
        <v>312</v>
      </c>
      <c r="D3188" s="69">
        <v>10</v>
      </c>
      <c r="E3188" s="69">
        <v>45.48</v>
      </c>
      <c r="F3188" s="69">
        <v>27.45</v>
      </c>
      <c r="G3188" s="69" t="s">
        <v>22</v>
      </c>
      <c r="H3188" s="69" t="str">
        <f>IFERROR(VLOOKUP(Data!$G3188,canon!$I$2:$K$27,2,FALSE),"")</f>
        <v>SCARF</v>
      </c>
      <c r="I3188" s="69" t="str">
        <f>IFERROR(VLOOKUP(Data!$G3188,canon!$I$2:$K$27,3,FALSE),"")</f>
        <v>N.APPAREL</v>
      </c>
      <c r="J3188" s="69">
        <f t="shared" si="98"/>
        <v>6</v>
      </c>
      <c r="K3188" s="69">
        <f t="shared" si="99"/>
        <v>201</v>
      </c>
      <c r="L3188" s="69">
        <f>VLOOKUP(Table_db1_backend_Daily.accdb[[#This Row],[TradingDate]],canon!B:E,4,0)</f>
        <v>28</v>
      </c>
    </row>
    <row r="3189" spans="1:12" x14ac:dyDescent="0.2">
      <c r="A3189" s="69" t="s">
        <v>46</v>
      </c>
      <c r="B3189" s="70">
        <v>42930</v>
      </c>
      <c r="C3189" s="69">
        <v>210</v>
      </c>
      <c r="D3189" s="69">
        <v>21</v>
      </c>
      <c r="E3189" s="69">
        <v>186.35</v>
      </c>
      <c r="F3189" s="69">
        <v>8.27</v>
      </c>
      <c r="G3189" s="69" t="s">
        <v>23</v>
      </c>
      <c r="H3189" s="69" t="str">
        <f>IFERROR(VLOOKUP(Data!$G3189,canon!$I$2:$K$27,2,FALSE),"")</f>
        <v>SH&amp;BL</v>
      </c>
      <c r="I3189" s="69" t="str">
        <f>IFERROR(VLOOKUP(Data!$G3189,canon!$I$2:$K$27,3,FALSE),"")</f>
        <v>APPAREL</v>
      </c>
      <c r="J3189" s="69">
        <f t="shared" si="98"/>
        <v>6</v>
      </c>
      <c r="K3189" s="69">
        <f t="shared" si="99"/>
        <v>201</v>
      </c>
      <c r="L3189" s="69">
        <f>VLOOKUP(Table_db1_backend_Daily.accdb[[#This Row],[TradingDate]],canon!B:E,4,0)</f>
        <v>28</v>
      </c>
    </row>
    <row r="3190" spans="1:12" x14ac:dyDescent="0.2">
      <c r="A3190" s="69" t="s">
        <v>46</v>
      </c>
      <c r="B3190" s="70">
        <v>42930</v>
      </c>
      <c r="C3190" s="69">
        <v>278</v>
      </c>
      <c r="D3190" s="69">
        <v>17</v>
      </c>
      <c r="E3190" s="69">
        <v>154.52000000000001</v>
      </c>
      <c r="F3190" s="69">
        <v>69.52</v>
      </c>
      <c r="G3190" s="69" t="s">
        <v>32</v>
      </c>
      <c r="H3190" s="69" t="str">
        <f>IFERROR(VLOOKUP(Data!$G3190,canon!$I$2:$K$27,2,FALSE),"")</f>
        <v>SKIRT</v>
      </c>
      <c r="I3190" s="69" t="str">
        <f>IFERROR(VLOOKUP(Data!$G3190,canon!$I$2:$K$27,3,FALSE),"")</f>
        <v>APPAREL</v>
      </c>
      <c r="J3190" s="69">
        <f t="shared" si="98"/>
        <v>6</v>
      </c>
      <c r="K3190" s="69">
        <f t="shared" si="99"/>
        <v>201</v>
      </c>
      <c r="L3190" s="69">
        <f>VLOOKUP(Table_db1_backend_Daily.accdb[[#This Row],[TradingDate]],canon!B:E,4,0)</f>
        <v>28</v>
      </c>
    </row>
    <row r="3191" spans="1:12" x14ac:dyDescent="0.2">
      <c r="A3191" s="69" t="s">
        <v>46</v>
      </c>
      <c r="B3191" s="70">
        <v>42930</v>
      </c>
      <c r="C3191" s="69">
        <v>1328</v>
      </c>
      <c r="D3191" s="69">
        <v>34</v>
      </c>
      <c r="E3191" s="69">
        <v>290.85999999999996</v>
      </c>
      <c r="F3191" s="69">
        <v>113.34999999999998</v>
      </c>
      <c r="G3191" s="69" t="s">
        <v>25</v>
      </c>
      <c r="H3191" s="69" t="str">
        <f>IFERROR(VLOOKUP(Data!$G3191,canon!$I$2:$K$27,2,FALSE),"")</f>
        <v>TOP</v>
      </c>
      <c r="I3191" s="69" t="str">
        <f>IFERROR(VLOOKUP(Data!$G3191,canon!$I$2:$K$27,3,FALSE),"")</f>
        <v>APPAREL</v>
      </c>
      <c r="J3191" s="69">
        <f t="shared" si="98"/>
        <v>6</v>
      </c>
      <c r="K3191" s="69">
        <f t="shared" si="99"/>
        <v>201</v>
      </c>
      <c r="L3191" s="69">
        <f>VLOOKUP(Table_db1_backend_Daily.accdb[[#This Row],[TradingDate]],canon!B:E,4,0)</f>
        <v>28</v>
      </c>
    </row>
    <row r="3192" spans="1:12" x14ac:dyDescent="0.2">
      <c r="A3192" s="69" t="s">
        <v>46</v>
      </c>
      <c r="B3192" s="70">
        <v>42931</v>
      </c>
      <c r="C3192" s="69">
        <v>-54</v>
      </c>
      <c r="D3192" s="69">
        <v>0</v>
      </c>
      <c r="E3192" s="69">
        <v>0</v>
      </c>
      <c r="F3192" s="69">
        <v>0</v>
      </c>
      <c r="G3192" s="69" t="s">
        <v>27</v>
      </c>
      <c r="H3192" s="69" t="str">
        <f>IFERROR(VLOOKUP(Data!$G3192,canon!$I$2:$K$27,2,FALSE),"")</f>
        <v>ACCESSORY</v>
      </c>
      <c r="I3192" s="69" t="str">
        <f>IFERROR(VLOOKUP(Data!$G3192,canon!$I$2:$K$27,3,FALSE),"")</f>
        <v>N.APPAREL</v>
      </c>
      <c r="J3192" s="69">
        <f t="shared" si="98"/>
        <v>7</v>
      </c>
      <c r="K3192" s="69">
        <f t="shared" si="99"/>
        <v>201</v>
      </c>
      <c r="L3192" s="69">
        <f>VLOOKUP(Table_db1_backend_Daily.accdb[[#This Row],[TradingDate]],canon!B:E,4,0)</f>
        <v>28</v>
      </c>
    </row>
    <row r="3193" spans="1:12" x14ac:dyDescent="0.2">
      <c r="A3193" s="69" t="s">
        <v>46</v>
      </c>
      <c r="B3193" s="70">
        <v>42931</v>
      </c>
      <c r="C3193" s="69">
        <v>-189</v>
      </c>
      <c r="D3193" s="69">
        <v>0</v>
      </c>
      <c r="E3193" s="69">
        <v>0</v>
      </c>
      <c r="F3193" s="69">
        <v>0</v>
      </c>
      <c r="G3193" s="69" t="s">
        <v>34</v>
      </c>
      <c r="H3193" s="69" t="str">
        <f>IFERROR(VLOOKUP(Data!$G3193,canon!$I$2:$K$27,2,FALSE),"")</f>
        <v>SHOES</v>
      </c>
      <c r="I3193" s="69" t="str">
        <f>IFERROR(VLOOKUP(Data!$G3193,canon!$I$2:$K$27,3,FALSE),"")</f>
        <v>N.APPAREL</v>
      </c>
      <c r="J3193" s="69">
        <f t="shared" si="98"/>
        <v>7</v>
      </c>
      <c r="K3193" s="69">
        <f t="shared" si="99"/>
        <v>201</v>
      </c>
      <c r="L3193" s="69">
        <f>VLOOKUP(Table_db1_backend_Daily.accdb[[#This Row],[TradingDate]],canon!B:E,4,0)</f>
        <v>28</v>
      </c>
    </row>
    <row r="3194" spans="1:12" x14ac:dyDescent="0.2">
      <c r="A3194" s="69" t="s">
        <v>46</v>
      </c>
      <c r="B3194" s="70">
        <v>42931</v>
      </c>
      <c r="C3194" s="69">
        <v>-36</v>
      </c>
      <c r="D3194" s="69">
        <v>0</v>
      </c>
      <c r="E3194" s="69">
        <v>0</v>
      </c>
      <c r="F3194" s="69">
        <v>0</v>
      </c>
      <c r="G3194" s="69" t="s">
        <v>38</v>
      </c>
      <c r="H3194" s="69" t="str">
        <f>IFERROR(VLOOKUP(Data!$G3194,canon!$I$2:$K$27,2,FALSE),"")</f>
        <v>SHOES</v>
      </c>
      <c r="I3194" s="69" t="str">
        <f>IFERROR(VLOOKUP(Data!$G3194,canon!$I$2:$K$27,3,FALSE),"")</f>
        <v>N.APPAREL</v>
      </c>
      <c r="J3194" s="69">
        <f t="shared" si="98"/>
        <v>7</v>
      </c>
      <c r="K3194" s="69">
        <f t="shared" si="99"/>
        <v>201</v>
      </c>
      <c r="L3194" s="69">
        <f>VLOOKUP(Table_db1_backend_Daily.accdb[[#This Row],[TradingDate]],canon!B:E,4,0)</f>
        <v>28</v>
      </c>
    </row>
    <row r="3195" spans="1:12" x14ac:dyDescent="0.2">
      <c r="A3195" s="69" t="s">
        <v>46</v>
      </c>
      <c r="B3195" s="70">
        <v>42931</v>
      </c>
      <c r="C3195" s="69">
        <v>282</v>
      </c>
      <c r="D3195" s="69">
        <v>5</v>
      </c>
      <c r="E3195" s="69">
        <v>90.86</v>
      </c>
      <c r="F3195" s="69">
        <v>54.11999999999999</v>
      </c>
      <c r="G3195" s="69" t="s">
        <v>35</v>
      </c>
      <c r="H3195" s="69" t="str">
        <f>IFERROR(VLOOKUP(Data!$G3195,canon!$I$2:$K$27,2,FALSE),"")</f>
        <v>DRESS</v>
      </c>
      <c r="I3195" s="69" t="str">
        <f>IFERROR(VLOOKUP(Data!$G3195,canon!$I$2:$K$27,3,FALSE),"")</f>
        <v>APPAREL</v>
      </c>
      <c r="J3195" s="69">
        <f t="shared" si="98"/>
        <v>7</v>
      </c>
      <c r="K3195" s="69">
        <f t="shared" si="99"/>
        <v>201</v>
      </c>
      <c r="L3195" s="69">
        <f>VLOOKUP(Table_db1_backend_Daily.accdb[[#This Row],[TradingDate]],canon!B:E,4,0)</f>
        <v>28</v>
      </c>
    </row>
    <row r="3196" spans="1:12" x14ac:dyDescent="0.2">
      <c r="A3196" s="69" t="s">
        <v>46</v>
      </c>
      <c r="B3196" s="70">
        <v>42931</v>
      </c>
      <c r="C3196" s="69">
        <v>45</v>
      </c>
      <c r="D3196" s="69">
        <v>0</v>
      </c>
      <c r="E3196" s="69">
        <v>0</v>
      </c>
      <c r="F3196" s="69">
        <v>0</v>
      </c>
      <c r="G3196" s="69" t="s">
        <v>10</v>
      </c>
      <c r="H3196" s="69" t="str">
        <f>IFERROR(VLOOKUP(Data!$G3196,canon!$I$2:$K$27,2,FALSE),"")</f>
        <v>ACCESSORY</v>
      </c>
      <c r="I3196" s="69" t="str">
        <f>IFERROR(VLOOKUP(Data!$G3196,canon!$I$2:$K$27,3,FALSE),"")</f>
        <v>N.APPAREL</v>
      </c>
      <c r="J3196" s="69">
        <f t="shared" si="98"/>
        <v>7</v>
      </c>
      <c r="K3196" s="69">
        <f t="shared" si="99"/>
        <v>201</v>
      </c>
      <c r="L3196" s="69">
        <f>VLOOKUP(Table_db1_backend_Daily.accdb[[#This Row],[TradingDate]],canon!B:E,4,0)</f>
        <v>28</v>
      </c>
    </row>
    <row r="3197" spans="1:12" x14ac:dyDescent="0.2">
      <c r="A3197" s="69" t="s">
        <v>46</v>
      </c>
      <c r="B3197" s="70">
        <v>42931</v>
      </c>
      <c r="C3197" s="69">
        <v>1939</v>
      </c>
      <c r="D3197" s="69">
        <v>65</v>
      </c>
      <c r="E3197" s="69">
        <v>767.88000000000011</v>
      </c>
      <c r="F3197" s="69">
        <v>245.20999999999995</v>
      </c>
      <c r="G3197" s="69" t="s">
        <v>11</v>
      </c>
      <c r="H3197" s="69" t="str">
        <f>IFERROR(VLOOKUP(Data!$G3197,canon!$I$2:$K$27,2,FALSE),"")</f>
        <v>KNIT</v>
      </c>
      <c r="I3197" s="69" t="str">
        <f>IFERROR(VLOOKUP(Data!$G3197,canon!$I$2:$K$27,3,FALSE),"")</f>
        <v>APPAREL</v>
      </c>
      <c r="J3197" s="69">
        <f t="shared" si="98"/>
        <v>7</v>
      </c>
      <c r="K3197" s="69">
        <f t="shared" si="99"/>
        <v>201</v>
      </c>
      <c r="L3197" s="69">
        <f>VLOOKUP(Table_db1_backend_Daily.accdb[[#This Row],[TradingDate]],canon!B:E,4,0)</f>
        <v>28</v>
      </c>
    </row>
    <row r="3198" spans="1:12" x14ac:dyDescent="0.2">
      <c r="A3198" s="69" t="s">
        <v>46</v>
      </c>
      <c r="B3198" s="70">
        <v>42931</v>
      </c>
      <c r="C3198" s="69">
        <v>308</v>
      </c>
      <c r="D3198" s="69">
        <v>2</v>
      </c>
      <c r="E3198" s="69">
        <v>36.36999999999999</v>
      </c>
      <c r="F3198" s="69">
        <v>27.240000000000002</v>
      </c>
      <c r="G3198" s="69" t="s">
        <v>14</v>
      </c>
      <c r="H3198" s="69" t="str">
        <f>IFERROR(VLOOKUP(Data!$G3198,canon!$I$2:$K$27,2,FALSE),"")</f>
        <v>LEGGING</v>
      </c>
      <c r="I3198" s="69" t="str">
        <f>IFERROR(VLOOKUP(Data!$G3198,canon!$I$2:$K$27,3,FALSE),"")</f>
        <v>APPAREL</v>
      </c>
      <c r="J3198" s="69">
        <f t="shared" si="98"/>
        <v>7</v>
      </c>
      <c r="K3198" s="69">
        <f t="shared" si="99"/>
        <v>201</v>
      </c>
      <c r="L3198" s="69">
        <f>VLOOKUP(Table_db1_backend_Daily.accdb[[#This Row],[TradingDate]],canon!B:E,4,0)</f>
        <v>28</v>
      </c>
    </row>
    <row r="3199" spans="1:12" x14ac:dyDescent="0.2">
      <c r="A3199" s="69" t="s">
        <v>46</v>
      </c>
      <c r="B3199" s="70">
        <v>42931</v>
      </c>
      <c r="C3199" s="69">
        <v>-4</v>
      </c>
      <c r="D3199" s="69">
        <v>0</v>
      </c>
      <c r="E3199" s="69">
        <v>0</v>
      </c>
      <c r="F3199" s="69">
        <v>0</v>
      </c>
      <c r="G3199" s="69" t="s">
        <v>37</v>
      </c>
      <c r="H3199" s="69" t="str">
        <f>IFERROR(VLOOKUP(Data!$G3199,canon!$I$2:$K$27,2,FALSE),"")</f>
        <v>SHOES</v>
      </c>
      <c r="I3199" s="69" t="str">
        <f>IFERROR(VLOOKUP(Data!$G3199,canon!$I$2:$K$27,3,FALSE),"")</f>
        <v>N.APPAREL</v>
      </c>
      <c r="J3199" s="69">
        <f t="shared" si="98"/>
        <v>7</v>
      </c>
      <c r="K3199" s="69">
        <f t="shared" si="99"/>
        <v>201</v>
      </c>
      <c r="L3199" s="69">
        <f>VLOOKUP(Table_db1_backend_Daily.accdb[[#This Row],[TradingDate]],canon!B:E,4,0)</f>
        <v>28</v>
      </c>
    </row>
    <row r="3200" spans="1:12" x14ac:dyDescent="0.2">
      <c r="A3200" s="69" t="s">
        <v>46</v>
      </c>
      <c r="B3200" s="70">
        <v>42931</v>
      </c>
      <c r="C3200" s="69">
        <v>-35</v>
      </c>
      <c r="D3200" s="69">
        <v>0</v>
      </c>
      <c r="E3200" s="69">
        <v>0</v>
      </c>
      <c r="F3200" s="69">
        <v>0</v>
      </c>
      <c r="G3200" s="69" t="s">
        <v>29</v>
      </c>
      <c r="H3200" s="69" t="str">
        <f>IFERROR(VLOOKUP(Data!$G3200,canon!$I$2:$K$27,2,FALSE),"")</f>
        <v>SHOES</v>
      </c>
      <c r="I3200" s="69" t="str">
        <f>IFERROR(VLOOKUP(Data!$G3200,canon!$I$2:$K$27,3,FALSE),"")</f>
        <v>N.APPAREL</v>
      </c>
      <c r="J3200" s="69">
        <f t="shared" si="98"/>
        <v>7</v>
      </c>
      <c r="K3200" s="69">
        <f t="shared" si="99"/>
        <v>201</v>
      </c>
      <c r="L3200" s="69">
        <f>VLOOKUP(Table_db1_backend_Daily.accdb[[#This Row],[TradingDate]],canon!B:E,4,0)</f>
        <v>28</v>
      </c>
    </row>
    <row r="3201" spans="1:12" x14ac:dyDescent="0.2">
      <c r="A3201" s="69" t="s">
        <v>46</v>
      </c>
      <c r="B3201" s="70">
        <v>42931</v>
      </c>
      <c r="C3201" s="69">
        <v>356</v>
      </c>
      <c r="D3201" s="69">
        <v>7</v>
      </c>
      <c r="E3201" s="69">
        <v>145.29</v>
      </c>
      <c r="F3201" s="69">
        <v>73.63</v>
      </c>
      <c r="G3201" s="69" t="s">
        <v>17</v>
      </c>
      <c r="H3201" s="69" t="str">
        <f>IFERROR(VLOOKUP(Data!$G3201,canon!$I$2:$K$27,2,FALSE),"")</f>
        <v>OUTER</v>
      </c>
      <c r="I3201" s="69" t="str">
        <f>IFERROR(VLOOKUP(Data!$G3201,canon!$I$2:$K$27,3,FALSE),"")</f>
        <v>APPAREL</v>
      </c>
      <c r="J3201" s="69">
        <f t="shared" si="98"/>
        <v>7</v>
      </c>
      <c r="K3201" s="69">
        <f t="shared" si="99"/>
        <v>201</v>
      </c>
      <c r="L3201" s="69">
        <f>VLOOKUP(Table_db1_backend_Daily.accdb[[#This Row],[TradingDate]],canon!B:E,4,0)</f>
        <v>28</v>
      </c>
    </row>
    <row r="3202" spans="1:12" x14ac:dyDescent="0.2">
      <c r="A3202" s="69" t="s">
        <v>46</v>
      </c>
      <c r="B3202" s="70">
        <v>42931</v>
      </c>
      <c r="C3202" s="69">
        <v>349</v>
      </c>
      <c r="D3202" s="69">
        <v>6</v>
      </c>
      <c r="E3202" s="69">
        <v>54.54</v>
      </c>
      <c r="F3202" s="69">
        <v>17.369999999999997</v>
      </c>
      <c r="G3202" s="69" t="s">
        <v>19</v>
      </c>
      <c r="H3202" s="69" t="str">
        <f>IFERROR(VLOOKUP(Data!$G3202,canon!$I$2:$K$27,2,FALSE),"")</f>
        <v>PANT</v>
      </c>
      <c r="I3202" s="69" t="str">
        <f>IFERROR(VLOOKUP(Data!$G3202,canon!$I$2:$K$27,3,FALSE),"")</f>
        <v>APPAREL</v>
      </c>
      <c r="J3202" s="69">
        <f t="shared" ref="J3202:J3265" si="100">WEEKDAY(B3202)</f>
        <v>7</v>
      </c>
      <c r="K3202" s="69">
        <f t="shared" ref="K3202:K3265" si="101">INT(A3202)</f>
        <v>201</v>
      </c>
      <c r="L3202" s="69">
        <f>VLOOKUP(Table_db1_backend_Daily.accdb[[#This Row],[TradingDate]],canon!B:E,4,0)</f>
        <v>28</v>
      </c>
    </row>
    <row r="3203" spans="1:12" x14ac:dyDescent="0.2">
      <c r="A3203" s="69" t="s">
        <v>46</v>
      </c>
      <c r="B3203" s="70">
        <v>42931</v>
      </c>
      <c r="C3203" s="69">
        <v>302</v>
      </c>
      <c r="D3203" s="69">
        <v>10</v>
      </c>
      <c r="E3203" s="69">
        <v>48.17</v>
      </c>
      <c r="F3203" s="69">
        <v>30.54</v>
      </c>
      <c r="G3203" s="69" t="s">
        <v>22</v>
      </c>
      <c r="H3203" s="69" t="str">
        <f>IFERROR(VLOOKUP(Data!$G3203,canon!$I$2:$K$27,2,FALSE),"")</f>
        <v>SCARF</v>
      </c>
      <c r="I3203" s="69" t="str">
        <f>IFERROR(VLOOKUP(Data!$G3203,canon!$I$2:$K$27,3,FALSE),"")</f>
        <v>N.APPAREL</v>
      </c>
      <c r="J3203" s="69">
        <f t="shared" si="100"/>
        <v>7</v>
      </c>
      <c r="K3203" s="69">
        <f t="shared" si="101"/>
        <v>201</v>
      </c>
      <c r="L3203" s="69">
        <f>VLOOKUP(Table_db1_backend_Daily.accdb[[#This Row],[TradingDate]],canon!B:E,4,0)</f>
        <v>28</v>
      </c>
    </row>
    <row r="3204" spans="1:12" x14ac:dyDescent="0.2">
      <c r="A3204" s="69" t="s">
        <v>46</v>
      </c>
      <c r="B3204" s="70">
        <v>42931</v>
      </c>
      <c r="C3204" s="69">
        <v>203</v>
      </c>
      <c r="D3204" s="69">
        <v>7</v>
      </c>
      <c r="E3204" s="69">
        <v>63.63</v>
      </c>
      <c r="F3204" s="69">
        <v>6.01</v>
      </c>
      <c r="G3204" s="69" t="s">
        <v>23</v>
      </c>
      <c r="H3204" s="69" t="str">
        <f>IFERROR(VLOOKUP(Data!$G3204,canon!$I$2:$K$27,2,FALSE),"")</f>
        <v>SH&amp;BL</v>
      </c>
      <c r="I3204" s="69" t="str">
        <f>IFERROR(VLOOKUP(Data!$G3204,canon!$I$2:$K$27,3,FALSE),"")</f>
        <v>APPAREL</v>
      </c>
      <c r="J3204" s="69">
        <f t="shared" si="100"/>
        <v>7</v>
      </c>
      <c r="K3204" s="69">
        <f t="shared" si="101"/>
        <v>201</v>
      </c>
      <c r="L3204" s="69">
        <f>VLOOKUP(Table_db1_backend_Daily.accdb[[#This Row],[TradingDate]],canon!B:E,4,0)</f>
        <v>28</v>
      </c>
    </row>
    <row r="3205" spans="1:12" x14ac:dyDescent="0.2">
      <c r="A3205" s="69" t="s">
        <v>46</v>
      </c>
      <c r="B3205" s="70">
        <v>42931</v>
      </c>
      <c r="C3205" s="69">
        <v>276</v>
      </c>
      <c r="D3205" s="69">
        <v>2</v>
      </c>
      <c r="E3205" s="69">
        <v>18.18</v>
      </c>
      <c r="F3205" s="69">
        <v>8.18</v>
      </c>
      <c r="G3205" s="69" t="s">
        <v>32</v>
      </c>
      <c r="H3205" s="69" t="str">
        <f>IFERROR(VLOOKUP(Data!$G3205,canon!$I$2:$K$27,2,FALSE),"")</f>
        <v>SKIRT</v>
      </c>
      <c r="I3205" s="69" t="str">
        <f>IFERROR(VLOOKUP(Data!$G3205,canon!$I$2:$K$27,3,FALSE),"")</f>
        <v>APPAREL</v>
      </c>
      <c r="J3205" s="69">
        <f t="shared" si="100"/>
        <v>7</v>
      </c>
      <c r="K3205" s="69">
        <f t="shared" si="101"/>
        <v>201</v>
      </c>
      <c r="L3205" s="69">
        <f>VLOOKUP(Table_db1_backend_Daily.accdb[[#This Row],[TradingDate]],canon!B:E,4,0)</f>
        <v>28</v>
      </c>
    </row>
    <row r="3206" spans="1:12" x14ac:dyDescent="0.2">
      <c r="A3206" s="69" t="s">
        <v>46</v>
      </c>
      <c r="B3206" s="70">
        <v>42931</v>
      </c>
      <c r="C3206" s="69">
        <v>1296</v>
      </c>
      <c r="D3206" s="69">
        <v>32</v>
      </c>
      <c r="E3206" s="69">
        <v>249.97000000000008</v>
      </c>
      <c r="F3206" s="69">
        <v>91.429999999999993</v>
      </c>
      <c r="G3206" s="69" t="s">
        <v>25</v>
      </c>
      <c r="H3206" s="69" t="str">
        <f>IFERROR(VLOOKUP(Data!$G3206,canon!$I$2:$K$27,2,FALSE),"")</f>
        <v>TOP</v>
      </c>
      <c r="I3206" s="69" t="str">
        <f>IFERROR(VLOOKUP(Data!$G3206,canon!$I$2:$K$27,3,FALSE),"")</f>
        <v>APPAREL</v>
      </c>
      <c r="J3206" s="69">
        <f t="shared" si="100"/>
        <v>7</v>
      </c>
      <c r="K3206" s="69">
        <f t="shared" si="101"/>
        <v>201</v>
      </c>
      <c r="L3206" s="69">
        <f>VLOOKUP(Table_db1_backend_Daily.accdb[[#This Row],[TradingDate]],canon!B:E,4,0)</f>
        <v>28</v>
      </c>
    </row>
    <row r="3207" spans="1:12" x14ac:dyDescent="0.2">
      <c r="A3207" s="69" t="s">
        <v>46</v>
      </c>
      <c r="B3207" s="70">
        <v>42932</v>
      </c>
      <c r="C3207" s="69">
        <v>-54</v>
      </c>
      <c r="D3207" s="69">
        <v>0</v>
      </c>
      <c r="E3207" s="69">
        <v>0</v>
      </c>
      <c r="F3207" s="69">
        <v>0</v>
      </c>
      <c r="G3207" s="69" t="s">
        <v>27</v>
      </c>
      <c r="H3207" s="69" t="str">
        <f>IFERROR(VLOOKUP(Data!$G3207,canon!$I$2:$K$27,2,FALSE),"")</f>
        <v>ACCESSORY</v>
      </c>
      <c r="I3207" s="69" t="str">
        <f>IFERROR(VLOOKUP(Data!$G3207,canon!$I$2:$K$27,3,FALSE),"")</f>
        <v>N.APPAREL</v>
      </c>
      <c r="J3207" s="69">
        <f t="shared" si="100"/>
        <v>1</v>
      </c>
      <c r="K3207" s="69">
        <f t="shared" si="101"/>
        <v>201</v>
      </c>
      <c r="L3207" s="69">
        <f>VLOOKUP(Table_db1_backend_Daily.accdb[[#This Row],[TradingDate]],canon!B:E,4,0)</f>
        <v>29</v>
      </c>
    </row>
    <row r="3208" spans="1:12" x14ac:dyDescent="0.2">
      <c r="A3208" s="69" t="s">
        <v>46</v>
      </c>
      <c r="B3208" s="70">
        <v>42932</v>
      </c>
      <c r="C3208" s="69">
        <v>-189</v>
      </c>
      <c r="D3208" s="69">
        <v>0</v>
      </c>
      <c r="E3208" s="69">
        <v>0</v>
      </c>
      <c r="F3208" s="69">
        <v>0</v>
      </c>
      <c r="G3208" s="69" t="s">
        <v>34</v>
      </c>
      <c r="H3208" s="69" t="str">
        <f>IFERROR(VLOOKUP(Data!$G3208,canon!$I$2:$K$27,2,FALSE),"")</f>
        <v>SHOES</v>
      </c>
      <c r="I3208" s="69" t="str">
        <f>IFERROR(VLOOKUP(Data!$G3208,canon!$I$2:$K$27,3,FALSE),"")</f>
        <v>N.APPAREL</v>
      </c>
      <c r="J3208" s="69">
        <f t="shared" si="100"/>
        <v>1</v>
      </c>
      <c r="K3208" s="69">
        <f t="shared" si="101"/>
        <v>201</v>
      </c>
      <c r="L3208" s="69">
        <f>VLOOKUP(Table_db1_backend_Daily.accdb[[#This Row],[TradingDate]],canon!B:E,4,0)</f>
        <v>29</v>
      </c>
    </row>
    <row r="3209" spans="1:12" x14ac:dyDescent="0.2">
      <c r="A3209" s="69" t="s">
        <v>46</v>
      </c>
      <c r="B3209" s="70">
        <v>42932</v>
      </c>
      <c r="C3209" s="69">
        <v>-36</v>
      </c>
      <c r="D3209" s="69">
        <v>0</v>
      </c>
      <c r="E3209" s="69">
        <v>0</v>
      </c>
      <c r="F3209" s="69">
        <v>0</v>
      </c>
      <c r="G3209" s="69" t="s">
        <v>38</v>
      </c>
      <c r="H3209" s="69" t="str">
        <f>IFERROR(VLOOKUP(Data!$G3209,canon!$I$2:$K$27,2,FALSE),"")</f>
        <v>SHOES</v>
      </c>
      <c r="I3209" s="69" t="str">
        <f>IFERROR(VLOOKUP(Data!$G3209,canon!$I$2:$K$27,3,FALSE),"")</f>
        <v>N.APPAREL</v>
      </c>
      <c r="J3209" s="69">
        <f t="shared" si="100"/>
        <v>1</v>
      </c>
      <c r="K3209" s="69">
        <f t="shared" si="101"/>
        <v>201</v>
      </c>
      <c r="L3209" s="69">
        <f>VLOOKUP(Table_db1_backend_Daily.accdb[[#This Row],[TradingDate]],canon!B:E,4,0)</f>
        <v>29</v>
      </c>
    </row>
    <row r="3210" spans="1:12" x14ac:dyDescent="0.2">
      <c r="A3210" s="69" t="s">
        <v>46</v>
      </c>
      <c r="B3210" s="70">
        <v>42932</v>
      </c>
      <c r="C3210" s="69">
        <v>281</v>
      </c>
      <c r="D3210" s="69">
        <v>1</v>
      </c>
      <c r="E3210" s="69">
        <v>9.09</v>
      </c>
      <c r="F3210" s="69">
        <v>0.83</v>
      </c>
      <c r="G3210" s="69" t="s">
        <v>35</v>
      </c>
      <c r="H3210" s="69" t="str">
        <f>IFERROR(VLOOKUP(Data!$G3210,canon!$I$2:$K$27,2,FALSE),"")</f>
        <v>DRESS</v>
      </c>
      <c r="I3210" s="69" t="str">
        <f>IFERROR(VLOOKUP(Data!$G3210,canon!$I$2:$K$27,3,FALSE),"")</f>
        <v>APPAREL</v>
      </c>
      <c r="J3210" s="69">
        <f t="shared" si="100"/>
        <v>1</v>
      </c>
      <c r="K3210" s="69">
        <f t="shared" si="101"/>
        <v>201</v>
      </c>
      <c r="L3210" s="69">
        <f>VLOOKUP(Table_db1_backend_Daily.accdb[[#This Row],[TradingDate]],canon!B:E,4,0)</f>
        <v>29</v>
      </c>
    </row>
    <row r="3211" spans="1:12" x14ac:dyDescent="0.2">
      <c r="A3211" s="69" t="s">
        <v>46</v>
      </c>
      <c r="B3211" s="70">
        <v>42932</v>
      </c>
      <c r="C3211" s="69">
        <v>45</v>
      </c>
      <c r="D3211" s="69">
        <v>0</v>
      </c>
      <c r="E3211" s="69">
        <v>0</v>
      </c>
      <c r="F3211" s="69">
        <v>0</v>
      </c>
      <c r="G3211" s="69" t="s">
        <v>10</v>
      </c>
      <c r="H3211" s="69" t="str">
        <f>IFERROR(VLOOKUP(Data!$G3211,canon!$I$2:$K$27,2,FALSE),"")</f>
        <v>ACCESSORY</v>
      </c>
      <c r="I3211" s="69" t="str">
        <f>IFERROR(VLOOKUP(Data!$G3211,canon!$I$2:$K$27,3,FALSE),"")</f>
        <v>N.APPAREL</v>
      </c>
      <c r="J3211" s="69">
        <f t="shared" si="100"/>
        <v>1</v>
      </c>
      <c r="K3211" s="69">
        <f t="shared" si="101"/>
        <v>201</v>
      </c>
      <c r="L3211" s="69">
        <f>VLOOKUP(Table_db1_backend_Daily.accdb[[#This Row],[TradingDate]],canon!B:E,4,0)</f>
        <v>29</v>
      </c>
    </row>
    <row r="3212" spans="1:12" x14ac:dyDescent="0.2">
      <c r="A3212" s="69" t="s">
        <v>46</v>
      </c>
      <c r="B3212" s="70">
        <v>42932</v>
      </c>
      <c r="C3212" s="69">
        <v>1894</v>
      </c>
      <c r="D3212" s="69">
        <v>45</v>
      </c>
      <c r="E3212" s="69">
        <v>458.95999999999992</v>
      </c>
      <c r="F3212" s="69">
        <v>117.76000000000002</v>
      </c>
      <c r="G3212" s="69" t="s">
        <v>11</v>
      </c>
      <c r="H3212" s="69" t="str">
        <f>IFERROR(VLOOKUP(Data!$G3212,canon!$I$2:$K$27,2,FALSE),"")</f>
        <v>KNIT</v>
      </c>
      <c r="I3212" s="69" t="str">
        <f>IFERROR(VLOOKUP(Data!$G3212,canon!$I$2:$K$27,3,FALSE),"")</f>
        <v>APPAREL</v>
      </c>
      <c r="J3212" s="69">
        <f t="shared" si="100"/>
        <v>1</v>
      </c>
      <c r="K3212" s="69">
        <f t="shared" si="101"/>
        <v>201</v>
      </c>
      <c r="L3212" s="69">
        <f>VLOOKUP(Table_db1_backend_Daily.accdb[[#This Row],[TradingDate]],canon!B:E,4,0)</f>
        <v>29</v>
      </c>
    </row>
    <row r="3213" spans="1:12" x14ac:dyDescent="0.2">
      <c r="A3213" s="69" t="s">
        <v>46</v>
      </c>
      <c r="B3213" s="70">
        <v>42932</v>
      </c>
      <c r="C3213" s="69">
        <v>300</v>
      </c>
      <c r="D3213" s="69">
        <v>8</v>
      </c>
      <c r="E3213" s="69">
        <v>127.22</v>
      </c>
      <c r="F3213" s="69">
        <v>75.94</v>
      </c>
      <c r="G3213" s="69" t="s">
        <v>14</v>
      </c>
      <c r="H3213" s="69" t="str">
        <f>IFERROR(VLOOKUP(Data!$G3213,canon!$I$2:$K$27,2,FALSE),"")</f>
        <v>LEGGING</v>
      </c>
      <c r="I3213" s="69" t="str">
        <f>IFERROR(VLOOKUP(Data!$G3213,canon!$I$2:$K$27,3,FALSE),"")</f>
        <v>APPAREL</v>
      </c>
      <c r="J3213" s="69">
        <f t="shared" si="100"/>
        <v>1</v>
      </c>
      <c r="K3213" s="69">
        <f t="shared" si="101"/>
        <v>201</v>
      </c>
      <c r="L3213" s="69">
        <f>VLOOKUP(Table_db1_backend_Daily.accdb[[#This Row],[TradingDate]],canon!B:E,4,0)</f>
        <v>29</v>
      </c>
    </row>
    <row r="3214" spans="1:12" x14ac:dyDescent="0.2">
      <c r="A3214" s="69" t="s">
        <v>46</v>
      </c>
      <c r="B3214" s="70">
        <v>42932</v>
      </c>
      <c r="C3214" s="69">
        <v>-4</v>
      </c>
      <c r="D3214" s="69">
        <v>0</v>
      </c>
      <c r="E3214" s="69">
        <v>0</v>
      </c>
      <c r="F3214" s="69">
        <v>0</v>
      </c>
      <c r="G3214" s="69" t="s">
        <v>37</v>
      </c>
      <c r="H3214" s="69" t="str">
        <f>IFERROR(VLOOKUP(Data!$G3214,canon!$I$2:$K$27,2,FALSE),"")</f>
        <v>SHOES</v>
      </c>
      <c r="I3214" s="69" t="str">
        <f>IFERROR(VLOOKUP(Data!$G3214,canon!$I$2:$K$27,3,FALSE),"")</f>
        <v>N.APPAREL</v>
      </c>
      <c r="J3214" s="69">
        <f t="shared" si="100"/>
        <v>1</v>
      </c>
      <c r="K3214" s="69">
        <f t="shared" si="101"/>
        <v>201</v>
      </c>
      <c r="L3214" s="69">
        <f>VLOOKUP(Table_db1_backend_Daily.accdb[[#This Row],[TradingDate]],canon!B:E,4,0)</f>
        <v>29</v>
      </c>
    </row>
    <row r="3215" spans="1:12" x14ac:dyDescent="0.2">
      <c r="A3215" s="69" t="s">
        <v>46</v>
      </c>
      <c r="B3215" s="70">
        <v>42932</v>
      </c>
      <c r="C3215" s="69">
        <v>-35</v>
      </c>
      <c r="D3215" s="69">
        <v>0</v>
      </c>
      <c r="E3215" s="69">
        <v>0</v>
      </c>
      <c r="F3215" s="69">
        <v>0</v>
      </c>
      <c r="G3215" s="69" t="s">
        <v>29</v>
      </c>
      <c r="H3215" s="69" t="str">
        <f>IFERROR(VLOOKUP(Data!$G3215,canon!$I$2:$K$27,2,FALSE),"")</f>
        <v>SHOES</v>
      </c>
      <c r="I3215" s="69" t="str">
        <f>IFERROR(VLOOKUP(Data!$G3215,canon!$I$2:$K$27,3,FALSE),"")</f>
        <v>N.APPAREL</v>
      </c>
      <c r="J3215" s="69">
        <f t="shared" si="100"/>
        <v>1</v>
      </c>
      <c r="K3215" s="69">
        <f t="shared" si="101"/>
        <v>201</v>
      </c>
      <c r="L3215" s="69">
        <f>VLOOKUP(Table_db1_backend_Daily.accdb[[#This Row],[TradingDate]],canon!B:E,4,0)</f>
        <v>29</v>
      </c>
    </row>
    <row r="3216" spans="1:12" x14ac:dyDescent="0.2">
      <c r="A3216" s="69" t="s">
        <v>46</v>
      </c>
      <c r="B3216" s="70">
        <v>42932</v>
      </c>
      <c r="C3216" s="69">
        <v>350</v>
      </c>
      <c r="D3216" s="69">
        <v>6</v>
      </c>
      <c r="E3216" s="69">
        <v>86.14</v>
      </c>
      <c r="F3216" s="69">
        <v>26.97</v>
      </c>
      <c r="G3216" s="69" t="s">
        <v>17</v>
      </c>
      <c r="H3216" s="69" t="str">
        <f>IFERROR(VLOOKUP(Data!$G3216,canon!$I$2:$K$27,2,FALSE),"")</f>
        <v>OUTER</v>
      </c>
      <c r="I3216" s="69" t="str">
        <f>IFERROR(VLOOKUP(Data!$G3216,canon!$I$2:$K$27,3,FALSE),"")</f>
        <v>APPAREL</v>
      </c>
      <c r="J3216" s="69">
        <f t="shared" si="100"/>
        <v>1</v>
      </c>
      <c r="K3216" s="69">
        <f t="shared" si="101"/>
        <v>201</v>
      </c>
      <c r="L3216" s="69">
        <f>VLOOKUP(Table_db1_backend_Daily.accdb[[#This Row],[TradingDate]],canon!B:E,4,0)</f>
        <v>29</v>
      </c>
    </row>
    <row r="3217" spans="1:12" x14ac:dyDescent="0.2">
      <c r="A3217" s="69" t="s">
        <v>46</v>
      </c>
      <c r="B3217" s="70">
        <v>42932</v>
      </c>
      <c r="C3217" s="69">
        <v>349</v>
      </c>
      <c r="D3217" s="69">
        <v>0</v>
      </c>
      <c r="E3217" s="69">
        <v>0</v>
      </c>
      <c r="F3217" s="69">
        <v>0</v>
      </c>
      <c r="G3217" s="69" t="s">
        <v>19</v>
      </c>
      <c r="H3217" s="69" t="str">
        <f>IFERROR(VLOOKUP(Data!$G3217,canon!$I$2:$K$27,2,FALSE),"")</f>
        <v>PANT</v>
      </c>
      <c r="I3217" s="69" t="str">
        <f>IFERROR(VLOOKUP(Data!$G3217,canon!$I$2:$K$27,3,FALSE),"")</f>
        <v>APPAREL</v>
      </c>
      <c r="J3217" s="69">
        <f t="shared" si="100"/>
        <v>1</v>
      </c>
      <c r="K3217" s="69">
        <f t="shared" si="101"/>
        <v>201</v>
      </c>
      <c r="L3217" s="69">
        <f>VLOOKUP(Table_db1_backend_Daily.accdb[[#This Row],[TradingDate]],canon!B:E,4,0)</f>
        <v>29</v>
      </c>
    </row>
    <row r="3218" spans="1:12" x14ac:dyDescent="0.2">
      <c r="A3218" s="69" t="s">
        <v>46</v>
      </c>
      <c r="B3218" s="70">
        <v>42932</v>
      </c>
      <c r="C3218" s="69">
        <v>299</v>
      </c>
      <c r="D3218" s="69">
        <v>3</v>
      </c>
      <c r="E3218" s="69">
        <v>13.649999999999999</v>
      </c>
      <c r="F3218" s="69">
        <v>8</v>
      </c>
      <c r="G3218" s="69" t="s">
        <v>22</v>
      </c>
      <c r="H3218" s="69" t="str">
        <f>IFERROR(VLOOKUP(Data!$G3218,canon!$I$2:$K$27,2,FALSE),"")</f>
        <v>SCARF</v>
      </c>
      <c r="I3218" s="69" t="str">
        <f>IFERROR(VLOOKUP(Data!$G3218,canon!$I$2:$K$27,3,FALSE),"")</f>
        <v>N.APPAREL</v>
      </c>
      <c r="J3218" s="69">
        <f t="shared" si="100"/>
        <v>1</v>
      </c>
      <c r="K3218" s="69">
        <f t="shared" si="101"/>
        <v>201</v>
      </c>
      <c r="L3218" s="69">
        <f>VLOOKUP(Table_db1_backend_Daily.accdb[[#This Row],[TradingDate]],canon!B:E,4,0)</f>
        <v>29</v>
      </c>
    </row>
    <row r="3219" spans="1:12" x14ac:dyDescent="0.2">
      <c r="A3219" s="69" t="s">
        <v>46</v>
      </c>
      <c r="B3219" s="70">
        <v>42932</v>
      </c>
      <c r="C3219" s="69">
        <v>204</v>
      </c>
      <c r="D3219" s="69">
        <v>-1</v>
      </c>
      <c r="E3219" s="69">
        <v>-9.09</v>
      </c>
      <c r="F3219" s="69">
        <v>-2.35</v>
      </c>
      <c r="G3219" s="69" t="s">
        <v>23</v>
      </c>
      <c r="H3219" s="69" t="str">
        <f>IFERROR(VLOOKUP(Data!$G3219,canon!$I$2:$K$27,2,FALSE),"")</f>
        <v>SH&amp;BL</v>
      </c>
      <c r="I3219" s="69" t="str">
        <f>IFERROR(VLOOKUP(Data!$G3219,canon!$I$2:$K$27,3,FALSE),"")</f>
        <v>APPAREL</v>
      </c>
      <c r="J3219" s="69">
        <f t="shared" si="100"/>
        <v>1</v>
      </c>
      <c r="K3219" s="69">
        <f t="shared" si="101"/>
        <v>201</v>
      </c>
      <c r="L3219" s="69">
        <f>VLOOKUP(Table_db1_backend_Daily.accdb[[#This Row],[TradingDate]],canon!B:E,4,0)</f>
        <v>29</v>
      </c>
    </row>
    <row r="3220" spans="1:12" x14ac:dyDescent="0.2">
      <c r="A3220" s="69" t="s">
        <v>46</v>
      </c>
      <c r="B3220" s="70">
        <v>42932</v>
      </c>
      <c r="C3220" s="69">
        <v>270</v>
      </c>
      <c r="D3220" s="69">
        <v>6</v>
      </c>
      <c r="E3220" s="69">
        <v>54.54</v>
      </c>
      <c r="F3220" s="69">
        <v>24.54</v>
      </c>
      <c r="G3220" s="69" t="s">
        <v>32</v>
      </c>
      <c r="H3220" s="69" t="str">
        <f>IFERROR(VLOOKUP(Data!$G3220,canon!$I$2:$K$27,2,FALSE),"")</f>
        <v>SKIRT</v>
      </c>
      <c r="I3220" s="69" t="str">
        <f>IFERROR(VLOOKUP(Data!$G3220,canon!$I$2:$K$27,3,FALSE),"")</f>
        <v>APPAREL</v>
      </c>
      <c r="J3220" s="69">
        <f t="shared" si="100"/>
        <v>1</v>
      </c>
      <c r="K3220" s="69">
        <f t="shared" si="101"/>
        <v>201</v>
      </c>
      <c r="L3220" s="69">
        <f>VLOOKUP(Table_db1_backend_Daily.accdb[[#This Row],[TradingDate]],canon!B:E,4,0)</f>
        <v>29</v>
      </c>
    </row>
    <row r="3221" spans="1:12" x14ac:dyDescent="0.2">
      <c r="A3221" s="69" t="s">
        <v>46</v>
      </c>
      <c r="B3221" s="70">
        <v>42932</v>
      </c>
      <c r="C3221" s="69">
        <v>1279</v>
      </c>
      <c r="D3221" s="69">
        <v>17</v>
      </c>
      <c r="E3221" s="69">
        <v>122.75000000000001</v>
      </c>
      <c r="F3221" s="69">
        <v>35.480000000000004</v>
      </c>
      <c r="G3221" s="69" t="s">
        <v>25</v>
      </c>
      <c r="H3221" s="69" t="str">
        <f>IFERROR(VLOOKUP(Data!$G3221,canon!$I$2:$K$27,2,FALSE),"")</f>
        <v>TOP</v>
      </c>
      <c r="I3221" s="69" t="str">
        <f>IFERROR(VLOOKUP(Data!$G3221,canon!$I$2:$K$27,3,FALSE),"")</f>
        <v>APPAREL</v>
      </c>
      <c r="J3221" s="69">
        <f t="shared" si="100"/>
        <v>1</v>
      </c>
      <c r="K3221" s="69">
        <f t="shared" si="101"/>
        <v>201</v>
      </c>
      <c r="L3221" s="69">
        <f>VLOOKUP(Table_db1_backend_Daily.accdb[[#This Row],[TradingDate]],canon!B:E,4,0)</f>
        <v>29</v>
      </c>
    </row>
    <row r="3222" spans="1:12" x14ac:dyDescent="0.2">
      <c r="A3222" s="69" t="s">
        <v>46</v>
      </c>
      <c r="B3222" s="70">
        <v>42933</v>
      </c>
      <c r="C3222" s="69">
        <v>-56</v>
      </c>
      <c r="D3222" s="69">
        <v>2</v>
      </c>
      <c r="E3222" s="69">
        <v>9.1</v>
      </c>
      <c r="F3222" s="69">
        <v>3.32</v>
      </c>
      <c r="G3222" s="69" t="s">
        <v>27</v>
      </c>
      <c r="H3222" s="69" t="str">
        <f>IFERROR(VLOOKUP(Data!$G3222,canon!$I$2:$K$27,2,FALSE),"")</f>
        <v>ACCESSORY</v>
      </c>
      <c r="I3222" s="69" t="str">
        <f>IFERROR(VLOOKUP(Data!$G3222,canon!$I$2:$K$27,3,FALSE),"")</f>
        <v>N.APPAREL</v>
      </c>
      <c r="J3222" s="69">
        <f t="shared" si="100"/>
        <v>2</v>
      </c>
      <c r="K3222" s="69">
        <f t="shared" si="101"/>
        <v>201</v>
      </c>
      <c r="L3222" s="69">
        <f>VLOOKUP(Table_db1_backend_Daily.accdb[[#This Row],[TradingDate]],canon!B:E,4,0)</f>
        <v>29</v>
      </c>
    </row>
    <row r="3223" spans="1:12" x14ac:dyDescent="0.2">
      <c r="A3223" s="69" t="s">
        <v>46</v>
      </c>
      <c r="B3223" s="70">
        <v>42933</v>
      </c>
      <c r="C3223" s="69">
        <v>-189</v>
      </c>
      <c r="D3223" s="69">
        <v>0</v>
      </c>
      <c r="E3223" s="69">
        <v>0</v>
      </c>
      <c r="F3223" s="69">
        <v>0</v>
      </c>
      <c r="G3223" s="69" t="s">
        <v>34</v>
      </c>
      <c r="H3223" s="69" t="str">
        <f>IFERROR(VLOOKUP(Data!$G3223,canon!$I$2:$K$27,2,FALSE),"")</f>
        <v>SHOES</v>
      </c>
      <c r="I3223" s="69" t="str">
        <f>IFERROR(VLOOKUP(Data!$G3223,canon!$I$2:$K$27,3,FALSE),"")</f>
        <v>N.APPAREL</v>
      </c>
      <c r="J3223" s="69">
        <f t="shared" si="100"/>
        <v>2</v>
      </c>
      <c r="K3223" s="69">
        <f t="shared" si="101"/>
        <v>201</v>
      </c>
      <c r="L3223" s="69">
        <f>VLOOKUP(Table_db1_backend_Daily.accdb[[#This Row],[TradingDate]],canon!B:E,4,0)</f>
        <v>29</v>
      </c>
    </row>
    <row r="3224" spans="1:12" x14ac:dyDescent="0.2">
      <c r="A3224" s="69" t="s">
        <v>46</v>
      </c>
      <c r="B3224" s="70">
        <v>42933</v>
      </c>
      <c r="C3224" s="69">
        <v>-36</v>
      </c>
      <c r="D3224" s="69">
        <v>0</v>
      </c>
      <c r="E3224" s="69">
        <v>0</v>
      </c>
      <c r="F3224" s="69">
        <v>0</v>
      </c>
      <c r="G3224" s="69" t="s">
        <v>38</v>
      </c>
      <c r="H3224" s="69" t="str">
        <f>IFERROR(VLOOKUP(Data!$G3224,canon!$I$2:$K$27,2,FALSE),"")</f>
        <v>SHOES</v>
      </c>
      <c r="I3224" s="69" t="str">
        <f>IFERROR(VLOOKUP(Data!$G3224,canon!$I$2:$K$27,3,FALSE),"")</f>
        <v>N.APPAREL</v>
      </c>
      <c r="J3224" s="69">
        <f t="shared" si="100"/>
        <v>2</v>
      </c>
      <c r="K3224" s="69">
        <f t="shared" si="101"/>
        <v>201</v>
      </c>
      <c r="L3224" s="69">
        <f>VLOOKUP(Table_db1_backend_Daily.accdb[[#This Row],[TradingDate]],canon!B:E,4,0)</f>
        <v>29</v>
      </c>
    </row>
    <row r="3225" spans="1:12" x14ac:dyDescent="0.2">
      <c r="A3225" s="69" t="s">
        <v>46</v>
      </c>
      <c r="B3225" s="70">
        <v>42933</v>
      </c>
      <c r="C3225" s="69">
        <v>278</v>
      </c>
      <c r="D3225" s="69">
        <v>3</v>
      </c>
      <c r="E3225" s="69">
        <v>27.27</v>
      </c>
      <c r="F3225" s="69">
        <v>2.4900000000000002</v>
      </c>
      <c r="G3225" s="69" t="s">
        <v>35</v>
      </c>
      <c r="H3225" s="69" t="str">
        <f>IFERROR(VLOOKUP(Data!$G3225,canon!$I$2:$K$27,2,FALSE),"")</f>
        <v>DRESS</v>
      </c>
      <c r="I3225" s="69" t="str">
        <f>IFERROR(VLOOKUP(Data!$G3225,canon!$I$2:$K$27,3,FALSE),"")</f>
        <v>APPAREL</v>
      </c>
      <c r="J3225" s="69">
        <f t="shared" si="100"/>
        <v>2</v>
      </c>
      <c r="K3225" s="69">
        <f t="shared" si="101"/>
        <v>201</v>
      </c>
      <c r="L3225" s="69">
        <f>VLOOKUP(Table_db1_backend_Daily.accdb[[#This Row],[TradingDate]],canon!B:E,4,0)</f>
        <v>29</v>
      </c>
    </row>
    <row r="3226" spans="1:12" x14ac:dyDescent="0.2">
      <c r="A3226" s="69" t="s">
        <v>46</v>
      </c>
      <c r="B3226" s="70">
        <v>42933</v>
      </c>
      <c r="C3226" s="69">
        <v>42</v>
      </c>
      <c r="D3226" s="69">
        <v>3</v>
      </c>
      <c r="E3226" s="69">
        <v>9.1</v>
      </c>
      <c r="F3226" s="69">
        <v>3.88</v>
      </c>
      <c r="G3226" s="69" t="s">
        <v>10</v>
      </c>
      <c r="H3226" s="69" t="str">
        <f>IFERROR(VLOOKUP(Data!$G3226,canon!$I$2:$K$27,2,FALSE),"")</f>
        <v>ACCESSORY</v>
      </c>
      <c r="I3226" s="69" t="str">
        <f>IFERROR(VLOOKUP(Data!$G3226,canon!$I$2:$K$27,3,FALSE),"")</f>
        <v>N.APPAREL</v>
      </c>
      <c r="J3226" s="69">
        <f t="shared" si="100"/>
        <v>2</v>
      </c>
      <c r="K3226" s="69">
        <f t="shared" si="101"/>
        <v>201</v>
      </c>
      <c r="L3226" s="69">
        <f>VLOOKUP(Table_db1_backend_Daily.accdb[[#This Row],[TradingDate]],canon!B:E,4,0)</f>
        <v>29</v>
      </c>
    </row>
    <row r="3227" spans="1:12" x14ac:dyDescent="0.2">
      <c r="A3227" s="69" t="s">
        <v>46</v>
      </c>
      <c r="B3227" s="70">
        <v>42933</v>
      </c>
      <c r="C3227" s="69">
        <v>1842</v>
      </c>
      <c r="D3227" s="69">
        <v>52</v>
      </c>
      <c r="E3227" s="69">
        <v>636.08000000000004</v>
      </c>
      <c r="F3227" s="69">
        <v>224.59</v>
      </c>
      <c r="G3227" s="69" t="s">
        <v>11</v>
      </c>
      <c r="H3227" s="69" t="str">
        <f>IFERROR(VLOOKUP(Data!$G3227,canon!$I$2:$K$27,2,FALSE),"")</f>
        <v>KNIT</v>
      </c>
      <c r="I3227" s="69" t="str">
        <f>IFERROR(VLOOKUP(Data!$G3227,canon!$I$2:$K$27,3,FALSE),"")</f>
        <v>APPAREL</v>
      </c>
      <c r="J3227" s="69">
        <f t="shared" si="100"/>
        <v>2</v>
      </c>
      <c r="K3227" s="69">
        <f t="shared" si="101"/>
        <v>201</v>
      </c>
      <c r="L3227" s="69">
        <f>VLOOKUP(Table_db1_backend_Daily.accdb[[#This Row],[TradingDate]],canon!B:E,4,0)</f>
        <v>29</v>
      </c>
    </row>
    <row r="3228" spans="1:12" x14ac:dyDescent="0.2">
      <c r="A3228" s="69" t="s">
        <v>46</v>
      </c>
      <c r="B3228" s="70">
        <v>42933</v>
      </c>
      <c r="C3228" s="69">
        <v>296</v>
      </c>
      <c r="D3228" s="69">
        <v>4</v>
      </c>
      <c r="E3228" s="69">
        <v>45.45</v>
      </c>
      <c r="F3228" s="69">
        <v>17.399999999999999</v>
      </c>
      <c r="G3228" s="69" t="s">
        <v>14</v>
      </c>
      <c r="H3228" s="69" t="str">
        <f>IFERROR(VLOOKUP(Data!$G3228,canon!$I$2:$K$27,2,FALSE),"")</f>
        <v>LEGGING</v>
      </c>
      <c r="I3228" s="69" t="str">
        <f>IFERROR(VLOOKUP(Data!$G3228,canon!$I$2:$K$27,3,FALSE),"")</f>
        <v>APPAREL</v>
      </c>
      <c r="J3228" s="69">
        <f t="shared" si="100"/>
        <v>2</v>
      </c>
      <c r="K3228" s="69">
        <f t="shared" si="101"/>
        <v>201</v>
      </c>
      <c r="L3228" s="69">
        <f>VLOOKUP(Table_db1_backend_Daily.accdb[[#This Row],[TradingDate]],canon!B:E,4,0)</f>
        <v>29</v>
      </c>
    </row>
    <row r="3229" spans="1:12" x14ac:dyDescent="0.2">
      <c r="A3229" s="69" t="s">
        <v>46</v>
      </c>
      <c r="B3229" s="70">
        <v>42933</v>
      </c>
      <c r="C3229" s="69">
        <v>-4</v>
      </c>
      <c r="D3229" s="69">
        <v>0</v>
      </c>
      <c r="E3229" s="69">
        <v>0</v>
      </c>
      <c r="F3229" s="69">
        <v>0</v>
      </c>
      <c r="G3229" s="69" t="s">
        <v>37</v>
      </c>
      <c r="H3229" s="69" t="str">
        <f>IFERROR(VLOOKUP(Data!$G3229,canon!$I$2:$K$27,2,FALSE),"")</f>
        <v>SHOES</v>
      </c>
      <c r="I3229" s="69" t="str">
        <f>IFERROR(VLOOKUP(Data!$G3229,canon!$I$2:$K$27,3,FALSE),"")</f>
        <v>N.APPAREL</v>
      </c>
      <c r="J3229" s="69">
        <f t="shared" si="100"/>
        <v>2</v>
      </c>
      <c r="K3229" s="69">
        <f t="shared" si="101"/>
        <v>201</v>
      </c>
      <c r="L3229" s="69">
        <f>VLOOKUP(Table_db1_backend_Daily.accdb[[#This Row],[TradingDate]],canon!B:E,4,0)</f>
        <v>29</v>
      </c>
    </row>
    <row r="3230" spans="1:12" x14ac:dyDescent="0.2">
      <c r="A3230" s="69" t="s">
        <v>46</v>
      </c>
      <c r="B3230" s="70">
        <v>42933</v>
      </c>
      <c r="C3230" s="69">
        <v>-35</v>
      </c>
      <c r="D3230" s="69">
        <v>0</v>
      </c>
      <c r="E3230" s="69">
        <v>0</v>
      </c>
      <c r="F3230" s="69">
        <v>0</v>
      </c>
      <c r="G3230" s="69" t="s">
        <v>29</v>
      </c>
      <c r="H3230" s="69" t="str">
        <f>IFERROR(VLOOKUP(Data!$G3230,canon!$I$2:$K$27,2,FALSE),"")</f>
        <v>SHOES</v>
      </c>
      <c r="I3230" s="69" t="str">
        <f>IFERROR(VLOOKUP(Data!$G3230,canon!$I$2:$K$27,3,FALSE),"")</f>
        <v>N.APPAREL</v>
      </c>
      <c r="J3230" s="69">
        <f t="shared" si="100"/>
        <v>2</v>
      </c>
      <c r="K3230" s="69">
        <f t="shared" si="101"/>
        <v>201</v>
      </c>
      <c r="L3230" s="69">
        <f>VLOOKUP(Table_db1_backend_Daily.accdb[[#This Row],[TradingDate]],canon!B:E,4,0)</f>
        <v>29</v>
      </c>
    </row>
    <row r="3231" spans="1:12" x14ac:dyDescent="0.2">
      <c r="A3231" s="69" t="s">
        <v>46</v>
      </c>
      <c r="B3231" s="70">
        <v>42933</v>
      </c>
      <c r="C3231" s="69">
        <v>340</v>
      </c>
      <c r="D3231" s="69">
        <v>10</v>
      </c>
      <c r="E3231" s="69">
        <v>154.28</v>
      </c>
      <c r="F3231" s="69">
        <v>64.17</v>
      </c>
      <c r="G3231" s="69" t="s">
        <v>17</v>
      </c>
      <c r="H3231" s="69" t="str">
        <f>IFERROR(VLOOKUP(Data!$G3231,canon!$I$2:$K$27,2,FALSE),"")</f>
        <v>OUTER</v>
      </c>
      <c r="I3231" s="69" t="str">
        <f>IFERROR(VLOOKUP(Data!$G3231,canon!$I$2:$K$27,3,FALSE),"")</f>
        <v>APPAREL</v>
      </c>
      <c r="J3231" s="69">
        <f t="shared" si="100"/>
        <v>2</v>
      </c>
      <c r="K3231" s="69">
        <f t="shared" si="101"/>
        <v>201</v>
      </c>
      <c r="L3231" s="69">
        <f>VLOOKUP(Table_db1_backend_Daily.accdb[[#This Row],[TradingDate]],canon!B:E,4,0)</f>
        <v>29</v>
      </c>
    </row>
    <row r="3232" spans="1:12" x14ac:dyDescent="0.2">
      <c r="A3232" s="69" t="s">
        <v>46</v>
      </c>
      <c r="B3232" s="70">
        <v>42933</v>
      </c>
      <c r="C3232" s="69">
        <v>343</v>
      </c>
      <c r="D3232" s="69">
        <v>6</v>
      </c>
      <c r="E3232" s="69">
        <v>54.540000000000006</v>
      </c>
      <c r="F3232" s="69">
        <v>15.239999999999998</v>
      </c>
      <c r="G3232" s="69" t="s">
        <v>19</v>
      </c>
      <c r="H3232" s="69" t="str">
        <f>IFERROR(VLOOKUP(Data!$G3232,canon!$I$2:$K$27,2,FALSE),"")</f>
        <v>PANT</v>
      </c>
      <c r="I3232" s="69" t="str">
        <f>IFERROR(VLOOKUP(Data!$G3232,canon!$I$2:$K$27,3,FALSE),"")</f>
        <v>APPAREL</v>
      </c>
      <c r="J3232" s="69">
        <f t="shared" si="100"/>
        <v>2</v>
      </c>
      <c r="K3232" s="69">
        <f t="shared" si="101"/>
        <v>201</v>
      </c>
      <c r="L3232" s="69">
        <f>VLOOKUP(Table_db1_backend_Daily.accdb[[#This Row],[TradingDate]],canon!B:E,4,0)</f>
        <v>29</v>
      </c>
    </row>
    <row r="3233" spans="1:12" x14ac:dyDescent="0.2">
      <c r="A3233" s="69" t="s">
        <v>46</v>
      </c>
      <c r="B3233" s="70">
        <v>42933</v>
      </c>
      <c r="C3233" s="69">
        <v>286</v>
      </c>
      <c r="D3233" s="69">
        <v>13</v>
      </c>
      <c r="E3233" s="69">
        <v>59.129999999999995</v>
      </c>
      <c r="F3233" s="69">
        <v>36.32</v>
      </c>
      <c r="G3233" s="69" t="s">
        <v>22</v>
      </c>
      <c r="H3233" s="69" t="str">
        <f>IFERROR(VLOOKUP(Data!$G3233,canon!$I$2:$K$27,2,FALSE),"")</f>
        <v>SCARF</v>
      </c>
      <c r="I3233" s="69" t="str">
        <f>IFERROR(VLOOKUP(Data!$G3233,canon!$I$2:$K$27,3,FALSE),"")</f>
        <v>N.APPAREL</v>
      </c>
      <c r="J3233" s="69">
        <f t="shared" si="100"/>
        <v>2</v>
      </c>
      <c r="K3233" s="69">
        <f t="shared" si="101"/>
        <v>201</v>
      </c>
      <c r="L3233" s="69">
        <f>VLOOKUP(Table_db1_backend_Daily.accdb[[#This Row],[TradingDate]],canon!B:E,4,0)</f>
        <v>29</v>
      </c>
    </row>
    <row r="3234" spans="1:12" x14ac:dyDescent="0.2">
      <c r="A3234" s="69" t="s">
        <v>46</v>
      </c>
      <c r="B3234" s="70">
        <v>42933</v>
      </c>
      <c r="C3234" s="69">
        <v>201</v>
      </c>
      <c r="D3234" s="69">
        <v>3</v>
      </c>
      <c r="E3234" s="69">
        <v>31.8</v>
      </c>
      <c r="F3234" s="69">
        <v>6.8000000000000007</v>
      </c>
      <c r="G3234" s="69" t="s">
        <v>23</v>
      </c>
      <c r="H3234" s="69" t="str">
        <f>IFERROR(VLOOKUP(Data!$G3234,canon!$I$2:$K$27,2,FALSE),"")</f>
        <v>SH&amp;BL</v>
      </c>
      <c r="I3234" s="69" t="str">
        <f>IFERROR(VLOOKUP(Data!$G3234,canon!$I$2:$K$27,3,FALSE),"")</f>
        <v>APPAREL</v>
      </c>
      <c r="J3234" s="69">
        <f t="shared" si="100"/>
        <v>2</v>
      </c>
      <c r="K3234" s="69">
        <f t="shared" si="101"/>
        <v>201</v>
      </c>
      <c r="L3234" s="69">
        <f>VLOOKUP(Table_db1_backend_Daily.accdb[[#This Row],[TradingDate]],canon!B:E,4,0)</f>
        <v>29</v>
      </c>
    </row>
    <row r="3235" spans="1:12" x14ac:dyDescent="0.2">
      <c r="A3235" s="69" t="s">
        <v>46</v>
      </c>
      <c r="B3235" s="70">
        <v>42933</v>
      </c>
      <c r="C3235" s="69">
        <v>264</v>
      </c>
      <c r="D3235" s="69">
        <v>6</v>
      </c>
      <c r="E3235" s="69">
        <v>63.63</v>
      </c>
      <c r="F3235" s="69">
        <v>32.769999999999996</v>
      </c>
      <c r="G3235" s="69" t="s">
        <v>32</v>
      </c>
      <c r="H3235" s="69" t="str">
        <f>IFERROR(VLOOKUP(Data!$G3235,canon!$I$2:$K$27,2,FALSE),"")</f>
        <v>SKIRT</v>
      </c>
      <c r="I3235" s="69" t="str">
        <f>IFERROR(VLOOKUP(Data!$G3235,canon!$I$2:$K$27,3,FALSE),"")</f>
        <v>APPAREL</v>
      </c>
      <c r="J3235" s="69">
        <f t="shared" si="100"/>
        <v>2</v>
      </c>
      <c r="K3235" s="69">
        <f t="shared" si="101"/>
        <v>201</v>
      </c>
      <c r="L3235" s="69">
        <f>VLOOKUP(Table_db1_backend_Daily.accdb[[#This Row],[TradingDate]],canon!B:E,4,0)</f>
        <v>29</v>
      </c>
    </row>
    <row r="3236" spans="1:12" x14ac:dyDescent="0.2">
      <c r="A3236" s="69" t="s">
        <v>46</v>
      </c>
      <c r="B3236" s="70">
        <v>42933</v>
      </c>
      <c r="C3236" s="69">
        <v>1259</v>
      </c>
      <c r="D3236" s="69">
        <v>20</v>
      </c>
      <c r="E3236" s="69">
        <v>181.81000000000003</v>
      </c>
      <c r="F3236" s="69">
        <v>70.600000000000009</v>
      </c>
      <c r="G3236" s="69" t="s">
        <v>25</v>
      </c>
      <c r="H3236" s="69" t="str">
        <f>IFERROR(VLOOKUP(Data!$G3236,canon!$I$2:$K$27,2,FALSE),"")</f>
        <v>TOP</v>
      </c>
      <c r="I3236" s="69" t="str">
        <f>IFERROR(VLOOKUP(Data!$G3236,canon!$I$2:$K$27,3,FALSE),"")</f>
        <v>APPAREL</v>
      </c>
      <c r="J3236" s="69">
        <f t="shared" si="100"/>
        <v>2</v>
      </c>
      <c r="K3236" s="69">
        <f t="shared" si="101"/>
        <v>201</v>
      </c>
      <c r="L3236" s="69">
        <f>VLOOKUP(Table_db1_backend_Daily.accdb[[#This Row],[TradingDate]],canon!B:E,4,0)</f>
        <v>29</v>
      </c>
    </row>
    <row r="3237" spans="1:12" x14ac:dyDescent="0.2">
      <c r="A3237" s="69" t="s">
        <v>46</v>
      </c>
      <c r="B3237" s="70">
        <v>42934</v>
      </c>
      <c r="C3237" s="69">
        <v>-57</v>
      </c>
      <c r="D3237" s="69">
        <v>1</v>
      </c>
      <c r="E3237" s="69">
        <v>4.55</v>
      </c>
      <c r="F3237" s="69">
        <v>1.66</v>
      </c>
      <c r="G3237" s="69" t="s">
        <v>27</v>
      </c>
      <c r="H3237" s="69" t="str">
        <f>IFERROR(VLOOKUP(Data!$G3237,canon!$I$2:$K$27,2,FALSE),"")</f>
        <v>ACCESSORY</v>
      </c>
      <c r="I3237" s="69" t="str">
        <f>IFERROR(VLOOKUP(Data!$G3237,canon!$I$2:$K$27,3,FALSE),"")</f>
        <v>N.APPAREL</v>
      </c>
      <c r="J3237" s="69">
        <f t="shared" si="100"/>
        <v>3</v>
      </c>
      <c r="K3237" s="69">
        <f t="shared" si="101"/>
        <v>201</v>
      </c>
      <c r="L3237" s="69">
        <f>VLOOKUP(Table_db1_backend_Daily.accdb[[#This Row],[TradingDate]],canon!B:E,4,0)</f>
        <v>29</v>
      </c>
    </row>
    <row r="3238" spans="1:12" x14ac:dyDescent="0.2">
      <c r="A3238" s="69" t="s">
        <v>46</v>
      </c>
      <c r="B3238" s="70">
        <v>42934</v>
      </c>
      <c r="C3238" s="69">
        <v>-189</v>
      </c>
      <c r="D3238" s="69">
        <v>0</v>
      </c>
      <c r="E3238" s="69">
        <v>0</v>
      </c>
      <c r="F3238" s="69">
        <v>0</v>
      </c>
      <c r="G3238" s="69" t="s">
        <v>34</v>
      </c>
      <c r="H3238" s="69" t="str">
        <f>IFERROR(VLOOKUP(Data!$G3238,canon!$I$2:$K$27,2,FALSE),"")</f>
        <v>SHOES</v>
      </c>
      <c r="I3238" s="69" t="str">
        <f>IFERROR(VLOOKUP(Data!$G3238,canon!$I$2:$K$27,3,FALSE),"")</f>
        <v>N.APPAREL</v>
      </c>
      <c r="J3238" s="69">
        <f t="shared" si="100"/>
        <v>3</v>
      </c>
      <c r="K3238" s="69">
        <f t="shared" si="101"/>
        <v>201</v>
      </c>
      <c r="L3238" s="69">
        <f>VLOOKUP(Table_db1_backend_Daily.accdb[[#This Row],[TradingDate]],canon!B:E,4,0)</f>
        <v>29</v>
      </c>
    </row>
    <row r="3239" spans="1:12" x14ac:dyDescent="0.2">
      <c r="A3239" s="69" t="s">
        <v>46</v>
      </c>
      <c r="B3239" s="70">
        <v>42934</v>
      </c>
      <c r="C3239" s="69">
        <v>-36</v>
      </c>
      <c r="D3239" s="69">
        <v>0</v>
      </c>
      <c r="E3239" s="69">
        <v>0</v>
      </c>
      <c r="F3239" s="69">
        <v>0</v>
      </c>
      <c r="G3239" s="69" t="s">
        <v>38</v>
      </c>
      <c r="H3239" s="69" t="str">
        <f>IFERROR(VLOOKUP(Data!$G3239,canon!$I$2:$K$27,2,FALSE),"")</f>
        <v>SHOES</v>
      </c>
      <c r="I3239" s="69" t="str">
        <f>IFERROR(VLOOKUP(Data!$G3239,canon!$I$2:$K$27,3,FALSE),"")</f>
        <v>N.APPAREL</v>
      </c>
      <c r="J3239" s="69">
        <f t="shared" si="100"/>
        <v>3</v>
      </c>
      <c r="K3239" s="69">
        <f t="shared" si="101"/>
        <v>201</v>
      </c>
      <c r="L3239" s="69">
        <f>VLOOKUP(Table_db1_backend_Daily.accdb[[#This Row],[TradingDate]],canon!B:E,4,0)</f>
        <v>29</v>
      </c>
    </row>
    <row r="3240" spans="1:12" x14ac:dyDescent="0.2">
      <c r="A3240" s="69" t="s">
        <v>46</v>
      </c>
      <c r="B3240" s="70">
        <v>42934</v>
      </c>
      <c r="C3240" s="69">
        <v>288</v>
      </c>
      <c r="D3240" s="69">
        <v>2</v>
      </c>
      <c r="E3240" s="69">
        <v>36.340000000000003</v>
      </c>
      <c r="F3240" s="69">
        <v>18.619999999999997</v>
      </c>
      <c r="G3240" s="69" t="s">
        <v>35</v>
      </c>
      <c r="H3240" s="69" t="str">
        <f>IFERROR(VLOOKUP(Data!$G3240,canon!$I$2:$K$27,2,FALSE),"")</f>
        <v>DRESS</v>
      </c>
      <c r="I3240" s="69" t="str">
        <f>IFERROR(VLOOKUP(Data!$G3240,canon!$I$2:$K$27,3,FALSE),"")</f>
        <v>APPAREL</v>
      </c>
      <c r="J3240" s="69">
        <f t="shared" si="100"/>
        <v>3</v>
      </c>
      <c r="K3240" s="69">
        <f t="shared" si="101"/>
        <v>201</v>
      </c>
      <c r="L3240" s="69">
        <f>VLOOKUP(Table_db1_backend_Daily.accdb[[#This Row],[TradingDate]],canon!B:E,4,0)</f>
        <v>29</v>
      </c>
    </row>
    <row r="3241" spans="1:12" x14ac:dyDescent="0.2">
      <c r="A3241" s="69" t="s">
        <v>46</v>
      </c>
      <c r="B3241" s="70">
        <v>42934</v>
      </c>
      <c r="C3241" s="69">
        <v>42</v>
      </c>
      <c r="D3241" s="69">
        <v>0</v>
      </c>
      <c r="E3241" s="69">
        <v>0</v>
      </c>
      <c r="F3241" s="69">
        <v>0</v>
      </c>
      <c r="G3241" s="69" t="s">
        <v>10</v>
      </c>
      <c r="H3241" s="69" t="str">
        <f>IFERROR(VLOOKUP(Data!$G3241,canon!$I$2:$K$27,2,FALSE),"")</f>
        <v>ACCESSORY</v>
      </c>
      <c r="I3241" s="69" t="str">
        <f>IFERROR(VLOOKUP(Data!$G3241,canon!$I$2:$K$27,3,FALSE),"")</f>
        <v>N.APPAREL</v>
      </c>
      <c r="J3241" s="69">
        <f t="shared" si="100"/>
        <v>3</v>
      </c>
      <c r="K3241" s="69">
        <f t="shared" si="101"/>
        <v>201</v>
      </c>
      <c r="L3241" s="69">
        <f>VLOOKUP(Table_db1_backend_Daily.accdb[[#This Row],[TradingDate]],canon!B:E,4,0)</f>
        <v>29</v>
      </c>
    </row>
    <row r="3242" spans="1:12" x14ac:dyDescent="0.2">
      <c r="A3242" s="69" t="s">
        <v>46</v>
      </c>
      <c r="B3242" s="70">
        <v>42934</v>
      </c>
      <c r="C3242" s="69">
        <v>2256</v>
      </c>
      <c r="D3242" s="69">
        <v>34</v>
      </c>
      <c r="E3242" s="69">
        <v>377.18999999999994</v>
      </c>
      <c r="F3242" s="69">
        <v>116.45</v>
      </c>
      <c r="G3242" s="69" t="s">
        <v>11</v>
      </c>
      <c r="H3242" s="69" t="str">
        <f>IFERROR(VLOOKUP(Data!$G3242,canon!$I$2:$K$27,2,FALSE),"")</f>
        <v>KNIT</v>
      </c>
      <c r="I3242" s="69" t="str">
        <f>IFERROR(VLOOKUP(Data!$G3242,canon!$I$2:$K$27,3,FALSE),"")</f>
        <v>APPAREL</v>
      </c>
      <c r="J3242" s="69">
        <f t="shared" si="100"/>
        <v>3</v>
      </c>
      <c r="K3242" s="69">
        <f t="shared" si="101"/>
        <v>201</v>
      </c>
      <c r="L3242" s="69">
        <f>VLOOKUP(Table_db1_backend_Daily.accdb[[#This Row],[TradingDate]],canon!B:E,4,0)</f>
        <v>29</v>
      </c>
    </row>
    <row r="3243" spans="1:12" x14ac:dyDescent="0.2">
      <c r="A3243" s="69" t="s">
        <v>46</v>
      </c>
      <c r="B3243" s="70">
        <v>42934</v>
      </c>
      <c r="C3243" s="69">
        <v>321</v>
      </c>
      <c r="D3243" s="69">
        <v>5</v>
      </c>
      <c r="E3243" s="69">
        <v>45.45</v>
      </c>
      <c r="F3243" s="69">
        <v>10.329999999999998</v>
      </c>
      <c r="G3243" s="69" t="s">
        <v>14</v>
      </c>
      <c r="H3243" s="69" t="str">
        <f>IFERROR(VLOOKUP(Data!$G3243,canon!$I$2:$K$27,2,FALSE),"")</f>
        <v>LEGGING</v>
      </c>
      <c r="I3243" s="69" t="str">
        <f>IFERROR(VLOOKUP(Data!$G3243,canon!$I$2:$K$27,3,FALSE),"")</f>
        <v>APPAREL</v>
      </c>
      <c r="J3243" s="69">
        <f t="shared" si="100"/>
        <v>3</v>
      </c>
      <c r="K3243" s="69">
        <f t="shared" si="101"/>
        <v>201</v>
      </c>
      <c r="L3243" s="69">
        <f>VLOOKUP(Table_db1_backend_Daily.accdb[[#This Row],[TradingDate]],canon!B:E,4,0)</f>
        <v>29</v>
      </c>
    </row>
    <row r="3244" spans="1:12" x14ac:dyDescent="0.2">
      <c r="A3244" s="69" t="s">
        <v>46</v>
      </c>
      <c r="B3244" s="70">
        <v>42934</v>
      </c>
      <c r="C3244" s="69">
        <v>-4</v>
      </c>
      <c r="D3244" s="69">
        <v>0</v>
      </c>
      <c r="E3244" s="69">
        <v>0</v>
      </c>
      <c r="F3244" s="69">
        <v>0</v>
      </c>
      <c r="G3244" s="69" t="s">
        <v>37</v>
      </c>
      <c r="H3244" s="69" t="str">
        <f>IFERROR(VLOOKUP(Data!$G3244,canon!$I$2:$K$27,2,FALSE),"")</f>
        <v>SHOES</v>
      </c>
      <c r="I3244" s="69" t="str">
        <f>IFERROR(VLOOKUP(Data!$G3244,canon!$I$2:$K$27,3,FALSE),"")</f>
        <v>N.APPAREL</v>
      </c>
      <c r="J3244" s="69">
        <f t="shared" si="100"/>
        <v>3</v>
      </c>
      <c r="K3244" s="69">
        <f t="shared" si="101"/>
        <v>201</v>
      </c>
      <c r="L3244" s="69">
        <f>VLOOKUP(Table_db1_backend_Daily.accdb[[#This Row],[TradingDate]],canon!B:E,4,0)</f>
        <v>29</v>
      </c>
    </row>
    <row r="3245" spans="1:12" x14ac:dyDescent="0.2">
      <c r="A3245" s="69" t="s">
        <v>46</v>
      </c>
      <c r="B3245" s="70">
        <v>42934</v>
      </c>
      <c r="C3245" s="69">
        <v>-35</v>
      </c>
      <c r="D3245" s="69">
        <v>0</v>
      </c>
      <c r="E3245" s="69">
        <v>0</v>
      </c>
      <c r="F3245" s="69">
        <v>0</v>
      </c>
      <c r="G3245" s="69" t="s">
        <v>29</v>
      </c>
      <c r="H3245" s="69" t="str">
        <f>IFERROR(VLOOKUP(Data!$G3245,canon!$I$2:$K$27,2,FALSE),"")</f>
        <v>SHOES</v>
      </c>
      <c r="I3245" s="69" t="str">
        <f>IFERROR(VLOOKUP(Data!$G3245,canon!$I$2:$K$27,3,FALSE),"")</f>
        <v>N.APPAREL</v>
      </c>
      <c r="J3245" s="69">
        <f t="shared" si="100"/>
        <v>3</v>
      </c>
      <c r="K3245" s="69">
        <f t="shared" si="101"/>
        <v>201</v>
      </c>
      <c r="L3245" s="69">
        <f>VLOOKUP(Table_db1_backend_Daily.accdb[[#This Row],[TradingDate]],canon!B:E,4,0)</f>
        <v>29</v>
      </c>
    </row>
    <row r="3246" spans="1:12" x14ac:dyDescent="0.2">
      <c r="A3246" s="69" t="s">
        <v>46</v>
      </c>
      <c r="B3246" s="70">
        <v>42934</v>
      </c>
      <c r="C3246" s="69">
        <v>342</v>
      </c>
      <c r="D3246" s="69">
        <v>4</v>
      </c>
      <c r="E3246" s="69">
        <v>72.67</v>
      </c>
      <c r="F3246" s="69">
        <v>35.669999999999995</v>
      </c>
      <c r="G3246" s="69" t="s">
        <v>17</v>
      </c>
      <c r="H3246" s="69" t="str">
        <f>IFERROR(VLOOKUP(Data!$G3246,canon!$I$2:$K$27,2,FALSE),"")</f>
        <v>OUTER</v>
      </c>
      <c r="I3246" s="69" t="str">
        <f>IFERROR(VLOOKUP(Data!$G3246,canon!$I$2:$K$27,3,FALSE),"")</f>
        <v>APPAREL</v>
      </c>
      <c r="J3246" s="69">
        <f t="shared" si="100"/>
        <v>3</v>
      </c>
      <c r="K3246" s="69">
        <f t="shared" si="101"/>
        <v>201</v>
      </c>
      <c r="L3246" s="69">
        <f>VLOOKUP(Table_db1_backend_Daily.accdb[[#This Row],[TradingDate]],canon!B:E,4,0)</f>
        <v>29</v>
      </c>
    </row>
    <row r="3247" spans="1:12" x14ac:dyDescent="0.2">
      <c r="A3247" s="69" t="s">
        <v>46</v>
      </c>
      <c r="B3247" s="70">
        <v>42934</v>
      </c>
      <c r="C3247" s="69">
        <v>341</v>
      </c>
      <c r="D3247" s="69">
        <v>2</v>
      </c>
      <c r="E3247" s="69">
        <v>18.18</v>
      </c>
      <c r="F3247" s="69">
        <v>6.1099999999999994</v>
      </c>
      <c r="G3247" s="69" t="s">
        <v>19</v>
      </c>
      <c r="H3247" s="69" t="str">
        <f>IFERROR(VLOOKUP(Data!$G3247,canon!$I$2:$K$27,2,FALSE),"")</f>
        <v>PANT</v>
      </c>
      <c r="I3247" s="69" t="str">
        <f>IFERROR(VLOOKUP(Data!$G3247,canon!$I$2:$K$27,3,FALSE),"")</f>
        <v>APPAREL</v>
      </c>
      <c r="J3247" s="69">
        <f t="shared" si="100"/>
        <v>3</v>
      </c>
      <c r="K3247" s="69">
        <f t="shared" si="101"/>
        <v>201</v>
      </c>
      <c r="L3247" s="69">
        <f>VLOOKUP(Table_db1_backend_Daily.accdb[[#This Row],[TradingDate]],canon!B:E,4,0)</f>
        <v>29</v>
      </c>
    </row>
    <row r="3248" spans="1:12" x14ac:dyDescent="0.2">
      <c r="A3248" s="69" t="s">
        <v>46</v>
      </c>
      <c r="B3248" s="70">
        <v>42934</v>
      </c>
      <c r="C3248" s="69">
        <v>279</v>
      </c>
      <c r="D3248" s="69">
        <v>7</v>
      </c>
      <c r="E3248" s="69">
        <v>31.85</v>
      </c>
      <c r="F3248" s="69">
        <v>19.25</v>
      </c>
      <c r="G3248" s="69" t="s">
        <v>22</v>
      </c>
      <c r="H3248" s="69" t="str">
        <f>IFERROR(VLOOKUP(Data!$G3248,canon!$I$2:$K$27,2,FALSE),"")</f>
        <v>SCARF</v>
      </c>
      <c r="I3248" s="69" t="str">
        <f>IFERROR(VLOOKUP(Data!$G3248,canon!$I$2:$K$27,3,FALSE),"")</f>
        <v>N.APPAREL</v>
      </c>
      <c r="J3248" s="69">
        <f t="shared" si="100"/>
        <v>3</v>
      </c>
      <c r="K3248" s="69">
        <f t="shared" si="101"/>
        <v>201</v>
      </c>
      <c r="L3248" s="69">
        <f>VLOOKUP(Table_db1_backend_Daily.accdb[[#This Row],[TradingDate]],canon!B:E,4,0)</f>
        <v>29</v>
      </c>
    </row>
    <row r="3249" spans="1:12" x14ac:dyDescent="0.2">
      <c r="A3249" s="69" t="s">
        <v>46</v>
      </c>
      <c r="B3249" s="70">
        <v>42934</v>
      </c>
      <c r="C3249" s="69">
        <v>201</v>
      </c>
      <c r="D3249" s="69">
        <v>0</v>
      </c>
      <c r="E3249" s="69">
        <v>0</v>
      </c>
      <c r="F3249" s="69">
        <v>0</v>
      </c>
      <c r="G3249" s="69" t="s">
        <v>23</v>
      </c>
      <c r="H3249" s="69" t="str">
        <f>IFERROR(VLOOKUP(Data!$G3249,canon!$I$2:$K$27,2,FALSE),"")</f>
        <v>SH&amp;BL</v>
      </c>
      <c r="I3249" s="69" t="str">
        <f>IFERROR(VLOOKUP(Data!$G3249,canon!$I$2:$K$27,3,FALSE),"")</f>
        <v>APPAREL</v>
      </c>
      <c r="J3249" s="69">
        <f t="shared" si="100"/>
        <v>3</v>
      </c>
      <c r="K3249" s="69">
        <f t="shared" si="101"/>
        <v>201</v>
      </c>
      <c r="L3249" s="69">
        <f>VLOOKUP(Table_db1_backend_Daily.accdb[[#This Row],[TradingDate]],canon!B:E,4,0)</f>
        <v>29</v>
      </c>
    </row>
    <row r="3250" spans="1:12" x14ac:dyDescent="0.2">
      <c r="A3250" s="69" t="s">
        <v>46</v>
      </c>
      <c r="B3250" s="70">
        <v>42934</v>
      </c>
      <c r="C3250" s="69">
        <v>267</v>
      </c>
      <c r="D3250" s="69">
        <v>3</v>
      </c>
      <c r="E3250" s="69">
        <v>45.45</v>
      </c>
      <c r="F3250" s="69">
        <v>31.31</v>
      </c>
      <c r="G3250" s="69" t="s">
        <v>32</v>
      </c>
      <c r="H3250" s="69" t="str">
        <f>IFERROR(VLOOKUP(Data!$G3250,canon!$I$2:$K$27,2,FALSE),"")</f>
        <v>SKIRT</v>
      </c>
      <c r="I3250" s="69" t="str">
        <f>IFERROR(VLOOKUP(Data!$G3250,canon!$I$2:$K$27,3,FALSE),"")</f>
        <v>APPAREL</v>
      </c>
      <c r="J3250" s="69">
        <f t="shared" si="100"/>
        <v>3</v>
      </c>
      <c r="K3250" s="69">
        <f t="shared" si="101"/>
        <v>201</v>
      </c>
      <c r="L3250" s="69">
        <f>VLOOKUP(Table_db1_backend_Daily.accdb[[#This Row],[TradingDate]],canon!B:E,4,0)</f>
        <v>29</v>
      </c>
    </row>
    <row r="3251" spans="1:12" x14ac:dyDescent="0.2">
      <c r="A3251" s="69" t="s">
        <v>46</v>
      </c>
      <c r="B3251" s="70">
        <v>42934</v>
      </c>
      <c r="C3251" s="69">
        <v>1325</v>
      </c>
      <c r="D3251" s="69">
        <v>12</v>
      </c>
      <c r="E3251" s="69">
        <v>81.839999999999989</v>
      </c>
      <c r="F3251" s="69">
        <v>25.21</v>
      </c>
      <c r="G3251" s="69" t="s">
        <v>25</v>
      </c>
      <c r="H3251" s="69" t="str">
        <f>IFERROR(VLOOKUP(Data!$G3251,canon!$I$2:$K$27,2,FALSE),"")</f>
        <v>TOP</v>
      </c>
      <c r="I3251" s="69" t="str">
        <f>IFERROR(VLOOKUP(Data!$G3251,canon!$I$2:$K$27,3,FALSE),"")</f>
        <v>APPAREL</v>
      </c>
      <c r="J3251" s="69">
        <f t="shared" si="100"/>
        <v>3</v>
      </c>
      <c r="K3251" s="69">
        <f t="shared" si="101"/>
        <v>201</v>
      </c>
      <c r="L3251" s="69">
        <f>VLOOKUP(Table_db1_backend_Daily.accdb[[#This Row],[TradingDate]],canon!B:E,4,0)</f>
        <v>29</v>
      </c>
    </row>
    <row r="3252" spans="1:12" x14ac:dyDescent="0.2">
      <c r="A3252" s="69" t="s">
        <v>46</v>
      </c>
      <c r="B3252" s="70">
        <v>42935</v>
      </c>
      <c r="C3252" s="69">
        <v>-59</v>
      </c>
      <c r="D3252" s="69">
        <v>2</v>
      </c>
      <c r="E3252" s="69">
        <v>9.1</v>
      </c>
      <c r="F3252" s="69">
        <v>3.32</v>
      </c>
      <c r="G3252" s="69" t="s">
        <v>27</v>
      </c>
      <c r="H3252" s="69" t="str">
        <f>IFERROR(VLOOKUP(Data!$G3252,canon!$I$2:$K$27,2,FALSE),"")</f>
        <v>ACCESSORY</v>
      </c>
      <c r="I3252" s="69" t="str">
        <f>IFERROR(VLOOKUP(Data!$G3252,canon!$I$2:$K$27,3,FALSE),"")</f>
        <v>N.APPAREL</v>
      </c>
      <c r="J3252" s="69">
        <f t="shared" si="100"/>
        <v>4</v>
      </c>
      <c r="K3252" s="69">
        <f t="shared" si="101"/>
        <v>201</v>
      </c>
      <c r="L3252" s="69">
        <f>VLOOKUP(Table_db1_backend_Daily.accdb[[#This Row],[TradingDate]],canon!B:E,4,0)</f>
        <v>29</v>
      </c>
    </row>
    <row r="3253" spans="1:12" x14ac:dyDescent="0.2">
      <c r="A3253" s="69" t="s">
        <v>46</v>
      </c>
      <c r="B3253" s="70">
        <v>42935</v>
      </c>
      <c r="C3253" s="69">
        <v>-189</v>
      </c>
      <c r="D3253" s="69">
        <v>0</v>
      </c>
      <c r="E3253" s="69">
        <v>0</v>
      </c>
      <c r="F3253" s="69">
        <v>0</v>
      </c>
      <c r="G3253" s="69" t="s">
        <v>34</v>
      </c>
      <c r="H3253" s="69" t="str">
        <f>IFERROR(VLOOKUP(Data!$G3253,canon!$I$2:$K$27,2,FALSE),"")</f>
        <v>SHOES</v>
      </c>
      <c r="I3253" s="69" t="str">
        <f>IFERROR(VLOOKUP(Data!$G3253,canon!$I$2:$K$27,3,FALSE),"")</f>
        <v>N.APPAREL</v>
      </c>
      <c r="J3253" s="69">
        <f t="shared" si="100"/>
        <v>4</v>
      </c>
      <c r="K3253" s="69">
        <f t="shared" si="101"/>
        <v>201</v>
      </c>
      <c r="L3253" s="69">
        <f>VLOOKUP(Table_db1_backend_Daily.accdb[[#This Row],[TradingDate]],canon!B:E,4,0)</f>
        <v>29</v>
      </c>
    </row>
    <row r="3254" spans="1:12" x14ac:dyDescent="0.2">
      <c r="A3254" s="69" t="s">
        <v>46</v>
      </c>
      <c r="B3254" s="70">
        <v>42935</v>
      </c>
      <c r="C3254" s="69">
        <v>-36</v>
      </c>
      <c r="D3254" s="69">
        <v>0</v>
      </c>
      <c r="E3254" s="69">
        <v>0</v>
      </c>
      <c r="F3254" s="69">
        <v>0</v>
      </c>
      <c r="G3254" s="69" t="s">
        <v>38</v>
      </c>
      <c r="H3254" s="69" t="str">
        <f>IFERROR(VLOOKUP(Data!$G3254,canon!$I$2:$K$27,2,FALSE),"")</f>
        <v>SHOES</v>
      </c>
      <c r="I3254" s="69" t="str">
        <f>IFERROR(VLOOKUP(Data!$G3254,canon!$I$2:$K$27,3,FALSE),"")</f>
        <v>N.APPAREL</v>
      </c>
      <c r="J3254" s="69">
        <f t="shared" si="100"/>
        <v>4</v>
      </c>
      <c r="K3254" s="69">
        <f t="shared" si="101"/>
        <v>201</v>
      </c>
      <c r="L3254" s="69">
        <f>VLOOKUP(Table_db1_backend_Daily.accdb[[#This Row],[TradingDate]],canon!B:E,4,0)</f>
        <v>29</v>
      </c>
    </row>
    <row r="3255" spans="1:12" x14ac:dyDescent="0.2">
      <c r="A3255" s="69" t="s">
        <v>46</v>
      </c>
      <c r="B3255" s="70">
        <v>42935</v>
      </c>
      <c r="C3255" s="69">
        <v>286</v>
      </c>
      <c r="D3255" s="69">
        <v>2</v>
      </c>
      <c r="E3255" s="69">
        <v>49.980000000000004</v>
      </c>
      <c r="F3255" s="69">
        <v>33.019999999999996</v>
      </c>
      <c r="G3255" s="69" t="s">
        <v>35</v>
      </c>
      <c r="H3255" s="69" t="str">
        <f>IFERROR(VLOOKUP(Data!$G3255,canon!$I$2:$K$27,2,FALSE),"")</f>
        <v>DRESS</v>
      </c>
      <c r="I3255" s="69" t="str">
        <f>IFERROR(VLOOKUP(Data!$G3255,canon!$I$2:$K$27,3,FALSE),"")</f>
        <v>APPAREL</v>
      </c>
      <c r="J3255" s="69">
        <f t="shared" si="100"/>
        <v>4</v>
      </c>
      <c r="K3255" s="69">
        <f t="shared" si="101"/>
        <v>201</v>
      </c>
      <c r="L3255" s="69">
        <f>VLOOKUP(Table_db1_backend_Daily.accdb[[#This Row],[TradingDate]],canon!B:E,4,0)</f>
        <v>29</v>
      </c>
    </row>
    <row r="3256" spans="1:12" x14ac:dyDescent="0.2">
      <c r="A3256" s="69" t="s">
        <v>46</v>
      </c>
      <c r="B3256" s="70">
        <v>42935</v>
      </c>
      <c r="C3256" s="69">
        <v>42</v>
      </c>
      <c r="D3256" s="69">
        <v>0</v>
      </c>
      <c r="E3256" s="69">
        <v>0</v>
      </c>
      <c r="F3256" s="69">
        <v>0</v>
      </c>
      <c r="G3256" s="69" t="s">
        <v>10</v>
      </c>
      <c r="H3256" s="69" t="str">
        <f>IFERROR(VLOOKUP(Data!$G3256,canon!$I$2:$K$27,2,FALSE),"")</f>
        <v>ACCESSORY</v>
      </c>
      <c r="I3256" s="69" t="str">
        <f>IFERROR(VLOOKUP(Data!$G3256,canon!$I$2:$K$27,3,FALSE),"")</f>
        <v>N.APPAREL</v>
      </c>
      <c r="J3256" s="69">
        <f t="shared" si="100"/>
        <v>4</v>
      </c>
      <c r="K3256" s="69">
        <f t="shared" si="101"/>
        <v>201</v>
      </c>
      <c r="L3256" s="69">
        <f>VLOOKUP(Table_db1_backend_Daily.accdb[[#This Row],[TradingDate]],canon!B:E,4,0)</f>
        <v>29</v>
      </c>
    </row>
    <row r="3257" spans="1:12" x14ac:dyDescent="0.2">
      <c r="A3257" s="69" t="s">
        <v>46</v>
      </c>
      <c r="B3257" s="70">
        <v>42935</v>
      </c>
      <c r="C3257" s="69">
        <v>2224</v>
      </c>
      <c r="D3257" s="69">
        <v>32</v>
      </c>
      <c r="E3257" s="69">
        <v>372.53999999999996</v>
      </c>
      <c r="F3257" s="69">
        <v>131.40000000000003</v>
      </c>
      <c r="G3257" s="69" t="s">
        <v>11</v>
      </c>
      <c r="H3257" s="69" t="str">
        <f>IFERROR(VLOOKUP(Data!$G3257,canon!$I$2:$K$27,2,FALSE),"")</f>
        <v>KNIT</v>
      </c>
      <c r="I3257" s="69" t="str">
        <f>IFERROR(VLOOKUP(Data!$G3257,canon!$I$2:$K$27,3,FALSE),"")</f>
        <v>APPAREL</v>
      </c>
      <c r="J3257" s="69">
        <f t="shared" si="100"/>
        <v>4</v>
      </c>
      <c r="K3257" s="69">
        <f t="shared" si="101"/>
        <v>201</v>
      </c>
      <c r="L3257" s="69">
        <f>VLOOKUP(Table_db1_backend_Daily.accdb[[#This Row],[TradingDate]],canon!B:E,4,0)</f>
        <v>29</v>
      </c>
    </row>
    <row r="3258" spans="1:12" x14ac:dyDescent="0.2">
      <c r="A3258" s="69" t="s">
        <v>46</v>
      </c>
      <c r="B3258" s="70">
        <v>42935</v>
      </c>
      <c r="C3258" s="69">
        <v>320</v>
      </c>
      <c r="D3258" s="69">
        <v>1</v>
      </c>
      <c r="E3258" s="69">
        <v>9.09</v>
      </c>
      <c r="F3258" s="69">
        <v>2.13</v>
      </c>
      <c r="G3258" s="69" t="s">
        <v>14</v>
      </c>
      <c r="H3258" s="69" t="str">
        <f>IFERROR(VLOOKUP(Data!$G3258,canon!$I$2:$K$27,2,FALSE),"")</f>
        <v>LEGGING</v>
      </c>
      <c r="I3258" s="69" t="str">
        <f>IFERROR(VLOOKUP(Data!$G3258,canon!$I$2:$K$27,3,FALSE),"")</f>
        <v>APPAREL</v>
      </c>
      <c r="J3258" s="69">
        <f t="shared" si="100"/>
        <v>4</v>
      </c>
      <c r="K3258" s="69">
        <f t="shared" si="101"/>
        <v>201</v>
      </c>
      <c r="L3258" s="69">
        <f>VLOOKUP(Table_db1_backend_Daily.accdb[[#This Row],[TradingDate]],canon!B:E,4,0)</f>
        <v>29</v>
      </c>
    </row>
    <row r="3259" spans="1:12" x14ac:dyDescent="0.2">
      <c r="A3259" s="69" t="s">
        <v>46</v>
      </c>
      <c r="B3259" s="70">
        <v>42935</v>
      </c>
      <c r="C3259" s="69">
        <v>-4</v>
      </c>
      <c r="D3259" s="69">
        <v>0</v>
      </c>
      <c r="E3259" s="69">
        <v>0</v>
      </c>
      <c r="F3259" s="69">
        <v>0</v>
      </c>
      <c r="G3259" s="69" t="s">
        <v>37</v>
      </c>
      <c r="H3259" s="69" t="str">
        <f>IFERROR(VLOOKUP(Data!$G3259,canon!$I$2:$K$27,2,FALSE),"")</f>
        <v>SHOES</v>
      </c>
      <c r="I3259" s="69" t="str">
        <f>IFERROR(VLOOKUP(Data!$G3259,canon!$I$2:$K$27,3,FALSE),"")</f>
        <v>N.APPAREL</v>
      </c>
      <c r="J3259" s="69">
        <f t="shared" si="100"/>
        <v>4</v>
      </c>
      <c r="K3259" s="69">
        <f t="shared" si="101"/>
        <v>201</v>
      </c>
      <c r="L3259" s="69">
        <f>VLOOKUP(Table_db1_backend_Daily.accdb[[#This Row],[TradingDate]],canon!B:E,4,0)</f>
        <v>29</v>
      </c>
    </row>
    <row r="3260" spans="1:12" x14ac:dyDescent="0.2">
      <c r="A3260" s="69" t="s">
        <v>46</v>
      </c>
      <c r="B3260" s="70">
        <v>42935</v>
      </c>
      <c r="C3260" s="69">
        <v>-35</v>
      </c>
      <c r="D3260" s="69">
        <v>0</v>
      </c>
      <c r="E3260" s="69">
        <v>0</v>
      </c>
      <c r="F3260" s="69">
        <v>0</v>
      </c>
      <c r="G3260" s="69" t="s">
        <v>29</v>
      </c>
      <c r="H3260" s="69" t="str">
        <f>IFERROR(VLOOKUP(Data!$G3260,canon!$I$2:$K$27,2,FALSE),"")</f>
        <v>SHOES</v>
      </c>
      <c r="I3260" s="69" t="str">
        <f>IFERROR(VLOOKUP(Data!$G3260,canon!$I$2:$K$27,3,FALSE),"")</f>
        <v>N.APPAREL</v>
      </c>
      <c r="J3260" s="69">
        <f t="shared" si="100"/>
        <v>4</v>
      </c>
      <c r="K3260" s="69">
        <f t="shared" si="101"/>
        <v>201</v>
      </c>
      <c r="L3260" s="69">
        <f>VLOOKUP(Table_db1_backend_Daily.accdb[[#This Row],[TradingDate]],canon!B:E,4,0)</f>
        <v>29</v>
      </c>
    </row>
    <row r="3261" spans="1:12" x14ac:dyDescent="0.2">
      <c r="A3261" s="69" t="s">
        <v>46</v>
      </c>
      <c r="B3261" s="70">
        <v>42935</v>
      </c>
      <c r="C3261" s="69">
        <v>338</v>
      </c>
      <c r="D3261" s="69">
        <v>4</v>
      </c>
      <c r="E3261" s="69">
        <v>54.36</v>
      </c>
      <c r="F3261" s="69">
        <v>15.04</v>
      </c>
      <c r="G3261" s="69" t="s">
        <v>17</v>
      </c>
      <c r="H3261" s="69" t="str">
        <f>IFERROR(VLOOKUP(Data!$G3261,canon!$I$2:$K$27,2,FALSE),"")</f>
        <v>OUTER</v>
      </c>
      <c r="I3261" s="69" t="str">
        <f>IFERROR(VLOOKUP(Data!$G3261,canon!$I$2:$K$27,3,FALSE),"")</f>
        <v>APPAREL</v>
      </c>
      <c r="J3261" s="69">
        <f t="shared" si="100"/>
        <v>4</v>
      </c>
      <c r="K3261" s="69">
        <f t="shared" si="101"/>
        <v>201</v>
      </c>
      <c r="L3261" s="69">
        <f>VLOOKUP(Table_db1_backend_Daily.accdb[[#This Row],[TradingDate]],canon!B:E,4,0)</f>
        <v>29</v>
      </c>
    </row>
    <row r="3262" spans="1:12" x14ac:dyDescent="0.2">
      <c r="A3262" s="69" t="s">
        <v>46</v>
      </c>
      <c r="B3262" s="70">
        <v>42935</v>
      </c>
      <c r="C3262" s="69">
        <v>339</v>
      </c>
      <c r="D3262" s="69">
        <v>2</v>
      </c>
      <c r="E3262" s="69">
        <v>18.18</v>
      </c>
      <c r="F3262" s="69">
        <v>5.46</v>
      </c>
      <c r="G3262" s="69" t="s">
        <v>19</v>
      </c>
      <c r="H3262" s="69" t="str">
        <f>IFERROR(VLOOKUP(Data!$G3262,canon!$I$2:$K$27,2,FALSE),"")</f>
        <v>PANT</v>
      </c>
      <c r="I3262" s="69" t="str">
        <f>IFERROR(VLOOKUP(Data!$G3262,canon!$I$2:$K$27,3,FALSE),"")</f>
        <v>APPAREL</v>
      </c>
      <c r="J3262" s="69">
        <f t="shared" si="100"/>
        <v>4</v>
      </c>
      <c r="K3262" s="69">
        <f t="shared" si="101"/>
        <v>201</v>
      </c>
      <c r="L3262" s="69">
        <f>VLOOKUP(Table_db1_backend_Daily.accdb[[#This Row],[TradingDate]],canon!B:E,4,0)</f>
        <v>29</v>
      </c>
    </row>
    <row r="3263" spans="1:12" x14ac:dyDescent="0.2">
      <c r="A3263" s="69" t="s">
        <v>46</v>
      </c>
      <c r="B3263" s="70">
        <v>42935</v>
      </c>
      <c r="C3263" s="69">
        <v>272</v>
      </c>
      <c r="D3263" s="69">
        <v>7</v>
      </c>
      <c r="E3263" s="69">
        <v>37.18</v>
      </c>
      <c r="F3263" s="69">
        <v>25.879999999999995</v>
      </c>
      <c r="G3263" s="69" t="s">
        <v>22</v>
      </c>
      <c r="H3263" s="69" t="str">
        <f>IFERROR(VLOOKUP(Data!$G3263,canon!$I$2:$K$27,2,FALSE),"")</f>
        <v>SCARF</v>
      </c>
      <c r="I3263" s="69" t="str">
        <f>IFERROR(VLOOKUP(Data!$G3263,canon!$I$2:$K$27,3,FALSE),"")</f>
        <v>N.APPAREL</v>
      </c>
      <c r="J3263" s="69">
        <f t="shared" si="100"/>
        <v>4</v>
      </c>
      <c r="K3263" s="69">
        <f t="shared" si="101"/>
        <v>201</v>
      </c>
      <c r="L3263" s="69">
        <f>VLOOKUP(Table_db1_backend_Daily.accdb[[#This Row],[TradingDate]],canon!B:E,4,0)</f>
        <v>29</v>
      </c>
    </row>
    <row r="3264" spans="1:12" x14ac:dyDescent="0.2">
      <c r="A3264" s="69" t="s">
        <v>46</v>
      </c>
      <c r="B3264" s="70">
        <v>42935</v>
      </c>
      <c r="C3264" s="69">
        <v>200</v>
      </c>
      <c r="D3264" s="69">
        <v>1</v>
      </c>
      <c r="E3264" s="69">
        <v>27.25</v>
      </c>
      <c r="F3264" s="69">
        <v>18.77</v>
      </c>
      <c r="G3264" s="69" t="s">
        <v>23</v>
      </c>
      <c r="H3264" s="69" t="str">
        <f>IFERROR(VLOOKUP(Data!$G3264,canon!$I$2:$K$27,2,FALSE),"")</f>
        <v>SH&amp;BL</v>
      </c>
      <c r="I3264" s="69" t="str">
        <f>IFERROR(VLOOKUP(Data!$G3264,canon!$I$2:$K$27,3,FALSE),"")</f>
        <v>APPAREL</v>
      </c>
      <c r="J3264" s="69">
        <f t="shared" si="100"/>
        <v>4</v>
      </c>
      <c r="K3264" s="69">
        <f t="shared" si="101"/>
        <v>201</v>
      </c>
      <c r="L3264" s="69">
        <f>VLOOKUP(Table_db1_backend_Daily.accdb[[#This Row],[TradingDate]],canon!B:E,4,0)</f>
        <v>29</v>
      </c>
    </row>
    <row r="3265" spans="1:12" x14ac:dyDescent="0.2">
      <c r="A3265" s="69" t="s">
        <v>46</v>
      </c>
      <c r="B3265" s="70">
        <v>42935</v>
      </c>
      <c r="C3265" s="69">
        <v>265</v>
      </c>
      <c r="D3265" s="69">
        <v>2</v>
      </c>
      <c r="E3265" s="69">
        <v>18.18</v>
      </c>
      <c r="F3265" s="69">
        <v>8.18</v>
      </c>
      <c r="G3265" s="69" t="s">
        <v>32</v>
      </c>
      <c r="H3265" s="69" t="str">
        <f>IFERROR(VLOOKUP(Data!$G3265,canon!$I$2:$K$27,2,FALSE),"")</f>
        <v>SKIRT</v>
      </c>
      <c r="I3265" s="69" t="str">
        <f>IFERROR(VLOOKUP(Data!$G3265,canon!$I$2:$K$27,3,FALSE),"")</f>
        <v>APPAREL</v>
      </c>
      <c r="J3265" s="69">
        <f t="shared" si="100"/>
        <v>4</v>
      </c>
      <c r="K3265" s="69">
        <f t="shared" si="101"/>
        <v>201</v>
      </c>
      <c r="L3265" s="69">
        <f>VLOOKUP(Table_db1_backend_Daily.accdb[[#This Row],[TradingDate]],canon!B:E,4,0)</f>
        <v>29</v>
      </c>
    </row>
    <row r="3266" spans="1:12" x14ac:dyDescent="0.2">
      <c r="A3266" s="69" t="s">
        <v>46</v>
      </c>
      <c r="B3266" s="70">
        <v>42935</v>
      </c>
      <c r="C3266" s="69">
        <v>1322</v>
      </c>
      <c r="D3266" s="69">
        <v>3</v>
      </c>
      <c r="E3266" s="69">
        <v>45.44</v>
      </c>
      <c r="F3266" s="69">
        <v>30.44</v>
      </c>
      <c r="G3266" s="69" t="s">
        <v>25</v>
      </c>
      <c r="H3266" s="69" t="str">
        <f>IFERROR(VLOOKUP(Data!$G3266,canon!$I$2:$K$27,2,FALSE),"")</f>
        <v>TOP</v>
      </c>
      <c r="I3266" s="69" t="str">
        <f>IFERROR(VLOOKUP(Data!$G3266,canon!$I$2:$K$27,3,FALSE),"")</f>
        <v>APPAREL</v>
      </c>
      <c r="J3266" s="69">
        <f t="shared" ref="J3266:J3329" si="102">WEEKDAY(B3266)</f>
        <v>4</v>
      </c>
      <c r="K3266" s="69">
        <f t="shared" ref="K3266:K3329" si="103">INT(A3266)</f>
        <v>201</v>
      </c>
      <c r="L3266" s="69">
        <f>VLOOKUP(Table_db1_backend_Daily.accdb[[#This Row],[TradingDate]],canon!B:E,4,0)</f>
        <v>29</v>
      </c>
    </row>
    <row r="3267" spans="1:12" x14ac:dyDescent="0.2">
      <c r="A3267" s="69" t="s">
        <v>46</v>
      </c>
      <c r="B3267" s="70">
        <v>42936</v>
      </c>
      <c r="C3267" s="69">
        <v>-62</v>
      </c>
      <c r="D3267" s="69">
        <v>3</v>
      </c>
      <c r="E3267" s="69">
        <v>16.32</v>
      </c>
      <c r="F3267" s="69">
        <v>7.65</v>
      </c>
      <c r="G3267" s="69" t="s">
        <v>27</v>
      </c>
      <c r="H3267" s="69" t="str">
        <f>IFERROR(VLOOKUP(Data!$G3267,canon!$I$2:$K$27,2,FALSE),"")</f>
        <v>ACCESSORY</v>
      </c>
      <c r="I3267" s="69" t="str">
        <f>IFERROR(VLOOKUP(Data!$G3267,canon!$I$2:$K$27,3,FALSE),"")</f>
        <v>N.APPAREL</v>
      </c>
      <c r="J3267" s="69">
        <f t="shared" si="102"/>
        <v>5</v>
      </c>
      <c r="K3267" s="69">
        <f t="shared" si="103"/>
        <v>201</v>
      </c>
      <c r="L3267" s="69">
        <f>VLOOKUP(Table_db1_backend_Daily.accdb[[#This Row],[TradingDate]],canon!B:E,4,0)</f>
        <v>29</v>
      </c>
    </row>
    <row r="3268" spans="1:12" x14ac:dyDescent="0.2">
      <c r="A3268" s="69" t="s">
        <v>46</v>
      </c>
      <c r="B3268" s="70">
        <v>42936</v>
      </c>
      <c r="C3268" s="69">
        <v>-189</v>
      </c>
      <c r="D3268" s="69">
        <v>0</v>
      </c>
      <c r="E3268" s="69">
        <v>0</v>
      </c>
      <c r="F3268" s="69">
        <v>0</v>
      </c>
      <c r="G3268" s="69" t="s">
        <v>34</v>
      </c>
      <c r="H3268" s="69" t="str">
        <f>IFERROR(VLOOKUP(Data!$G3268,canon!$I$2:$K$27,2,FALSE),"")</f>
        <v>SHOES</v>
      </c>
      <c r="I3268" s="69" t="str">
        <f>IFERROR(VLOOKUP(Data!$G3268,canon!$I$2:$K$27,3,FALSE),"")</f>
        <v>N.APPAREL</v>
      </c>
      <c r="J3268" s="69">
        <f t="shared" si="102"/>
        <v>5</v>
      </c>
      <c r="K3268" s="69">
        <f t="shared" si="103"/>
        <v>201</v>
      </c>
      <c r="L3268" s="69">
        <f>VLOOKUP(Table_db1_backend_Daily.accdb[[#This Row],[TradingDate]],canon!B:E,4,0)</f>
        <v>29</v>
      </c>
    </row>
    <row r="3269" spans="1:12" x14ac:dyDescent="0.2">
      <c r="A3269" s="69" t="s">
        <v>46</v>
      </c>
      <c r="B3269" s="70">
        <v>42936</v>
      </c>
      <c r="C3269" s="69">
        <v>-36</v>
      </c>
      <c r="D3269" s="69">
        <v>0</v>
      </c>
      <c r="E3269" s="69">
        <v>0</v>
      </c>
      <c r="F3269" s="69">
        <v>0</v>
      </c>
      <c r="G3269" s="69" t="s">
        <v>38</v>
      </c>
      <c r="H3269" s="69" t="str">
        <f>IFERROR(VLOOKUP(Data!$G3269,canon!$I$2:$K$27,2,FALSE),"")</f>
        <v>SHOES</v>
      </c>
      <c r="I3269" s="69" t="str">
        <f>IFERROR(VLOOKUP(Data!$G3269,canon!$I$2:$K$27,3,FALSE),"")</f>
        <v>N.APPAREL</v>
      </c>
      <c r="J3269" s="69">
        <f t="shared" si="102"/>
        <v>5</v>
      </c>
      <c r="K3269" s="69">
        <f t="shared" si="103"/>
        <v>201</v>
      </c>
      <c r="L3269" s="69">
        <f>VLOOKUP(Table_db1_backend_Daily.accdb[[#This Row],[TradingDate]],canon!B:E,4,0)</f>
        <v>29</v>
      </c>
    </row>
    <row r="3270" spans="1:12" x14ac:dyDescent="0.2">
      <c r="A3270" s="69" t="s">
        <v>46</v>
      </c>
      <c r="B3270" s="70">
        <v>42936</v>
      </c>
      <c r="C3270" s="69">
        <v>277</v>
      </c>
      <c r="D3270" s="69">
        <v>9</v>
      </c>
      <c r="E3270" s="69">
        <v>145.45000000000002</v>
      </c>
      <c r="F3270" s="69">
        <v>75.45999999999998</v>
      </c>
      <c r="G3270" s="69" t="s">
        <v>35</v>
      </c>
      <c r="H3270" s="69" t="str">
        <f>IFERROR(VLOOKUP(Data!$G3270,canon!$I$2:$K$27,2,FALSE),"")</f>
        <v>DRESS</v>
      </c>
      <c r="I3270" s="69" t="str">
        <f>IFERROR(VLOOKUP(Data!$G3270,canon!$I$2:$K$27,3,FALSE),"")</f>
        <v>APPAREL</v>
      </c>
      <c r="J3270" s="69">
        <f t="shared" si="102"/>
        <v>5</v>
      </c>
      <c r="K3270" s="69">
        <f t="shared" si="103"/>
        <v>201</v>
      </c>
      <c r="L3270" s="69">
        <f>VLOOKUP(Table_db1_backend_Daily.accdb[[#This Row],[TradingDate]],canon!B:E,4,0)</f>
        <v>29</v>
      </c>
    </row>
    <row r="3271" spans="1:12" x14ac:dyDescent="0.2">
      <c r="A3271" s="69" t="s">
        <v>46</v>
      </c>
      <c r="B3271" s="70">
        <v>42936</v>
      </c>
      <c r="C3271" s="69">
        <v>42</v>
      </c>
      <c r="D3271" s="69">
        <v>0</v>
      </c>
      <c r="E3271" s="69">
        <v>0</v>
      </c>
      <c r="F3271" s="69">
        <v>0</v>
      </c>
      <c r="G3271" s="69" t="s">
        <v>10</v>
      </c>
      <c r="H3271" s="69" t="str">
        <f>IFERROR(VLOOKUP(Data!$G3271,canon!$I$2:$K$27,2,FALSE),"")</f>
        <v>ACCESSORY</v>
      </c>
      <c r="I3271" s="69" t="str">
        <f>IFERROR(VLOOKUP(Data!$G3271,canon!$I$2:$K$27,3,FALSE),"")</f>
        <v>N.APPAREL</v>
      </c>
      <c r="J3271" s="69">
        <f t="shared" si="102"/>
        <v>5</v>
      </c>
      <c r="K3271" s="69">
        <f t="shared" si="103"/>
        <v>201</v>
      </c>
      <c r="L3271" s="69">
        <f>VLOOKUP(Table_db1_backend_Daily.accdb[[#This Row],[TradingDate]],canon!B:E,4,0)</f>
        <v>29</v>
      </c>
    </row>
    <row r="3272" spans="1:12" x14ac:dyDescent="0.2">
      <c r="A3272" s="69" t="s">
        <v>46</v>
      </c>
      <c r="B3272" s="70">
        <v>42936</v>
      </c>
      <c r="C3272" s="69">
        <v>2168</v>
      </c>
      <c r="D3272" s="69">
        <v>56</v>
      </c>
      <c r="E3272" s="69">
        <v>581.53999999999985</v>
      </c>
      <c r="F3272" s="69">
        <v>149.71999999999997</v>
      </c>
      <c r="G3272" s="69" t="s">
        <v>11</v>
      </c>
      <c r="H3272" s="69" t="str">
        <f>IFERROR(VLOOKUP(Data!$G3272,canon!$I$2:$K$27,2,FALSE),"")</f>
        <v>KNIT</v>
      </c>
      <c r="I3272" s="69" t="str">
        <f>IFERROR(VLOOKUP(Data!$G3272,canon!$I$2:$K$27,3,FALSE),"")</f>
        <v>APPAREL</v>
      </c>
      <c r="J3272" s="69">
        <f t="shared" si="102"/>
        <v>5</v>
      </c>
      <c r="K3272" s="69">
        <f t="shared" si="103"/>
        <v>201</v>
      </c>
      <c r="L3272" s="69">
        <f>VLOOKUP(Table_db1_backend_Daily.accdb[[#This Row],[TradingDate]],canon!B:E,4,0)</f>
        <v>29</v>
      </c>
    </row>
    <row r="3273" spans="1:12" x14ac:dyDescent="0.2">
      <c r="A3273" s="69" t="s">
        <v>46</v>
      </c>
      <c r="B3273" s="70">
        <v>42936</v>
      </c>
      <c r="C3273" s="69">
        <v>319</v>
      </c>
      <c r="D3273" s="69">
        <v>1</v>
      </c>
      <c r="E3273" s="69">
        <v>18.18</v>
      </c>
      <c r="F3273" s="69">
        <v>11.66</v>
      </c>
      <c r="G3273" s="69" t="s">
        <v>14</v>
      </c>
      <c r="H3273" s="69" t="str">
        <f>IFERROR(VLOOKUP(Data!$G3273,canon!$I$2:$K$27,2,FALSE),"")</f>
        <v>LEGGING</v>
      </c>
      <c r="I3273" s="69" t="str">
        <f>IFERROR(VLOOKUP(Data!$G3273,canon!$I$2:$K$27,3,FALSE),"")</f>
        <v>APPAREL</v>
      </c>
      <c r="J3273" s="69">
        <f t="shared" si="102"/>
        <v>5</v>
      </c>
      <c r="K3273" s="69">
        <f t="shared" si="103"/>
        <v>201</v>
      </c>
      <c r="L3273" s="69">
        <f>VLOOKUP(Table_db1_backend_Daily.accdb[[#This Row],[TradingDate]],canon!B:E,4,0)</f>
        <v>29</v>
      </c>
    </row>
    <row r="3274" spans="1:12" x14ac:dyDescent="0.2">
      <c r="A3274" s="69" t="s">
        <v>46</v>
      </c>
      <c r="B3274" s="70">
        <v>42936</v>
      </c>
      <c r="C3274" s="69">
        <v>-4</v>
      </c>
      <c r="D3274" s="69">
        <v>0</v>
      </c>
      <c r="E3274" s="69">
        <v>0</v>
      </c>
      <c r="F3274" s="69">
        <v>0</v>
      </c>
      <c r="G3274" s="69" t="s">
        <v>37</v>
      </c>
      <c r="H3274" s="69" t="str">
        <f>IFERROR(VLOOKUP(Data!$G3274,canon!$I$2:$K$27,2,FALSE),"")</f>
        <v>SHOES</v>
      </c>
      <c r="I3274" s="69" t="str">
        <f>IFERROR(VLOOKUP(Data!$G3274,canon!$I$2:$K$27,3,FALSE),"")</f>
        <v>N.APPAREL</v>
      </c>
      <c r="J3274" s="69">
        <f t="shared" si="102"/>
        <v>5</v>
      </c>
      <c r="K3274" s="69">
        <f t="shared" si="103"/>
        <v>201</v>
      </c>
      <c r="L3274" s="69">
        <f>VLOOKUP(Table_db1_backend_Daily.accdb[[#This Row],[TradingDate]],canon!B:E,4,0)</f>
        <v>29</v>
      </c>
    </row>
    <row r="3275" spans="1:12" x14ac:dyDescent="0.2">
      <c r="A3275" s="69" t="s">
        <v>46</v>
      </c>
      <c r="B3275" s="70">
        <v>42936</v>
      </c>
      <c r="C3275" s="69">
        <v>-35</v>
      </c>
      <c r="D3275" s="69">
        <v>0</v>
      </c>
      <c r="E3275" s="69">
        <v>0</v>
      </c>
      <c r="F3275" s="69">
        <v>0</v>
      </c>
      <c r="G3275" s="69" t="s">
        <v>29</v>
      </c>
      <c r="H3275" s="69" t="str">
        <f>IFERROR(VLOOKUP(Data!$G3275,canon!$I$2:$K$27,2,FALSE),"")</f>
        <v>SHOES</v>
      </c>
      <c r="I3275" s="69" t="str">
        <f>IFERROR(VLOOKUP(Data!$G3275,canon!$I$2:$K$27,3,FALSE),"")</f>
        <v>N.APPAREL</v>
      </c>
      <c r="J3275" s="69">
        <f t="shared" si="102"/>
        <v>5</v>
      </c>
      <c r="K3275" s="69">
        <f t="shared" si="103"/>
        <v>201</v>
      </c>
      <c r="L3275" s="69">
        <f>VLOOKUP(Table_db1_backend_Daily.accdb[[#This Row],[TradingDate]],canon!B:E,4,0)</f>
        <v>29</v>
      </c>
    </row>
    <row r="3276" spans="1:12" x14ac:dyDescent="0.2">
      <c r="A3276" s="69" t="s">
        <v>46</v>
      </c>
      <c r="B3276" s="70">
        <v>42936</v>
      </c>
      <c r="C3276" s="69">
        <v>321</v>
      </c>
      <c r="D3276" s="69">
        <v>17</v>
      </c>
      <c r="E3276" s="69">
        <v>286.29999999999995</v>
      </c>
      <c r="F3276" s="69">
        <v>139.11999999999998</v>
      </c>
      <c r="G3276" s="69" t="s">
        <v>17</v>
      </c>
      <c r="H3276" s="69" t="str">
        <f>IFERROR(VLOOKUP(Data!$G3276,canon!$I$2:$K$27,2,FALSE),"")</f>
        <v>OUTER</v>
      </c>
      <c r="I3276" s="69" t="str">
        <f>IFERROR(VLOOKUP(Data!$G3276,canon!$I$2:$K$27,3,FALSE),"")</f>
        <v>APPAREL</v>
      </c>
      <c r="J3276" s="69">
        <f t="shared" si="102"/>
        <v>5</v>
      </c>
      <c r="K3276" s="69">
        <f t="shared" si="103"/>
        <v>201</v>
      </c>
      <c r="L3276" s="69">
        <f>VLOOKUP(Table_db1_backend_Daily.accdb[[#This Row],[TradingDate]],canon!B:E,4,0)</f>
        <v>29</v>
      </c>
    </row>
    <row r="3277" spans="1:12" x14ac:dyDescent="0.2">
      <c r="A3277" s="69" t="s">
        <v>46</v>
      </c>
      <c r="B3277" s="70">
        <v>42936</v>
      </c>
      <c r="C3277" s="69">
        <v>338</v>
      </c>
      <c r="D3277" s="69">
        <v>1</v>
      </c>
      <c r="E3277" s="69">
        <v>36.349999999999994</v>
      </c>
      <c r="F3277" s="69">
        <v>27.26</v>
      </c>
      <c r="G3277" s="69" t="s">
        <v>19</v>
      </c>
      <c r="H3277" s="69" t="str">
        <f>IFERROR(VLOOKUP(Data!$G3277,canon!$I$2:$K$27,2,FALSE),"")</f>
        <v>PANT</v>
      </c>
      <c r="I3277" s="69" t="str">
        <f>IFERROR(VLOOKUP(Data!$G3277,canon!$I$2:$K$27,3,FALSE),"")</f>
        <v>APPAREL</v>
      </c>
      <c r="J3277" s="69">
        <f t="shared" si="102"/>
        <v>5</v>
      </c>
      <c r="K3277" s="69">
        <f t="shared" si="103"/>
        <v>201</v>
      </c>
      <c r="L3277" s="69">
        <f>VLOOKUP(Table_db1_backend_Daily.accdb[[#This Row],[TradingDate]],canon!B:E,4,0)</f>
        <v>29</v>
      </c>
    </row>
    <row r="3278" spans="1:12" x14ac:dyDescent="0.2">
      <c r="A3278" s="69" t="s">
        <v>46</v>
      </c>
      <c r="B3278" s="70">
        <v>42936</v>
      </c>
      <c r="C3278" s="69">
        <v>266</v>
      </c>
      <c r="D3278" s="69">
        <v>6</v>
      </c>
      <c r="E3278" s="69">
        <v>27.3</v>
      </c>
      <c r="F3278" s="69">
        <v>16.440000000000001</v>
      </c>
      <c r="G3278" s="69" t="s">
        <v>22</v>
      </c>
      <c r="H3278" s="69" t="str">
        <f>IFERROR(VLOOKUP(Data!$G3278,canon!$I$2:$K$27,2,FALSE),"")</f>
        <v>SCARF</v>
      </c>
      <c r="I3278" s="69" t="str">
        <f>IFERROR(VLOOKUP(Data!$G3278,canon!$I$2:$K$27,3,FALSE),"")</f>
        <v>N.APPAREL</v>
      </c>
      <c r="J3278" s="69">
        <f t="shared" si="102"/>
        <v>5</v>
      </c>
      <c r="K3278" s="69">
        <f t="shared" si="103"/>
        <v>201</v>
      </c>
      <c r="L3278" s="69">
        <f>VLOOKUP(Table_db1_backend_Daily.accdb[[#This Row],[TradingDate]],canon!B:E,4,0)</f>
        <v>29</v>
      </c>
    </row>
    <row r="3279" spans="1:12" x14ac:dyDescent="0.2">
      <c r="A3279" s="69" t="s">
        <v>46</v>
      </c>
      <c r="B3279" s="70">
        <v>42936</v>
      </c>
      <c r="C3279" s="69">
        <v>200</v>
      </c>
      <c r="D3279" s="69">
        <v>0</v>
      </c>
      <c r="E3279" s="69">
        <v>0</v>
      </c>
      <c r="F3279" s="69">
        <v>0</v>
      </c>
      <c r="G3279" s="69" t="s">
        <v>23</v>
      </c>
      <c r="H3279" s="69" t="str">
        <f>IFERROR(VLOOKUP(Data!$G3279,canon!$I$2:$K$27,2,FALSE),"")</f>
        <v>SH&amp;BL</v>
      </c>
      <c r="I3279" s="69" t="str">
        <f>IFERROR(VLOOKUP(Data!$G3279,canon!$I$2:$K$27,3,FALSE),"")</f>
        <v>APPAREL</v>
      </c>
      <c r="J3279" s="69">
        <f t="shared" si="102"/>
        <v>5</v>
      </c>
      <c r="K3279" s="69">
        <f t="shared" si="103"/>
        <v>201</v>
      </c>
      <c r="L3279" s="69">
        <f>VLOOKUP(Table_db1_backend_Daily.accdb[[#This Row],[TradingDate]],canon!B:E,4,0)</f>
        <v>29</v>
      </c>
    </row>
    <row r="3280" spans="1:12" x14ac:dyDescent="0.2">
      <c r="A3280" s="69" t="s">
        <v>46</v>
      </c>
      <c r="B3280" s="70">
        <v>42936</v>
      </c>
      <c r="C3280" s="69">
        <v>260</v>
      </c>
      <c r="D3280" s="69">
        <v>5</v>
      </c>
      <c r="E3280" s="69">
        <v>63.63</v>
      </c>
      <c r="F3280" s="69">
        <v>34.379999999999995</v>
      </c>
      <c r="G3280" s="69" t="s">
        <v>32</v>
      </c>
      <c r="H3280" s="69" t="str">
        <f>IFERROR(VLOOKUP(Data!$G3280,canon!$I$2:$K$27,2,FALSE),"")</f>
        <v>SKIRT</v>
      </c>
      <c r="I3280" s="69" t="str">
        <f>IFERROR(VLOOKUP(Data!$G3280,canon!$I$2:$K$27,3,FALSE),"")</f>
        <v>APPAREL</v>
      </c>
      <c r="J3280" s="69">
        <f t="shared" si="102"/>
        <v>5</v>
      </c>
      <c r="K3280" s="69">
        <f t="shared" si="103"/>
        <v>201</v>
      </c>
      <c r="L3280" s="69">
        <f>VLOOKUP(Table_db1_backend_Daily.accdb[[#This Row],[TradingDate]],canon!B:E,4,0)</f>
        <v>29</v>
      </c>
    </row>
    <row r="3281" spans="1:12" x14ac:dyDescent="0.2">
      <c r="A3281" s="69" t="s">
        <v>46</v>
      </c>
      <c r="B3281" s="70">
        <v>42936</v>
      </c>
      <c r="C3281" s="69">
        <v>1310</v>
      </c>
      <c r="D3281" s="69">
        <v>12</v>
      </c>
      <c r="E3281" s="69">
        <v>140.82000000000002</v>
      </c>
      <c r="F3281" s="69">
        <v>68.63000000000001</v>
      </c>
      <c r="G3281" s="69" t="s">
        <v>25</v>
      </c>
      <c r="H3281" s="69" t="str">
        <f>IFERROR(VLOOKUP(Data!$G3281,canon!$I$2:$K$27,2,FALSE),"")</f>
        <v>TOP</v>
      </c>
      <c r="I3281" s="69" t="str">
        <f>IFERROR(VLOOKUP(Data!$G3281,canon!$I$2:$K$27,3,FALSE),"")</f>
        <v>APPAREL</v>
      </c>
      <c r="J3281" s="69">
        <f t="shared" si="102"/>
        <v>5</v>
      </c>
      <c r="K3281" s="69">
        <f t="shared" si="103"/>
        <v>201</v>
      </c>
      <c r="L3281" s="69">
        <f>VLOOKUP(Table_db1_backend_Daily.accdb[[#This Row],[TradingDate]],canon!B:E,4,0)</f>
        <v>29</v>
      </c>
    </row>
    <row r="3282" spans="1:12" x14ac:dyDescent="0.2">
      <c r="A3282" s="69" t="s">
        <v>46</v>
      </c>
      <c r="B3282" s="70">
        <v>42937</v>
      </c>
      <c r="C3282" s="69">
        <v>-64</v>
      </c>
      <c r="D3282" s="69">
        <v>2</v>
      </c>
      <c r="E3282" s="69">
        <v>14.45</v>
      </c>
      <c r="F3282" s="69">
        <v>8.67</v>
      </c>
      <c r="G3282" s="69" t="s">
        <v>27</v>
      </c>
      <c r="H3282" s="69" t="str">
        <f>IFERROR(VLOOKUP(Data!$G3282,canon!$I$2:$K$27,2,FALSE),"")</f>
        <v>ACCESSORY</v>
      </c>
      <c r="I3282" s="69" t="str">
        <f>IFERROR(VLOOKUP(Data!$G3282,canon!$I$2:$K$27,3,FALSE),"")</f>
        <v>N.APPAREL</v>
      </c>
      <c r="J3282" s="69">
        <f t="shared" si="102"/>
        <v>6</v>
      </c>
      <c r="K3282" s="69">
        <f t="shared" si="103"/>
        <v>201</v>
      </c>
      <c r="L3282" s="69">
        <f>VLOOKUP(Table_db1_backend_Daily.accdb[[#This Row],[TradingDate]],canon!B:E,4,0)</f>
        <v>29</v>
      </c>
    </row>
    <row r="3283" spans="1:12" x14ac:dyDescent="0.2">
      <c r="A3283" s="69" t="s">
        <v>46</v>
      </c>
      <c r="B3283" s="70">
        <v>42937</v>
      </c>
      <c r="C3283" s="69">
        <v>-189</v>
      </c>
      <c r="D3283" s="69">
        <v>0</v>
      </c>
      <c r="E3283" s="69">
        <v>0</v>
      </c>
      <c r="F3283" s="69">
        <v>0</v>
      </c>
      <c r="G3283" s="69" t="s">
        <v>34</v>
      </c>
      <c r="H3283" s="69" t="str">
        <f>IFERROR(VLOOKUP(Data!$G3283,canon!$I$2:$K$27,2,FALSE),"")</f>
        <v>SHOES</v>
      </c>
      <c r="I3283" s="69" t="str">
        <f>IFERROR(VLOOKUP(Data!$G3283,canon!$I$2:$K$27,3,FALSE),"")</f>
        <v>N.APPAREL</v>
      </c>
      <c r="J3283" s="69">
        <f t="shared" si="102"/>
        <v>6</v>
      </c>
      <c r="K3283" s="69">
        <f t="shared" si="103"/>
        <v>201</v>
      </c>
      <c r="L3283" s="69">
        <f>VLOOKUP(Table_db1_backend_Daily.accdb[[#This Row],[TradingDate]],canon!B:E,4,0)</f>
        <v>29</v>
      </c>
    </row>
    <row r="3284" spans="1:12" x14ac:dyDescent="0.2">
      <c r="A3284" s="69" t="s">
        <v>46</v>
      </c>
      <c r="B3284" s="70">
        <v>42937</v>
      </c>
      <c r="C3284" s="69">
        <v>-36</v>
      </c>
      <c r="D3284" s="69">
        <v>0</v>
      </c>
      <c r="E3284" s="69">
        <v>0</v>
      </c>
      <c r="F3284" s="69">
        <v>0</v>
      </c>
      <c r="G3284" s="69" t="s">
        <v>38</v>
      </c>
      <c r="H3284" s="69" t="str">
        <f>IFERROR(VLOOKUP(Data!$G3284,canon!$I$2:$K$27,2,FALSE),"")</f>
        <v>SHOES</v>
      </c>
      <c r="I3284" s="69" t="str">
        <f>IFERROR(VLOOKUP(Data!$G3284,canon!$I$2:$K$27,3,FALSE),"")</f>
        <v>N.APPAREL</v>
      </c>
      <c r="J3284" s="69">
        <f t="shared" si="102"/>
        <v>6</v>
      </c>
      <c r="K3284" s="69">
        <f t="shared" si="103"/>
        <v>201</v>
      </c>
      <c r="L3284" s="69">
        <f>VLOOKUP(Table_db1_backend_Daily.accdb[[#This Row],[TradingDate]],canon!B:E,4,0)</f>
        <v>29</v>
      </c>
    </row>
    <row r="3285" spans="1:12" x14ac:dyDescent="0.2">
      <c r="A3285" s="69" t="s">
        <v>46</v>
      </c>
      <c r="B3285" s="70">
        <v>42937</v>
      </c>
      <c r="C3285" s="69">
        <v>262</v>
      </c>
      <c r="D3285" s="69">
        <v>15</v>
      </c>
      <c r="E3285" s="69">
        <v>236.32999999999998</v>
      </c>
      <c r="F3285" s="69">
        <v>114.34</v>
      </c>
      <c r="G3285" s="69" t="s">
        <v>35</v>
      </c>
      <c r="H3285" s="69" t="str">
        <f>IFERROR(VLOOKUP(Data!$G3285,canon!$I$2:$K$27,2,FALSE),"")</f>
        <v>DRESS</v>
      </c>
      <c r="I3285" s="69" t="str">
        <f>IFERROR(VLOOKUP(Data!$G3285,canon!$I$2:$K$27,3,FALSE),"")</f>
        <v>APPAREL</v>
      </c>
      <c r="J3285" s="69">
        <f t="shared" si="102"/>
        <v>6</v>
      </c>
      <c r="K3285" s="69">
        <f t="shared" si="103"/>
        <v>201</v>
      </c>
      <c r="L3285" s="69">
        <f>VLOOKUP(Table_db1_backend_Daily.accdb[[#This Row],[TradingDate]],canon!B:E,4,0)</f>
        <v>29</v>
      </c>
    </row>
    <row r="3286" spans="1:12" x14ac:dyDescent="0.2">
      <c r="A3286" s="69" t="s">
        <v>46</v>
      </c>
      <c r="B3286" s="70">
        <v>42937</v>
      </c>
      <c r="C3286" s="69">
        <v>42</v>
      </c>
      <c r="D3286" s="69">
        <v>0</v>
      </c>
      <c r="E3286" s="69">
        <v>0</v>
      </c>
      <c r="F3286" s="69">
        <v>0</v>
      </c>
      <c r="G3286" s="69" t="s">
        <v>10</v>
      </c>
      <c r="H3286" s="69" t="str">
        <f>IFERROR(VLOOKUP(Data!$G3286,canon!$I$2:$K$27,2,FALSE),"")</f>
        <v>ACCESSORY</v>
      </c>
      <c r="I3286" s="69" t="str">
        <f>IFERROR(VLOOKUP(Data!$G3286,canon!$I$2:$K$27,3,FALSE),"")</f>
        <v>N.APPAREL</v>
      </c>
      <c r="J3286" s="69">
        <f t="shared" si="102"/>
        <v>6</v>
      </c>
      <c r="K3286" s="69">
        <f t="shared" si="103"/>
        <v>201</v>
      </c>
      <c r="L3286" s="69">
        <f>VLOOKUP(Table_db1_backend_Daily.accdb[[#This Row],[TradingDate]],canon!B:E,4,0)</f>
        <v>29</v>
      </c>
    </row>
    <row r="3287" spans="1:12" x14ac:dyDescent="0.2">
      <c r="A3287" s="69" t="s">
        <v>46</v>
      </c>
      <c r="B3287" s="70">
        <v>42937</v>
      </c>
      <c r="C3287" s="69">
        <v>2118</v>
      </c>
      <c r="D3287" s="69">
        <v>50</v>
      </c>
      <c r="E3287" s="69">
        <v>590.84999999999991</v>
      </c>
      <c r="F3287" s="69">
        <v>193.33</v>
      </c>
      <c r="G3287" s="69" t="s">
        <v>11</v>
      </c>
      <c r="H3287" s="69" t="str">
        <f>IFERROR(VLOOKUP(Data!$G3287,canon!$I$2:$K$27,2,FALSE),"")</f>
        <v>KNIT</v>
      </c>
      <c r="I3287" s="69" t="str">
        <f>IFERROR(VLOOKUP(Data!$G3287,canon!$I$2:$K$27,3,FALSE),"")</f>
        <v>APPAREL</v>
      </c>
      <c r="J3287" s="69">
        <f t="shared" si="102"/>
        <v>6</v>
      </c>
      <c r="K3287" s="69">
        <f t="shared" si="103"/>
        <v>201</v>
      </c>
      <c r="L3287" s="69">
        <f>VLOOKUP(Table_db1_backend_Daily.accdb[[#This Row],[TradingDate]],canon!B:E,4,0)</f>
        <v>29</v>
      </c>
    </row>
    <row r="3288" spans="1:12" x14ac:dyDescent="0.2">
      <c r="A3288" s="69" t="s">
        <v>46</v>
      </c>
      <c r="B3288" s="70">
        <v>42937</v>
      </c>
      <c r="C3288" s="69">
        <v>317</v>
      </c>
      <c r="D3288" s="69">
        <v>2</v>
      </c>
      <c r="E3288" s="69">
        <v>27.27</v>
      </c>
      <c r="F3288" s="69">
        <v>12.92</v>
      </c>
      <c r="G3288" s="69" t="s">
        <v>14</v>
      </c>
      <c r="H3288" s="69" t="str">
        <f>IFERROR(VLOOKUP(Data!$G3288,canon!$I$2:$K$27,2,FALSE),"")</f>
        <v>LEGGING</v>
      </c>
      <c r="I3288" s="69" t="str">
        <f>IFERROR(VLOOKUP(Data!$G3288,canon!$I$2:$K$27,3,FALSE),"")</f>
        <v>APPAREL</v>
      </c>
      <c r="J3288" s="69">
        <f t="shared" si="102"/>
        <v>6</v>
      </c>
      <c r="K3288" s="69">
        <f t="shared" si="103"/>
        <v>201</v>
      </c>
      <c r="L3288" s="69">
        <f>VLOOKUP(Table_db1_backend_Daily.accdb[[#This Row],[TradingDate]],canon!B:E,4,0)</f>
        <v>29</v>
      </c>
    </row>
    <row r="3289" spans="1:12" x14ac:dyDescent="0.2">
      <c r="A3289" s="69" t="s">
        <v>46</v>
      </c>
      <c r="B3289" s="70">
        <v>42937</v>
      </c>
      <c r="C3289" s="69">
        <v>-4</v>
      </c>
      <c r="D3289" s="69">
        <v>0</v>
      </c>
      <c r="E3289" s="69">
        <v>0</v>
      </c>
      <c r="F3289" s="69">
        <v>0</v>
      </c>
      <c r="G3289" s="69" t="s">
        <v>37</v>
      </c>
      <c r="H3289" s="69" t="str">
        <f>IFERROR(VLOOKUP(Data!$G3289,canon!$I$2:$K$27,2,FALSE),"")</f>
        <v>SHOES</v>
      </c>
      <c r="I3289" s="69" t="str">
        <f>IFERROR(VLOOKUP(Data!$G3289,canon!$I$2:$K$27,3,FALSE),"")</f>
        <v>N.APPAREL</v>
      </c>
      <c r="J3289" s="69">
        <f t="shared" si="102"/>
        <v>6</v>
      </c>
      <c r="K3289" s="69">
        <f t="shared" si="103"/>
        <v>201</v>
      </c>
      <c r="L3289" s="69">
        <f>VLOOKUP(Table_db1_backend_Daily.accdb[[#This Row],[TradingDate]],canon!B:E,4,0)</f>
        <v>29</v>
      </c>
    </row>
    <row r="3290" spans="1:12" x14ac:dyDescent="0.2">
      <c r="A3290" s="69" t="s">
        <v>46</v>
      </c>
      <c r="B3290" s="70">
        <v>42937</v>
      </c>
      <c r="C3290" s="69">
        <v>-35</v>
      </c>
      <c r="D3290" s="69">
        <v>0</v>
      </c>
      <c r="E3290" s="69">
        <v>0</v>
      </c>
      <c r="F3290" s="69">
        <v>0</v>
      </c>
      <c r="G3290" s="69" t="s">
        <v>29</v>
      </c>
      <c r="H3290" s="69" t="str">
        <f>IFERROR(VLOOKUP(Data!$G3290,canon!$I$2:$K$27,2,FALSE),"")</f>
        <v>SHOES</v>
      </c>
      <c r="I3290" s="69" t="str">
        <f>IFERROR(VLOOKUP(Data!$G3290,canon!$I$2:$K$27,3,FALSE),"")</f>
        <v>N.APPAREL</v>
      </c>
      <c r="J3290" s="69">
        <f t="shared" si="102"/>
        <v>6</v>
      </c>
      <c r="K3290" s="69">
        <f t="shared" si="103"/>
        <v>201</v>
      </c>
      <c r="L3290" s="69">
        <f>VLOOKUP(Table_db1_backend_Daily.accdb[[#This Row],[TradingDate]],canon!B:E,4,0)</f>
        <v>29</v>
      </c>
    </row>
    <row r="3291" spans="1:12" x14ac:dyDescent="0.2">
      <c r="A3291" s="69" t="s">
        <v>46</v>
      </c>
      <c r="B3291" s="70">
        <v>42937</v>
      </c>
      <c r="C3291" s="69">
        <v>313</v>
      </c>
      <c r="D3291" s="69">
        <v>8</v>
      </c>
      <c r="E3291" s="69">
        <v>136.35000000000002</v>
      </c>
      <c r="F3291" s="69">
        <v>78.03</v>
      </c>
      <c r="G3291" s="69" t="s">
        <v>17</v>
      </c>
      <c r="H3291" s="69" t="str">
        <f>IFERROR(VLOOKUP(Data!$G3291,canon!$I$2:$K$27,2,FALSE),"")</f>
        <v>OUTER</v>
      </c>
      <c r="I3291" s="69" t="str">
        <f>IFERROR(VLOOKUP(Data!$G3291,canon!$I$2:$K$27,3,FALSE),"")</f>
        <v>APPAREL</v>
      </c>
      <c r="J3291" s="69">
        <f t="shared" si="102"/>
        <v>6</v>
      </c>
      <c r="K3291" s="69">
        <f t="shared" si="103"/>
        <v>201</v>
      </c>
      <c r="L3291" s="69">
        <f>VLOOKUP(Table_db1_backend_Daily.accdb[[#This Row],[TradingDate]],canon!B:E,4,0)</f>
        <v>29</v>
      </c>
    </row>
    <row r="3292" spans="1:12" x14ac:dyDescent="0.2">
      <c r="A3292" s="69" t="s">
        <v>46</v>
      </c>
      <c r="B3292" s="70">
        <v>42937</v>
      </c>
      <c r="C3292" s="69">
        <v>335</v>
      </c>
      <c r="D3292" s="69">
        <v>3</v>
      </c>
      <c r="E3292" s="69">
        <v>36.36</v>
      </c>
      <c r="F3292" s="69">
        <v>14.71</v>
      </c>
      <c r="G3292" s="69" t="s">
        <v>19</v>
      </c>
      <c r="H3292" s="69" t="str">
        <f>IFERROR(VLOOKUP(Data!$G3292,canon!$I$2:$K$27,2,FALSE),"")</f>
        <v>PANT</v>
      </c>
      <c r="I3292" s="69" t="str">
        <f>IFERROR(VLOOKUP(Data!$G3292,canon!$I$2:$K$27,3,FALSE),"")</f>
        <v>APPAREL</v>
      </c>
      <c r="J3292" s="69">
        <f t="shared" si="102"/>
        <v>6</v>
      </c>
      <c r="K3292" s="69">
        <f t="shared" si="103"/>
        <v>201</v>
      </c>
      <c r="L3292" s="69">
        <f>VLOOKUP(Table_db1_backend_Daily.accdb[[#This Row],[TradingDate]],canon!B:E,4,0)</f>
        <v>29</v>
      </c>
    </row>
    <row r="3293" spans="1:12" x14ac:dyDescent="0.2">
      <c r="A3293" s="69" t="s">
        <v>46</v>
      </c>
      <c r="B3293" s="70">
        <v>42937</v>
      </c>
      <c r="C3293" s="69">
        <v>263</v>
      </c>
      <c r="D3293" s="69">
        <v>3</v>
      </c>
      <c r="E3293" s="69">
        <v>13.649999999999999</v>
      </c>
      <c r="F3293" s="69">
        <v>7.7899999999999991</v>
      </c>
      <c r="G3293" s="69" t="s">
        <v>22</v>
      </c>
      <c r="H3293" s="69" t="str">
        <f>IFERROR(VLOOKUP(Data!$G3293,canon!$I$2:$K$27,2,FALSE),"")</f>
        <v>SCARF</v>
      </c>
      <c r="I3293" s="69" t="str">
        <f>IFERROR(VLOOKUP(Data!$G3293,canon!$I$2:$K$27,3,FALSE),"")</f>
        <v>N.APPAREL</v>
      </c>
      <c r="J3293" s="69">
        <f t="shared" si="102"/>
        <v>6</v>
      </c>
      <c r="K3293" s="69">
        <f t="shared" si="103"/>
        <v>201</v>
      </c>
      <c r="L3293" s="69">
        <f>VLOOKUP(Table_db1_backend_Daily.accdb[[#This Row],[TradingDate]],canon!B:E,4,0)</f>
        <v>29</v>
      </c>
    </row>
    <row r="3294" spans="1:12" x14ac:dyDescent="0.2">
      <c r="A3294" s="69" t="s">
        <v>46</v>
      </c>
      <c r="B3294" s="70">
        <v>42937</v>
      </c>
      <c r="C3294" s="69">
        <v>200</v>
      </c>
      <c r="D3294" s="69">
        <v>0</v>
      </c>
      <c r="E3294" s="69">
        <v>0</v>
      </c>
      <c r="F3294" s="69">
        <v>0</v>
      </c>
      <c r="G3294" s="69" t="s">
        <v>23</v>
      </c>
      <c r="H3294" s="69" t="str">
        <f>IFERROR(VLOOKUP(Data!$G3294,canon!$I$2:$K$27,2,FALSE),"")</f>
        <v>SH&amp;BL</v>
      </c>
      <c r="I3294" s="69" t="str">
        <f>IFERROR(VLOOKUP(Data!$G3294,canon!$I$2:$K$27,3,FALSE),"")</f>
        <v>APPAREL</v>
      </c>
      <c r="J3294" s="69">
        <f t="shared" si="102"/>
        <v>6</v>
      </c>
      <c r="K3294" s="69">
        <f t="shared" si="103"/>
        <v>201</v>
      </c>
      <c r="L3294" s="69">
        <f>VLOOKUP(Table_db1_backend_Daily.accdb[[#This Row],[TradingDate]],canon!B:E,4,0)</f>
        <v>29</v>
      </c>
    </row>
    <row r="3295" spans="1:12" x14ac:dyDescent="0.2">
      <c r="A3295" s="69" t="s">
        <v>46</v>
      </c>
      <c r="B3295" s="70">
        <v>42937</v>
      </c>
      <c r="C3295" s="69">
        <v>252</v>
      </c>
      <c r="D3295" s="69">
        <v>8</v>
      </c>
      <c r="E3295" s="69">
        <v>72.72</v>
      </c>
      <c r="F3295" s="69">
        <v>31.419999999999998</v>
      </c>
      <c r="G3295" s="69" t="s">
        <v>32</v>
      </c>
      <c r="H3295" s="69" t="str">
        <f>IFERROR(VLOOKUP(Data!$G3295,canon!$I$2:$K$27,2,FALSE),"")</f>
        <v>SKIRT</v>
      </c>
      <c r="I3295" s="69" t="str">
        <f>IFERROR(VLOOKUP(Data!$G3295,canon!$I$2:$K$27,3,FALSE),"")</f>
        <v>APPAREL</v>
      </c>
      <c r="J3295" s="69">
        <f t="shared" si="102"/>
        <v>6</v>
      </c>
      <c r="K3295" s="69">
        <f t="shared" si="103"/>
        <v>201</v>
      </c>
      <c r="L3295" s="69">
        <f>VLOOKUP(Table_db1_backend_Daily.accdb[[#This Row],[TradingDate]],canon!B:E,4,0)</f>
        <v>29</v>
      </c>
    </row>
    <row r="3296" spans="1:12" x14ac:dyDescent="0.2">
      <c r="A3296" s="69" t="s">
        <v>46</v>
      </c>
      <c r="B3296" s="70">
        <v>42937</v>
      </c>
      <c r="C3296" s="69">
        <v>1300</v>
      </c>
      <c r="D3296" s="69">
        <v>10</v>
      </c>
      <c r="E3296" s="69">
        <v>95.410000000000011</v>
      </c>
      <c r="F3296" s="69">
        <v>48.64</v>
      </c>
      <c r="G3296" s="69" t="s">
        <v>25</v>
      </c>
      <c r="H3296" s="69" t="str">
        <f>IFERROR(VLOOKUP(Data!$G3296,canon!$I$2:$K$27,2,FALSE),"")</f>
        <v>TOP</v>
      </c>
      <c r="I3296" s="69" t="str">
        <f>IFERROR(VLOOKUP(Data!$G3296,canon!$I$2:$K$27,3,FALSE),"")</f>
        <v>APPAREL</v>
      </c>
      <c r="J3296" s="69">
        <f t="shared" si="102"/>
        <v>6</v>
      </c>
      <c r="K3296" s="69">
        <f t="shared" si="103"/>
        <v>201</v>
      </c>
      <c r="L3296" s="69">
        <f>VLOOKUP(Table_db1_backend_Daily.accdb[[#This Row],[TradingDate]],canon!B:E,4,0)</f>
        <v>29</v>
      </c>
    </row>
    <row r="3297" spans="1:12" x14ac:dyDescent="0.2">
      <c r="A3297" s="69" t="s">
        <v>46</v>
      </c>
      <c r="B3297" s="70">
        <v>42938</v>
      </c>
      <c r="C3297" s="69">
        <v>-65</v>
      </c>
      <c r="D3297" s="69">
        <v>1</v>
      </c>
      <c r="E3297" s="69">
        <v>4.55</v>
      </c>
      <c r="F3297" s="69">
        <v>1.66</v>
      </c>
      <c r="G3297" s="69" t="s">
        <v>27</v>
      </c>
      <c r="H3297" s="69" t="str">
        <f>IFERROR(VLOOKUP(Data!$G3297,canon!$I$2:$K$27,2,FALSE),"")</f>
        <v>ACCESSORY</v>
      </c>
      <c r="I3297" s="69" t="str">
        <f>IFERROR(VLOOKUP(Data!$G3297,canon!$I$2:$K$27,3,FALSE),"")</f>
        <v>N.APPAREL</v>
      </c>
      <c r="J3297" s="69">
        <f t="shared" si="102"/>
        <v>7</v>
      </c>
      <c r="K3297" s="69">
        <f t="shared" si="103"/>
        <v>201</v>
      </c>
      <c r="L3297" s="69">
        <f>VLOOKUP(Table_db1_backend_Daily.accdb[[#This Row],[TradingDate]],canon!B:E,4,0)</f>
        <v>29</v>
      </c>
    </row>
    <row r="3298" spans="1:12" x14ac:dyDescent="0.2">
      <c r="A3298" s="69" t="s">
        <v>46</v>
      </c>
      <c r="B3298" s="70">
        <v>42938</v>
      </c>
      <c r="C3298" s="69">
        <v>-189</v>
      </c>
      <c r="D3298" s="69">
        <v>0</v>
      </c>
      <c r="E3298" s="69">
        <v>0</v>
      </c>
      <c r="F3298" s="69">
        <v>0</v>
      </c>
      <c r="G3298" s="69" t="s">
        <v>34</v>
      </c>
      <c r="H3298" s="69" t="str">
        <f>IFERROR(VLOOKUP(Data!$G3298,canon!$I$2:$K$27,2,FALSE),"")</f>
        <v>SHOES</v>
      </c>
      <c r="I3298" s="69" t="str">
        <f>IFERROR(VLOOKUP(Data!$G3298,canon!$I$2:$K$27,3,FALSE),"")</f>
        <v>N.APPAREL</v>
      </c>
      <c r="J3298" s="69">
        <f t="shared" si="102"/>
        <v>7</v>
      </c>
      <c r="K3298" s="69">
        <f t="shared" si="103"/>
        <v>201</v>
      </c>
      <c r="L3298" s="69">
        <f>VLOOKUP(Table_db1_backend_Daily.accdb[[#This Row],[TradingDate]],canon!B:E,4,0)</f>
        <v>29</v>
      </c>
    </row>
    <row r="3299" spans="1:12" x14ac:dyDescent="0.2">
      <c r="A3299" s="69" t="s">
        <v>46</v>
      </c>
      <c r="B3299" s="70">
        <v>42938</v>
      </c>
      <c r="C3299" s="69">
        <v>-36</v>
      </c>
      <c r="D3299" s="69">
        <v>0</v>
      </c>
      <c r="E3299" s="69">
        <v>0</v>
      </c>
      <c r="F3299" s="69">
        <v>0</v>
      </c>
      <c r="G3299" s="69" t="s">
        <v>38</v>
      </c>
      <c r="H3299" s="69" t="str">
        <f>IFERROR(VLOOKUP(Data!$G3299,canon!$I$2:$K$27,2,FALSE),"")</f>
        <v>SHOES</v>
      </c>
      <c r="I3299" s="69" t="str">
        <f>IFERROR(VLOOKUP(Data!$G3299,canon!$I$2:$K$27,3,FALSE),"")</f>
        <v>N.APPAREL</v>
      </c>
      <c r="J3299" s="69">
        <f t="shared" si="102"/>
        <v>7</v>
      </c>
      <c r="K3299" s="69">
        <f t="shared" si="103"/>
        <v>201</v>
      </c>
      <c r="L3299" s="69">
        <f>VLOOKUP(Table_db1_backend_Daily.accdb[[#This Row],[TradingDate]],canon!B:E,4,0)</f>
        <v>29</v>
      </c>
    </row>
    <row r="3300" spans="1:12" x14ac:dyDescent="0.2">
      <c r="A3300" s="69" t="s">
        <v>46</v>
      </c>
      <c r="B3300" s="70">
        <v>42938</v>
      </c>
      <c r="C3300" s="69">
        <v>255</v>
      </c>
      <c r="D3300" s="69">
        <v>7</v>
      </c>
      <c r="E3300" s="69">
        <v>118.18</v>
      </c>
      <c r="F3300" s="69">
        <v>59.36</v>
      </c>
      <c r="G3300" s="69" t="s">
        <v>35</v>
      </c>
      <c r="H3300" s="69" t="str">
        <f>IFERROR(VLOOKUP(Data!$G3300,canon!$I$2:$K$27,2,FALSE),"")</f>
        <v>DRESS</v>
      </c>
      <c r="I3300" s="69" t="str">
        <f>IFERROR(VLOOKUP(Data!$G3300,canon!$I$2:$K$27,3,FALSE),"")</f>
        <v>APPAREL</v>
      </c>
      <c r="J3300" s="69">
        <f t="shared" si="102"/>
        <v>7</v>
      </c>
      <c r="K3300" s="69">
        <f t="shared" si="103"/>
        <v>201</v>
      </c>
      <c r="L3300" s="69">
        <f>VLOOKUP(Table_db1_backend_Daily.accdb[[#This Row],[TradingDate]],canon!B:E,4,0)</f>
        <v>29</v>
      </c>
    </row>
    <row r="3301" spans="1:12" x14ac:dyDescent="0.2">
      <c r="A3301" s="69" t="s">
        <v>46</v>
      </c>
      <c r="B3301" s="70">
        <v>42938</v>
      </c>
      <c r="C3301" s="69">
        <v>42</v>
      </c>
      <c r="D3301" s="69">
        <v>0</v>
      </c>
      <c r="E3301" s="69">
        <v>0</v>
      </c>
      <c r="F3301" s="69">
        <v>0</v>
      </c>
      <c r="G3301" s="69" t="s">
        <v>10</v>
      </c>
      <c r="H3301" s="69" t="str">
        <f>IFERROR(VLOOKUP(Data!$G3301,canon!$I$2:$K$27,2,FALSE),"")</f>
        <v>ACCESSORY</v>
      </c>
      <c r="I3301" s="69" t="str">
        <f>IFERROR(VLOOKUP(Data!$G3301,canon!$I$2:$K$27,3,FALSE),"")</f>
        <v>N.APPAREL</v>
      </c>
      <c r="J3301" s="69">
        <f t="shared" si="102"/>
        <v>7</v>
      </c>
      <c r="K3301" s="69">
        <f t="shared" si="103"/>
        <v>201</v>
      </c>
      <c r="L3301" s="69">
        <f>VLOOKUP(Table_db1_backend_Daily.accdb[[#This Row],[TradingDate]],canon!B:E,4,0)</f>
        <v>29</v>
      </c>
    </row>
    <row r="3302" spans="1:12" x14ac:dyDescent="0.2">
      <c r="A3302" s="69" t="s">
        <v>46</v>
      </c>
      <c r="B3302" s="70">
        <v>42938</v>
      </c>
      <c r="C3302" s="69">
        <v>2070</v>
      </c>
      <c r="D3302" s="69">
        <v>48</v>
      </c>
      <c r="E3302" s="69">
        <v>654.49999999999989</v>
      </c>
      <c r="F3302" s="69">
        <v>274.74999999999994</v>
      </c>
      <c r="G3302" s="69" t="s">
        <v>11</v>
      </c>
      <c r="H3302" s="69" t="str">
        <f>IFERROR(VLOOKUP(Data!$G3302,canon!$I$2:$K$27,2,FALSE),"")</f>
        <v>KNIT</v>
      </c>
      <c r="I3302" s="69" t="str">
        <f>IFERROR(VLOOKUP(Data!$G3302,canon!$I$2:$K$27,3,FALSE),"")</f>
        <v>APPAREL</v>
      </c>
      <c r="J3302" s="69">
        <f t="shared" si="102"/>
        <v>7</v>
      </c>
      <c r="K3302" s="69">
        <f t="shared" si="103"/>
        <v>201</v>
      </c>
      <c r="L3302" s="69">
        <f>VLOOKUP(Table_db1_backend_Daily.accdb[[#This Row],[TradingDate]],canon!B:E,4,0)</f>
        <v>29</v>
      </c>
    </row>
    <row r="3303" spans="1:12" x14ac:dyDescent="0.2">
      <c r="A3303" s="69" t="s">
        <v>46</v>
      </c>
      <c r="B3303" s="70">
        <v>42938</v>
      </c>
      <c r="C3303" s="69">
        <v>310</v>
      </c>
      <c r="D3303" s="69">
        <v>7</v>
      </c>
      <c r="E3303" s="69">
        <v>63.640000000000008</v>
      </c>
      <c r="F3303" s="69">
        <v>20.72</v>
      </c>
      <c r="G3303" s="69" t="s">
        <v>14</v>
      </c>
      <c r="H3303" s="69" t="str">
        <f>IFERROR(VLOOKUP(Data!$G3303,canon!$I$2:$K$27,2,FALSE),"")</f>
        <v>LEGGING</v>
      </c>
      <c r="I3303" s="69" t="str">
        <f>IFERROR(VLOOKUP(Data!$G3303,canon!$I$2:$K$27,3,FALSE),"")</f>
        <v>APPAREL</v>
      </c>
      <c r="J3303" s="69">
        <f t="shared" si="102"/>
        <v>7</v>
      </c>
      <c r="K3303" s="69">
        <f t="shared" si="103"/>
        <v>201</v>
      </c>
      <c r="L3303" s="69">
        <f>VLOOKUP(Table_db1_backend_Daily.accdb[[#This Row],[TradingDate]],canon!B:E,4,0)</f>
        <v>29</v>
      </c>
    </row>
    <row r="3304" spans="1:12" x14ac:dyDescent="0.2">
      <c r="A3304" s="69" t="s">
        <v>46</v>
      </c>
      <c r="B3304" s="70">
        <v>42938</v>
      </c>
      <c r="C3304" s="69">
        <v>-4</v>
      </c>
      <c r="D3304" s="69">
        <v>0</v>
      </c>
      <c r="E3304" s="69">
        <v>0</v>
      </c>
      <c r="F3304" s="69">
        <v>0</v>
      </c>
      <c r="G3304" s="69" t="s">
        <v>37</v>
      </c>
      <c r="H3304" s="69" t="str">
        <f>IFERROR(VLOOKUP(Data!$G3304,canon!$I$2:$K$27,2,FALSE),"")</f>
        <v>SHOES</v>
      </c>
      <c r="I3304" s="69" t="str">
        <f>IFERROR(VLOOKUP(Data!$G3304,canon!$I$2:$K$27,3,FALSE),"")</f>
        <v>N.APPAREL</v>
      </c>
      <c r="J3304" s="69">
        <f t="shared" si="102"/>
        <v>7</v>
      </c>
      <c r="K3304" s="69">
        <f t="shared" si="103"/>
        <v>201</v>
      </c>
      <c r="L3304" s="69">
        <f>VLOOKUP(Table_db1_backend_Daily.accdb[[#This Row],[TradingDate]],canon!B:E,4,0)</f>
        <v>29</v>
      </c>
    </row>
    <row r="3305" spans="1:12" x14ac:dyDescent="0.2">
      <c r="A3305" s="69" t="s">
        <v>46</v>
      </c>
      <c r="B3305" s="70">
        <v>42938</v>
      </c>
      <c r="C3305" s="69">
        <v>-35</v>
      </c>
      <c r="D3305" s="69">
        <v>0</v>
      </c>
      <c r="E3305" s="69">
        <v>0</v>
      </c>
      <c r="F3305" s="69">
        <v>0</v>
      </c>
      <c r="G3305" s="69" t="s">
        <v>29</v>
      </c>
      <c r="H3305" s="69" t="str">
        <f>IFERROR(VLOOKUP(Data!$G3305,canon!$I$2:$K$27,2,FALSE),"")</f>
        <v>SHOES</v>
      </c>
      <c r="I3305" s="69" t="str">
        <f>IFERROR(VLOOKUP(Data!$G3305,canon!$I$2:$K$27,3,FALSE),"")</f>
        <v>N.APPAREL</v>
      </c>
      <c r="J3305" s="69">
        <f t="shared" si="102"/>
        <v>7</v>
      </c>
      <c r="K3305" s="69">
        <f t="shared" si="103"/>
        <v>201</v>
      </c>
      <c r="L3305" s="69">
        <f>VLOOKUP(Table_db1_backend_Daily.accdb[[#This Row],[TradingDate]],canon!B:E,4,0)</f>
        <v>29</v>
      </c>
    </row>
    <row r="3306" spans="1:12" x14ac:dyDescent="0.2">
      <c r="A3306" s="69" t="s">
        <v>46</v>
      </c>
      <c r="B3306" s="70">
        <v>42938</v>
      </c>
      <c r="C3306" s="69">
        <v>305</v>
      </c>
      <c r="D3306" s="69">
        <v>8</v>
      </c>
      <c r="E3306" s="69">
        <v>145.44</v>
      </c>
      <c r="F3306" s="69">
        <v>72.069999999999993</v>
      </c>
      <c r="G3306" s="69" t="s">
        <v>17</v>
      </c>
      <c r="H3306" s="69" t="str">
        <f>IFERROR(VLOOKUP(Data!$G3306,canon!$I$2:$K$27,2,FALSE),"")</f>
        <v>OUTER</v>
      </c>
      <c r="I3306" s="69" t="str">
        <f>IFERROR(VLOOKUP(Data!$G3306,canon!$I$2:$K$27,3,FALSE),"")</f>
        <v>APPAREL</v>
      </c>
      <c r="J3306" s="69">
        <f t="shared" si="102"/>
        <v>7</v>
      </c>
      <c r="K3306" s="69">
        <f t="shared" si="103"/>
        <v>201</v>
      </c>
      <c r="L3306" s="69">
        <f>VLOOKUP(Table_db1_backend_Daily.accdb[[#This Row],[TradingDate]],canon!B:E,4,0)</f>
        <v>29</v>
      </c>
    </row>
    <row r="3307" spans="1:12" x14ac:dyDescent="0.2">
      <c r="A3307" s="69" t="s">
        <v>46</v>
      </c>
      <c r="B3307" s="70">
        <v>42938</v>
      </c>
      <c r="C3307" s="69">
        <v>332</v>
      </c>
      <c r="D3307" s="69">
        <v>3</v>
      </c>
      <c r="E3307" s="69">
        <v>27.27</v>
      </c>
      <c r="F3307" s="69">
        <v>8.35</v>
      </c>
      <c r="G3307" s="69" t="s">
        <v>19</v>
      </c>
      <c r="H3307" s="69" t="str">
        <f>IFERROR(VLOOKUP(Data!$G3307,canon!$I$2:$K$27,2,FALSE),"")</f>
        <v>PANT</v>
      </c>
      <c r="I3307" s="69" t="str">
        <f>IFERROR(VLOOKUP(Data!$G3307,canon!$I$2:$K$27,3,FALSE),"")</f>
        <v>APPAREL</v>
      </c>
      <c r="J3307" s="69">
        <f t="shared" si="102"/>
        <v>7</v>
      </c>
      <c r="K3307" s="69">
        <f t="shared" si="103"/>
        <v>201</v>
      </c>
      <c r="L3307" s="69">
        <f>VLOOKUP(Table_db1_backend_Daily.accdb[[#This Row],[TradingDate]],canon!B:E,4,0)</f>
        <v>29</v>
      </c>
    </row>
    <row r="3308" spans="1:12" x14ac:dyDescent="0.2">
      <c r="A3308" s="69" t="s">
        <v>46</v>
      </c>
      <c r="B3308" s="70">
        <v>42938</v>
      </c>
      <c r="C3308" s="69">
        <v>252</v>
      </c>
      <c r="D3308" s="69">
        <v>11</v>
      </c>
      <c r="E3308" s="69">
        <v>52.709999999999994</v>
      </c>
      <c r="F3308" s="69">
        <v>32.08</v>
      </c>
      <c r="G3308" s="69" t="s">
        <v>22</v>
      </c>
      <c r="H3308" s="69" t="str">
        <f>IFERROR(VLOOKUP(Data!$G3308,canon!$I$2:$K$27,2,FALSE),"")</f>
        <v>SCARF</v>
      </c>
      <c r="I3308" s="69" t="str">
        <f>IFERROR(VLOOKUP(Data!$G3308,canon!$I$2:$K$27,3,FALSE),"")</f>
        <v>N.APPAREL</v>
      </c>
      <c r="J3308" s="69">
        <f t="shared" si="102"/>
        <v>7</v>
      </c>
      <c r="K3308" s="69">
        <f t="shared" si="103"/>
        <v>201</v>
      </c>
      <c r="L3308" s="69">
        <f>VLOOKUP(Table_db1_backend_Daily.accdb[[#This Row],[TradingDate]],canon!B:E,4,0)</f>
        <v>29</v>
      </c>
    </row>
    <row r="3309" spans="1:12" x14ac:dyDescent="0.2">
      <c r="A3309" s="69" t="s">
        <v>46</v>
      </c>
      <c r="B3309" s="70">
        <v>42938</v>
      </c>
      <c r="C3309" s="69">
        <v>200</v>
      </c>
      <c r="D3309" s="69">
        <v>0</v>
      </c>
      <c r="E3309" s="69">
        <v>0</v>
      </c>
      <c r="F3309" s="69">
        <v>0</v>
      </c>
      <c r="G3309" s="69" t="s">
        <v>23</v>
      </c>
      <c r="H3309" s="69" t="str">
        <f>IFERROR(VLOOKUP(Data!$G3309,canon!$I$2:$K$27,2,FALSE),"")</f>
        <v>SH&amp;BL</v>
      </c>
      <c r="I3309" s="69" t="str">
        <f>IFERROR(VLOOKUP(Data!$G3309,canon!$I$2:$K$27,3,FALSE),"")</f>
        <v>APPAREL</v>
      </c>
      <c r="J3309" s="69">
        <f t="shared" si="102"/>
        <v>7</v>
      </c>
      <c r="K3309" s="69">
        <f t="shared" si="103"/>
        <v>201</v>
      </c>
      <c r="L3309" s="69">
        <f>VLOOKUP(Table_db1_backend_Daily.accdb[[#This Row],[TradingDate]],canon!B:E,4,0)</f>
        <v>29</v>
      </c>
    </row>
    <row r="3310" spans="1:12" x14ac:dyDescent="0.2">
      <c r="A3310" s="69" t="s">
        <v>46</v>
      </c>
      <c r="B3310" s="70">
        <v>42938</v>
      </c>
      <c r="C3310" s="69">
        <v>249</v>
      </c>
      <c r="D3310" s="69">
        <v>3</v>
      </c>
      <c r="E3310" s="69">
        <v>27.27</v>
      </c>
      <c r="F3310" s="69">
        <v>12.27</v>
      </c>
      <c r="G3310" s="69" t="s">
        <v>32</v>
      </c>
      <c r="H3310" s="69" t="str">
        <f>IFERROR(VLOOKUP(Data!$G3310,canon!$I$2:$K$27,2,FALSE),"")</f>
        <v>SKIRT</v>
      </c>
      <c r="I3310" s="69" t="str">
        <f>IFERROR(VLOOKUP(Data!$G3310,canon!$I$2:$K$27,3,FALSE),"")</f>
        <v>APPAREL</v>
      </c>
      <c r="J3310" s="69">
        <f t="shared" si="102"/>
        <v>7</v>
      </c>
      <c r="K3310" s="69">
        <f t="shared" si="103"/>
        <v>201</v>
      </c>
      <c r="L3310" s="69">
        <f>VLOOKUP(Table_db1_backend_Daily.accdb[[#This Row],[TradingDate]],canon!B:E,4,0)</f>
        <v>29</v>
      </c>
    </row>
    <row r="3311" spans="1:12" x14ac:dyDescent="0.2">
      <c r="A3311" s="69" t="s">
        <v>46</v>
      </c>
      <c r="B3311" s="70">
        <v>42938</v>
      </c>
      <c r="C3311" s="69">
        <v>1297</v>
      </c>
      <c r="D3311" s="69">
        <v>3</v>
      </c>
      <c r="E3311" s="69">
        <v>27.27</v>
      </c>
      <c r="F3311" s="69">
        <v>12.91</v>
      </c>
      <c r="G3311" s="69" t="s">
        <v>25</v>
      </c>
      <c r="H3311" s="69" t="str">
        <f>IFERROR(VLOOKUP(Data!$G3311,canon!$I$2:$K$27,2,FALSE),"")</f>
        <v>TOP</v>
      </c>
      <c r="I3311" s="69" t="str">
        <f>IFERROR(VLOOKUP(Data!$G3311,canon!$I$2:$K$27,3,FALSE),"")</f>
        <v>APPAREL</v>
      </c>
      <c r="J3311" s="69">
        <f t="shared" si="102"/>
        <v>7</v>
      </c>
      <c r="K3311" s="69">
        <f t="shared" si="103"/>
        <v>201</v>
      </c>
      <c r="L3311" s="69">
        <f>VLOOKUP(Table_db1_backend_Daily.accdb[[#This Row],[TradingDate]],canon!B:E,4,0)</f>
        <v>29</v>
      </c>
    </row>
    <row r="3312" spans="1:12" x14ac:dyDescent="0.2">
      <c r="A3312" s="69" t="s">
        <v>46</v>
      </c>
      <c r="B3312" s="70">
        <v>42939</v>
      </c>
      <c r="C3312" s="69">
        <v>-65</v>
      </c>
      <c r="D3312" s="69">
        <v>0</v>
      </c>
      <c r="E3312" s="69">
        <v>0</v>
      </c>
      <c r="F3312" s="69">
        <v>0</v>
      </c>
      <c r="G3312" s="69" t="s">
        <v>27</v>
      </c>
      <c r="H3312" s="69" t="str">
        <f>IFERROR(VLOOKUP(Data!$G3312,canon!$I$2:$K$27,2,FALSE),"")</f>
        <v>ACCESSORY</v>
      </c>
      <c r="I3312" s="69" t="str">
        <f>IFERROR(VLOOKUP(Data!$G3312,canon!$I$2:$K$27,3,FALSE),"")</f>
        <v>N.APPAREL</v>
      </c>
      <c r="J3312" s="69">
        <f t="shared" si="102"/>
        <v>1</v>
      </c>
      <c r="K3312" s="69">
        <f t="shared" si="103"/>
        <v>201</v>
      </c>
      <c r="L3312" s="69">
        <f>VLOOKUP(Table_db1_backend_Daily.accdb[[#This Row],[TradingDate]],canon!B:E,4,0)</f>
        <v>30</v>
      </c>
    </row>
    <row r="3313" spans="1:12" x14ac:dyDescent="0.2">
      <c r="A3313" s="69" t="s">
        <v>46</v>
      </c>
      <c r="B3313" s="70">
        <v>42939</v>
      </c>
      <c r="C3313" s="69">
        <v>-189</v>
      </c>
      <c r="D3313" s="69">
        <v>0</v>
      </c>
      <c r="E3313" s="69">
        <v>0</v>
      </c>
      <c r="F3313" s="69">
        <v>0</v>
      </c>
      <c r="G3313" s="69" t="s">
        <v>34</v>
      </c>
      <c r="H3313" s="69" t="str">
        <f>IFERROR(VLOOKUP(Data!$G3313,canon!$I$2:$K$27,2,FALSE),"")</f>
        <v>SHOES</v>
      </c>
      <c r="I3313" s="69" t="str">
        <f>IFERROR(VLOOKUP(Data!$G3313,canon!$I$2:$K$27,3,FALSE),"")</f>
        <v>N.APPAREL</v>
      </c>
      <c r="J3313" s="69">
        <f t="shared" si="102"/>
        <v>1</v>
      </c>
      <c r="K3313" s="69">
        <f t="shared" si="103"/>
        <v>201</v>
      </c>
      <c r="L3313" s="69">
        <f>VLOOKUP(Table_db1_backend_Daily.accdb[[#This Row],[TradingDate]],canon!B:E,4,0)</f>
        <v>30</v>
      </c>
    </row>
    <row r="3314" spans="1:12" x14ac:dyDescent="0.2">
      <c r="A3314" s="69" t="s">
        <v>46</v>
      </c>
      <c r="B3314" s="70">
        <v>42939</v>
      </c>
      <c r="C3314" s="69">
        <v>-36</v>
      </c>
      <c r="D3314" s="69">
        <v>0</v>
      </c>
      <c r="E3314" s="69">
        <v>0</v>
      </c>
      <c r="F3314" s="69">
        <v>0</v>
      </c>
      <c r="G3314" s="69" t="s">
        <v>38</v>
      </c>
      <c r="H3314" s="69" t="str">
        <f>IFERROR(VLOOKUP(Data!$G3314,canon!$I$2:$K$27,2,FALSE),"")</f>
        <v>SHOES</v>
      </c>
      <c r="I3314" s="69" t="str">
        <f>IFERROR(VLOOKUP(Data!$G3314,canon!$I$2:$K$27,3,FALSE),"")</f>
        <v>N.APPAREL</v>
      </c>
      <c r="J3314" s="69">
        <f t="shared" si="102"/>
        <v>1</v>
      </c>
      <c r="K3314" s="69">
        <f t="shared" si="103"/>
        <v>201</v>
      </c>
      <c r="L3314" s="69">
        <f>VLOOKUP(Table_db1_backend_Daily.accdb[[#This Row],[TradingDate]],canon!B:E,4,0)</f>
        <v>30</v>
      </c>
    </row>
    <row r="3315" spans="1:12" x14ac:dyDescent="0.2">
      <c r="A3315" s="69" t="s">
        <v>46</v>
      </c>
      <c r="B3315" s="70">
        <v>42939</v>
      </c>
      <c r="C3315" s="69">
        <v>251</v>
      </c>
      <c r="D3315" s="69">
        <v>4</v>
      </c>
      <c r="E3315" s="69">
        <v>45.45</v>
      </c>
      <c r="F3315" s="69">
        <v>14.57</v>
      </c>
      <c r="G3315" s="69" t="s">
        <v>35</v>
      </c>
      <c r="H3315" s="69" t="str">
        <f>IFERROR(VLOOKUP(Data!$G3315,canon!$I$2:$K$27,2,FALSE),"")</f>
        <v>DRESS</v>
      </c>
      <c r="I3315" s="69" t="str">
        <f>IFERROR(VLOOKUP(Data!$G3315,canon!$I$2:$K$27,3,FALSE),"")</f>
        <v>APPAREL</v>
      </c>
      <c r="J3315" s="69">
        <f t="shared" si="102"/>
        <v>1</v>
      </c>
      <c r="K3315" s="69">
        <f t="shared" si="103"/>
        <v>201</v>
      </c>
      <c r="L3315" s="69">
        <f>VLOOKUP(Table_db1_backend_Daily.accdb[[#This Row],[TradingDate]],canon!B:E,4,0)</f>
        <v>30</v>
      </c>
    </row>
    <row r="3316" spans="1:12" x14ac:dyDescent="0.2">
      <c r="A3316" s="69" t="s">
        <v>46</v>
      </c>
      <c r="B3316" s="70">
        <v>42939</v>
      </c>
      <c r="C3316" s="69">
        <v>42</v>
      </c>
      <c r="D3316" s="69">
        <v>0</v>
      </c>
      <c r="E3316" s="69">
        <v>0</v>
      </c>
      <c r="F3316" s="69">
        <v>0</v>
      </c>
      <c r="G3316" s="69" t="s">
        <v>10</v>
      </c>
      <c r="H3316" s="69" t="str">
        <f>IFERROR(VLOOKUP(Data!$G3316,canon!$I$2:$K$27,2,FALSE),"")</f>
        <v>ACCESSORY</v>
      </c>
      <c r="I3316" s="69" t="str">
        <f>IFERROR(VLOOKUP(Data!$G3316,canon!$I$2:$K$27,3,FALSE),"")</f>
        <v>N.APPAREL</v>
      </c>
      <c r="J3316" s="69">
        <f t="shared" si="102"/>
        <v>1</v>
      </c>
      <c r="K3316" s="69">
        <f t="shared" si="103"/>
        <v>201</v>
      </c>
      <c r="L3316" s="69">
        <f>VLOOKUP(Table_db1_backend_Daily.accdb[[#This Row],[TradingDate]],canon!B:E,4,0)</f>
        <v>30</v>
      </c>
    </row>
    <row r="3317" spans="1:12" x14ac:dyDescent="0.2">
      <c r="A3317" s="69" t="s">
        <v>46</v>
      </c>
      <c r="B3317" s="70">
        <v>42939</v>
      </c>
      <c r="C3317" s="69">
        <v>2033</v>
      </c>
      <c r="D3317" s="69">
        <v>37</v>
      </c>
      <c r="E3317" s="69">
        <v>509.06000000000006</v>
      </c>
      <c r="F3317" s="69">
        <v>205.44000000000005</v>
      </c>
      <c r="G3317" s="69" t="s">
        <v>11</v>
      </c>
      <c r="H3317" s="69" t="str">
        <f>IFERROR(VLOOKUP(Data!$G3317,canon!$I$2:$K$27,2,FALSE),"")</f>
        <v>KNIT</v>
      </c>
      <c r="I3317" s="69" t="str">
        <f>IFERROR(VLOOKUP(Data!$G3317,canon!$I$2:$K$27,3,FALSE),"")</f>
        <v>APPAREL</v>
      </c>
      <c r="J3317" s="69">
        <f t="shared" si="102"/>
        <v>1</v>
      </c>
      <c r="K3317" s="69">
        <f t="shared" si="103"/>
        <v>201</v>
      </c>
      <c r="L3317" s="69">
        <f>VLOOKUP(Table_db1_backend_Daily.accdb[[#This Row],[TradingDate]],canon!B:E,4,0)</f>
        <v>30</v>
      </c>
    </row>
    <row r="3318" spans="1:12" x14ac:dyDescent="0.2">
      <c r="A3318" s="69" t="s">
        <v>46</v>
      </c>
      <c r="B3318" s="70">
        <v>42939</v>
      </c>
      <c r="C3318" s="69">
        <v>307</v>
      </c>
      <c r="D3318" s="69">
        <v>3</v>
      </c>
      <c r="E3318" s="69">
        <v>45.45</v>
      </c>
      <c r="F3318" s="69">
        <v>24.91</v>
      </c>
      <c r="G3318" s="69" t="s">
        <v>14</v>
      </c>
      <c r="H3318" s="69" t="str">
        <f>IFERROR(VLOOKUP(Data!$G3318,canon!$I$2:$K$27,2,FALSE),"")</f>
        <v>LEGGING</v>
      </c>
      <c r="I3318" s="69" t="str">
        <f>IFERROR(VLOOKUP(Data!$G3318,canon!$I$2:$K$27,3,FALSE),"")</f>
        <v>APPAREL</v>
      </c>
      <c r="J3318" s="69">
        <f t="shared" si="102"/>
        <v>1</v>
      </c>
      <c r="K3318" s="69">
        <f t="shared" si="103"/>
        <v>201</v>
      </c>
      <c r="L3318" s="69">
        <f>VLOOKUP(Table_db1_backend_Daily.accdb[[#This Row],[TradingDate]],canon!B:E,4,0)</f>
        <v>30</v>
      </c>
    </row>
    <row r="3319" spans="1:12" x14ac:dyDescent="0.2">
      <c r="A3319" s="69" t="s">
        <v>46</v>
      </c>
      <c r="B3319" s="70">
        <v>42939</v>
      </c>
      <c r="C3319" s="69">
        <v>-4</v>
      </c>
      <c r="D3319" s="69">
        <v>0</v>
      </c>
      <c r="E3319" s="69">
        <v>0</v>
      </c>
      <c r="F3319" s="69">
        <v>0</v>
      </c>
      <c r="G3319" s="69" t="s">
        <v>37</v>
      </c>
      <c r="H3319" s="69" t="str">
        <f>IFERROR(VLOOKUP(Data!$G3319,canon!$I$2:$K$27,2,FALSE),"")</f>
        <v>SHOES</v>
      </c>
      <c r="I3319" s="69" t="str">
        <f>IFERROR(VLOOKUP(Data!$G3319,canon!$I$2:$K$27,3,FALSE),"")</f>
        <v>N.APPAREL</v>
      </c>
      <c r="J3319" s="69">
        <f t="shared" si="102"/>
        <v>1</v>
      </c>
      <c r="K3319" s="69">
        <f t="shared" si="103"/>
        <v>201</v>
      </c>
      <c r="L3319" s="69">
        <f>VLOOKUP(Table_db1_backend_Daily.accdb[[#This Row],[TradingDate]],canon!B:E,4,0)</f>
        <v>30</v>
      </c>
    </row>
    <row r="3320" spans="1:12" x14ac:dyDescent="0.2">
      <c r="A3320" s="69" t="s">
        <v>46</v>
      </c>
      <c r="B3320" s="70">
        <v>42939</v>
      </c>
      <c r="C3320" s="69">
        <v>-35</v>
      </c>
      <c r="D3320" s="69">
        <v>0</v>
      </c>
      <c r="E3320" s="69">
        <v>0</v>
      </c>
      <c r="F3320" s="69">
        <v>0</v>
      </c>
      <c r="G3320" s="69" t="s">
        <v>29</v>
      </c>
      <c r="H3320" s="69" t="str">
        <f>IFERROR(VLOOKUP(Data!$G3320,canon!$I$2:$K$27,2,FALSE),"")</f>
        <v>SHOES</v>
      </c>
      <c r="I3320" s="69" t="str">
        <f>IFERROR(VLOOKUP(Data!$G3320,canon!$I$2:$K$27,3,FALSE),"")</f>
        <v>N.APPAREL</v>
      </c>
      <c r="J3320" s="69">
        <f t="shared" si="102"/>
        <v>1</v>
      </c>
      <c r="K3320" s="69">
        <f t="shared" si="103"/>
        <v>201</v>
      </c>
      <c r="L3320" s="69">
        <f>VLOOKUP(Table_db1_backend_Daily.accdb[[#This Row],[TradingDate]],canon!B:E,4,0)</f>
        <v>30</v>
      </c>
    </row>
    <row r="3321" spans="1:12" x14ac:dyDescent="0.2">
      <c r="A3321" s="69" t="s">
        <v>46</v>
      </c>
      <c r="B3321" s="70">
        <v>42939</v>
      </c>
      <c r="C3321" s="69">
        <v>302</v>
      </c>
      <c r="D3321" s="69">
        <v>3</v>
      </c>
      <c r="E3321" s="69">
        <v>45.45</v>
      </c>
      <c r="F3321" s="69">
        <v>21.93</v>
      </c>
      <c r="G3321" s="69" t="s">
        <v>17</v>
      </c>
      <c r="H3321" s="69" t="str">
        <f>IFERROR(VLOOKUP(Data!$G3321,canon!$I$2:$K$27,2,FALSE),"")</f>
        <v>OUTER</v>
      </c>
      <c r="I3321" s="69" t="str">
        <f>IFERROR(VLOOKUP(Data!$G3321,canon!$I$2:$K$27,3,FALSE),"")</f>
        <v>APPAREL</v>
      </c>
      <c r="J3321" s="69">
        <f t="shared" si="102"/>
        <v>1</v>
      </c>
      <c r="K3321" s="69">
        <f t="shared" si="103"/>
        <v>201</v>
      </c>
      <c r="L3321" s="69">
        <f>VLOOKUP(Table_db1_backend_Daily.accdb[[#This Row],[TradingDate]],canon!B:E,4,0)</f>
        <v>30</v>
      </c>
    </row>
    <row r="3322" spans="1:12" x14ac:dyDescent="0.2">
      <c r="A3322" s="69" t="s">
        <v>46</v>
      </c>
      <c r="B3322" s="70">
        <v>42939</v>
      </c>
      <c r="C3322" s="69">
        <v>332</v>
      </c>
      <c r="D3322" s="69">
        <v>0</v>
      </c>
      <c r="E3322" s="69">
        <v>0</v>
      </c>
      <c r="F3322" s="69">
        <v>2.0699999999999998</v>
      </c>
      <c r="G3322" s="69" t="s">
        <v>19</v>
      </c>
      <c r="H3322" s="69" t="str">
        <f>IFERROR(VLOOKUP(Data!$G3322,canon!$I$2:$K$27,2,FALSE),"")</f>
        <v>PANT</v>
      </c>
      <c r="I3322" s="69" t="str">
        <f>IFERROR(VLOOKUP(Data!$G3322,canon!$I$2:$K$27,3,FALSE),"")</f>
        <v>APPAREL</v>
      </c>
      <c r="J3322" s="69">
        <f t="shared" si="102"/>
        <v>1</v>
      </c>
      <c r="K3322" s="69">
        <f t="shared" si="103"/>
        <v>201</v>
      </c>
      <c r="L3322" s="69">
        <f>VLOOKUP(Table_db1_backend_Daily.accdb[[#This Row],[TradingDate]],canon!B:E,4,0)</f>
        <v>30</v>
      </c>
    </row>
    <row r="3323" spans="1:12" x14ac:dyDescent="0.2">
      <c r="A3323" s="69" t="s">
        <v>46</v>
      </c>
      <c r="B3323" s="70">
        <v>42939</v>
      </c>
      <c r="C3323" s="69">
        <v>251</v>
      </c>
      <c r="D3323" s="69">
        <v>1</v>
      </c>
      <c r="E3323" s="69">
        <v>4.55</v>
      </c>
      <c r="F3323" s="69">
        <v>2.38</v>
      </c>
      <c r="G3323" s="69" t="s">
        <v>22</v>
      </c>
      <c r="H3323" s="69" t="str">
        <f>IFERROR(VLOOKUP(Data!$G3323,canon!$I$2:$K$27,2,FALSE),"")</f>
        <v>SCARF</v>
      </c>
      <c r="I3323" s="69" t="str">
        <f>IFERROR(VLOOKUP(Data!$G3323,canon!$I$2:$K$27,3,FALSE),"")</f>
        <v>N.APPAREL</v>
      </c>
      <c r="J3323" s="69">
        <f t="shared" si="102"/>
        <v>1</v>
      </c>
      <c r="K3323" s="69">
        <f t="shared" si="103"/>
        <v>201</v>
      </c>
      <c r="L3323" s="69">
        <f>VLOOKUP(Table_db1_backend_Daily.accdb[[#This Row],[TradingDate]],canon!B:E,4,0)</f>
        <v>30</v>
      </c>
    </row>
    <row r="3324" spans="1:12" x14ac:dyDescent="0.2">
      <c r="A3324" s="69" t="s">
        <v>46</v>
      </c>
      <c r="B3324" s="70">
        <v>42939</v>
      </c>
      <c r="C3324" s="69">
        <v>200</v>
      </c>
      <c r="D3324" s="69">
        <v>0</v>
      </c>
      <c r="E3324" s="69">
        <v>0</v>
      </c>
      <c r="F3324" s="69">
        <v>0</v>
      </c>
      <c r="G3324" s="69" t="s">
        <v>23</v>
      </c>
      <c r="H3324" s="69" t="str">
        <f>IFERROR(VLOOKUP(Data!$G3324,canon!$I$2:$K$27,2,FALSE),"")</f>
        <v>SH&amp;BL</v>
      </c>
      <c r="I3324" s="69" t="str">
        <f>IFERROR(VLOOKUP(Data!$G3324,canon!$I$2:$K$27,3,FALSE),"")</f>
        <v>APPAREL</v>
      </c>
      <c r="J3324" s="69">
        <f t="shared" si="102"/>
        <v>1</v>
      </c>
      <c r="K3324" s="69">
        <f t="shared" si="103"/>
        <v>201</v>
      </c>
      <c r="L3324" s="69">
        <f>VLOOKUP(Table_db1_backend_Daily.accdb[[#This Row],[TradingDate]],canon!B:E,4,0)</f>
        <v>30</v>
      </c>
    </row>
    <row r="3325" spans="1:12" x14ac:dyDescent="0.2">
      <c r="A3325" s="69" t="s">
        <v>46</v>
      </c>
      <c r="B3325" s="70">
        <v>42939</v>
      </c>
      <c r="C3325" s="69">
        <v>249</v>
      </c>
      <c r="D3325" s="69">
        <v>0</v>
      </c>
      <c r="E3325" s="69">
        <v>0</v>
      </c>
      <c r="F3325" s="69">
        <v>0</v>
      </c>
      <c r="G3325" s="69" t="s">
        <v>32</v>
      </c>
      <c r="H3325" s="69" t="str">
        <f>IFERROR(VLOOKUP(Data!$G3325,canon!$I$2:$K$27,2,FALSE),"")</f>
        <v>SKIRT</v>
      </c>
      <c r="I3325" s="69" t="str">
        <f>IFERROR(VLOOKUP(Data!$G3325,canon!$I$2:$K$27,3,FALSE),"")</f>
        <v>APPAREL</v>
      </c>
      <c r="J3325" s="69">
        <f t="shared" si="102"/>
        <v>1</v>
      </c>
      <c r="K3325" s="69">
        <f t="shared" si="103"/>
        <v>201</v>
      </c>
      <c r="L3325" s="69">
        <f>VLOOKUP(Table_db1_backend_Daily.accdb[[#This Row],[TradingDate]],canon!B:E,4,0)</f>
        <v>30</v>
      </c>
    </row>
    <row r="3326" spans="1:12" x14ac:dyDescent="0.2">
      <c r="A3326" s="69" t="s">
        <v>46</v>
      </c>
      <c r="B3326" s="70">
        <v>42939</v>
      </c>
      <c r="C3326" s="69">
        <v>1294</v>
      </c>
      <c r="D3326" s="69">
        <v>3</v>
      </c>
      <c r="E3326" s="69">
        <v>27.27</v>
      </c>
      <c r="F3326" s="69">
        <v>14</v>
      </c>
      <c r="G3326" s="69" t="s">
        <v>25</v>
      </c>
      <c r="H3326" s="69" t="str">
        <f>IFERROR(VLOOKUP(Data!$G3326,canon!$I$2:$K$27,2,FALSE),"")</f>
        <v>TOP</v>
      </c>
      <c r="I3326" s="69" t="str">
        <f>IFERROR(VLOOKUP(Data!$G3326,canon!$I$2:$K$27,3,FALSE),"")</f>
        <v>APPAREL</v>
      </c>
      <c r="J3326" s="69">
        <f t="shared" si="102"/>
        <v>1</v>
      </c>
      <c r="K3326" s="69">
        <f t="shared" si="103"/>
        <v>201</v>
      </c>
      <c r="L3326" s="69">
        <f>VLOOKUP(Table_db1_backend_Daily.accdb[[#This Row],[TradingDate]],canon!B:E,4,0)</f>
        <v>30</v>
      </c>
    </row>
    <row r="3327" spans="1:12" x14ac:dyDescent="0.2">
      <c r="A3327" s="69" t="s">
        <v>46</v>
      </c>
      <c r="B3327" s="70">
        <v>42940</v>
      </c>
      <c r="C3327" s="69">
        <v>-65</v>
      </c>
      <c r="D3327" s="69">
        <v>0</v>
      </c>
      <c r="E3327" s="69">
        <v>0</v>
      </c>
      <c r="F3327" s="69">
        <v>0</v>
      </c>
      <c r="G3327" s="69" t="s">
        <v>27</v>
      </c>
      <c r="H3327" s="69" t="str">
        <f>IFERROR(VLOOKUP(Data!$G3327,canon!$I$2:$K$27,2,FALSE),"")</f>
        <v>ACCESSORY</v>
      </c>
      <c r="I3327" s="69" t="str">
        <f>IFERROR(VLOOKUP(Data!$G3327,canon!$I$2:$K$27,3,FALSE),"")</f>
        <v>N.APPAREL</v>
      </c>
      <c r="J3327" s="69">
        <f t="shared" si="102"/>
        <v>2</v>
      </c>
      <c r="K3327" s="69">
        <f t="shared" si="103"/>
        <v>201</v>
      </c>
      <c r="L3327" s="69">
        <f>VLOOKUP(Table_db1_backend_Daily.accdb[[#This Row],[TradingDate]],canon!B:E,4,0)</f>
        <v>30</v>
      </c>
    </row>
    <row r="3328" spans="1:12" x14ac:dyDescent="0.2">
      <c r="A3328" s="69" t="s">
        <v>46</v>
      </c>
      <c r="B3328" s="70">
        <v>42940</v>
      </c>
      <c r="C3328" s="69">
        <v>-189</v>
      </c>
      <c r="D3328" s="69">
        <v>0</v>
      </c>
      <c r="E3328" s="69">
        <v>0</v>
      </c>
      <c r="F3328" s="69">
        <v>0</v>
      </c>
      <c r="G3328" s="69" t="s">
        <v>34</v>
      </c>
      <c r="H3328" s="69" t="str">
        <f>IFERROR(VLOOKUP(Data!$G3328,canon!$I$2:$K$27,2,FALSE),"")</f>
        <v>SHOES</v>
      </c>
      <c r="I3328" s="69" t="str">
        <f>IFERROR(VLOOKUP(Data!$G3328,canon!$I$2:$K$27,3,FALSE),"")</f>
        <v>N.APPAREL</v>
      </c>
      <c r="J3328" s="69">
        <f t="shared" si="102"/>
        <v>2</v>
      </c>
      <c r="K3328" s="69">
        <f t="shared" si="103"/>
        <v>201</v>
      </c>
      <c r="L3328" s="69">
        <f>VLOOKUP(Table_db1_backend_Daily.accdb[[#This Row],[TradingDate]],canon!B:E,4,0)</f>
        <v>30</v>
      </c>
    </row>
    <row r="3329" spans="1:12" x14ac:dyDescent="0.2">
      <c r="A3329" s="69" t="s">
        <v>46</v>
      </c>
      <c r="B3329" s="70">
        <v>42940</v>
      </c>
      <c r="C3329" s="69">
        <v>-36</v>
      </c>
      <c r="D3329" s="69">
        <v>0</v>
      </c>
      <c r="E3329" s="69">
        <v>0</v>
      </c>
      <c r="F3329" s="69">
        <v>0</v>
      </c>
      <c r="G3329" s="69" t="s">
        <v>38</v>
      </c>
      <c r="H3329" s="69" t="str">
        <f>IFERROR(VLOOKUP(Data!$G3329,canon!$I$2:$K$27,2,FALSE),"")</f>
        <v>SHOES</v>
      </c>
      <c r="I3329" s="69" t="str">
        <f>IFERROR(VLOOKUP(Data!$G3329,canon!$I$2:$K$27,3,FALSE),"")</f>
        <v>N.APPAREL</v>
      </c>
      <c r="J3329" s="69">
        <f t="shared" si="102"/>
        <v>2</v>
      </c>
      <c r="K3329" s="69">
        <f t="shared" si="103"/>
        <v>201</v>
      </c>
      <c r="L3329" s="69">
        <f>VLOOKUP(Table_db1_backend_Daily.accdb[[#This Row],[TradingDate]],canon!B:E,4,0)</f>
        <v>30</v>
      </c>
    </row>
    <row r="3330" spans="1:12" x14ac:dyDescent="0.2">
      <c r="A3330" s="69" t="s">
        <v>46</v>
      </c>
      <c r="B3330" s="70">
        <v>42940</v>
      </c>
      <c r="C3330" s="69">
        <v>373</v>
      </c>
      <c r="D3330" s="69">
        <v>4</v>
      </c>
      <c r="E3330" s="69">
        <v>54.54</v>
      </c>
      <c r="F3330" s="69">
        <v>20.720000000000002</v>
      </c>
      <c r="G3330" s="69" t="s">
        <v>35</v>
      </c>
      <c r="H3330" s="69" t="str">
        <f>IFERROR(VLOOKUP(Data!$G3330,canon!$I$2:$K$27,2,FALSE),"")</f>
        <v>DRESS</v>
      </c>
      <c r="I3330" s="69" t="str">
        <f>IFERROR(VLOOKUP(Data!$G3330,canon!$I$2:$K$27,3,FALSE),"")</f>
        <v>APPAREL</v>
      </c>
      <c r="J3330" s="69">
        <f t="shared" ref="J3330:J3393" si="104">WEEKDAY(B3330)</f>
        <v>2</v>
      </c>
      <c r="K3330" s="69">
        <f t="shared" ref="K3330:K3393" si="105">INT(A3330)</f>
        <v>201</v>
      </c>
      <c r="L3330" s="69">
        <f>VLOOKUP(Table_db1_backend_Daily.accdb[[#This Row],[TradingDate]],canon!B:E,4,0)</f>
        <v>30</v>
      </c>
    </row>
    <row r="3331" spans="1:12" x14ac:dyDescent="0.2">
      <c r="A3331" s="69" t="s">
        <v>46</v>
      </c>
      <c r="B3331" s="70">
        <v>42940</v>
      </c>
      <c r="C3331" s="69">
        <v>42</v>
      </c>
      <c r="D3331" s="69">
        <v>0</v>
      </c>
      <c r="E3331" s="69">
        <v>0</v>
      </c>
      <c r="F3331" s="69">
        <v>0</v>
      </c>
      <c r="G3331" s="69" t="s">
        <v>10</v>
      </c>
      <c r="H3331" s="69" t="str">
        <f>IFERROR(VLOOKUP(Data!$G3331,canon!$I$2:$K$27,2,FALSE),"")</f>
        <v>ACCESSORY</v>
      </c>
      <c r="I3331" s="69" t="str">
        <f>IFERROR(VLOOKUP(Data!$G3331,canon!$I$2:$K$27,3,FALSE),"")</f>
        <v>N.APPAREL</v>
      </c>
      <c r="J3331" s="69">
        <f t="shared" si="104"/>
        <v>2</v>
      </c>
      <c r="K3331" s="69">
        <f t="shared" si="105"/>
        <v>201</v>
      </c>
      <c r="L3331" s="69">
        <f>VLOOKUP(Table_db1_backend_Daily.accdb[[#This Row],[TradingDate]],canon!B:E,4,0)</f>
        <v>30</v>
      </c>
    </row>
    <row r="3332" spans="1:12" x14ac:dyDescent="0.2">
      <c r="A3332" s="69" t="s">
        <v>46</v>
      </c>
      <c r="B3332" s="70">
        <v>42940</v>
      </c>
      <c r="C3332" s="69">
        <v>2029</v>
      </c>
      <c r="D3332" s="69">
        <v>20</v>
      </c>
      <c r="E3332" s="69">
        <v>236.34000000000006</v>
      </c>
      <c r="F3332" s="69">
        <v>93.4</v>
      </c>
      <c r="G3332" s="69" t="s">
        <v>11</v>
      </c>
      <c r="H3332" s="69" t="str">
        <f>IFERROR(VLOOKUP(Data!$G3332,canon!$I$2:$K$27,2,FALSE),"")</f>
        <v>KNIT</v>
      </c>
      <c r="I3332" s="69" t="str">
        <f>IFERROR(VLOOKUP(Data!$G3332,canon!$I$2:$K$27,3,FALSE),"")</f>
        <v>APPAREL</v>
      </c>
      <c r="J3332" s="69">
        <f t="shared" si="104"/>
        <v>2</v>
      </c>
      <c r="K3332" s="69">
        <f t="shared" si="105"/>
        <v>201</v>
      </c>
      <c r="L3332" s="69">
        <f>VLOOKUP(Table_db1_backend_Daily.accdb[[#This Row],[TradingDate]],canon!B:E,4,0)</f>
        <v>30</v>
      </c>
    </row>
    <row r="3333" spans="1:12" x14ac:dyDescent="0.2">
      <c r="A3333" s="69" t="s">
        <v>46</v>
      </c>
      <c r="B3333" s="70">
        <v>42940</v>
      </c>
      <c r="C3333" s="69">
        <v>360</v>
      </c>
      <c r="D3333" s="69">
        <v>1</v>
      </c>
      <c r="E3333" s="69">
        <v>13.63</v>
      </c>
      <c r="F3333" s="69">
        <v>6.67</v>
      </c>
      <c r="G3333" s="69" t="s">
        <v>14</v>
      </c>
      <c r="H3333" s="69" t="str">
        <f>IFERROR(VLOOKUP(Data!$G3333,canon!$I$2:$K$27,2,FALSE),"")</f>
        <v>LEGGING</v>
      </c>
      <c r="I3333" s="69" t="str">
        <f>IFERROR(VLOOKUP(Data!$G3333,canon!$I$2:$K$27,3,FALSE),"")</f>
        <v>APPAREL</v>
      </c>
      <c r="J3333" s="69">
        <f t="shared" si="104"/>
        <v>2</v>
      </c>
      <c r="K3333" s="69">
        <f t="shared" si="105"/>
        <v>201</v>
      </c>
      <c r="L3333" s="69">
        <f>VLOOKUP(Table_db1_backend_Daily.accdb[[#This Row],[TradingDate]],canon!B:E,4,0)</f>
        <v>30</v>
      </c>
    </row>
    <row r="3334" spans="1:12" x14ac:dyDescent="0.2">
      <c r="A3334" s="69" t="s">
        <v>46</v>
      </c>
      <c r="B3334" s="70">
        <v>42940</v>
      </c>
      <c r="C3334" s="69">
        <v>-4</v>
      </c>
      <c r="D3334" s="69">
        <v>0</v>
      </c>
      <c r="E3334" s="69">
        <v>0</v>
      </c>
      <c r="F3334" s="69">
        <v>0</v>
      </c>
      <c r="G3334" s="69" t="s">
        <v>37</v>
      </c>
      <c r="H3334" s="69" t="str">
        <f>IFERROR(VLOOKUP(Data!$G3334,canon!$I$2:$K$27,2,FALSE),"")</f>
        <v>SHOES</v>
      </c>
      <c r="I3334" s="69" t="str">
        <f>IFERROR(VLOOKUP(Data!$G3334,canon!$I$2:$K$27,3,FALSE),"")</f>
        <v>N.APPAREL</v>
      </c>
      <c r="J3334" s="69">
        <f t="shared" si="104"/>
        <v>2</v>
      </c>
      <c r="K3334" s="69">
        <f t="shared" si="105"/>
        <v>201</v>
      </c>
      <c r="L3334" s="69">
        <f>VLOOKUP(Table_db1_backend_Daily.accdb[[#This Row],[TradingDate]],canon!B:E,4,0)</f>
        <v>30</v>
      </c>
    </row>
    <row r="3335" spans="1:12" x14ac:dyDescent="0.2">
      <c r="A3335" s="69" t="s">
        <v>46</v>
      </c>
      <c r="B3335" s="70">
        <v>42940</v>
      </c>
      <c r="C3335" s="69">
        <v>-35</v>
      </c>
      <c r="D3335" s="69">
        <v>0</v>
      </c>
      <c r="E3335" s="69">
        <v>0</v>
      </c>
      <c r="F3335" s="69">
        <v>0</v>
      </c>
      <c r="G3335" s="69" t="s">
        <v>29</v>
      </c>
      <c r="H3335" s="69" t="str">
        <f>IFERROR(VLOOKUP(Data!$G3335,canon!$I$2:$K$27,2,FALSE),"")</f>
        <v>SHOES</v>
      </c>
      <c r="I3335" s="69" t="str">
        <f>IFERROR(VLOOKUP(Data!$G3335,canon!$I$2:$K$27,3,FALSE),"")</f>
        <v>N.APPAREL</v>
      </c>
      <c r="J3335" s="69">
        <f t="shared" si="104"/>
        <v>2</v>
      </c>
      <c r="K3335" s="69">
        <f t="shared" si="105"/>
        <v>201</v>
      </c>
      <c r="L3335" s="69">
        <f>VLOOKUP(Table_db1_backend_Daily.accdb[[#This Row],[TradingDate]],canon!B:E,4,0)</f>
        <v>30</v>
      </c>
    </row>
    <row r="3336" spans="1:12" x14ac:dyDescent="0.2">
      <c r="A3336" s="69" t="s">
        <v>46</v>
      </c>
      <c r="B3336" s="70">
        <v>42940</v>
      </c>
      <c r="C3336" s="69">
        <v>431</v>
      </c>
      <c r="D3336" s="69">
        <v>3</v>
      </c>
      <c r="E3336" s="69">
        <v>54.54</v>
      </c>
      <c r="F3336" s="69">
        <v>24.91</v>
      </c>
      <c r="G3336" s="69" t="s">
        <v>17</v>
      </c>
      <c r="H3336" s="69" t="str">
        <f>IFERROR(VLOOKUP(Data!$G3336,canon!$I$2:$K$27,2,FALSE),"")</f>
        <v>OUTER</v>
      </c>
      <c r="I3336" s="69" t="str">
        <f>IFERROR(VLOOKUP(Data!$G3336,canon!$I$2:$K$27,3,FALSE),"")</f>
        <v>APPAREL</v>
      </c>
      <c r="J3336" s="69">
        <f t="shared" si="104"/>
        <v>2</v>
      </c>
      <c r="K3336" s="69">
        <f t="shared" si="105"/>
        <v>201</v>
      </c>
      <c r="L3336" s="69">
        <f>VLOOKUP(Table_db1_backend_Daily.accdb[[#This Row],[TradingDate]],canon!B:E,4,0)</f>
        <v>30</v>
      </c>
    </row>
    <row r="3337" spans="1:12" x14ac:dyDescent="0.2">
      <c r="A3337" s="69" t="s">
        <v>46</v>
      </c>
      <c r="B3337" s="70">
        <v>42940</v>
      </c>
      <c r="C3337" s="69">
        <v>369</v>
      </c>
      <c r="D3337" s="69">
        <v>0</v>
      </c>
      <c r="E3337" s="69">
        <v>0</v>
      </c>
      <c r="F3337" s="69">
        <v>0</v>
      </c>
      <c r="G3337" s="69" t="s">
        <v>19</v>
      </c>
      <c r="H3337" s="69" t="str">
        <f>IFERROR(VLOOKUP(Data!$G3337,canon!$I$2:$K$27,2,FALSE),"")</f>
        <v>PANT</v>
      </c>
      <c r="I3337" s="69" t="str">
        <f>IFERROR(VLOOKUP(Data!$G3337,canon!$I$2:$K$27,3,FALSE),"")</f>
        <v>APPAREL</v>
      </c>
      <c r="J3337" s="69">
        <f t="shared" si="104"/>
        <v>2</v>
      </c>
      <c r="K3337" s="69">
        <f t="shared" si="105"/>
        <v>201</v>
      </c>
      <c r="L3337" s="69">
        <f>VLOOKUP(Table_db1_backend_Daily.accdb[[#This Row],[TradingDate]],canon!B:E,4,0)</f>
        <v>30</v>
      </c>
    </row>
    <row r="3338" spans="1:12" x14ac:dyDescent="0.2">
      <c r="A3338" s="69" t="s">
        <v>46</v>
      </c>
      <c r="B3338" s="70">
        <v>42940</v>
      </c>
      <c r="C3338" s="69">
        <v>245</v>
      </c>
      <c r="D3338" s="69">
        <v>6</v>
      </c>
      <c r="E3338" s="69">
        <v>27.3</v>
      </c>
      <c r="F3338" s="69">
        <v>18.18</v>
      </c>
      <c r="G3338" s="69" t="s">
        <v>22</v>
      </c>
      <c r="H3338" s="69" t="str">
        <f>IFERROR(VLOOKUP(Data!$G3338,canon!$I$2:$K$27,2,FALSE),"")</f>
        <v>SCARF</v>
      </c>
      <c r="I3338" s="69" t="str">
        <f>IFERROR(VLOOKUP(Data!$G3338,canon!$I$2:$K$27,3,FALSE),"")</f>
        <v>N.APPAREL</v>
      </c>
      <c r="J3338" s="69">
        <f t="shared" si="104"/>
        <v>2</v>
      </c>
      <c r="K3338" s="69">
        <f t="shared" si="105"/>
        <v>201</v>
      </c>
      <c r="L3338" s="69">
        <f>VLOOKUP(Table_db1_backend_Daily.accdb[[#This Row],[TradingDate]],canon!B:E,4,0)</f>
        <v>30</v>
      </c>
    </row>
    <row r="3339" spans="1:12" x14ac:dyDescent="0.2">
      <c r="A3339" s="69" t="s">
        <v>46</v>
      </c>
      <c r="B3339" s="70">
        <v>42940</v>
      </c>
      <c r="C3339" s="69">
        <v>236</v>
      </c>
      <c r="D3339" s="69">
        <v>0</v>
      </c>
      <c r="E3339" s="69">
        <v>0</v>
      </c>
      <c r="F3339" s="69">
        <v>0</v>
      </c>
      <c r="G3339" s="69" t="s">
        <v>23</v>
      </c>
      <c r="H3339" s="69" t="str">
        <f>IFERROR(VLOOKUP(Data!$G3339,canon!$I$2:$K$27,2,FALSE),"")</f>
        <v>SH&amp;BL</v>
      </c>
      <c r="I3339" s="69" t="str">
        <f>IFERROR(VLOOKUP(Data!$G3339,canon!$I$2:$K$27,3,FALSE),"")</f>
        <v>APPAREL</v>
      </c>
      <c r="J3339" s="69">
        <f t="shared" si="104"/>
        <v>2</v>
      </c>
      <c r="K3339" s="69">
        <f t="shared" si="105"/>
        <v>201</v>
      </c>
      <c r="L3339" s="69">
        <f>VLOOKUP(Table_db1_backend_Daily.accdb[[#This Row],[TradingDate]],canon!B:E,4,0)</f>
        <v>30</v>
      </c>
    </row>
    <row r="3340" spans="1:12" x14ac:dyDescent="0.2">
      <c r="A3340" s="69" t="s">
        <v>46</v>
      </c>
      <c r="B3340" s="70">
        <v>42940</v>
      </c>
      <c r="C3340" s="69">
        <v>297</v>
      </c>
      <c r="D3340" s="69">
        <v>0</v>
      </c>
      <c r="E3340" s="69">
        <v>0</v>
      </c>
      <c r="F3340" s="69">
        <v>0</v>
      </c>
      <c r="G3340" s="69" t="s">
        <v>32</v>
      </c>
      <c r="H3340" s="69" t="str">
        <f>IFERROR(VLOOKUP(Data!$G3340,canon!$I$2:$K$27,2,FALSE),"")</f>
        <v>SKIRT</v>
      </c>
      <c r="I3340" s="69" t="str">
        <f>IFERROR(VLOOKUP(Data!$G3340,canon!$I$2:$K$27,3,FALSE),"")</f>
        <v>APPAREL</v>
      </c>
      <c r="J3340" s="69">
        <f t="shared" si="104"/>
        <v>2</v>
      </c>
      <c r="K3340" s="69">
        <f t="shared" si="105"/>
        <v>201</v>
      </c>
      <c r="L3340" s="69">
        <f>VLOOKUP(Table_db1_backend_Daily.accdb[[#This Row],[TradingDate]],canon!B:E,4,0)</f>
        <v>30</v>
      </c>
    </row>
    <row r="3341" spans="1:12" x14ac:dyDescent="0.2">
      <c r="A3341" s="69" t="s">
        <v>46</v>
      </c>
      <c r="B3341" s="70">
        <v>42940</v>
      </c>
      <c r="C3341" s="69">
        <v>1401</v>
      </c>
      <c r="D3341" s="69">
        <v>7</v>
      </c>
      <c r="E3341" s="69">
        <v>68.180000000000007</v>
      </c>
      <c r="F3341" s="69">
        <v>29.68</v>
      </c>
      <c r="G3341" s="69" t="s">
        <v>25</v>
      </c>
      <c r="H3341" s="69" t="str">
        <f>IFERROR(VLOOKUP(Data!$G3341,canon!$I$2:$K$27,2,FALSE),"")</f>
        <v>TOP</v>
      </c>
      <c r="I3341" s="69" t="str">
        <f>IFERROR(VLOOKUP(Data!$G3341,canon!$I$2:$K$27,3,FALSE),"")</f>
        <v>APPAREL</v>
      </c>
      <c r="J3341" s="69">
        <f t="shared" si="104"/>
        <v>2</v>
      </c>
      <c r="K3341" s="69">
        <f t="shared" si="105"/>
        <v>201</v>
      </c>
      <c r="L3341" s="69">
        <f>VLOOKUP(Table_db1_backend_Daily.accdb[[#This Row],[TradingDate]],canon!B:E,4,0)</f>
        <v>30</v>
      </c>
    </row>
    <row r="3342" spans="1:12" x14ac:dyDescent="0.2">
      <c r="A3342" s="69" t="s">
        <v>46</v>
      </c>
      <c r="B3342" s="70">
        <v>42941</v>
      </c>
      <c r="C3342" s="69">
        <v>-66</v>
      </c>
      <c r="D3342" s="69">
        <v>1</v>
      </c>
      <c r="E3342" s="69">
        <v>4.55</v>
      </c>
      <c r="F3342" s="69">
        <v>1.66</v>
      </c>
      <c r="G3342" s="69" t="s">
        <v>27</v>
      </c>
      <c r="H3342" s="69" t="str">
        <f>IFERROR(VLOOKUP(Data!$G3342,canon!$I$2:$K$27,2,FALSE),"")</f>
        <v>ACCESSORY</v>
      </c>
      <c r="I3342" s="69" t="str">
        <f>IFERROR(VLOOKUP(Data!$G3342,canon!$I$2:$K$27,3,FALSE),"")</f>
        <v>N.APPAREL</v>
      </c>
      <c r="J3342" s="69">
        <f t="shared" si="104"/>
        <v>3</v>
      </c>
      <c r="K3342" s="69">
        <f t="shared" si="105"/>
        <v>201</v>
      </c>
      <c r="L3342" s="69">
        <f>VLOOKUP(Table_db1_backend_Daily.accdb[[#This Row],[TradingDate]],canon!B:E,4,0)</f>
        <v>30</v>
      </c>
    </row>
    <row r="3343" spans="1:12" x14ac:dyDescent="0.2">
      <c r="A3343" s="69" t="s">
        <v>46</v>
      </c>
      <c r="B3343" s="70">
        <v>42941</v>
      </c>
      <c r="C3343" s="69">
        <v>-189</v>
      </c>
      <c r="D3343" s="69">
        <v>0</v>
      </c>
      <c r="E3343" s="69">
        <v>0</v>
      </c>
      <c r="F3343" s="69">
        <v>0</v>
      </c>
      <c r="G3343" s="69" t="s">
        <v>34</v>
      </c>
      <c r="H3343" s="69" t="str">
        <f>IFERROR(VLOOKUP(Data!$G3343,canon!$I$2:$K$27,2,FALSE),"")</f>
        <v>SHOES</v>
      </c>
      <c r="I3343" s="69" t="str">
        <f>IFERROR(VLOOKUP(Data!$G3343,canon!$I$2:$K$27,3,FALSE),"")</f>
        <v>N.APPAREL</v>
      </c>
      <c r="J3343" s="69">
        <f t="shared" si="104"/>
        <v>3</v>
      </c>
      <c r="K3343" s="69">
        <f t="shared" si="105"/>
        <v>201</v>
      </c>
      <c r="L3343" s="69">
        <f>VLOOKUP(Table_db1_backend_Daily.accdb[[#This Row],[TradingDate]],canon!B:E,4,0)</f>
        <v>30</v>
      </c>
    </row>
    <row r="3344" spans="1:12" x14ac:dyDescent="0.2">
      <c r="A3344" s="69" t="s">
        <v>46</v>
      </c>
      <c r="B3344" s="70">
        <v>42941</v>
      </c>
      <c r="C3344" s="69">
        <v>-36</v>
      </c>
      <c r="D3344" s="69">
        <v>0</v>
      </c>
      <c r="E3344" s="69">
        <v>0</v>
      </c>
      <c r="F3344" s="69">
        <v>0</v>
      </c>
      <c r="G3344" s="69" t="s">
        <v>38</v>
      </c>
      <c r="H3344" s="69" t="str">
        <f>IFERROR(VLOOKUP(Data!$G3344,canon!$I$2:$K$27,2,FALSE),"")</f>
        <v>SHOES</v>
      </c>
      <c r="I3344" s="69" t="str">
        <f>IFERROR(VLOOKUP(Data!$G3344,canon!$I$2:$K$27,3,FALSE),"")</f>
        <v>N.APPAREL</v>
      </c>
      <c r="J3344" s="69">
        <f t="shared" si="104"/>
        <v>3</v>
      </c>
      <c r="K3344" s="69">
        <f t="shared" si="105"/>
        <v>201</v>
      </c>
      <c r="L3344" s="69">
        <f>VLOOKUP(Table_db1_backend_Daily.accdb[[#This Row],[TradingDate]],canon!B:E,4,0)</f>
        <v>30</v>
      </c>
    </row>
    <row r="3345" spans="1:12" x14ac:dyDescent="0.2">
      <c r="A3345" s="69" t="s">
        <v>46</v>
      </c>
      <c r="B3345" s="70">
        <v>42941</v>
      </c>
      <c r="C3345" s="69">
        <v>365</v>
      </c>
      <c r="D3345" s="69">
        <v>8</v>
      </c>
      <c r="E3345" s="69">
        <v>113.5</v>
      </c>
      <c r="F3345" s="69">
        <v>40.99</v>
      </c>
      <c r="G3345" s="69" t="s">
        <v>35</v>
      </c>
      <c r="H3345" s="69" t="str">
        <f>IFERROR(VLOOKUP(Data!$G3345,canon!$I$2:$K$27,2,FALSE),"")</f>
        <v>DRESS</v>
      </c>
      <c r="I3345" s="69" t="str">
        <f>IFERROR(VLOOKUP(Data!$G3345,canon!$I$2:$K$27,3,FALSE),"")</f>
        <v>APPAREL</v>
      </c>
      <c r="J3345" s="69">
        <f t="shared" si="104"/>
        <v>3</v>
      </c>
      <c r="K3345" s="69">
        <f t="shared" si="105"/>
        <v>201</v>
      </c>
      <c r="L3345" s="69">
        <f>VLOOKUP(Table_db1_backend_Daily.accdb[[#This Row],[TradingDate]],canon!B:E,4,0)</f>
        <v>30</v>
      </c>
    </row>
    <row r="3346" spans="1:12" x14ac:dyDescent="0.2">
      <c r="A3346" s="69" t="s">
        <v>46</v>
      </c>
      <c r="B3346" s="70">
        <v>42941</v>
      </c>
      <c r="C3346" s="69">
        <v>42</v>
      </c>
      <c r="D3346" s="69">
        <v>0</v>
      </c>
      <c r="E3346" s="69">
        <v>0</v>
      </c>
      <c r="F3346" s="69">
        <v>0</v>
      </c>
      <c r="G3346" s="69" t="s">
        <v>10</v>
      </c>
      <c r="H3346" s="69" t="str">
        <f>IFERROR(VLOOKUP(Data!$G3346,canon!$I$2:$K$27,2,FALSE),"")</f>
        <v>ACCESSORY</v>
      </c>
      <c r="I3346" s="69" t="str">
        <f>IFERROR(VLOOKUP(Data!$G3346,canon!$I$2:$K$27,3,FALSE),"")</f>
        <v>N.APPAREL</v>
      </c>
      <c r="J3346" s="69">
        <f t="shared" si="104"/>
        <v>3</v>
      </c>
      <c r="K3346" s="69">
        <f t="shared" si="105"/>
        <v>201</v>
      </c>
      <c r="L3346" s="69">
        <f>VLOOKUP(Table_db1_backend_Daily.accdb[[#This Row],[TradingDate]],canon!B:E,4,0)</f>
        <v>30</v>
      </c>
    </row>
    <row r="3347" spans="1:12" x14ac:dyDescent="0.2">
      <c r="A3347" s="69" t="s">
        <v>46</v>
      </c>
      <c r="B3347" s="70">
        <v>42941</v>
      </c>
      <c r="C3347" s="69">
        <v>1984</v>
      </c>
      <c r="D3347" s="69">
        <v>61</v>
      </c>
      <c r="E3347" s="69">
        <v>695.17000000000007</v>
      </c>
      <c r="F3347" s="69">
        <v>228.22000000000003</v>
      </c>
      <c r="G3347" s="69" t="s">
        <v>11</v>
      </c>
      <c r="H3347" s="69" t="str">
        <f>IFERROR(VLOOKUP(Data!$G3347,canon!$I$2:$K$27,2,FALSE),"")</f>
        <v>KNIT</v>
      </c>
      <c r="I3347" s="69" t="str">
        <f>IFERROR(VLOOKUP(Data!$G3347,canon!$I$2:$K$27,3,FALSE),"")</f>
        <v>APPAREL</v>
      </c>
      <c r="J3347" s="69">
        <f t="shared" si="104"/>
        <v>3</v>
      </c>
      <c r="K3347" s="69">
        <f t="shared" si="105"/>
        <v>201</v>
      </c>
      <c r="L3347" s="69">
        <f>VLOOKUP(Table_db1_backend_Daily.accdb[[#This Row],[TradingDate]],canon!B:E,4,0)</f>
        <v>30</v>
      </c>
    </row>
    <row r="3348" spans="1:12" x14ac:dyDescent="0.2">
      <c r="A3348" s="69" t="s">
        <v>46</v>
      </c>
      <c r="B3348" s="70">
        <v>42941</v>
      </c>
      <c r="C3348" s="69">
        <v>354</v>
      </c>
      <c r="D3348" s="69">
        <v>6</v>
      </c>
      <c r="E3348" s="69">
        <v>63.63</v>
      </c>
      <c r="F3348" s="69">
        <v>21.8</v>
      </c>
      <c r="G3348" s="69" t="s">
        <v>14</v>
      </c>
      <c r="H3348" s="69" t="str">
        <f>IFERROR(VLOOKUP(Data!$G3348,canon!$I$2:$K$27,2,FALSE),"")</f>
        <v>LEGGING</v>
      </c>
      <c r="I3348" s="69" t="str">
        <f>IFERROR(VLOOKUP(Data!$G3348,canon!$I$2:$K$27,3,FALSE),"")</f>
        <v>APPAREL</v>
      </c>
      <c r="J3348" s="69">
        <f t="shared" si="104"/>
        <v>3</v>
      </c>
      <c r="K3348" s="69">
        <f t="shared" si="105"/>
        <v>201</v>
      </c>
      <c r="L3348" s="69">
        <f>VLOOKUP(Table_db1_backend_Daily.accdb[[#This Row],[TradingDate]],canon!B:E,4,0)</f>
        <v>30</v>
      </c>
    </row>
    <row r="3349" spans="1:12" x14ac:dyDescent="0.2">
      <c r="A3349" s="69" t="s">
        <v>46</v>
      </c>
      <c r="B3349" s="70">
        <v>42941</v>
      </c>
      <c r="C3349" s="69">
        <v>-4</v>
      </c>
      <c r="D3349" s="69">
        <v>0</v>
      </c>
      <c r="E3349" s="69">
        <v>0</v>
      </c>
      <c r="F3349" s="69">
        <v>0</v>
      </c>
      <c r="G3349" s="69" t="s">
        <v>37</v>
      </c>
      <c r="H3349" s="69" t="str">
        <f>IFERROR(VLOOKUP(Data!$G3349,canon!$I$2:$K$27,2,FALSE),"")</f>
        <v>SHOES</v>
      </c>
      <c r="I3349" s="69" t="str">
        <f>IFERROR(VLOOKUP(Data!$G3349,canon!$I$2:$K$27,3,FALSE),"")</f>
        <v>N.APPAREL</v>
      </c>
      <c r="J3349" s="69">
        <f t="shared" si="104"/>
        <v>3</v>
      </c>
      <c r="K3349" s="69">
        <f t="shared" si="105"/>
        <v>201</v>
      </c>
      <c r="L3349" s="69">
        <f>VLOOKUP(Table_db1_backend_Daily.accdb[[#This Row],[TradingDate]],canon!B:E,4,0)</f>
        <v>30</v>
      </c>
    </row>
    <row r="3350" spans="1:12" x14ac:dyDescent="0.2">
      <c r="A3350" s="69" t="s">
        <v>46</v>
      </c>
      <c r="B3350" s="70">
        <v>42941</v>
      </c>
      <c r="C3350" s="69">
        <v>-35</v>
      </c>
      <c r="D3350" s="69">
        <v>0</v>
      </c>
      <c r="E3350" s="69">
        <v>0</v>
      </c>
      <c r="F3350" s="69">
        <v>0</v>
      </c>
      <c r="G3350" s="69" t="s">
        <v>29</v>
      </c>
      <c r="H3350" s="69" t="str">
        <f>IFERROR(VLOOKUP(Data!$G3350,canon!$I$2:$K$27,2,FALSE),"")</f>
        <v>SHOES</v>
      </c>
      <c r="I3350" s="69" t="str">
        <f>IFERROR(VLOOKUP(Data!$G3350,canon!$I$2:$K$27,3,FALSE),"")</f>
        <v>N.APPAREL</v>
      </c>
      <c r="J3350" s="69">
        <f t="shared" si="104"/>
        <v>3</v>
      </c>
      <c r="K3350" s="69">
        <f t="shared" si="105"/>
        <v>201</v>
      </c>
      <c r="L3350" s="69">
        <f>VLOOKUP(Table_db1_backend_Daily.accdb[[#This Row],[TradingDate]],canon!B:E,4,0)</f>
        <v>30</v>
      </c>
    </row>
    <row r="3351" spans="1:12" x14ac:dyDescent="0.2">
      <c r="A3351" s="69" t="s">
        <v>46</v>
      </c>
      <c r="B3351" s="70">
        <v>42941</v>
      </c>
      <c r="C3351" s="69">
        <v>438</v>
      </c>
      <c r="D3351" s="69">
        <v>11</v>
      </c>
      <c r="E3351" s="69">
        <v>172.73000000000002</v>
      </c>
      <c r="F3351" s="69">
        <v>101.88000000000001</v>
      </c>
      <c r="G3351" s="69" t="s">
        <v>17</v>
      </c>
      <c r="H3351" s="69" t="str">
        <f>IFERROR(VLOOKUP(Data!$G3351,canon!$I$2:$K$27,2,FALSE),"")</f>
        <v>OUTER</v>
      </c>
      <c r="I3351" s="69" t="str">
        <f>IFERROR(VLOOKUP(Data!$G3351,canon!$I$2:$K$27,3,FALSE),"")</f>
        <v>APPAREL</v>
      </c>
      <c r="J3351" s="69">
        <f t="shared" si="104"/>
        <v>3</v>
      </c>
      <c r="K3351" s="69">
        <f t="shared" si="105"/>
        <v>201</v>
      </c>
      <c r="L3351" s="69">
        <f>VLOOKUP(Table_db1_backend_Daily.accdb[[#This Row],[TradingDate]],canon!B:E,4,0)</f>
        <v>30</v>
      </c>
    </row>
    <row r="3352" spans="1:12" x14ac:dyDescent="0.2">
      <c r="A3352" s="69" t="s">
        <v>46</v>
      </c>
      <c r="B3352" s="70">
        <v>42941</v>
      </c>
      <c r="C3352" s="69">
        <v>367</v>
      </c>
      <c r="D3352" s="69">
        <v>2</v>
      </c>
      <c r="E3352" s="69">
        <v>18.18</v>
      </c>
      <c r="F3352" s="69">
        <v>6.1099999999999994</v>
      </c>
      <c r="G3352" s="69" t="s">
        <v>19</v>
      </c>
      <c r="H3352" s="69" t="str">
        <f>IFERROR(VLOOKUP(Data!$G3352,canon!$I$2:$K$27,2,FALSE),"")</f>
        <v>PANT</v>
      </c>
      <c r="I3352" s="69" t="str">
        <f>IFERROR(VLOOKUP(Data!$G3352,canon!$I$2:$K$27,3,FALSE),"")</f>
        <v>APPAREL</v>
      </c>
      <c r="J3352" s="69">
        <f t="shared" si="104"/>
        <v>3</v>
      </c>
      <c r="K3352" s="69">
        <f t="shared" si="105"/>
        <v>201</v>
      </c>
      <c r="L3352" s="69">
        <f>VLOOKUP(Table_db1_backend_Daily.accdb[[#This Row],[TradingDate]],canon!B:E,4,0)</f>
        <v>30</v>
      </c>
    </row>
    <row r="3353" spans="1:12" x14ac:dyDescent="0.2">
      <c r="A3353" s="69" t="s">
        <v>46</v>
      </c>
      <c r="B3353" s="70">
        <v>42941</v>
      </c>
      <c r="C3353" s="69">
        <v>241</v>
      </c>
      <c r="D3353" s="69">
        <v>4</v>
      </c>
      <c r="E3353" s="69">
        <v>18.2</v>
      </c>
      <c r="F3353" s="69">
        <v>10.819999999999999</v>
      </c>
      <c r="G3353" s="69" t="s">
        <v>22</v>
      </c>
      <c r="H3353" s="69" t="str">
        <f>IFERROR(VLOOKUP(Data!$G3353,canon!$I$2:$K$27,2,FALSE),"")</f>
        <v>SCARF</v>
      </c>
      <c r="I3353" s="69" t="str">
        <f>IFERROR(VLOOKUP(Data!$G3353,canon!$I$2:$K$27,3,FALSE),"")</f>
        <v>N.APPAREL</v>
      </c>
      <c r="J3353" s="69">
        <f t="shared" si="104"/>
        <v>3</v>
      </c>
      <c r="K3353" s="69">
        <f t="shared" si="105"/>
        <v>201</v>
      </c>
      <c r="L3353" s="69">
        <f>VLOOKUP(Table_db1_backend_Daily.accdb[[#This Row],[TradingDate]],canon!B:E,4,0)</f>
        <v>30</v>
      </c>
    </row>
    <row r="3354" spans="1:12" x14ac:dyDescent="0.2">
      <c r="A3354" s="69" t="s">
        <v>46</v>
      </c>
      <c r="B3354" s="70">
        <v>42941</v>
      </c>
      <c r="C3354" s="69">
        <v>236</v>
      </c>
      <c r="D3354" s="69">
        <v>0</v>
      </c>
      <c r="E3354" s="69">
        <v>0</v>
      </c>
      <c r="F3354" s="69">
        <v>0</v>
      </c>
      <c r="G3354" s="69" t="s">
        <v>23</v>
      </c>
      <c r="H3354" s="69" t="str">
        <f>IFERROR(VLOOKUP(Data!$G3354,canon!$I$2:$K$27,2,FALSE),"")</f>
        <v>SH&amp;BL</v>
      </c>
      <c r="I3354" s="69" t="str">
        <f>IFERROR(VLOOKUP(Data!$G3354,canon!$I$2:$K$27,3,FALSE),"")</f>
        <v>APPAREL</v>
      </c>
      <c r="J3354" s="69">
        <f t="shared" si="104"/>
        <v>3</v>
      </c>
      <c r="K3354" s="69">
        <f t="shared" si="105"/>
        <v>201</v>
      </c>
      <c r="L3354" s="69">
        <f>VLOOKUP(Table_db1_backend_Daily.accdb[[#This Row],[TradingDate]],canon!B:E,4,0)</f>
        <v>30</v>
      </c>
    </row>
    <row r="3355" spans="1:12" x14ac:dyDescent="0.2">
      <c r="A3355" s="69" t="s">
        <v>46</v>
      </c>
      <c r="B3355" s="70">
        <v>42941</v>
      </c>
      <c r="C3355" s="69">
        <v>297</v>
      </c>
      <c r="D3355" s="69">
        <v>0</v>
      </c>
      <c r="E3355" s="69">
        <v>0</v>
      </c>
      <c r="F3355" s="69">
        <v>0</v>
      </c>
      <c r="G3355" s="69" t="s">
        <v>32</v>
      </c>
      <c r="H3355" s="69" t="str">
        <f>IFERROR(VLOOKUP(Data!$G3355,canon!$I$2:$K$27,2,FALSE),"")</f>
        <v>SKIRT</v>
      </c>
      <c r="I3355" s="69" t="str">
        <f>IFERROR(VLOOKUP(Data!$G3355,canon!$I$2:$K$27,3,FALSE),"")</f>
        <v>APPAREL</v>
      </c>
      <c r="J3355" s="69">
        <f t="shared" si="104"/>
        <v>3</v>
      </c>
      <c r="K3355" s="69">
        <f t="shared" si="105"/>
        <v>201</v>
      </c>
      <c r="L3355" s="69">
        <f>VLOOKUP(Table_db1_backend_Daily.accdb[[#This Row],[TradingDate]],canon!B:E,4,0)</f>
        <v>30</v>
      </c>
    </row>
    <row r="3356" spans="1:12" x14ac:dyDescent="0.2">
      <c r="A3356" s="69" t="s">
        <v>46</v>
      </c>
      <c r="B3356" s="70">
        <v>42941</v>
      </c>
      <c r="C3356" s="69">
        <v>1366</v>
      </c>
      <c r="D3356" s="69">
        <v>35</v>
      </c>
      <c r="E3356" s="69">
        <v>218.26000000000005</v>
      </c>
      <c r="F3356" s="69">
        <v>38.78</v>
      </c>
      <c r="G3356" s="69" t="s">
        <v>25</v>
      </c>
      <c r="H3356" s="69" t="str">
        <f>IFERROR(VLOOKUP(Data!$G3356,canon!$I$2:$K$27,2,FALSE),"")</f>
        <v>TOP</v>
      </c>
      <c r="I3356" s="69" t="str">
        <f>IFERROR(VLOOKUP(Data!$G3356,canon!$I$2:$K$27,3,FALSE),"")</f>
        <v>APPAREL</v>
      </c>
      <c r="J3356" s="69">
        <f t="shared" si="104"/>
        <v>3</v>
      </c>
      <c r="K3356" s="69">
        <f t="shared" si="105"/>
        <v>201</v>
      </c>
      <c r="L3356" s="69">
        <f>VLOOKUP(Table_db1_backend_Daily.accdb[[#This Row],[TradingDate]],canon!B:E,4,0)</f>
        <v>30</v>
      </c>
    </row>
    <row r="3357" spans="1:12" x14ac:dyDescent="0.2">
      <c r="A3357" s="69" t="s">
        <v>46</v>
      </c>
      <c r="B3357" s="70">
        <v>42942</v>
      </c>
      <c r="C3357" s="69">
        <v>-70</v>
      </c>
      <c r="D3357" s="69">
        <v>4</v>
      </c>
      <c r="E3357" s="69">
        <v>18.2</v>
      </c>
      <c r="F3357" s="69">
        <v>6.64</v>
      </c>
      <c r="G3357" s="69" t="s">
        <v>27</v>
      </c>
      <c r="H3357" s="69" t="str">
        <f>IFERROR(VLOOKUP(Data!$G3357,canon!$I$2:$K$27,2,FALSE),"")</f>
        <v>ACCESSORY</v>
      </c>
      <c r="I3357" s="69" t="str">
        <f>IFERROR(VLOOKUP(Data!$G3357,canon!$I$2:$K$27,3,FALSE),"")</f>
        <v>N.APPAREL</v>
      </c>
      <c r="J3357" s="69">
        <f t="shared" si="104"/>
        <v>4</v>
      </c>
      <c r="K3357" s="69">
        <f t="shared" si="105"/>
        <v>201</v>
      </c>
      <c r="L3357" s="69">
        <f>VLOOKUP(Table_db1_backend_Daily.accdb[[#This Row],[TradingDate]],canon!B:E,4,0)</f>
        <v>30</v>
      </c>
    </row>
    <row r="3358" spans="1:12" x14ac:dyDescent="0.2">
      <c r="A3358" s="69" t="s">
        <v>46</v>
      </c>
      <c r="B3358" s="70">
        <v>42942</v>
      </c>
      <c r="C3358" s="69">
        <v>-189</v>
      </c>
      <c r="D3358" s="69">
        <v>0</v>
      </c>
      <c r="E3358" s="69">
        <v>0</v>
      </c>
      <c r="F3358" s="69">
        <v>0</v>
      </c>
      <c r="G3358" s="69" t="s">
        <v>34</v>
      </c>
      <c r="H3358" s="69" t="str">
        <f>IFERROR(VLOOKUP(Data!$G3358,canon!$I$2:$K$27,2,FALSE),"")</f>
        <v>SHOES</v>
      </c>
      <c r="I3358" s="69" t="str">
        <f>IFERROR(VLOOKUP(Data!$G3358,canon!$I$2:$K$27,3,FALSE),"")</f>
        <v>N.APPAREL</v>
      </c>
      <c r="J3358" s="69">
        <f t="shared" si="104"/>
        <v>4</v>
      </c>
      <c r="K3358" s="69">
        <f t="shared" si="105"/>
        <v>201</v>
      </c>
      <c r="L3358" s="69">
        <f>VLOOKUP(Table_db1_backend_Daily.accdb[[#This Row],[TradingDate]],canon!B:E,4,0)</f>
        <v>30</v>
      </c>
    </row>
    <row r="3359" spans="1:12" x14ac:dyDescent="0.2">
      <c r="A3359" s="69" t="s">
        <v>46</v>
      </c>
      <c r="B3359" s="70">
        <v>42942</v>
      </c>
      <c r="C3359" s="69">
        <v>-36</v>
      </c>
      <c r="D3359" s="69">
        <v>0</v>
      </c>
      <c r="E3359" s="69">
        <v>0</v>
      </c>
      <c r="F3359" s="69">
        <v>0</v>
      </c>
      <c r="G3359" s="69" t="s">
        <v>38</v>
      </c>
      <c r="H3359" s="69" t="str">
        <f>IFERROR(VLOOKUP(Data!$G3359,canon!$I$2:$K$27,2,FALSE),"")</f>
        <v>SHOES</v>
      </c>
      <c r="I3359" s="69" t="str">
        <f>IFERROR(VLOOKUP(Data!$G3359,canon!$I$2:$K$27,3,FALSE),"")</f>
        <v>N.APPAREL</v>
      </c>
      <c r="J3359" s="69">
        <f t="shared" si="104"/>
        <v>4</v>
      </c>
      <c r="K3359" s="69">
        <f t="shared" si="105"/>
        <v>201</v>
      </c>
      <c r="L3359" s="69">
        <f>VLOOKUP(Table_db1_backend_Daily.accdb[[#This Row],[TradingDate]],canon!B:E,4,0)</f>
        <v>30</v>
      </c>
    </row>
    <row r="3360" spans="1:12" x14ac:dyDescent="0.2">
      <c r="A3360" s="69" t="s">
        <v>46</v>
      </c>
      <c r="B3360" s="70">
        <v>42942</v>
      </c>
      <c r="C3360" s="69">
        <v>420</v>
      </c>
      <c r="D3360" s="69">
        <v>5</v>
      </c>
      <c r="E3360" s="69">
        <v>59.040000000000006</v>
      </c>
      <c r="F3360" s="69">
        <v>19.48</v>
      </c>
      <c r="G3360" s="69" t="s">
        <v>35</v>
      </c>
      <c r="H3360" s="69" t="str">
        <f>IFERROR(VLOOKUP(Data!$G3360,canon!$I$2:$K$27,2,FALSE),"")</f>
        <v>DRESS</v>
      </c>
      <c r="I3360" s="69" t="str">
        <f>IFERROR(VLOOKUP(Data!$G3360,canon!$I$2:$K$27,3,FALSE),"")</f>
        <v>APPAREL</v>
      </c>
      <c r="J3360" s="69">
        <f t="shared" si="104"/>
        <v>4</v>
      </c>
      <c r="K3360" s="69">
        <f t="shared" si="105"/>
        <v>201</v>
      </c>
      <c r="L3360" s="69">
        <f>VLOOKUP(Table_db1_backend_Daily.accdb[[#This Row],[TradingDate]],canon!B:E,4,0)</f>
        <v>30</v>
      </c>
    </row>
    <row r="3361" spans="1:12" x14ac:dyDescent="0.2">
      <c r="A3361" s="69" t="s">
        <v>46</v>
      </c>
      <c r="B3361" s="70">
        <v>42942</v>
      </c>
      <c r="C3361" s="69">
        <v>42</v>
      </c>
      <c r="D3361" s="69">
        <v>0</v>
      </c>
      <c r="E3361" s="69">
        <v>0</v>
      </c>
      <c r="F3361" s="69">
        <v>0</v>
      </c>
      <c r="G3361" s="69" t="s">
        <v>10</v>
      </c>
      <c r="H3361" s="69" t="str">
        <f>IFERROR(VLOOKUP(Data!$G3361,canon!$I$2:$K$27,2,FALSE),"")</f>
        <v>ACCESSORY</v>
      </c>
      <c r="I3361" s="69" t="str">
        <f>IFERROR(VLOOKUP(Data!$G3361,canon!$I$2:$K$27,3,FALSE),"")</f>
        <v>N.APPAREL</v>
      </c>
      <c r="J3361" s="69">
        <f t="shared" si="104"/>
        <v>4</v>
      </c>
      <c r="K3361" s="69">
        <f t="shared" si="105"/>
        <v>201</v>
      </c>
      <c r="L3361" s="69">
        <f>VLOOKUP(Table_db1_backend_Daily.accdb[[#This Row],[TradingDate]],canon!B:E,4,0)</f>
        <v>30</v>
      </c>
    </row>
    <row r="3362" spans="1:12" x14ac:dyDescent="0.2">
      <c r="A3362" s="69" t="s">
        <v>46</v>
      </c>
      <c r="B3362" s="70">
        <v>42942</v>
      </c>
      <c r="C3362" s="69">
        <v>1934</v>
      </c>
      <c r="D3362" s="69">
        <v>50</v>
      </c>
      <c r="E3362" s="69">
        <v>608.28999999999985</v>
      </c>
      <c r="F3362" s="69">
        <v>216.99</v>
      </c>
      <c r="G3362" s="69" t="s">
        <v>11</v>
      </c>
      <c r="H3362" s="69" t="str">
        <f>IFERROR(VLOOKUP(Data!$G3362,canon!$I$2:$K$27,2,FALSE),"")</f>
        <v>KNIT</v>
      </c>
      <c r="I3362" s="69" t="str">
        <f>IFERROR(VLOOKUP(Data!$G3362,canon!$I$2:$K$27,3,FALSE),"")</f>
        <v>APPAREL</v>
      </c>
      <c r="J3362" s="69">
        <f t="shared" si="104"/>
        <v>4</v>
      </c>
      <c r="K3362" s="69">
        <f t="shared" si="105"/>
        <v>201</v>
      </c>
      <c r="L3362" s="69">
        <f>VLOOKUP(Table_db1_backend_Daily.accdb[[#This Row],[TradingDate]],canon!B:E,4,0)</f>
        <v>30</v>
      </c>
    </row>
    <row r="3363" spans="1:12" x14ac:dyDescent="0.2">
      <c r="A3363" s="69" t="s">
        <v>46</v>
      </c>
      <c r="B3363" s="70">
        <v>42942</v>
      </c>
      <c r="C3363" s="69">
        <v>351</v>
      </c>
      <c r="D3363" s="69">
        <v>3</v>
      </c>
      <c r="E3363" s="69">
        <v>36.370000000000005</v>
      </c>
      <c r="F3363" s="69">
        <v>18.770000000000003</v>
      </c>
      <c r="G3363" s="69" t="s">
        <v>14</v>
      </c>
      <c r="H3363" s="69" t="str">
        <f>IFERROR(VLOOKUP(Data!$G3363,canon!$I$2:$K$27,2,FALSE),"")</f>
        <v>LEGGING</v>
      </c>
      <c r="I3363" s="69" t="str">
        <f>IFERROR(VLOOKUP(Data!$G3363,canon!$I$2:$K$27,3,FALSE),"")</f>
        <v>APPAREL</v>
      </c>
      <c r="J3363" s="69">
        <f t="shared" si="104"/>
        <v>4</v>
      </c>
      <c r="K3363" s="69">
        <f t="shared" si="105"/>
        <v>201</v>
      </c>
      <c r="L3363" s="69">
        <f>VLOOKUP(Table_db1_backend_Daily.accdb[[#This Row],[TradingDate]],canon!B:E,4,0)</f>
        <v>30</v>
      </c>
    </row>
    <row r="3364" spans="1:12" x14ac:dyDescent="0.2">
      <c r="A3364" s="69" t="s">
        <v>46</v>
      </c>
      <c r="B3364" s="70">
        <v>42942</v>
      </c>
      <c r="C3364" s="69">
        <v>-4</v>
      </c>
      <c r="D3364" s="69">
        <v>0</v>
      </c>
      <c r="E3364" s="69">
        <v>0</v>
      </c>
      <c r="F3364" s="69">
        <v>0</v>
      </c>
      <c r="G3364" s="69" t="s">
        <v>37</v>
      </c>
      <c r="H3364" s="69" t="str">
        <f>IFERROR(VLOOKUP(Data!$G3364,canon!$I$2:$K$27,2,FALSE),"")</f>
        <v>SHOES</v>
      </c>
      <c r="I3364" s="69" t="str">
        <f>IFERROR(VLOOKUP(Data!$G3364,canon!$I$2:$K$27,3,FALSE),"")</f>
        <v>N.APPAREL</v>
      </c>
      <c r="J3364" s="69">
        <f t="shared" si="104"/>
        <v>4</v>
      </c>
      <c r="K3364" s="69">
        <f t="shared" si="105"/>
        <v>201</v>
      </c>
      <c r="L3364" s="69">
        <f>VLOOKUP(Table_db1_backend_Daily.accdb[[#This Row],[TradingDate]],canon!B:E,4,0)</f>
        <v>30</v>
      </c>
    </row>
    <row r="3365" spans="1:12" x14ac:dyDescent="0.2">
      <c r="A3365" s="69" t="s">
        <v>46</v>
      </c>
      <c r="B3365" s="70">
        <v>42942</v>
      </c>
      <c r="C3365" s="69">
        <v>-35</v>
      </c>
      <c r="D3365" s="69">
        <v>0</v>
      </c>
      <c r="E3365" s="69">
        <v>0</v>
      </c>
      <c r="F3365" s="69">
        <v>0</v>
      </c>
      <c r="G3365" s="69" t="s">
        <v>29</v>
      </c>
      <c r="H3365" s="69" t="str">
        <f>IFERROR(VLOOKUP(Data!$G3365,canon!$I$2:$K$27,2,FALSE),"")</f>
        <v>SHOES</v>
      </c>
      <c r="I3365" s="69" t="str">
        <f>IFERROR(VLOOKUP(Data!$G3365,canon!$I$2:$K$27,3,FALSE),"")</f>
        <v>N.APPAREL</v>
      </c>
      <c r="J3365" s="69">
        <f t="shared" si="104"/>
        <v>4</v>
      </c>
      <c r="K3365" s="69">
        <f t="shared" si="105"/>
        <v>201</v>
      </c>
      <c r="L3365" s="69">
        <f>VLOOKUP(Table_db1_backend_Daily.accdb[[#This Row],[TradingDate]],canon!B:E,4,0)</f>
        <v>30</v>
      </c>
    </row>
    <row r="3366" spans="1:12" x14ac:dyDescent="0.2">
      <c r="A3366" s="69" t="s">
        <v>46</v>
      </c>
      <c r="B3366" s="70">
        <v>42942</v>
      </c>
      <c r="C3366" s="69">
        <v>437</v>
      </c>
      <c r="D3366" s="69">
        <v>13</v>
      </c>
      <c r="E3366" s="69">
        <v>181.79</v>
      </c>
      <c r="F3366" s="69">
        <v>70.25</v>
      </c>
      <c r="G3366" s="69" t="s">
        <v>17</v>
      </c>
      <c r="H3366" s="69" t="str">
        <f>IFERROR(VLOOKUP(Data!$G3366,canon!$I$2:$K$27,2,FALSE),"")</f>
        <v>OUTER</v>
      </c>
      <c r="I3366" s="69" t="str">
        <f>IFERROR(VLOOKUP(Data!$G3366,canon!$I$2:$K$27,3,FALSE),"")</f>
        <v>APPAREL</v>
      </c>
      <c r="J3366" s="69">
        <f t="shared" si="104"/>
        <v>4</v>
      </c>
      <c r="K3366" s="69">
        <f t="shared" si="105"/>
        <v>201</v>
      </c>
      <c r="L3366" s="69">
        <f>VLOOKUP(Table_db1_backend_Daily.accdb[[#This Row],[TradingDate]],canon!B:E,4,0)</f>
        <v>30</v>
      </c>
    </row>
    <row r="3367" spans="1:12" x14ac:dyDescent="0.2">
      <c r="A3367" s="69" t="s">
        <v>46</v>
      </c>
      <c r="B3367" s="70">
        <v>42942</v>
      </c>
      <c r="C3367" s="69">
        <v>367</v>
      </c>
      <c r="D3367" s="69">
        <v>0</v>
      </c>
      <c r="E3367" s="69">
        <v>0</v>
      </c>
      <c r="F3367" s="69">
        <v>0</v>
      </c>
      <c r="G3367" s="69" t="s">
        <v>19</v>
      </c>
      <c r="H3367" s="69" t="str">
        <f>IFERROR(VLOOKUP(Data!$G3367,canon!$I$2:$K$27,2,FALSE),"")</f>
        <v>PANT</v>
      </c>
      <c r="I3367" s="69" t="str">
        <f>IFERROR(VLOOKUP(Data!$G3367,canon!$I$2:$K$27,3,FALSE),"")</f>
        <v>APPAREL</v>
      </c>
      <c r="J3367" s="69">
        <f t="shared" si="104"/>
        <v>4</v>
      </c>
      <c r="K3367" s="69">
        <f t="shared" si="105"/>
        <v>201</v>
      </c>
      <c r="L3367" s="69">
        <f>VLOOKUP(Table_db1_backend_Daily.accdb[[#This Row],[TradingDate]],canon!B:E,4,0)</f>
        <v>30</v>
      </c>
    </row>
    <row r="3368" spans="1:12" x14ac:dyDescent="0.2">
      <c r="A3368" s="69" t="s">
        <v>46</v>
      </c>
      <c r="B3368" s="70">
        <v>42942</v>
      </c>
      <c r="C3368" s="69">
        <v>236</v>
      </c>
      <c r="D3368" s="69">
        <v>5</v>
      </c>
      <c r="E3368" s="69">
        <v>22.72</v>
      </c>
      <c r="F3368" s="69">
        <v>13.809999999999999</v>
      </c>
      <c r="G3368" s="69" t="s">
        <v>22</v>
      </c>
      <c r="H3368" s="69" t="str">
        <f>IFERROR(VLOOKUP(Data!$G3368,canon!$I$2:$K$27,2,FALSE),"")</f>
        <v>SCARF</v>
      </c>
      <c r="I3368" s="69" t="str">
        <f>IFERROR(VLOOKUP(Data!$G3368,canon!$I$2:$K$27,3,FALSE),"")</f>
        <v>N.APPAREL</v>
      </c>
      <c r="J3368" s="69">
        <f t="shared" si="104"/>
        <v>4</v>
      </c>
      <c r="K3368" s="69">
        <f t="shared" si="105"/>
        <v>201</v>
      </c>
      <c r="L3368" s="69">
        <f>VLOOKUP(Table_db1_backend_Daily.accdb[[#This Row],[TradingDate]],canon!B:E,4,0)</f>
        <v>30</v>
      </c>
    </row>
    <row r="3369" spans="1:12" x14ac:dyDescent="0.2">
      <c r="A3369" s="69" t="s">
        <v>46</v>
      </c>
      <c r="B3369" s="70">
        <v>42942</v>
      </c>
      <c r="C3369" s="69">
        <v>235</v>
      </c>
      <c r="D3369" s="69">
        <v>1</v>
      </c>
      <c r="E3369" s="69">
        <v>18.18</v>
      </c>
      <c r="F3369" s="69">
        <v>10.35</v>
      </c>
      <c r="G3369" s="69" t="s">
        <v>23</v>
      </c>
      <c r="H3369" s="69" t="str">
        <f>IFERROR(VLOOKUP(Data!$G3369,canon!$I$2:$K$27,2,FALSE),"")</f>
        <v>SH&amp;BL</v>
      </c>
      <c r="I3369" s="69" t="str">
        <f>IFERROR(VLOOKUP(Data!$G3369,canon!$I$2:$K$27,3,FALSE),"")</f>
        <v>APPAREL</v>
      </c>
      <c r="J3369" s="69">
        <f t="shared" si="104"/>
        <v>4</v>
      </c>
      <c r="K3369" s="69">
        <f t="shared" si="105"/>
        <v>201</v>
      </c>
      <c r="L3369" s="69">
        <f>VLOOKUP(Table_db1_backend_Daily.accdb[[#This Row],[TradingDate]],canon!B:E,4,0)</f>
        <v>30</v>
      </c>
    </row>
    <row r="3370" spans="1:12" x14ac:dyDescent="0.2">
      <c r="A3370" s="69" t="s">
        <v>46</v>
      </c>
      <c r="B3370" s="70">
        <v>42942</v>
      </c>
      <c r="C3370" s="69">
        <v>309</v>
      </c>
      <c r="D3370" s="69">
        <v>0</v>
      </c>
      <c r="E3370" s="69">
        <v>0</v>
      </c>
      <c r="F3370" s="69">
        <v>0</v>
      </c>
      <c r="G3370" s="69" t="s">
        <v>32</v>
      </c>
      <c r="H3370" s="69" t="str">
        <f>IFERROR(VLOOKUP(Data!$G3370,canon!$I$2:$K$27,2,FALSE),"")</f>
        <v>SKIRT</v>
      </c>
      <c r="I3370" s="69" t="str">
        <f>IFERROR(VLOOKUP(Data!$G3370,canon!$I$2:$K$27,3,FALSE),"")</f>
        <v>APPAREL</v>
      </c>
      <c r="J3370" s="69">
        <f t="shared" si="104"/>
        <v>4</v>
      </c>
      <c r="K3370" s="69">
        <f t="shared" si="105"/>
        <v>201</v>
      </c>
      <c r="L3370" s="69">
        <f>VLOOKUP(Table_db1_backend_Daily.accdb[[#This Row],[TradingDate]],canon!B:E,4,0)</f>
        <v>30</v>
      </c>
    </row>
    <row r="3371" spans="1:12" x14ac:dyDescent="0.2">
      <c r="A3371" s="69" t="s">
        <v>46</v>
      </c>
      <c r="B3371" s="70">
        <v>42942</v>
      </c>
      <c r="C3371" s="69">
        <v>1354</v>
      </c>
      <c r="D3371" s="69">
        <v>36</v>
      </c>
      <c r="E3371" s="69">
        <v>209.16</v>
      </c>
      <c r="F3371" s="69">
        <v>28.53</v>
      </c>
      <c r="G3371" s="69" t="s">
        <v>25</v>
      </c>
      <c r="H3371" s="69" t="str">
        <f>IFERROR(VLOOKUP(Data!$G3371,canon!$I$2:$K$27,2,FALSE),"")</f>
        <v>TOP</v>
      </c>
      <c r="I3371" s="69" t="str">
        <f>IFERROR(VLOOKUP(Data!$G3371,canon!$I$2:$K$27,3,FALSE),"")</f>
        <v>APPAREL</v>
      </c>
      <c r="J3371" s="69">
        <f t="shared" si="104"/>
        <v>4</v>
      </c>
      <c r="K3371" s="69">
        <f t="shared" si="105"/>
        <v>201</v>
      </c>
      <c r="L3371" s="69">
        <f>VLOOKUP(Table_db1_backend_Daily.accdb[[#This Row],[TradingDate]],canon!B:E,4,0)</f>
        <v>30</v>
      </c>
    </row>
    <row r="3372" spans="1:12" x14ac:dyDescent="0.2">
      <c r="A3372" s="69" t="s">
        <v>46</v>
      </c>
      <c r="B3372" s="70">
        <v>42943</v>
      </c>
      <c r="C3372" s="69">
        <v>-70</v>
      </c>
      <c r="D3372" s="69">
        <v>0</v>
      </c>
      <c r="E3372" s="69">
        <v>0</v>
      </c>
      <c r="F3372" s="69">
        <v>0</v>
      </c>
      <c r="G3372" s="69" t="s">
        <v>27</v>
      </c>
      <c r="H3372" s="69" t="str">
        <f>IFERROR(VLOOKUP(Data!$G3372,canon!$I$2:$K$27,2,FALSE),"")</f>
        <v>ACCESSORY</v>
      </c>
      <c r="I3372" s="69" t="str">
        <f>IFERROR(VLOOKUP(Data!$G3372,canon!$I$2:$K$27,3,FALSE),"")</f>
        <v>N.APPAREL</v>
      </c>
      <c r="J3372" s="69">
        <f t="shared" si="104"/>
        <v>5</v>
      </c>
      <c r="K3372" s="69">
        <f t="shared" si="105"/>
        <v>201</v>
      </c>
      <c r="L3372" s="69">
        <f>VLOOKUP(Table_db1_backend_Daily.accdb[[#This Row],[TradingDate]],canon!B:E,4,0)</f>
        <v>30</v>
      </c>
    </row>
    <row r="3373" spans="1:12" x14ac:dyDescent="0.2">
      <c r="A3373" s="69" t="s">
        <v>46</v>
      </c>
      <c r="B3373" s="70">
        <v>42943</v>
      </c>
      <c r="C3373" s="69">
        <v>-189</v>
      </c>
      <c r="D3373" s="69">
        <v>0</v>
      </c>
      <c r="E3373" s="69">
        <v>0</v>
      </c>
      <c r="F3373" s="69">
        <v>0</v>
      </c>
      <c r="G3373" s="69" t="s">
        <v>34</v>
      </c>
      <c r="H3373" s="69" t="str">
        <f>IFERROR(VLOOKUP(Data!$G3373,canon!$I$2:$K$27,2,FALSE),"")</f>
        <v>SHOES</v>
      </c>
      <c r="I3373" s="69" t="str">
        <f>IFERROR(VLOOKUP(Data!$G3373,canon!$I$2:$K$27,3,FALSE),"")</f>
        <v>N.APPAREL</v>
      </c>
      <c r="J3373" s="69">
        <f t="shared" si="104"/>
        <v>5</v>
      </c>
      <c r="K3373" s="69">
        <f t="shared" si="105"/>
        <v>201</v>
      </c>
      <c r="L3373" s="69">
        <f>VLOOKUP(Table_db1_backend_Daily.accdb[[#This Row],[TradingDate]],canon!B:E,4,0)</f>
        <v>30</v>
      </c>
    </row>
    <row r="3374" spans="1:12" x14ac:dyDescent="0.2">
      <c r="A3374" s="69" t="s">
        <v>46</v>
      </c>
      <c r="B3374" s="70">
        <v>42943</v>
      </c>
      <c r="C3374" s="69">
        <v>-36</v>
      </c>
      <c r="D3374" s="69">
        <v>0</v>
      </c>
      <c r="E3374" s="69">
        <v>0</v>
      </c>
      <c r="F3374" s="69">
        <v>0</v>
      </c>
      <c r="G3374" s="69" t="s">
        <v>38</v>
      </c>
      <c r="H3374" s="69" t="str">
        <f>IFERROR(VLOOKUP(Data!$G3374,canon!$I$2:$K$27,2,FALSE),"")</f>
        <v>SHOES</v>
      </c>
      <c r="I3374" s="69" t="str">
        <f>IFERROR(VLOOKUP(Data!$G3374,canon!$I$2:$K$27,3,FALSE),"")</f>
        <v>N.APPAREL</v>
      </c>
      <c r="J3374" s="69">
        <f t="shared" si="104"/>
        <v>5</v>
      </c>
      <c r="K3374" s="69">
        <f t="shared" si="105"/>
        <v>201</v>
      </c>
      <c r="L3374" s="69">
        <f>VLOOKUP(Table_db1_backend_Daily.accdb[[#This Row],[TradingDate]],canon!B:E,4,0)</f>
        <v>30</v>
      </c>
    </row>
    <row r="3375" spans="1:12" x14ac:dyDescent="0.2">
      <c r="A3375" s="69" t="s">
        <v>46</v>
      </c>
      <c r="B3375" s="70">
        <v>42943</v>
      </c>
      <c r="C3375" s="69">
        <v>409</v>
      </c>
      <c r="D3375" s="69">
        <v>11</v>
      </c>
      <c r="E3375" s="69">
        <v>158.98000000000002</v>
      </c>
      <c r="F3375" s="69">
        <v>66.8</v>
      </c>
      <c r="G3375" s="69" t="s">
        <v>35</v>
      </c>
      <c r="H3375" s="69" t="str">
        <f>IFERROR(VLOOKUP(Data!$G3375,canon!$I$2:$K$27,2,FALSE),"")</f>
        <v>DRESS</v>
      </c>
      <c r="I3375" s="69" t="str">
        <f>IFERROR(VLOOKUP(Data!$G3375,canon!$I$2:$K$27,3,FALSE),"")</f>
        <v>APPAREL</v>
      </c>
      <c r="J3375" s="69">
        <f t="shared" si="104"/>
        <v>5</v>
      </c>
      <c r="K3375" s="69">
        <f t="shared" si="105"/>
        <v>201</v>
      </c>
      <c r="L3375" s="69">
        <f>VLOOKUP(Table_db1_backend_Daily.accdb[[#This Row],[TradingDate]],canon!B:E,4,0)</f>
        <v>30</v>
      </c>
    </row>
    <row r="3376" spans="1:12" x14ac:dyDescent="0.2">
      <c r="A3376" s="69" t="s">
        <v>46</v>
      </c>
      <c r="B3376" s="70">
        <v>42943</v>
      </c>
      <c r="C3376" s="69">
        <v>42</v>
      </c>
      <c r="D3376" s="69">
        <v>0</v>
      </c>
      <c r="E3376" s="69">
        <v>0</v>
      </c>
      <c r="F3376" s="69">
        <v>0</v>
      </c>
      <c r="G3376" s="69" t="s">
        <v>10</v>
      </c>
      <c r="H3376" s="69" t="str">
        <f>IFERROR(VLOOKUP(Data!$G3376,canon!$I$2:$K$27,2,FALSE),"")</f>
        <v>ACCESSORY</v>
      </c>
      <c r="I3376" s="69" t="str">
        <f>IFERROR(VLOOKUP(Data!$G3376,canon!$I$2:$K$27,3,FALSE),"")</f>
        <v>N.APPAREL</v>
      </c>
      <c r="J3376" s="69">
        <f t="shared" si="104"/>
        <v>5</v>
      </c>
      <c r="K3376" s="69">
        <f t="shared" si="105"/>
        <v>201</v>
      </c>
      <c r="L3376" s="69">
        <f>VLOOKUP(Table_db1_backend_Daily.accdb[[#This Row],[TradingDate]],canon!B:E,4,0)</f>
        <v>30</v>
      </c>
    </row>
    <row r="3377" spans="1:12" x14ac:dyDescent="0.2">
      <c r="A3377" s="69" t="s">
        <v>46</v>
      </c>
      <c r="B3377" s="70">
        <v>42943</v>
      </c>
      <c r="C3377" s="69">
        <v>1841</v>
      </c>
      <c r="D3377" s="69">
        <v>93</v>
      </c>
      <c r="E3377" s="69">
        <v>781.36999999999989</v>
      </c>
      <c r="F3377" s="69">
        <v>69.149999999999991</v>
      </c>
      <c r="G3377" s="69" t="s">
        <v>11</v>
      </c>
      <c r="H3377" s="69" t="str">
        <f>IFERROR(VLOOKUP(Data!$G3377,canon!$I$2:$K$27,2,FALSE),"")</f>
        <v>KNIT</v>
      </c>
      <c r="I3377" s="69" t="str">
        <f>IFERROR(VLOOKUP(Data!$G3377,canon!$I$2:$K$27,3,FALSE),"")</f>
        <v>APPAREL</v>
      </c>
      <c r="J3377" s="69">
        <f t="shared" si="104"/>
        <v>5</v>
      </c>
      <c r="K3377" s="69">
        <f t="shared" si="105"/>
        <v>201</v>
      </c>
      <c r="L3377" s="69">
        <f>VLOOKUP(Table_db1_backend_Daily.accdb[[#This Row],[TradingDate]],canon!B:E,4,0)</f>
        <v>30</v>
      </c>
    </row>
    <row r="3378" spans="1:12" x14ac:dyDescent="0.2">
      <c r="A3378" s="69" t="s">
        <v>46</v>
      </c>
      <c r="B3378" s="70">
        <v>42943</v>
      </c>
      <c r="C3378" s="69">
        <v>350</v>
      </c>
      <c r="D3378" s="69">
        <v>1</v>
      </c>
      <c r="E3378" s="69">
        <v>9.09</v>
      </c>
      <c r="F3378" s="69">
        <v>1.92</v>
      </c>
      <c r="G3378" s="69" t="s">
        <v>14</v>
      </c>
      <c r="H3378" s="69" t="str">
        <f>IFERROR(VLOOKUP(Data!$G3378,canon!$I$2:$K$27,2,FALSE),"")</f>
        <v>LEGGING</v>
      </c>
      <c r="I3378" s="69" t="str">
        <f>IFERROR(VLOOKUP(Data!$G3378,canon!$I$2:$K$27,3,FALSE),"")</f>
        <v>APPAREL</v>
      </c>
      <c r="J3378" s="69">
        <f t="shared" si="104"/>
        <v>5</v>
      </c>
      <c r="K3378" s="69">
        <f t="shared" si="105"/>
        <v>201</v>
      </c>
      <c r="L3378" s="69">
        <f>VLOOKUP(Table_db1_backend_Daily.accdb[[#This Row],[TradingDate]],canon!B:E,4,0)</f>
        <v>30</v>
      </c>
    </row>
    <row r="3379" spans="1:12" x14ac:dyDescent="0.2">
      <c r="A3379" s="69" t="s">
        <v>46</v>
      </c>
      <c r="B3379" s="70">
        <v>42943</v>
      </c>
      <c r="C3379" s="69">
        <v>-4</v>
      </c>
      <c r="D3379" s="69">
        <v>0</v>
      </c>
      <c r="E3379" s="69">
        <v>0</v>
      </c>
      <c r="F3379" s="69">
        <v>0</v>
      </c>
      <c r="G3379" s="69" t="s">
        <v>37</v>
      </c>
      <c r="H3379" s="69" t="str">
        <f>IFERROR(VLOOKUP(Data!$G3379,canon!$I$2:$K$27,2,FALSE),"")</f>
        <v>SHOES</v>
      </c>
      <c r="I3379" s="69" t="str">
        <f>IFERROR(VLOOKUP(Data!$G3379,canon!$I$2:$K$27,3,FALSE),"")</f>
        <v>N.APPAREL</v>
      </c>
      <c r="J3379" s="69">
        <f t="shared" si="104"/>
        <v>5</v>
      </c>
      <c r="K3379" s="69">
        <f t="shared" si="105"/>
        <v>201</v>
      </c>
      <c r="L3379" s="69">
        <f>VLOOKUP(Table_db1_backend_Daily.accdb[[#This Row],[TradingDate]],canon!B:E,4,0)</f>
        <v>30</v>
      </c>
    </row>
    <row r="3380" spans="1:12" x14ac:dyDescent="0.2">
      <c r="A3380" s="69" t="s">
        <v>46</v>
      </c>
      <c r="B3380" s="70">
        <v>42943</v>
      </c>
      <c r="C3380" s="69">
        <v>-35</v>
      </c>
      <c r="D3380" s="69">
        <v>0</v>
      </c>
      <c r="E3380" s="69">
        <v>0</v>
      </c>
      <c r="F3380" s="69">
        <v>0</v>
      </c>
      <c r="G3380" s="69" t="s">
        <v>29</v>
      </c>
      <c r="H3380" s="69" t="str">
        <f>IFERROR(VLOOKUP(Data!$G3380,canon!$I$2:$K$27,2,FALSE),"")</f>
        <v>SHOES</v>
      </c>
      <c r="I3380" s="69" t="str">
        <f>IFERROR(VLOOKUP(Data!$G3380,canon!$I$2:$K$27,3,FALSE),"")</f>
        <v>N.APPAREL</v>
      </c>
      <c r="J3380" s="69">
        <f t="shared" si="104"/>
        <v>5</v>
      </c>
      <c r="K3380" s="69">
        <f t="shared" si="105"/>
        <v>201</v>
      </c>
      <c r="L3380" s="69">
        <f>VLOOKUP(Table_db1_backend_Daily.accdb[[#This Row],[TradingDate]],canon!B:E,4,0)</f>
        <v>30</v>
      </c>
    </row>
    <row r="3381" spans="1:12" x14ac:dyDescent="0.2">
      <c r="A3381" s="69" t="s">
        <v>46</v>
      </c>
      <c r="B3381" s="70">
        <v>42943</v>
      </c>
      <c r="C3381" s="69">
        <v>432</v>
      </c>
      <c r="D3381" s="69">
        <v>5</v>
      </c>
      <c r="E3381" s="69">
        <v>86.31</v>
      </c>
      <c r="F3381" s="69">
        <v>35.61</v>
      </c>
      <c r="G3381" s="69" t="s">
        <v>17</v>
      </c>
      <c r="H3381" s="69" t="str">
        <f>IFERROR(VLOOKUP(Data!$G3381,canon!$I$2:$K$27,2,FALSE),"")</f>
        <v>OUTER</v>
      </c>
      <c r="I3381" s="69" t="str">
        <f>IFERROR(VLOOKUP(Data!$G3381,canon!$I$2:$K$27,3,FALSE),"")</f>
        <v>APPAREL</v>
      </c>
      <c r="J3381" s="69">
        <f t="shared" si="104"/>
        <v>5</v>
      </c>
      <c r="K3381" s="69">
        <f t="shared" si="105"/>
        <v>201</v>
      </c>
      <c r="L3381" s="69">
        <f>VLOOKUP(Table_db1_backend_Daily.accdb[[#This Row],[TradingDate]],canon!B:E,4,0)</f>
        <v>30</v>
      </c>
    </row>
    <row r="3382" spans="1:12" x14ac:dyDescent="0.2">
      <c r="A3382" s="69" t="s">
        <v>46</v>
      </c>
      <c r="B3382" s="70">
        <v>42943</v>
      </c>
      <c r="C3382" s="69">
        <v>364</v>
      </c>
      <c r="D3382" s="69">
        <v>3</v>
      </c>
      <c r="E3382" s="69">
        <v>27.27</v>
      </c>
      <c r="F3382" s="69">
        <v>11.73</v>
      </c>
      <c r="G3382" s="69" t="s">
        <v>19</v>
      </c>
      <c r="H3382" s="69" t="str">
        <f>IFERROR(VLOOKUP(Data!$G3382,canon!$I$2:$K$27,2,FALSE),"")</f>
        <v>PANT</v>
      </c>
      <c r="I3382" s="69" t="str">
        <f>IFERROR(VLOOKUP(Data!$G3382,canon!$I$2:$K$27,3,FALSE),"")</f>
        <v>APPAREL</v>
      </c>
      <c r="J3382" s="69">
        <f t="shared" si="104"/>
        <v>5</v>
      </c>
      <c r="K3382" s="69">
        <f t="shared" si="105"/>
        <v>201</v>
      </c>
      <c r="L3382" s="69">
        <f>VLOOKUP(Table_db1_backend_Daily.accdb[[#This Row],[TradingDate]],canon!B:E,4,0)</f>
        <v>30</v>
      </c>
    </row>
    <row r="3383" spans="1:12" x14ac:dyDescent="0.2">
      <c r="A3383" s="69" t="s">
        <v>46</v>
      </c>
      <c r="B3383" s="70">
        <v>42943</v>
      </c>
      <c r="C3383" s="69">
        <v>217</v>
      </c>
      <c r="D3383" s="69">
        <v>19</v>
      </c>
      <c r="E3383" s="69">
        <v>86.38</v>
      </c>
      <c r="F3383" s="69">
        <v>56.32</v>
      </c>
      <c r="G3383" s="69" t="s">
        <v>22</v>
      </c>
      <c r="H3383" s="69" t="str">
        <f>IFERROR(VLOOKUP(Data!$G3383,canon!$I$2:$K$27,2,FALSE),"")</f>
        <v>SCARF</v>
      </c>
      <c r="I3383" s="69" t="str">
        <f>IFERROR(VLOOKUP(Data!$G3383,canon!$I$2:$K$27,3,FALSE),"")</f>
        <v>N.APPAREL</v>
      </c>
      <c r="J3383" s="69">
        <f t="shared" si="104"/>
        <v>5</v>
      </c>
      <c r="K3383" s="69">
        <f t="shared" si="105"/>
        <v>201</v>
      </c>
      <c r="L3383" s="69">
        <f>VLOOKUP(Table_db1_backend_Daily.accdb[[#This Row],[TradingDate]],canon!B:E,4,0)</f>
        <v>30</v>
      </c>
    </row>
    <row r="3384" spans="1:12" x14ac:dyDescent="0.2">
      <c r="A3384" s="69" t="s">
        <v>46</v>
      </c>
      <c r="B3384" s="70">
        <v>42943</v>
      </c>
      <c r="C3384" s="69">
        <v>235</v>
      </c>
      <c r="D3384" s="69">
        <v>0</v>
      </c>
      <c r="E3384" s="69">
        <v>-0.01</v>
      </c>
      <c r="F3384" s="69">
        <v>-0.01</v>
      </c>
      <c r="G3384" s="69" t="s">
        <v>23</v>
      </c>
      <c r="H3384" s="69" t="str">
        <f>IFERROR(VLOOKUP(Data!$G3384,canon!$I$2:$K$27,2,FALSE),"")</f>
        <v>SH&amp;BL</v>
      </c>
      <c r="I3384" s="69" t="str">
        <f>IFERROR(VLOOKUP(Data!$G3384,canon!$I$2:$K$27,3,FALSE),"")</f>
        <v>APPAREL</v>
      </c>
      <c r="J3384" s="69">
        <f t="shared" si="104"/>
        <v>5</v>
      </c>
      <c r="K3384" s="69">
        <f t="shared" si="105"/>
        <v>201</v>
      </c>
      <c r="L3384" s="69">
        <f>VLOOKUP(Table_db1_backend_Daily.accdb[[#This Row],[TradingDate]],canon!B:E,4,0)</f>
        <v>30</v>
      </c>
    </row>
    <row r="3385" spans="1:12" x14ac:dyDescent="0.2">
      <c r="A3385" s="69" t="s">
        <v>46</v>
      </c>
      <c r="B3385" s="70">
        <v>42943</v>
      </c>
      <c r="C3385" s="69">
        <v>307</v>
      </c>
      <c r="D3385" s="69">
        <v>2</v>
      </c>
      <c r="E3385" s="69">
        <v>36.36</v>
      </c>
      <c r="F3385" s="69">
        <v>28.21</v>
      </c>
      <c r="G3385" s="69" t="s">
        <v>32</v>
      </c>
      <c r="H3385" s="69" t="str">
        <f>IFERROR(VLOOKUP(Data!$G3385,canon!$I$2:$K$27,2,FALSE),"")</f>
        <v>SKIRT</v>
      </c>
      <c r="I3385" s="69" t="str">
        <f>IFERROR(VLOOKUP(Data!$G3385,canon!$I$2:$K$27,3,FALSE),"")</f>
        <v>APPAREL</v>
      </c>
      <c r="J3385" s="69">
        <f t="shared" si="104"/>
        <v>5</v>
      </c>
      <c r="K3385" s="69">
        <f t="shared" si="105"/>
        <v>201</v>
      </c>
      <c r="L3385" s="69">
        <f>VLOOKUP(Table_db1_backend_Daily.accdb[[#This Row],[TradingDate]],canon!B:E,4,0)</f>
        <v>30</v>
      </c>
    </row>
    <row r="3386" spans="1:12" x14ac:dyDescent="0.2">
      <c r="A3386" s="69" t="s">
        <v>46</v>
      </c>
      <c r="B3386" s="70">
        <v>42943</v>
      </c>
      <c r="C3386" s="69">
        <v>1322</v>
      </c>
      <c r="D3386" s="69">
        <v>32</v>
      </c>
      <c r="E3386" s="69">
        <v>222.71000000000004</v>
      </c>
      <c r="F3386" s="69">
        <v>65.699999999999989</v>
      </c>
      <c r="G3386" s="69" t="s">
        <v>25</v>
      </c>
      <c r="H3386" s="69" t="str">
        <f>IFERROR(VLOOKUP(Data!$G3386,canon!$I$2:$K$27,2,FALSE),"")</f>
        <v>TOP</v>
      </c>
      <c r="I3386" s="69" t="str">
        <f>IFERROR(VLOOKUP(Data!$G3386,canon!$I$2:$K$27,3,FALSE),"")</f>
        <v>APPAREL</v>
      </c>
      <c r="J3386" s="69">
        <f t="shared" si="104"/>
        <v>5</v>
      </c>
      <c r="K3386" s="69">
        <f t="shared" si="105"/>
        <v>201</v>
      </c>
      <c r="L3386" s="69">
        <f>VLOOKUP(Table_db1_backend_Daily.accdb[[#This Row],[TradingDate]],canon!B:E,4,0)</f>
        <v>30</v>
      </c>
    </row>
    <row r="3387" spans="1:12" x14ac:dyDescent="0.2">
      <c r="A3387" s="69" t="s">
        <v>46</v>
      </c>
      <c r="B3387" s="70">
        <v>42944</v>
      </c>
      <c r="C3387" s="69">
        <v>-70</v>
      </c>
      <c r="D3387" s="69">
        <v>0</v>
      </c>
      <c r="E3387" s="69">
        <v>0</v>
      </c>
      <c r="F3387" s="69">
        <v>0</v>
      </c>
      <c r="G3387" s="69" t="s">
        <v>27</v>
      </c>
      <c r="H3387" s="69" t="str">
        <f>IFERROR(VLOOKUP(Data!$G3387,canon!$I$2:$K$27,2,FALSE),"")</f>
        <v>ACCESSORY</v>
      </c>
      <c r="I3387" s="69" t="str">
        <f>IFERROR(VLOOKUP(Data!$G3387,canon!$I$2:$K$27,3,FALSE),"")</f>
        <v>N.APPAREL</v>
      </c>
      <c r="J3387" s="69">
        <f t="shared" si="104"/>
        <v>6</v>
      </c>
      <c r="K3387" s="69">
        <f t="shared" si="105"/>
        <v>201</v>
      </c>
      <c r="L3387" s="69">
        <f>VLOOKUP(Table_db1_backend_Daily.accdb[[#This Row],[TradingDate]],canon!B:E,4,0)</f>
        <v>30</v>
      </c>
    </row>
    <row r="3388" spans="1:12" x14ac:dyDescent="0.2">
      <c r="A3388" s="69" t="s">
        <v>46</v>
      </c>
      <c r="B3388" s="70">
        <v>42944</v>
      </c>
      <c r="C3388" s="69">
        <v>-189</v>
      </c>
      <c r="D3388" s="69">
        <v>0</v>
      </c>
      <c r="E3388" s="69">
        <v>0</v>
      </c>
      <c r="F3388" s="69">
        <v>0</v>
      </c>
      <c r="G3388" s="69" t="s">
        <v>34</v>
      </c>
      <c r="H3388" s="69" t="str">
        <f>IFERROR(VLOOKUP(Data!$G3388,canon!$I$2:$K$27,2,FALSE),"")</f>
        <v>SHOES</v>
      </c>
      <c r="I3388" s="69" t="str">
        <f>IFERROR(VLOOKUP(Data!$G3388,canon!$I$2:$K$27,3,FALSE),"")</f>
        <v>N.APPAREL</v>
      </c>
      <c r="J3388" s="69">
        <f t="shared" si="104"/>
        <v>6</v>
      </c>
      <c r="K3388" s="69">
        <f t="shared" si="105"/>
        <v>201</v>
      </c>
      <c r="L3388" s="69">
        <f>VLOOKUP(Table_db1_backend_Daily.accdb[[#This Row],[TradingDate]],canon!B:E,4,0)</f>
        <v>30</v>
      </c>
    </row>
    <row r="3389" spans="1:12" x14ac:dyDescent="0.2">
      <c r="A3389" s="69" t="s">
        <v>46</v>
      </c>
      <c r="B3389" s="70">
        <v>42944</v>
      </c>
      <c r="C3389" s="69">
        <v>-36</v>
      </c>
      <c r="D3389" s="69">
        <v>0</v>
      </c>
      <c r="E3389" s="69">
        <v>0</v>
      </c>
      <c r="F3389" s="69">
        <v>0</v>
      </c>
      <c r="G3389" s="69" t="s">
        <v>38</v>
      </c>
      <c r="H3389" s="69" t="str">
        <f>IFERROR(VLOOKUP(Data!$G3389,canon!$I$2:$K$27,2,FALSE),"")</f>
        <v>SHOES</v>
      </c>
      <c r="I3389" s="69" t="str">
        <f>IFERROR(VLOOKUP(Data!$G3389,canon!$I$2:$K$27,3,FALSE),"")</f>
        <v>N.APPAREL</v>
      </c>
      <c r="J3389" s="69">
        <f t="shared" si="104"/>
        <v>6</v>
      </c>
      <c r="K3389" s="69">
        <f t="shared" si="105"/>
        <v>201</v>
      </c>
      <c r="L3389" s="69">
        <f>VLOOKUP(Table_db1_backend_Daily.accdb[[#This Row],[TradingDate]],canon!B:E,4,0)</f>
        <v>30</v>
      </c>
    </row>
    <row r="3390" spans="1:12" x14ac:dyDescent="0.2">
      <c r="A3390" s="69" t="s">
        <v>46</v>
      </c>
      <c r="B3390" s="70">
        <v>42944</v>
      </c>
      <c r="C3390" s="69">
        <v>395</v>
      </c>
      <c r="D3390" s="69">
        <v>14</v>
      </c>
      <c r="E3390" s="69">
        <v>195.01</v>
      </c>
      <c r="F3390" s="69">
        <v>81.53</v>
      </c>
      <c r="G3390" s="69" t="s">
        <v>35</v>
      </c>
      <c r="H3390" s="69" t="str">
        <f>IFERROR(VLOOKUP(Data!$G3390,canon!$I$2:$K$27,2,FALSE),"")</f>
        <v>DRESS</v>
      </c>
      <c r="I3390" s="69" t="str">
        <f>IFERROR(VLOOKUP(Data!$G3390,canon!$I$2:$K$27,3,FALSE),"")</f>
        <v>APPAREL</v>
      </c>
      <c r="J3390" s="69">
        <f t="shared" si="104"/>
        <v>6</v>
      </c>
      <c r="K3390" s="69">
        <f t="shared" si="105"/>
        <v>201</v>
      </c>
      <c r="L3390" s="69">
        <f>VLOOKUP(Table_db1_backend_Daily.accdb[[#This Row],[TradingDate]],canon!B:E,4,0)</f>
        <v>30</v>
      </c>
    </row>
    <row r="3391" spans="1:12" x14ac:dyDescent="0.2">
      <c r="A3391" s="69" t="s">
        <v>46</v>
      </c>
      <c r="B3391" s="70">
        <v>42944</v>
      </c>
      <c r="C3391" s="69">
        <v>42</v>
      </c>
      <c r="D3391" s="69">
        <v>0</v>
      </c>
      <c r="E3391" s="69">
        <v>0</v>
      </c>
      <c r="F3391" s="69">
        <v>0</v>
      </c>
      <c r="G3391" s="69" t="s">
        <v>10</v>
      </c>
      <c r="H3391" s="69" t="str">
        <f>IFERROR(VLOOKUP(Data!$G3391,canon!$I$2:$K$27,2,FALSE),"")</f>
        <v>ACCESSORY</v>
      </c>
      <c r="I3391" s="69" t="str">
        <f>IFERROR(VLOOKUP(Data!$G3391,canon!$I$2:$K$27,3,FALSE),"")</f>
        <v>N.APPAREL</v>
      </c>
      <c r="J3391" s="69">
        <f t="shared" si="104"/>
        <v>6</v>
      </c>
      <c r="K3391" s="69">
        <f t="shared" si="105"/>
        <v>201</v>
      </c>
      <c r="L3391" s="69">
        <f>VLOOKUP(Table_db1_backend_Daily.accdb[[#This Row],[TradingDate]],canon!B:E,4,0)</f>
        <v>30</v>
      </c>
    </row>
    <row r="3392" spans="1:12" x14ac:dyDescent="0.2">
      <c r="A3392" s="69" t="s">
        <v>46</v>
      </c>
      <c r="B3392" s="70">
        <v>42944</v>
      </c>
      <c r="C3392" s="69">
        <v>1726</v>
      </c>
      <c r="D3392" s="69">
        <v>115</v>
      </c>
      <c r="E3392" s="69">
        <v>962.98000000000013</v>
      </c>
      <c r="F3392" s="69">
        <v>114.68</v>
      </c>
      <c r="G3392" s="69" t="s">
        <v>11</v>
      </c>
      <c r="H3392" s="69" t="str">
        <f>IFERROR(VLOOKUP(Data!$G3392,canon!$I$2:$K$27,2,FALSE),"")</f>
        <v>KNIT</v>
      </c>
      <c r="I3392" s="69" t="str">
        <f>IFERROR(VLOOKUP(Data!$G3392,canon!$I$2:$K$27,3,FALSE),"")</f>
        <v>APPAREL</v>
      </c>
      <c r="J3392" s="69">
        <f t="shared" si="104"/>
        <v>6</v>
      </c>
      <c r="K3392" s="69">
        <f t="shared" si="105"/>
        <v>201</v>
      </c>
      <c r="L3392" s="69">
        <f>VLOOKUP(Table_db1_backend_Daily.accdb[[#This Row],[TradingDate]],canon!B:E,4,0)</f>
        <v>30</v>
      </c>
    </row>
    <row r="3393" spans="1:12" x14ac:dyDescent="0.2">
      <c r="A3393" s="69" t="s">
        <v>46</v>
      </c>
      <c r="B3393" s="70">
        <v>42944</v>
      </c>
      <c r="C3393" s="69">
        <v>346</v>
      </c>
      <c r="D3393" s="69">
        <v>4</v>
      </c>
      <c r="E3393" s="69">
        <v>36.36</v>
      </c>
      <c r="F3393" s="69">
        <v>10.71</v>
      </c>
      <c r="G3393" s="69" t="s">
        <v>14</v>
      </c>
      <c r="H3393" s="69" t="str">
        <f>IFERROR(VLOOKUP(Data!$G3393,canon!$I$2:$K$27,2,FALSE),"")</f>
        <v>LEGGING</v>
      </c>
      <c r="I3393" s="69" t="str">
        <f>IFERROR(VLOOKUP(Data!$G3393,canon!$I$2:$K$27,3,FALSE),"")</f>
        <v>APPAREL</v>
      </c>
      <c r="J3393" s="69">
        <f t="shared" si="104"/>
        <v>6</v>
      </c>
      <c r="K3393" s="69">
        <f t="shared" si="105"/>
        <v>201</v>
      </c>
      <c r="L3393" s="69">
        <f>VLOOKUP(Table_db1_backend_Daily.accdb[[#This Row],[TradingDate]],canon!B:E,4,0)</f>
        <v>30</v>
      </c>
    </row>
    <row r="3394" spans="1:12" x14ac:dyDescent="0.2">
      <c r="A3394" s="69" t="s">
        <v>46</v>
      </c>
      <c r="B3394" s="70">
        <v>42944</v>
      </c>
      <c r="C3394" s="69">
        <v>-4</v>
      </c>
      <c r="D3394" s="69">
        <v>0</v>
      </c>
      <c r="E3394" s="69">
        <v>0</v>
      </c>
      <c r="F3394" s="69">
        <v>0</v>
      </c>
      <c r="G3394" s="69" t="s">
        <v>37</v>
      </c>
      <c r="H3394" s="69" t="str">
        <f>IFERROR(VLOOKUP(Data!$G3394,canon!$I$2:$K$27,2,FALSE),"")</f>
        <v>SHOES</v>
      </c>
      <c r="I3394" s="69" t="str">
        <f>IFERROR(VLOOKUP(Data!$G3394,canon!$I$2:$K$27,3,FALSE),"")</f>
        <v>N.APPAREL</v>
      </c>
      <c r="J3394" s="69">
        <f t="shared" ref="J3394:J3457" si="106">WEEKDAY(B3394)</f>
        <v>6</v>
      </c>
      <c r="K3394" s="69">
        <f t="shared" ref="K3394:K3457" si="107">INT(A3394)</f>
        <v>201</v>
      </c>
      <c r="L3394" s="69">
        <f>VLOOKUP(Table_db1_backend_Daily.accdb[[#This Row],[TradingDate]],canon!B:E,4,0)</f>
        <v>30</v>
      </c>
    </row>
    <row r="3395" spans="1:12" x14ac:dyDescent="0.2">
      <c r="A3395" s="69" t="s">
        <v>46</v>
      </c>
      <c r="B3395" s="70">
        <v>42944</v>
      </c>
      <c r="C3395" s="69">
        <v>-35</v>
      </c>
      <c r="D3395" s="69">
        <v>0</v>
      </c>
      <c r="E3395" s="69">
        <v>0</v>
      </c>
      <c r="F3395" s="69">
        <v>0</v>
      </c>
      <c r="G3395" s="69" t="s">
        <v>29</v>
      </c>
      <c r="H3395" s="69" t="str">
        <f>IFERROR(VLOOKUP(Data!$G3395,canon!$I$2:$K$27,2,FALSE),"")</f>
        <v>SHOES</v>
      </c>
      <c r="I3395" s="69" t="str">
        <f>IFERROR(VLOOKUP(Data!$G3395,canon!$I$2:$K$27,3,FALSE),"")</f>
        <v>N.APPAREL</v>
      </c>
      <c r="J3395" s="69">
        <f t="shared" si="106"/>
        <v>6</v>
      </c>
      <c r="K3395" s="69">
        <f t="shared" si="107"/>
        <v>201</v>
      </c>
      <c r="L3395" s="69">
        <f>VLOOKUP(Table_db1_backend_Daily.accdb[[#This Row],[TradingDate]],canon!B:E,4,0)</f>
        <v>30</v>
      </c>
    </row>
    <row r="3396" spans="1:12" x14ac:dyDescent="0.2">
      <c r="A3396" s="69" t="s">
        <v>46</v>
      </c>
      <c r="B3396" s="70">
        <v>42944</v>
      </c>
      <c r="C3396" s="69">
        <v>418</v>
      </c>
      <c r="D3396" s="69">
        <v>14</v>
      </c>
      <c r="E3396" s="69">
        <v>245.34000000000003</v>
      </c>
      <c r="F3396" s="69">
        <v>123.72999999999999</v>
      </c>
      <c r="G3396" s="69" t="s">
        <v>17</v>
      </c>
      <c r="H3396" s="69" t="str">
        <f>IFERROR(VLOOKUP(Data!$G3396,canon!$I$2:$K$27,2,FALSE),"")</f>
        <v>OUTER</v>
      </c>
      <c r="I3396" s="69" t="str">
        <f>IFERROR(VLOOKUP(Data!$G3396,canon!$I$2:$K$27,3,FALSE),"")</f>
        <v>APPAREL</v>
      </c>
      <c r="J3396" s="69">
        <f t="shared" si="106"/>
        <v>6</v>
      </c>
      <c r="K3396" s="69">
        <f t="shared" si="107"/>
        <v>201</v>
      </c>
      <c r="L3396" s="69">
        <f>VLOOKUP(Table_db1_backend_Daily.accdb[[#This Row],[TradingDate]],canon!B:E,4,0)</f>
        <v>30</v>
      </c>
    </row>
    <row r="3397" spans="1:12" x14ac:dyDescent="0.2">
      <c r="A3397" s="69" t="s">
        <v>46</v>
      </c>
      <c r="B3397" s="70">
        <v>42944</v>
      </c>
      <c r="C3397" s="69">
        <v>361</v>
      </c>
      <c r="D3397" s="69">
        <v>3</v>
      </c>
      <c r="E3397" s="69">
        <v>36.36</v>
      </c>
      <c r="F3397" s="69">
        <v>11.670000000000002</v>
      </c>
      <c r="G3397" s="69" t="s">
        <v>19</v>
      </c>
      <c r="H3397" s="69" t="str">
        <f>IFERROR(VLOOKUP(Data!$G3397,canon!$I$2:$K$27,2,FALSE),"")</f>
        <v>PANT</v>
      </c>
      <c r="I3397" s="69" t="str">
        <f>IFERROR(VLOOKUP(Data!$G3397,canon!$I$2:$K$27,3,FALSE),"")</f>
        <v>APPAREL</v>
      </c>
      <c r="J3397" s="69">
        <f t="shared" si="106"/>
        <v>6</v>
      </c>
      <c r="K3397" s="69">
        <f t="shared" si="107"/>
        <v>201</v>
      </c>
      <c r="L3397" s="69">
        <f>VLOOKUP(Table_db1_backend_Daily.accdb[[#This Row],[TradingDate]],canon!B:E,4,0)</f>
        <v>30</v>
      </c>
    </row>
    <row r="3398" spans="1:12" x14ac:dyDescent="0.2">
      <c r="A3398" s="69" t="s">
        <v>46</v>
      </c>
      <c r="B3398" s="70">
        <v>42944</v>
      </c>
      <c r="C3398" s="69">
        <v>207</v>
      </c>
      <c r="D3398" s="69">
        <v>10</v>
      </c>
      <c r="E3398" s="69">
        <v>50.84</v>
      </c>
      <c r="F3398" s="69">
        <v>32.6</v>
      </c>
      <c r="G3398" s="69" t="s">
        <v>22</v>
      </c>
      <c r="H3398" s="69" t="str">
        <f>IFERROR(VLOOKUP(Data!$G3398,canon!$I$2:$K$27,2,FALSE),"")</f>
        <v>SCARF</v>
      </c>
      <c r="I3398" s="69" t="str">
        <f>IFERROR(VLOOKUP(Data!$G3398,canon!$I$2:$K$27,3,FALSE),"")</f>
        <v>N.APPAREL</v>
      </c>
      <c r="J3398" s="69">
        <f t="shared" si="106"/>
        <v>6</v>
      </c>
      <c r="K3398" s="69">
        <f t="shared" si="107"/>
        <v>201</v>
      </c>
      <c r="L3398" s="69">
        <f>VLOOKUP(Table_db1_backend_Daily.accdb[[#This Row],[TradingDate]],canon!B:E,4,0)</f>
        <v>30</v>
      </c>
    </row>
    <row r="3399" spans="1:12" x14ac:dyDescent="0.2">
      <c r="A3399" s="69" t="s">
        <v>46</v>
      </c>
      <c r="B3399" s="70">
        <v>42944</v>
      </c>
      <c r="C3399" s="69">
        <v>234</v>
      </c>
      <c r="D3399" s="69">
        <v>1</v>
      </c>
      <c r="E3399" s="69">
        <v>4.55</v>
      </c>
      <c r="F3399" s="69">
        <v>-2.19</v>
      </c>
      <c r="G3399" s="69" t="s">
        <v>23</v>
      </c>
      <c r="H3399" s="69" t="str">
        <f>IFERROR(VLOOKUP(Data!$G3399,canon!$I$2:$K$27,2,FALSE),"")</f>
        <v>SH&amp;BL</v>
      </c>
      <c r="I3399" s="69" t="str">
        <f>IFERROR(VLOOKUP(Data!$G3399,canon!$I$2:$K$27,3,FALSE),"")</f>
        <v>APPAREL</v>
      </c>
      <c r="J3399" s="69">
        <f t="shared" si="106"/>
        <v>6</v>
      </c>
      <c r="K3399" s="69">
        <f t="shared" si="107"/>
        <v>201</v>
      </c>
      <c r="L3399" s="69">
        <f>VLOOKUP(Table_db1_backend_Daily.accdb[[#This Row],[TradingDate]],canon!B:E,4,0)</f>
        <v>30</v>
      </c>
    </row>
    <row r="3400" spans="1:12" x14ac:dyDescent="0.2">
      <c r="A3400" s="69" t="s">
        <v>46</v>
      </c>
      <c r="B3400" s="70">
        <v>42944</v>
      </c>
      <c r="C3400" s="69">
        <v>304</v>
      </c>
      <c r="D3400" s="69">
        <v>3</v>
      </c>
      <c r="E3400" s="69">
        <v>18.16</v>
      </c>
      <c r="F3400" s="69">
        <v>1.0899999999999999</v>
      </c>
      <c r="G3400" s="69" t="s">
        <v>32</v>
      </c>
      <c r="H3400" s="69" t="str">
        <f>IFERROR(VLOOKUP(Data!$G3400,canon!$I$2:$K$27,2,FALSE),"")</f>
        <v>SKIRT</v>
      </c>
      <c r="I3400" s="69" t="str">
        <f>IFERROR(VLOOKUP(Data!$G3400,canon!$I$2:$K$27,3,FALSE),"")</f>
        <v>APPAREL</v>
      </c>
      <c r="J3400" s="69">
        <f t="shared" si="106"/>
        <v>6</v>
      </c>
      <c r="K3400" s="69">
        <f t="shared" si="107"/>
        <v>201</v>
      </c>
      <c r="L3400" s="69">
        <f>VLOOKUP(Table_db1_backend_Daily.accdb[[#This Row],[TradingDate]],canon!B:E,4,0)</f>
        <v>30</v>
      </c>
    </row>
    <row r="3401" spans="1:12" x14ac:dyDescent="0.2">
      <c r="A3401" s="69" t="s">
        <v>46</v>
      </c>
      <c r="B3401" s="70">
        <v>42944</v>
      </c>
      <c r="C3401" s="69">
        <v>1292</v>
      </c>
      <c r="D3401" s="69">
        <v>30</v>
      </c>
      <c r="E3401" s="69">
        <v>145.54</v>
      </c>
      <c r="F3401" s="69">
        <v>-12.250000000000002</v>
      </c>
      <c r="G3401" s="69" t="s">
        <v>25</v>
      </c>
      <c r="H3401" s="69" t="str">
        <f>IFERROR(VLOOKUP(Data!$G3401,canon!$I$2:$K$27,2,FALSE),"")</f>
        <v>TOP</v>
      </c>
      <c r="I3401" s="69" t="str">
        <f>IFERROR(VLOOKUP(Data!$G3401,canon!$I$2:$K$27,3,FALSE),"")</f>
        <v>APPAREL</v>
      </c>
      <c r="J3401" s="69">
        <f t="shared" si="106"/>
        <v>6</v>
      </c>
      <c r="K3401" s="69">
        <f t="shared" si="107"/>
        <v>201</v>
      </c>
      <c r="L3401" s="69">
        <f>VLOOKUP(Table_db1_backend_Daily.accdb[[#This Row],[TradingDate]],canon!B:E,4,0)</f>
        <v>30</v>
      </c>
    </row>
    <row r="3402" spans="1:12" x14ac:dyDescent="0.2">
      <c r="A3402" s="69" t="s">
        <v>46</v>
      </c>
      <c r="B3402" s="70">
        <v>42945</v>
      </c>
      <c r="C3402" s="69">
        <v>-71</v>
      </c>
      <c r="D3402" s="69">
        <v>1</v>
      </c>
      <c r="E3402" s="69">
        <v>4.55</v>
      </c>
      <c r="F3402" s="69">
        <v>1.66</v>
      </c>
      <c r="G3402" s="69" t="s">
        <v>27</v>
      </c>
      <c r="H3402" s="69" t="str">
        <f>IFERROR(VLOOKUP(Data!$G3402,canon!$I$2:$K$27,2,FALSE),"")</f>
        <v>ACCESSORY</v>
      </c>
      <c r="I3402" s="69" t="str">
        <f>IFERROR(VLOOKUP(Data!$G3402,canon!$I$2:$K$27,3,FALSE),"")</f>
        <v>N.APPAREL</v>
      </c>
      <c r="J3402" s="69">
        <f t="shared" si="106"/>
        <v>7</v>
      </c>
      <c r="K3402" s="69">
        <f t="shared" si="107"/>
        <v>201</v>
      </c>
      <c r="L3402" s="69">
        <f>VLOOKUP(Table_db1_backend_Daily.accdb[[#This Row],[TradingDate]],canon!B:E,4,0)</f>
        <v>30</v>
      </c>
    </row>
    <row r="3403" spans="1:12" x14ac:dyDescent="0.2">
      <c r="A3403" s="69" t="s">
        <v>46</v>
      </c>
      <c r="B3403" s="70">
        <v>42945</v>
      </c>
      <c r="C3403" s="69">
        <v>-189</v>
      </c>
      <c r="D3403" s="69">
        <v>0</v>
      </c>
      <c r="E3403" s="69">
        <v>0</v>
      </c>
      <c r="F3403" s="69">
        <v>0</v>
      </c>
      <c r="G3403" s="69" t="s">
        <v>34</v>
      </c>
      <c r="H3403" s="69" t="str">
        <f>IFERROR(VLOOKUP(Data!$G3403,canon!$I$2:$K$27,2,FALSE),"")</f>
        <v>SHOES</v>
      </c>
      <c r="I3403" s="69" t="str">
        <f>IFERROR(VLOOKUP(Data!$G3403,canon!$I$2:$K$27,3,FALSE),"")</f>
        <v>N.APPAREL</v>
      </c>
      <c r="J3403" s="69">
        <f t="shared" si="106"/>
        <v>7</v>
      </c>
      <c r="K3403" s="69">
        <f t="shared" si="107"/>
        <v>201</v>
      </c>
      <c r="L3403" s="69">
        <f>VLOOKUP(Table_db1_backend_Daily.accdb[[#This Row],[TradingDate]],canon!B:E,4,0)</f>
        <v>30</v>
      </c>
    </row>
    <row r="3404" spans="1:12" x14ac:dyDescent="0.2">
      <c r="A3404" s="69" t="s">
        <v>46</v>
      </c>
      <c r="B3404" s="70">
        <v>42945</v>
      </c>
      <c r="C3404" s="69">
        <v>-36</v>
      </c>
      <c r="D3404" s="69">
        <v>0</v>
      </c>
      <c r="E3404" s="69">
        <v>0</v>
      </c>
      <c r="F3404" s="69">
        <v>0</v>
      </c>
      <c r="G3404" s="69" t="s">
        <v>38</v>
      </c>
      <c r="H3404" s="69" t="str">
        <f>IFERROR(VLOOKUP(Data!$G3404,canon!$I$2:$K$27,2,FALSE),"")</f>
        <v>SHOES</v>
      </c>
      <c r="I3404" s="69" t="str">
        <f>IFERROR(VLOOKUP(Data!$G3404,canon!$I$2:$K$27,3,FALSE),"")</f>
        <v>N.APPAREL</v>
      </c>
      <c r="J3404" s="69">
        <f t="shared" si="106"/>
        <v>7</v>
      </c>
      <c r="K3404" s="69">
        <f t="shared" si="107"/>
        <v>201</v>
      </c>
      <c r="L3404" s="69">
        <f>VLOOKUP(Table_db1_backend_Daily.accdb[[#This Row],[TradingDate]],canon!B:E,4,0)</f>
        <v>30</v>
      </c>
    </row>
    <row r="3405" spans="1:12" x14ac:dyDescent="0.2">
      <c r="A3405" s="69" t="s">
        <v>46</v>
      </c>
      <c r="B3405" s="70">
        <v>42945</v>
      </c>
      <c r="C3405" s="69">
        <v>387</v>
      </c>
      <c r="D3405" s="69">
        <v>8</v>
      </c>
      <c r="E3405" s="69">
        <v>140.88</v>
      </c>
      <c r="F3405" s="69">
        <v>86.090000000000018</v>
      </c>
      <c r="G3405" s="69" t="s">
        <v>35</v>
      </c>
      <c r="H3405" s="69" t="str">
        <f>IFERROR(VLOOKUP(Data!$G3405,canon!$I$2:$K$27,2,FALSE),"")</f>
        <v>DRESS</v>
      </c>
      <c r="I3405" s="69" t="str">
        <f>IFERROR(VLOOKUP(Data!$G3405,canon!$I$2:$K$27,3,FALSE),"")</f>
        <v>APPAREL</v>
      </c>
      <c r="J3405" s="69">
        <f t="shared" si="106"/>
        <v>7</v>
      </c>
      <c r="K3405" s="69">
        <f t="shared" si="107"/>
        <v>201</v>
      </c>
      <c r="L3405" s="69">
        <f>VLOOKUP(Table_db1_backend_Daily.accdb[[#This Row],[TradingDate]],canon!B:E,4,0)</f>
        <v>30</v>
      </c>
    </row>
    <row r="3406" spans="1:12" x14ac:dyDescent="0.2">
      <c r="A3406" s="69" t="s">
        <v>46</v>
      </c>
      <c r="B3406" s="70">
        <v>42945</v>
      </c>
      <c r="C3406" s="69">
        <v>42</v>
      </c>
      <c r="D3406" s="69">
        <v>0</v>
      </c>
      <c r="E3406" s="69">
        <v>0</v>
      </c>
      <c r="F3406" s="69">
        <v>0</v>
      </c>
      <c r="G3406" s="69" t="s">
        <v>10</v>
      </c>
      <c r="H3406" s="69" t="str">
        <f>IFERROR(VLOOKUP(Data!$G3406,canon!$I$2:$K$27,2,FALSE),"")</f>
        <v>ACCESSORY</v>
      </c>
      <c r="I3406" s="69" t="str">
        <f>IFERROR(VLOOKUP(Data!$G3406,canon!$I$2:$K$27,3,FALSE),"")</f>
        <v>N.APPAREL</v>
      </c>
      <c r="J3406" s="69">
        <f t="shared" si="106"/>
        <v>7</v>
      </c>
      <c r="K3406" s="69">
        <f t="shared" si="107"/>
        <v>201</v>
      </c>
      <c r="L3406" s="69">
        <f>VLOOKUP(Table_db1_backend_Daily.accdb[[#This Row],[TradingDate]],canon!B:E,4,0)</f>
        <v>30</v>
      </c>
    </row>
    <row r="3407" spans="1:12" x14ac:dyDescent="0.2">
      <c r="A3407" s="69" t="s">
        <v>46</v>
      </c>
      <c r="B3407" s="70">
        <v>42945</v>
      </c>
      <c r="C3407" s="69">
        <v>1677</v>
      </c>
      <c r="D3407" s="69">
        <v>49</v>
      </c>
      <c r="E3407" s="69">
        <v>386.29999999999995</v>
      </c>
      <c r="F3407" s="69">
        <v>42.860000000000014</v>
      </c>
      <c r="G3407" s="69" t="s">
        <v>11</v>
      </c>
      <c r="H3407" s="69" t="str">
        <f>IFERROR(VLOOKUP(Data!$G3407,canon!$I$2:$K$27,2,FALSE),"")</f>
        <v>KNIT</v>
      </c>
      <c r="I3407" s="69" t="str">
        <f>IFERROR(VLOOKUP(Data!$G3407,canon!$I$2:$K$27,3,FALSE),"")</f>
        <v>APPAREL</v>
      </c>
      <c r="J3407" s="69">
        <f t="shared" si="106"/>
        <v>7</v>
      </c>
      <c r="K3407" s="69">
        <f t="shared" si="107"/>
        <v>201</v>
      </c>
      <c r="L3407" s="69">
        <f>VLOOKUP(Table_db1_backend_Daily.accdb[[#This Row],[TradingDate]],canon!B:E,4,0)</f>
        <v>30</v>
      </c>
    </row>
    <row r="3408" spans="1:12" x14ac:dyDescent="0.2">
      <c r="A3408" s="69" t="s">
        <v>46</v>
      </c>
      <c r="B3408" s="70">
        <v>42945</v>
      </c>
      <c r="C3408" s="69">
        <v>342</v>
      </c>
      <c r="D3408" s="69">
        <v>4</v>
      </c>
      <c r="E3408" s="69">
        <v>49.97</v>
      </c>
      <c r="F3408" s="69">
        <v>22.91</v>
      </c>
      <c r="G3408" s="69" t="s">
        <v>14</v>
      </c>
      <c r="H3408" s="69" t="str">
        <f>IFERROR(VLOOKUP(Data!$G3408,canon!$I$2:$K$27,2,FALSE),"")</f>
        <v>LEGGING</v>
      </c>
      <c r="I3408" s="69" t="str">
        <f>IFERROR(VLOOKUP(Data!$G3408,canon!$I$2:$K$27,3,FALSE),"")</f>
        <v>APPAREL</v>
      </c>
      <c r="J3408" s="69">
        <f t="shared" si="106"/>
        <v>7</v>
      </c>
      <c r="K3408" s="69">
        <f t="shared" si="107"/>
        <v>201</v>
      </c>
      <c r="L3408" s="69">
        <f>VLOOKUP(Table_db1_backend_Daily.accdb[[#This Row],[TradingDate]],canon!B:E,4,0)</f>
        <v>30</v>
      </c>
    </row>
    <row r="3409" spans="1:12" x14ac:dyDescent="0.2">
      <c r="A3409" s="69" t="s">
        <v>46</v>
      </c>
      <c r="B3409" s="70">
        <v>42945</v>
      </c>
      <c r="C3409" s="69">
        <v>-4</v>
      </c>
      <c r="D3409" s="69">
        <v>0</v>
      </c>
      <c r="E3409" s="69">
        <v>0</v>
      </c>
      <c r="F3409" s="69">
        <v>0</v>
      </c>
      <c r="G3409" s="69" t="s">
        <v>37</v>
      </c>
      <c r="H3409" s="69" t="str">
        <f>IFERROR(VLOOKUP(Data!$G3409,canon!$I$2:$K$27,2,FALSE),"")</f>
        <v>SHOES</v>
      </c>
      <c r="I3409" s="69" t="str">
        <f>IFERROR(VLOOKUP(Data!$G3409,canon!$I$2:$K$27,3,FALSE),"")</f>
        <v>N.APPAREL</v>
      </c>
      <c r="J3409" s="69">
        <f t="shared" si="106"/>
        <v>7</v>
      </c>
      <c r="K3409" s="69">
        <f t="shared" si="107"/>
        <v>201</v>
      </c>
      <c r="L3409" s="69">
        <f>VLOOKUP(Table_db1_backend_Daily.accdb[[#This Row],[TradingDate]],canon!B:E,4,0)</f>
        <v>30</v>
      </c>
    </row>
    <row r="3410" spans="1:12" x14ac:dyDescent="0.2">
      <c r="A3410" s="69" t="s">
        <v>46</v>
      </c>
      <c r="B3410" s="70">
        <v>42945</v>
      </c>
      <c r="C3410" s="69">
        <v>-35</v>
      </c>
      <c r="D3410" s="69">
        <v>0</v>
      </c>
      <c r="E3410" s="69">
        <v>0</v>
      </c>
      <c r="F3410" s="69">
        <v>0</v>
      </c>
      <c r="G3410" s="69" t="s">
        <v>29</v>
      </c>
      <c r="H3410" s="69" t="str">
        <f>IFERROR(VLOOKUP(Data!$G3410,canon!$I$2:$K$27,2,FALSE),"")</f>
        <v>SHOES</v>
      </c>
      <c r="I3410" s="69" t="str">
        <f>IFERROR(VLOOKUP(Data!$G3410,canon!$I$2:$K$27,3,FALSE),"")</f>
        <v>N.APPAREL</v>
      </c>
      <c r="J3410" s="69">
        <f t="shared" si="106"/>
        <v>7</v>
      </c>
      <c r="K3410" s="69">
        <f t="shared" si="107"/>
        <v>201</v>
      </c>
      <c r="L3410" s="69">
        <f>VLOOKUP(Table_db1_backend_Daily.accdb[[#This Row],[TradingDate]],canon!B:E,4,0)</f>
        <v>30</v>
      </c>
    </row>
    <row r="3411" spans="1:12" x14ac:dyDescent="0.2">
      <c r="A3411" s="69" t="s">
        <v>46</v>
      </c>
      <c r="B3411" s="70">
        <v>42945</v>
      </c>
      <c r="C3411" s="69">
        <v>410</v>
      </c>
      <c r="D3411" s="69">
        <v>8</v>
      </c>
      <c r="E3411" s="69">
        <v>172.74</v>
      </c>
      <c r="F3411" s="69">
        <v>96.03</v>
      </c>
      <c r="G3411" s="69" t="s">
        <v>17</v>
      </c>
      <c r="H3411" s="69" t="str">
        <f>IFERROR(VLOOKUP(Data!$G3411,canon!$I$2:$K$27,2,FALSE),"")</f>
        <v>OUTER</v>
      </c>
      <c r="I3411" s="69" t="str">
        <f>IFERROR(VLOOKUP(Data!$G3411,canon!$I$2:$K$27,3,FALSE),"")</f>
        <v>APPAREL</v>
      </c>
      <c r="J3411" s="69">
        <f t="shared" si="106"/>
        <v>7</v>
      </c>
      <c r="K3411" s="69">
        <f t="shared" si="107"/>
        <v>201</v>
      </c>
      <c r="L3411" s="69">
        <f>VLOOKUP(Table_db1_backend_Daily.accdb[[#This Row],[TradingDate]],canon!B:E,4,0)</f>
        <v>30</v>
      </c>
    </row>
    <row r="3412" spans="1:12" x14ac:dyDescent="0.2">
      <c r="A3412" s="69" t="s">
        <v>46</v>
      </c>
      <c r="B3412" s="70">
        <v>42945</v>
      </c>
      <c r="C3412" s="69">
        <v>361</v>
      </c>
      <c r="D3412" s="69">
        <v>0</v>
      </c>
      <c r="E3412" s="69">
        <v>0</v>
      </c>
      <c r="F3412" s="69">
        <v>0</v>
      </c>
      <c r="G3412" s="69" t="s">
        <v>19</v>
      </c>
      <c r="H3412" s="69" t="str">
        <f>IFERROR(VLOOKUP(Data!$G3412,canon!$I$2:$K$27,2,FALSE),"")</f>
        <v>PANT</v>
      </c>
      <c r="I3412" s="69" t="str">
        <f>IFERROR(VLOOKUP(Data!$G3412,canon!$I$2:$K$27,3,FALSE),"")</f>
        <v>APPAREL</v>
      </c>
      <c r="J3412" s="69">
        <f t="shared" si="106"/>
        <v>7</v>
      </c>
      <c r="K3412" s="69">
        <f t="shared" si="107"/>
        <v>201</v>
      </c>
      <c r="L3412" s="69">
        <f>VLOOKUP(Table_db1_backend_Daily.accdb[[#This Row],[TradingDate]],canon!B:E,4,0)</f>
        <v>30</v>
      </c>
    </row>
    <row r="3413" spans="1:12" x14ac:dyDescent="0.2">
      <c r="A3413" s="69" t="s">
        <v>46</v>
      </c>
      <c r="B3413" s="70">
        <v>42945</v>
      </c>
      <c r="C3413" s="69">
        <v>206</v>
      </c>
      <c r="D3413" s="69">
        <v>1</v>
      </c>
      <c r="E3413" s="69">
        <v>4.55</v>
      </c>
      <c r="F3413" s="69">
        <v>2.81</v>
      </c>
      <c r="G3413" s="69" t="s">
        <v>22</v>
      </c>
      <c r="H3413" s="69" t="str">
        <f>IFERROR(VLOOKUP(Data!$G3413,canon!$I$2:$K$27,2,FALSE),"")</f>
        <v>SCARF</v>
      </c>
      <c r="I3413" s="69" t="str">
        <f>IFERROR(VLOOKUP(Data!$G3413,canon!$I$2:$K$27,3,FALSE),"")</f>
        <v>N.APPAREL</v>
      </c>
      <c r="J3413" s="69">
        <f t="shared" si="106"/>
        <v>7</v>
      </c>
      <c r="K3413" s="69">
        <f t="shared" si="107"/>
        <v>201</v>
      </c>
      <c r="L3413" s="69">
        <f>VLOOKUP(Table_db1_backend_Daily.accdb[[#This Row],[TradingDate]],canon!B:E,4,0)</f>
        <v>30</v>
      </c>
    </row>
    <row r="3414" spans="1:12" x14ac:dyDescent="0.2">
      <c r="A3414" s="69" t="s">
        <v>46</v>
      </c>
      <c r="B3414" s="70">
        <v>42945</v>
      </c>
      <c r="C3414" s="69">
        <v>233</v>
      </c>
      <c r="D3414" s="69">
        <v>1</v>
      </c>
      <c r="E3414" s="69">
        <v>27.25</v>
      </c>
      <c r="F3414" s="69">
        <v>18.34</v>
      </c>
      <c r="G3414" s="69" t="s">
        <v>23</v>
      </c>
      <c r="H3414" s="69" t="str">
        <f>IFERROR(VLOOKUP(Data!$G3414,canon!$I$2:$K$27,2,FALSE),"")</f>
        <v>SH&amp;BL</v>
      </c>
      <c r="I3414" s="69" t="str">
        <f>IFERROR(VLOOKUP(Data!$G3414,canon!$I$2:$K$27,3,FALSE),"")</f>
        <v>APPAREL</v>
      </c>
      <c r="J3414" s="69">
        <f t="shared" si="106"/>
        <v>7</v>
      </c>
      <c r="K3414" s="69">
        <f t="shared" si="107"/>
        <v>201</v>
      </c>
      <c r="L3414" s="69">
        <f>VLOOKUP(Table_db1_backend_Daily.accdb[[#This Row],[TradingDate]],canon!B:E,4,0)</f>
        <v>30</v>
      </c>
    </row>
    <row r="3415" spans="1:12" x14ac:dyDescent="0.2">
      <c r="A3415" s="69" t="s">
        <v>46</v>
      </c>
      <c r="B3415" s="70">
        <v>42945</v>
      </c>
      <c r="C3415" s="69">
        <v>304</v>
      </c>
      <c r="D3415" s="69">
        <v>0</v>
      </c>
      <c r="E3415" s="69">
        <v>0</v>
      </c>
      <c r="F3415" s="69">
        <v>0</v>
      </c>
      <c r="G3415" s="69" t="s">
        <v>32</v>
      </c>
      <c r="H3415" s="69" t="str">
        <f>IFERROR(VLOOKUP(Data!$G3415,canon!$I$2:$K$27,2,FALSE),"")</f>
        <v>SKIRT</v>
      </c>
      <c r="I3415" s="69" t="str">
        <f>IFERROR(VLOOKUP(Data!$G3415,canon!$I$2:$K$27,3,FALSE),"")</f>
        <v>APPAREL</v>
      </c>
      <c r="J3415" s="69">
        <f t="shared" si="106"/>
        <v>7</v>
      </c>
      <c r="K3415" s="69">
        <f t="shared" si="107"/>
        <v>201</v>
      </c>
      <c r="L3415" s="69">
        <f>VLOOKUP(Table_db1_backend_Daily.accdb[[#This Row],[TradingDate]],canon!B:E,4,0)</f>
        <v>30</v>
      </c>
    </row>
    <row r="3416" spans="1:12" x14ac:dyDescent="0.2">
      <c r="A3416" s="69" t="s">
        <v>46</v>
      </c>
      <c r="B3416" s="70">
        <v>42945</v>
      </c>
      <c r="C3416" s="69">
        <v>1283</v>
      </c>
      <c r="D3416" s="69">
        <v>9</v>
      </c>
      <c r="E3416" s="69">
        <v>54.559999999999995</v>
      </c>
      <c r="F3416" s="69">
        <v>6.21</v>
      </c>
      <c r="G3416" s="69" t="s">
        <v>25</v>
      </c>
      <c r="H3416" s="69" t="str">
        <f>IFERROR(VLOOKUP(Data!$G3416,canon!$I$2:$K$27,2,FALSE),"")</f>
        <v>TOP</v>
      </c>
      <c r="I3416" s="69" t="str">
        <f>IFERROR(VLOOKUP(Data!$G3416,canon!$I$2:$K$27,3,FALSE),"")</f>
        <v>APPAREL</v>
      </c>
      <c r="J3416" s="69">
        <f t="shared" si="106"/>
        <v>7</v>
      </c>
      <c r="K3416" s="69">
        <f t="shared" si="107"/>
        <v>201</v>
      </c>
      <c r="L3416" s="69">
        <f>VLOOKUP(Table_db1_backend_Daily.accdb[[#This Row],[TradingDate]],canon!B:E,4,0)</f>
        <v>30</v>
      </c>
    </row>
    <row r="3417" spans="1:12" x14ac:dyDescent="0.2">
      <c r="A3417" s="69" t="s">
        <v>46</v>
      </c>
      <c r="B3417" s="70">
        <v>42946</v>
      </c>
      <c r="C3417" s="69">
        <v>-71</v>
      </c>
      <c r="D3417" s="69">
        <v>0</v>
      </c>
      <c r="E3417" s="69">
        <v>0</v>
      </c>
      <c r="F3417" s="69">
        <v>0</v>
      </c>
      <c r="G3417" s="69" t="s">
        <v>27</v>
      </c>
      <c r="H3417" s="69" t="str">
        <f>IFERROR(VLOOKUP(Data!$G3417,canon!$I$2:$K$27,2,FALSE),"")</f>
        <v>ACCESSORY</v>
      </c>
      <c r="I3417" s="69" t="str">
        <f>IFERROR(VLOOKUP(Data!$G3417,canon!$I$2:$K$27,3,FALSE),"")</f>
        <v>N.APPAREL</v>
      </c>
      <c r="J3417" s="69">
        <f t="shared" si="106"/>
        <v>1</v>
      </c>
      <c r="K3417" s="69">
        <f t="shared" si="107"/>
        <v>201</v>
      </c>
      <c r="L3417" s="69">
        <f>VLOOKUP(Table_db1_backend_Daily.accdb[[#This Row],[TradingDate]],canon!B:E,4,0)</f>
        <v>31</v>
      </c>
    </row>
    <row r="3418" spans="1:12" x14ac:dyDescent="0.2">
      <c r="A3418" s="69" t="s">
        <v>46</v>
      </c>
      <c r="B3418" s="70">
        <v>42946</v>
      </c>
      <c r="C3418" s="69">
        <v>-189</v>
      </c>
      <c r="D3418" s="69">
        <v>0</v>
      </c>
      <c r="E3418" s="69">
        <v>0</v>
      </c>
      <c r="F3418" s="69">
        <v>0</v>
      </c>
      <c r="G3418" s="69" t="s">
        <v>34</v>
      </c>
      <c r="H3418" s="69" t="str">
        <f>IFERROR(VLOOKUP(Data!$G3418,canon!$I$2:$K$27,2,FALSE),"")</f>
        <v>SHOES</v>
      </c>
      <c r="I3418" s="69" t="str">
        <f>IFERROR(VLOOKUP(Data!$G3418,canon!$I$2:$K$27,3,FALSE),"")</f>
        <v>N.APPAREL</v>
      </c>
      <c r="J3418" s="69">
        <f t="shared" si="106"/>
        <v>1</v>
      </c>
      <c r="K3418" s="69">
        <f t="shared" si="107"/>
        <v>201</v>
      </c>
      <c r="L3418" s="69">
        <f>VLOOKUP(Table_db1_backend_Daily.accdb[[#This Row],[TradingDate]],canon!B:E,4,0)</f>
        <v>31</v>
      </c>
    </row>
    <row r="3419" spans="1:12" x14ac:dyDescent="0.2">
      <c r="A3419" s="69" t="s">
        <v>46</v>
      </c>
      <c r="B3419" s="70">
        <v>42946</v>
      </c>
      <c r="C3419" s="69">
        <v>-36</v>
      </c>
      <c r="D3419" s="69">
        <v>0</v>
      </c>
      <c r="E3419" s="69">
        <v>0</v>
      </c>
      <c r="F3419" s="69">
        <v>0</v>
      </c>
      <c r="G3419" s="69" t="s">
        <v>38</v>
      </c>
      <c r="H3419" s="69" t="str">
        <f>IFERROR(VLOOKUP(Data!$G3419,canon!$I$2:$K$27,2,FALSE),"")</f>
        <v>SHOES</v>
      </c>
      <c r="I3419" s="69" t="str">
        <f>IFERROR(VLOOKUP(Data!$G3419,canon!$I$2:$K$27,3,FALSE),"")</f>
        <v>N.APPAREL</v>
      </c>
      <c r="J3419" s="69">
        <f t="shared" si="106"/>
        <v>1</v>
      </c>
      <c r="K3419" s="69">
        <f t="shared" si="107"/>
        <v>201</v>
      </c>
      <c r="L3419" s="69">
        <f>VLOOKUP(Table_db1_backend_Daily.accdb[[#This Row],[TradingDate]],canon!B:E,4,0)</f>
        <v>31</v>
      </c>
    </row>
    <row r="3420" spans="1:12" x14ac:dyDescent="0.2">
      <c r="A3420" s="69" t="s">
        <v>46</v>
      </c>
      <c r="B3420" s="70">
        <v>42946</v>
      </c>
      <c r="C3420" s="69">
        <v>386</v>
      </c>
      <c r="D3420" s="69">
        <v>1</v>
      </c>
      <c r="E3420" s="69">
        <v>18.18</v>
      </c>
      <c r="F3420" s="69">
        <v>12.96</v>
      </c>
      <c r="G3420" s="69" t="s">
        <v>35</v>
      </c>
      <c r="H3420" s="69" t="str">
        <f>IFERROR(VLOOKUP(Data!$G3420,canon!$I$2:$K$27,2,FALSE),"")</f>
        <v>DRESS</v>
      </c>
      <c r="I3420" s="69" t="str">
        <f>IFERROR(VLOOKUP(Data!$G3420,canon!$I$2:$K$27,3,FALSE),"")</f>
        <v>APPAREL</v>
      </c>
      <c r="J3420" s="69">
        <f t="shared" si="106"/>
        <v>1</v>
      </c>
      <c r="K3420" s="69">
        <f t="shared" si="107"/>
        <v>201</v>
      </c>
      <c r="L3420" s="69">
        <f>VLOOKUP(Table_db1_backend_Daily.accdb[[#This Row],[TradingDate]],canon!B:E,4,0)</f>
        <v>31</v>
      </c>
    </row>
    <row r="3421" spans="1:12" x14ac:dyDescent="0.2">
      <c r="A3421" s="69" t="s">
        <v>46</v>
      </c>
      <c r="B3421" s="70">
        <v>42946</v>
      </c>
      <c r="C3421" s="69">
        <v>42</v>
      </c>
      <c r="D3421" s="69">
        <v>0</v>
      </c>
      <c r="E3421" s="69">
        <v>0</v>
      </c>
      <c r="F3421" s="69">
        <v>0</v>
      </c>
      <c r="G3421" s="69" t="s">
        <v>10</v>
      </c>
      <c r="H3421" s="69" t="str">
        <f>IFERROR(VLOOKUP(Data!$G3421,canon!$I$2:$K$27,2,FALSE),"")</f>
        <v>ACCESSORY</v>
      </c>
      <c r="I3421" s="69" t="str">
        <f>IFERROR(VLOOKUP(Data!$G3421,canon!$I$2:$K$27,3,FALSE),"")</f>
        <v>N.APPAREL</v>
      </c>
      <c r="J3421" s="69">
        <f t="shared" si="106"/>
        <v>1</v>
      </c>
      <c r="K3421" s="69">
        <f t="shared" si="107"/>
        <v>201</v>
      </c>
      <c r="L3421" s="69">
        <f>VLOOKUP(Table_db1_backend_Daily.accdb[[#This Row],[TradingDate]],canon!B:E,4,0)</f>
        <v>31</v>
      </c>
    </row>
    <row r="3422" spans="1:12" x14ac:dyDescent="0.2">
      <c r="A3422" s="69" t="s">
        <v>46</v>
      </c>
      <c r="B3422" s="70">
        <v>42946</v>
      </c>
      <c r="C3422" s="69">
        <v>1635</v>
      </c>
      <c r="D3422" s="69">
        <v>42</v>
      </c>
      <c r="E3422" s="69">
        <v>359.15000000000009</v>
      </c>
      <c r="F3422" s="69">
        <v>53.94</v>
      </c>
      <c r="G3422" s="69" t="s">
        <v>11</v>
      </c>
      <c r="H3422" s="69" t="str">
        <f>IFERROR(VLOOKUP(Data!$G3422,canon!$I$2:$K$27,2,FALSE),"")</f>
        <v>KNIT</v>
      </c>
      <c r="I3422" s="69" t="str">
        <f>IFERROR(VLOOKUP(Data!$G3422,canon!$I$2:$K$27,3,FALSE),"")</f>
        <v>APPAREL</v>
      </c>
      <c r="J3422" s="69">
        <f t="shared" si="106"/>
        <v>1</v>
      </c>
      <c r="K3422" s="69">
        <f t="shared" si="107"/>
        <v>201</v>
      </c>
      <c r="L3422" s="69">
        <f>VLOOKUP(Table_db1_backend_Daily.accdb[[#This Row],[TradingDate]],canon!B:E,4,0)</f>
        <v>31</v>
      </c>
    </row>
    <row r="3423" spans="1:12" x14ac:dyDescent="0.2">
      <c r="A3423" s="69" t="s">
        <v>46</v>
      </c>
      <c r="B3423" s="70">
        <v>42946</v>
      </c>
      <c r="C3423" s="69">
        <v>340</v>
      </c>
      <c r="D3423" s="69">
        <v>2</v>
      </c>
      <c r="E3423" s="69">
        <v>13.64</v>
      </c>
      <c r="F3423" s="69">
        <v>-0.60000000000000009</v>
      </c>
      <c r="G3423" s="69" t="s">
        <v>14</v>
      </c>
      <c r="H3423" s="69" t="str">
        <f>IFERROR(VLOOKUP(Data!$G3423,canon!$I$2:$K$27,2,FALSE),"")</f>
        <v>LEGGING</v>
      </c>
      <c r="I3423" s="69" t="str">
        <f>IFERROR(VLOOKUP(Data!$G3423,canon!$I$2:$K$27,3,FALSE),"")</f>
        <v>APPAREL</v>
      </c>
      <c r="J3423" s="69">
        <f t="shared" si="106"/>
        <v>1</v>
      </c>
      <c r="K3423" s="69">
        <f t="shared" si="107"/>
        <v>201</v>
      </c>
      <c r="L3423" s="69">
        <f>VLOOKUP(Table_db1_backend_Daily.accdb[[#This Row],[TradingDate]],canon!B:E,4,0)</f>
        <v>31</v>
      </c>
    </row>
    <row r="3424" spans="1:12" x14ac:dyDescent="0.2">
      <c r="A3424" s="69" t="s">
        <v>46</v>
      </c>
      <c r="B3424" s="70">
        <v>42946</v>
      </c>
      <c r="C3424" s="69">
        <v>-4</v>
      </c>
      <c r="D3424" s="69">
        <v>0</v>
      </c>
      <c r="E3424" s="69">
        <v>0</v>
      </c>
      <c r="F3424" s="69">
        <v>0</v>
      </c>
      <c r="G3424" s="69" t="s">
        <v>37</v>
      </c>
      <c r="H3424" s="69" t="str">
        <f>IFERROR(VLOOKUP(Data!$G3424,canon!$I$2:$K$27,2,FALSE),"")</f>
        <v>SHOES</v>
      </c>
      <c r="I3424" s="69" t="str">
        <f>IFERROR(VLOOKUP(Data!$G3424,canon!$I$2:$K$27,3,FALSE),"")</f>
        <v>N.APPAREL</v>
      </c>
      <c r="J3424" s="69">
        <f t="shared" si="106"/>
        <v>1</v>
      </c>
      <c r="K3424" s="69">
        <f t="shared" si="107"/>
        <v>201</v>
      </c>
      <c r="L3424" s="69">
        <f>VLOOKUP(Table_db1_backend_Daily.accdb[[#This Row],[TradingDate]],canon!B:E,4,0)</f>
        <v>31</v>
      </c>
    </row>
    <row r="3425" spans="1:12" x14ac:dyDescent="0.2">
      <c r="A3425" s="69" t="s">
        <v>46</v>
      </c>
      <c r="B3425" s="70">
        <v>42946</v>
      </c>
      <c r="C3425" s="69">
        <v>-35</v>
      </c>
      <c r="D3425" s="69">
        <v>0</v>
      </c>
      <c r="E3425" s="69">
        <v>0</v>
      </c>
      <c r="F3425" s="69">
        <v>0</v>
      </c>
      <c r="G3425" s="69" t="s">
        <v>29</v>
      </c>
      <c r="H3425" s="69" t="str">
        <f>IFERROR(VLOOKUP(Data!$G3425,canon!$I$2:$K$27,2,FALSE),"")</f>
        <v>SHOES</v>
      </c>
      <c r="I3425" s="69" t="str">
        <f>IFERROR(VLOOKUP(Data!$G3425,canon!$I$2:$K$27,3,FALSE),"")</f>
        <v>N.APPAREL</v>
      </c>
      <c r="J3425" s="69">
        <f t="shared" si="106"/>
        <v>1</v>
      </c>
      <c r="K3425" s="69">
        <f t="shared" si="107"/>
        <v>201</v>
      </c>
      <c r="L3425" s="69">
        <f>VLOOKUP(Table_db1_backend_Daily.accdb[[#This Row],[TradingDate]],canon!B:E,4,0)</f>
        <v>31</v>
      </c>
    </row>
    <row r="3426" spans="1:12" x14ac:dyDescent="0.2">
      <c r="A3426" s="69" t="s">
        <v>46</v>
      </c>
      <c r="B3426" s="70">
        <v>42946</v>
      </c>
      <c r="C3426" s="69">
        <v>405</v>
      </c>
      <c r="D3426" s="69">
        <v>5</v>
      </c>
      <c r="E3426" s="69">
        <v>77.25</v>
      </c>
      <c r="F3426" s="69">
        <v>41.61</v>
      </c>
      <c r="G3426" s="69" t="s">
        <v>17</v>
      </c>
      <c r="H3426" s="69" t="str">
        <f>IFERROR(VLOOKUP(Data!$G3426,canon!$I$2:$K$27,2,FALSE),"")</f>
        <v>OUTER</v>
      </c>
      <c r="I3426" s="69" t="str">
        <f>IFERROR(VLOOKUP(Data!$G3426,canon!$I$2:$K$27,3,FALSE),"")</f>
        <v>APPAREL</v>
      </c>
      <c r="J3426" s="69">
        <f t="shared" si="106"/>
        <v>1</v>
      </c>
      <c r="K3426" s="69">
        <f t="shared" si="107"/>
        <v>201</v>
      </c>
      <c r="L3426" s="69">
        <f>VLOOKUP(Table_db1_backend_Daily.accdb[[#This Row],[TradingDate]],canon!B:E,4,0)</f>
        <v>31</v>
      </c>
    </row>
    <row r="3427" spans="1:12" x14ac:dyDescent="0.2">
      <c r="A3427" s="69" t="s">
        <v>46</v>
      </c>
      <c r="B3427" s="70">
        <v>42946</v>
      </c>
      <c r="C3427" s="69">
        <v>360</v>
      </c>
      <c r="D3427" s="69">
        <v>1</v>
      </c>
      <c r="E3427" s="69">
        <v>9.09</v>
      </c>
      <c r="F3427" s="69">
        <v>4.3099999999999996</v>
      </c>
      <c r="G3427" s="69" t="s">
        <v>19</v>
      </c>
      <c r="H3427" s="69" t="str">
        <f>IFERROR(VLOOKUP(Data!$G3427,canon!$I$2:$K$27,2,FALSE),"")</f>
        <v>PANT</v>
      </c>
      <c r="I3427" s="69" t="str">
        <f>IFERROR(VLOOKUP(Data!$G3427,canon!$I$2:$K$27,3,FALSE),"")</f>
        <v>APPAREL</v>
      </c>
      <c r="J3427" s="69">
        <f t="shared" si="106"/>
        <v>1</v>
      </c>
      <c r="K3427" s="69">
        <f t="shared" si="107"/>
        <v>201</v>
      </c>
      <c r="L3427" s="69">
        <f>VLOOKUP(Table_db1_backend_Daily.accdb[[#This Row],[TradingDate]],canon!B:E,4,0)</f>
        <v>31</v>
      </c>
    </row>
    <row r="3428" spans="1:12" x14ac:dyDescent="0.2">
      <c r="A3428" s="69" t="s">
        <v>46</v>
      </c>
      <c r="B3428" s="70">
        <v>42946</v>
      </c>
      <c r="C3428" s="69">
        <v>205</v>
      </c>
      <c r="D3428" s="69">
        <v>1</v>
      </c>
      <c r="E3428" s="69">
        <v>4.55</v>
      </c>
      <c r="F3428" s="69">
        <v>3.03</v>
      </c>
      <c r="G3428" s="69" t="s">
        <v>22</v>
      </c>
      <c r="H3428" s="69" t="str">
        <f>IFERROR(VLOOKUP(Data!$G3428,canon!$I$2:$K$27,2,FALSE),"")</f>
        <v>SCARF</v>
      </c>
      <c r="I3428" s="69" t="str">
        <f>IFERROR(VLOOKUP(Data!$G3428,canon!$I$2:$K$27,3,FALSE),"")</f>
        <v>N.APPAREL</v>
      </c>
      <c r="J3428" s="69">
        <f t="shared" si="106"/>
        <v>1</v>
      </c>
      <c r="K3428" s="69">
        <f t="shared" si="107"/>
        <v>201</v>
      </c>
      <c r="L3428" s="69">
        <f>VLOOKUP(Table_db1_backend_Daily.accdb[[#This Row],[TradingDate]],canon!B:E,4,0)</f>
        <v>31</v>
      </c>
    </row>
    <row r="3429" spans="1:12" x14ac:dyDescent="0.2">
      <c r="A3429" s="69" t="s">
        <v>46</v>
      </c>
      <c r="B3429" s="70">
        <v>42946</v>
      </c>
      <c r="C3429" s="69">
        <v>233</v>
      </c>
      <c r="D3429" s="69">
        <v>0</v>
      </c>
      <c r="E3429" s="69">
        <v>0</v>
      </c>
      <c r="F3429" s="69">
        <v>0</v>
      </c>
      <c r="G3429" s="69" t="s">
        <v>23</v>
      </c>
      <c r="H3429" s="69" t="str">
        <f>IFERROR(VLOOKUP(Data!$G3429,canon!$I$2:$K$27,2,FALSE),"")</f>
        <v>SH&amp;BL</v>
      </c>
      <c r="I3429" s="69" t="str">
        <f>IFERROR(VLOOKUP(Data!$G3429,canon!$I$2:$K$27,3,FALSE),"")</f>
        <v>APPAREL</v>
      </c>
      <c r="J3429" s="69">
        <f t="shared" si="106"/>
        <v>1</v>
      </c>
      <c r="K3429" s="69">
        <f t="shared" si="107"/>
        <v>201</v>
      </c>
      <c r="L3429" s="69">
        <f>VLOOKUP(Table_db1_backend_Daily.accdb[[#This Row],[TradingDate]],canon!B:E,4,0)</f>
        <v>31</v>
      </c>
    </row>
    <row r="3430" spans="1:12" x14ac:dyDescent="0.2">
      <c r="A3430" s="69" t="s">
        <v>46</v>
      </c>
      <c r="B3430" s="70">
        <v>42946</v>
      </c>
      <c r="C3430" s="69">
        <v>303</v>
      </c>
      <c r="D3430" s="69">
        <v>1</v>
      </c>
      <c r="E3430" s="69">
        <v>9.09</v>
      </c>
      <c r="F3430" s="69">
        <v>1.26</v>
      </c>
      <c r="G3430" s="69" t="s">
        <v>32</v>
      </c>
      <c r="H3430" s="69" t="str">
        <f>IFERROR(VLOOKUP(Data!$G3430,canon!$I$2:$K$27,2,FALSE),"")</f>
        <v>SKIRT</v>
      </c>
      <c r="I3430" s="69" t="str">
        <f>IFERROR(VLOOKUP(Data!$G3430,canon!$I$2:$K$27,3,FALSE),"")</f>
        <v>APPAREL</v>
      </c>
      <c r="J3430" s="69">
        <f t="shared" si="106"/>
        <v>1</v>
      </c>
      <c r="K3430" s="69">
        <f t="shared" si="107"/>
        <v>201</v>
      </c>
      <c r="L3430" s="69">
        <f>VLOOKUP(Table_db1_backend_Daily.accdb[[#This Row],[TradingDate]],canon!B:E,4,0)</f>
        <v>31</v>
      </c>
    </row>
    <row r="3431" spans="1:12" x14ac:dyDescent="0.2">
      <c r="A3431" s="69" t="s">
        <v>46</v>
      </c>
      <c r="B3431" s="70">
        <v>42946</v>
      </c>
      <c r="C3431" s="69">
        <v>1276</v>
      </c>
      <c r="D3431" s="69">
        <v>7</v>
      </c>
      <c r="E3431" s="69">
        <v>31.82</v>
      </c>
      <c r="F3431" s="69">
        <v>-0.56000000000000005</v>
      </c>
      <c r="G3431" s="69" t="s">
        <v>25</v>
      </c>
      <c r="H3431" s="69" t="str">
        <f>IFERROR(VLOOKUP(Data!$G3431,canon!$I$2:$K$27,2,FALSE),"")</f>
        <v>TOP</v>
      </c>
      <c r="I3431" s="69" t="str">
        <f>IFERROR(VLOOKUP(Data!$G3431,canon!$I$2:$K$27,3,FALSE),"")</f>
        <v>APPAREL</v>
      </c>
      <c r="J3431" s="69">
        <f t="shared" si="106"/>
        <v>1</v>
      </c>
      <c r="K3431" s="69">
        <f t="shared" si="107"/>
        <v>201</v>
      </c>
      <c r="L3431" s="69">
        <f>VLOOKUP(Table_db1_backend_Daily.accdb[[#This Row],[TradingDate]],canon!B:E,4,0)</f>
        <v>31</v>
      </c>
    </row>
    <row r="3432" spans="1:12" x14ac:dyDescent="0.2">
      <c r="A3432" s="69" t="s">
        <v>46</v>
      </c>
      <c r="B3432" s="70">
        <v>42947</v>
      </c>
      <c r="C3432" s="69">
        <v>-71</v>
      </c>
      <c r="D3432" s="69">
        <v>0</v>
      </c>
      <c r="E3432" s="69">
        <v>0</v>
      </c>
      <c r="F3432" s="69">
        <v>0</v>
      </c>
      <c r="G3432" s="69" t="s">
        <v>27</v>
      </c>
      <c r="H3432" s="69" t="str">
        <f>IFERROR(VLOOKUP(Data!$G3432,canon!$I$2:$K$27,2,FALSE),"")</f>
        <v>ACCESSORY</v>
      </c>
      <c r="I3432" s="69" t="str">
        <f>IFERROR(VLOOKUP(Data!$G3432,canon!$I$2:$K$27,3,FALSE),"")</f>
        <v>N.APPAREL</v>
      </c>
      <c r="J3432" s="69">
        <f t="shared" si="106"/>
        <v>2</v>
      </c>
      <c r="K3432" s="69">
        <f t="shared" si="107"/>
        <v>201</v>
      </c>
      <c r="L3432" s="69">
        <f>VLOOKUP(Table_db1_backend_Daily.accdb[[#This Row],[TradingDate]],canon!B:E,4,0)</f>
        <v>31</v>
      </c>
    </row>
    <row r="3433" spans="1:12" x14ac:dyDescent="0.2">
      <c r="A3433" s="69" t="s">
        <v>46</v>
      </c>
      <c r="B3433" s="70">
        <v>42947</v>
      </c>
      <c r="C3433" s="69">
        <v>-189</v>
      </c>
      <c r="D3433" s="69">
        <v>0</v>
      </c>
      <c r="E3433" s="69">
        <v>0</v>
      </c>
      <c r="F3433" s="69">
        <v>0</v>
      </c>
      <c r="G3433" s="69" t="s">
        <v>34</v>
      </c>
      <c r="H3433" s="69" t="str">
        <f>IFERROR(VLOOKUP(Data!$G3433,canon!$I$2:$K$27,2,FALSE),"")</f>
        <v>SHOES</v>
      </c>
      <c r="I3433" s="69" t="str">
        <f>IFERROR(VLOOKUP(Data!$G3433,canon!$I$2:$K$27,3,FALSE),"")</f>
        <v>N.APPAREL</v>
      </c>
      <c r="J3433" s="69">
        <f t="shared" si="106"/>
        <v>2</v>
      </c>
      <c r="K3433" s="69">
        <f t="shared" si="107"/>
        <v>201</v>
      </c>
      <c r="L3433" s="69">
        <f>VLOOKUP(Table_db1_backend_Daily.accdb[[#This Row],[TradingDate]],canon!B:E,4,0)</f>
        <v>31</v>
      </c>
    </row>
    <row r="3434" spans="1:12" x14ac:dyDescent="0.2">
      <c r="A3434" s="69" t="s">
        <v>46</v>
      </c>
      <c r="B3434" s="70">
        <v>42947</v>
      </c>
      <c r="C3434" s="69">
        <v>-36</v>
      </c>
      <c r="D3434" s="69">
        <v>0</v>
      </c>
      <c r="E3434" s="69">
        <v>0</v>
      </c>
      <c r="F3434" s="69">
        <v>0</v>
      </c>
      <c r="G3434" s="69" t="s">
        <v>38</v>
      </c>
      <c r="H3434" s="69" t="str">
        <f>IFERROR(VLOOKUP(Data!$G3434,canon!$I$2:$K$27,2,FALSE),"")</f>
        <v>SHOES</v>
      </c>
      <c r="I3434" s="69" t="str">
        <f>IFERROR(VLOOKUP(Data!$G3434,canon!$I$2:$K$27,3,FALSE),"")</f>
        <v>N.APPAREL</v>
      </c>
      <c r="J3434" s="69">
        <f t="shared" si="106"/>
        <v>2</v>
      </c>
      <c r="K3434" s="69">
        <f t="shared" si="107"/>
        <v>201</v>
      </c>
      <c r="L3434" s="69">
        <f>VLOOKUP(Table_db1_backend_Daily.accdb[[#This Row],[TradingDate]],canon!B:E,4,0)</f>
        <v>31</v>
      </c>
    </row>
    <row r="3435" spans="1:12" x14ac:dyDescent="0.2">
      <c r="A3435" s="69" t="s">
        <v>46</v>
      </c>
      <c r="B3435" s="70">
        <v>42947</v>
      </c>
      <c r="C3435" s="69">
        <v>404</v>
      </c>
      <c r="D3435" s="69">
        <v>6</v>
      </c>
      <c r="E3435" s="69">
        <v>86.31</v>
      </c>
      <c r="F3435" s="69">
        <v>39.129999999999995</v>
      </c>
      <c r="G3435" s="69" t="s">
        <v>35</v>
      </c>
      <c r="H3435" s="69" t="str">
        <f>IFERROR(VLOOKUP(Data!$G3435,canon!$I$2:$K$27,2,FALSE),"")</f>
        <v>DRESS</v>
      </c>
      <c r="I3435" s="69" t="str">
        <f>IFERROR(VLOOKUP(Data!$G3435,canon!$I$2:$K$27,3,FALSE),"")</f>
        <v>APPAREL</v>
      </c>
      <c r="J3435" s="69">
        <f t="shared" si="106"/>
        <v>2</v>
      </c>
      <c r="K3435" s="69">
        <f t="shared" si="107"/>
        <v>201</v>
      </c>
      <c r="L3435" s="69">
        <f>VLOOKUP(Table_db1_backend_Daily.accdb[[#This Row],[TradingDate]],canon!B:E,4,0)</f>
        <v>31</v>
      </c>
    </row>
    <row r="3436" spans="1:12" x14ac:dyDescent="0.2">
      <c r="A3436" s="69" t="s">
        <v>46</v>
      </c>
      <c r="B3436" s="70">
        <v>42947</v>
      </c>
      <c r="C3436" s="69">
        <v>42</v>
      </c>
      <c r="D3436" s="69">
        <v>0</v>
      </c>
      <c r="E3436" s="69">
        <v>0</v>
      </c>
      <c r="F3436" s="69">
        <v>0</v>
      </c>
      <c r="G3436" s="69" t="s">
        <v>10</v>
      </c>
      <c r="H3436" s="69" t="str">
        <f>IFERROR(VLOOKUP(Data!$G3436,canon!$I$2:$K$27,2,FALSE),"")</f>
        <v>ACCESSORY</v>
      </c>
      <c r="I3436" s="69" t="str">
        <f>IFERROR(VLOOKUP(Data!$G3436,canon!$I$2:$K$27,3,FALSE),"")</f>
        <v>N.APPAREL</v>
      </c>
      <c r="J3436" s="69">
        <f t="shared" si="106"/>
        <v>2</v>
      </c>
      <c r="K3436" s="69">
        <f t="shared" si="107"/>
        <v>201</v>
      </c>
      <c r="L3436" s="69">
        <f>VLOOKUP(Table_db1_backend_Daily.accdb[[#This Row],[TradingDate]],canon!B:E,4,0)</f>
        <v>31</v>
      </c>
    </row>
    <row r="3437" spans="1:12" x14ac:dyDescent="0.2">
      <c r="A3437" s="69" t="s">
        <v>46</v>
      </c>
      <c r="B3437" s="70">
        <v>42947</v>
      </c>
      <c r="C3437" s="69">
        <v>1636</v>
      </c>
      <c r="D3437" s="69">
        <v>59</v>
      </c>
      <c r="E3437" s="69">
        <v>526.89999999999986</v>
      </c>
      <c r="F3437" s="69">
        <v>75.97</v>
      </c>
      <c r="G3437" s="69" t="s">
        <v>11</v>
      </c>
      <c r="H3437" s="69" t="str">
        <f>IFERROR(VLOOKUP(Data!$G3437,canon!$I$2:$K$27,2,FALSE),"")</f>
        <v>KNIT</v>
      </c>
      <c r="I3437" s="69" t="str">
        <f>IFERROR(VLOOKUP(Data!$G3437,canon!$I$2:$K$27,3,FALSE),"")</f>
        <v>APPAREL</v>
      </c>
      <c r="J3437" s="69">
        <f t="shared" si="106"/>
        <v>2</v>
      </c>
      <c r="K3437" s="69">
        <f t="shared" si="107"/>
        <v>201</v>
      </c>
      <c r="L3437" s="69">
        <f>VLOOKUP(Table_db1_backend_Daily.accdb[[#This Row],[TradingDate]],canon!B:E,4,0)</f>
        <v>31</v>
      </c>
    </row>
    <row r="3438" spans="1:12" x14ac:dyDescent="0.2">
      <c r="A3438" s="69" t="s">
        <v>46</v>
      </c>
      <c r="B3438" s="70">
        <v>42947</v>
      </c>
      <c r="C3438" s="69">
        <v>349</v>
      </c>
      <c r="D3438" s="69">
        <v>3</v>
      </c>
      <c r="E3438" s="69">
        <v>22.73</v>
      </c>
      <c r="F3438" s="69">
        <v>2.1899999999999995</v>
      </c>
      <c r="G3438" s="69" t="s">
        <v>14</v>
      </c>
      <c r="H3438" s="69" t="str">
        <f>IFERROR(VLOOKUP(Data!$G3438,canon!$I$2:$K$27,2,FALSE),"")</f>
        <v>LEGGING</v>
      </c>
      <c r="I3438" s="69" t="str">
        <f>IFERROR(VLOOKUP(Data!$G3438,canon!$I$2:$K$27,3,FALSE),"")</f>
        <v>APPAREL</v>
      </c>
      <c r="J3438" s="69">
        <f t="shared" si="106"/>
        <v>2</v>
      </c>
      <c r="K3438" s="69">
        <f t="shared" si="107"/>
        <v>201</v>
      </c>
      <c r="L3438" s="69">
        <f>VLOOKUP(Table_db1_backend_Daily.accdb[[#This Row],[TradingDate]],canon!B:E,4,0)</f>
        <v>31</v>
      </c>
    </row>
    <row r="3439" spans="1:12" x14ac:dyDescent="0.2">
      <c r="A3439" s="69" t="s">
        <v>46</v>
      </c>
      <c r="B3439" s="70">
        <v>42947</v>
      </c>
      <c r="C3439" s="69">
        <v>-4</v>
      </c>
      <c r="D3439" s="69">
        <v>0</v>
      </c>
      <c r="E3439" s="69">
        <v>0</v>
      </c>
      <c r="F3439" s="69">
        <v>0</v>
      </c>
      <c r="G3439" s="69" t="s">
        <v>37</v>
      </c>
      <c r="H3439" s="69" t="str">
        <f>IFERROR(VLOOKUP(Data!$G3439,canon!$I$2:$K$27,2,FALSE),"")</f>
        <v>SHOES</v>
      </c>
      <c r="I3439" s="69" t="str">
        <f>IFERROR(VLOOKUP(Data!$G3439,canon!$I$2:$K$27,3,FALSE),"")</f>
        <v>N.APPAREL</v>
      </c>
      <c r="J3439" s="69">
        <f t="shared" si="106"/>
        <v>2</v>
      </c>
      <c r="K3439" s="69">
        <f t="shared" si="107"/>
        <v>201</v>
      </c>
      <c r="L3439" s="69">
        <f>VLOOKUP(Table_db1_backend_Daily.accdb[[#This Row],[TradingDate]],canon!B:E,4,0)</f>
        <v>31</v>
      </c>
    </row>
    <row r="3440" spans="1:12" x14ac:dyDescent="0.2">
      <c r="A3440" s="69" t="s">
        <v>46</v>
      </c>
      <c r="B3440" s="70">
        <v>42947</v>
      </c>
      <c r="C3440" s="69">
        <v>-35</v>
      </c>
      <c r="D3440" s="69">
        <v>0</v>
      </c>
      <c r="E3440" s="69">
        <v>0</v>
      </c>
      <c r="F3440" s="69">
        <v>0</v>
      </c>
      <c r="G3440" s="69" t="s">
        <v>29</v>
      </c>
      <c r="H3440" s="69" t="str">
        <f>IFERROR(VLOOKUP(Data!$G3440,canon!$I$2:$K$27,2,FALSE),"")</f>
        <v>SHOES</v>
      </c>
      <c r="I3440" s="69" t="str">
        <f>IFERROR(VLOOKUP(Data!$G3440,canon!$I$2:$K$27,3,FALSE),"")</f>
        <v>N.APPAREL</v>
      </c>
      <c r="J3440" s="69">
        <f t="shared" si="106"/>
        <v>2</v>
      </c>
      <c r="K3440" s="69">
        <f t="shared" si="107"/>
        <v>201</v>
      </c>
      <c r="L3440" s="69">
        <f>VLOOKUP(Table_db1_backend_Daily.accdb[[#This Row],[TradingDate]],canon!B:E,4,0)</f>
        <v>31</v>
      </c>
    </row>
    <row r="3441" spans="1:12" x14ac:dyDescent="0.2">
      <c r="A3441" s="69" t="s">
        <v>46</v>
      </c>
      <c r="B3441" s="70">
        <v>42947</v>
      </c>
      <c r="C3441" s="69">
        <v>401</v>
      </c>
      <c r="D3441" s="69">
        <v>4</v>
      </c>
      <c r="E3441" s="69">
        <v>63.629999999999995</v>
      </c>
      <c r="F3441" s="69">
        <v>27.11</v>
      </c>
      <c r="G3441" s="69" t="s">
        <v>17</v>
      </c>
      <c r="H3441" s="69" t="str">
        <f>IFERROR(VLOOKUP(Data!$G3441,canon!$I$2:$K$27,2,FALSE),"")</f>
        <v>OUTER</v>
      </c>
      <c r="I3441" s="69" t="str">
        <f>IFERROR(VLOOKUP(Data!$G3441,canon!$I$2:$K$27,3,FALSE),"")</f>
        <v>APPAREL</v>
      </c>
      <c r="J3441" s="69">
        <f t="shared" si="106"/>
        <v>2</v>
      </c>
      <c r="K3441" s="69">
        <f t="shared" si="107"/>
        <v>201</v>
      </c>
      <c r="L3441" s="69">
        <f>VLOOKUP(Table_db1_backend_Daily.accdb[[#This Row],[TradingDate]],canon!B:E,4,0)</f>
        <v>31</v>
      </c>
    </row>
    <row r="3442" spans="1:12" x14ac:dyDescent="0.2">
      <c r="A3442" s="69" t="s">
        <v>46</v>
      </c>
      <c r="B3442" s="70">
        <v>42947</v>
      </c>
      <c r="C3442" s="69">
        <v>356</v>
      </c>
      <c r="D3442" s="69">
        <v>4</v>
      </c>
      <c r="E3442" s="69">
        <v>40.909999999999997</v>
      </c>
      <c r="F3442" s="69">
        <v>11.350000000000001</v>
      </c>
      <c r="G3442" s="69" t="s">
        <v>19</v>
      </c>
      <c r="H3442" s="69" t="str">
        <f>IFERROR(VLOOKUP(Data!$G3442,canon!$I$2:$K$27,2,FALSE),"")</f>
        <v>PANT</v>
      </c>
      <c r="I3442" s="69" t="str">
        <f>IFERROR(VLOOKUP(Data!$G3442,canon!$I$2:$K$27,3,FALSE),"")</f>
        <v>APPAREL</v>
      </c>
      <c r="J3442" s="69">
        <f t="shared" si="106"/>
        <v>2</v>
      </c>
      <c r="K3442" s="69">
        <f t="shared" si="107"/>
        <v>201</v>
      </c>
      <c r="L3442" s="69">
        <f>VLOOKUP(Table_db1_backend_Daily.accdb[[#This Row],[TradingDate]],canon!B:E,4,0)</f>
        <v>31</v>
      </c>
    </row>
    <row r="3443" spans="1:12" x14ac:dyDescent="0.2">
      <c r="A3443" s="69" t="s">
        <v>46</v>
      </c>
      <c r="B3443" s="70">
        <v>42947</v>
      </c>
      <c r="C3443" s="69">
        <v>199</v>
      </c>
      <c r="D3443" s="69">
        <v>6</v>
      </c>
      <c r="E3443" s="69">
        <v>27.29</v>
      </c>
      <c r="F3443" s="69">
        <v>17.73</v>
      </c>
      <c r="G3443" s="69" t="s">
        <v>22</v>
      </c>
      <c r="H3443" s="69" t="str">
        <f>IFERROR(VLOOKUP(Data!$G3443,canon!$I$2:$K$27,2,FALSE),"")</f>
        <v>SCARF</v>
      </c>
      <c r="I3443" s="69" t="str">
        <f>IFERROR(VLOOKUP(Data!$G3443,canon!$I$2:$K$27,3,FALSE),"")</f>
        <v>N.APPAREL</v>
      </c>
      <c r="J3443" s="69">
        <f t="shared" si="106"/>
        <v>2</v>
      </c>
      <c r="K3443" s="69">
        <f t="shared" si="107"/>
        <v>201</v>
      </c>
      <c r="L3443" s="69">
        <f>VLOOKUP(Table_db1_backend_Daily.accdb[[#This Row],[TradingDate]],canon!B:E,4,0)</f>
        <v>31</v>
      </c>
    </row>
    <row r="3444" spans="1:12" x14ac:dyDescent="0.2">
      <c r="A3444" s="69" t="s">
        <v>46</v>
      </c>
      <c r="B3444" s="70">
        <v>42947</v>
      </c>
      <c r="C3444" s="69">
        <v>341</v>
      </c>
      <c r="D3444" s="69">
        <v>0</v>
      </c>
      <c r="E3444" s="69">
        <v>0</v>
      </c>
      <c r="F3444" s="69">
        <v>0</v>
      </c>
      <c r="G3444" s="69" t="s">
        <v>23</v>
      </c>
      <c r="H3444" s="69" t="str">
        <f>IFERROR(VLOOKUP(Data!$G3444,canon!$I$2:$K$27,2,FALSE),"")</f>
        <v>SH&amp;BL</v>
      </c>
      <c r="I3444" s="69" t="str">
        <f>IFERROR(VLOOKUP(Data!$G3444,canon!$I$2:$K$27,3,FALSE),"")</f>
        <v>APPAREL</v>
      </c>
      <c r="J3444" s="69">
        <f t="shared" si="106"/>
        <v>2</v>
      </c>
      <c r="K3444" s="69">
        <f t="shared" si="107"/>
        <v>201</v>
      </c>
      <c r="L3444" s="69">
        <f>VLOOKUP(Table_db1_backend_Daily.accdb[[#This Row],[TradingDate]],canon!B:E,4,0)</f>
        <v>31</v>
      </c>
    </row>
    <row r="3445" spans="1:12" x14ac:dyDescent="0.2">
      <c r="A3445" s="69" t="s">
        <v>46</v>
      </c>
      <c r="B3445" s="70">
        <v>42947</v>
      </c>
      <c r="C3445" s="69">
        <v>325</v>
      </c>
      <c r="D3445" s="69">
        <v>2</v>
      </c>
      <c r="E3445" s="69">
        <v>22.73</v>
      </c>
      <c r="F3445" s="69">
        <v>14.25</v>
      </c>
      <c r="G3445" s="69" t="s">
        <v>32</v>
      </c>
      <c r="H3445" s="69" t="str">
        <f>IFERROR(VLOOKUP(Data!$G3445,canon!$I$2:$K$27,2,FALSE),"")</f>
        <v>SKIRT</v>
      </c>
      <c r="I3445" s="69" t="str">
        <f>IFERROR(VLOOKUP(Data!$G3445,canon!$I$2:$K$27,3,FALSE),"")</f>
        <v>APPAREL</v>
      </c>
      <c r="J3445" s="69">
        <f t="shared" si="106"/>
        <v>2</v>
      </c>
      <c r="K3445" s="69">
        <f t="shared" si="107"/>
        <v>201</v>
      </c>
      <c r="L3445" s="69">
        <f>VLOOKUP(Table_db1_backend_Daily.accdb[[#This Row],[TradingDate]],canon!B:E,4,0)</f>
        <v>31</v>
      </c>
    </row>
    <row r="3446" spans="1:12" x14ac:dyDescent="0.2">
      <c r="A3446" s="69" t="s">
        <v>46</v>
      </c>
      <c r="B3446" s="70">
        <v>42947</v>
      </c>
      <c r="C3446" s="69">
        <v>1513</v>
      </c>
      <c r="D3446" s="69">
        <v>9</v>
      </c>
      <c r="E3446" s="69">
        <v>45.480000000000004</v>
      </c>
      <c r="F3446" s="69">
        <v>2.4299999999999979</v>
      </c>
      <c r="G3446" s="69" t="s">
        <v>25</v>
      </c>
      <c r="H3446" s="69" t="str">
        <f>IFERROR(VLOOKUP(Data!$G3446,canon!$I$2:$K$27,2,FALSE),"")</f>
        <v>TOP</v>
      </c>
      <c r="I3446" s="69" t="str">
        <f>IFERROR(VLOOKUP(Data!$G3446,canon!$I$2:$K$27,3,FALSE),"")</f>
        <v>APPAREL</v>
      </c>
      <c r="J3446" s="69">
        <f t="shared" si="106"/>
        <v>2</v>
      </c>
      <c r="K3446" s="69">
        <f t="shared" si="107"/>
        <v>201</v>
      </c>
      <c r="L3446" s="69">
        <f>VLOOKUP(Table_db1_backend_Daily.accdb[[#This Row],[TradingDate]],canon!B:E,4,0)</f>
        <v>31</v>
      </c>
    </row>
    <row r="3447" spans="1:12" x14ac:dyDescent="0.2">
      <c r="A3447" s="69" t="s">
        <v>46</v>
      </c>
      <c r="B3447" s="70">
        <v>42948</v>
      </c>
      <c r="C3447" s="69">
        <v>-71</v>
      </c>
      <c r="D3447" s="69">
        <v>0</v>
      </c>
      <c r="E3447" s="69">
        <v>0</v>
      </c>
      <c r="F3447" s="69">
        <v>0</v>
      </c>
      <c r="G3447" s="69" t="s">
        <v>27</v>
      </c>
      <c r="H3447" s="69" t="str">
        <f>IFERROR(VLOOKUP(Data!$G3447,canon!$I$2:$K$27,2,FALSE),"")</f>
        <v>ACCESSORY</v>
      </c>
      <c r="I3447" s="69" t="str">
        <f>IFERROR(VLOOKUP(Data!$G3447,canon!$I$2:$K$27,3,FALSE),"")</f>
        <v>N.APPAREL</v>
      </c>
      <c r="J3447" s="69">
        <f t="shared" si="106"/>
        <v>3</v>
      </c>
      <c r="K3447" s="69">
        <f t="shared" si="107"/>
        <v>201</v>
      </c>
      <c r="L3447" s="69">
        <f>VLOOKUP(Table_db1_backend_Daily.accdb[[#This Row],[TradingDate]],canon!B:E,4,0)</f>
        <v>31</v>
      </c>
    </row>
    <row r="3448" spans="1:12" x14ac:dyDescent="0.2">
      <c r="A3448" s="69" t="s">
        <v>46</v>
      </c>
      <c r="B3448" s="70">
        <v>42948</v>
      </c>
      <c r="C3448" s="69">
        <v>-189</v>
      </c>
      <c r="D3448" s="69">
        <v>0</v>
      </c>
      <c r="E3448" s="69">
        <v>0</v>
      </c>
      <c r="F3448" s="69">
        <v>0</v>
      </c>
      <c r="G3448" s="69" t="s">
        <v>34</v>
      </c>
      <c r="H3448" s="69" t="str">
        <f>IFERROR(VLOOKUP(Data!$G3448,canon!$I$2:$K$27,2,FALSE),"")</f>
        <v>SHOES</v>
      </c>
      <c r="I3448" s="69" t="str">
        <f>IFERROR(VLOOKUP(Data!$G3448,canon!$I$2:$K$27,3,FALSE),"")</f>
        <v>N.APPAREL</v>
      </c>
      <c r="J3448" s="69">
        <f t="shared" si="106"/>
        <v>3</v>
      </c>
      <c r="K3448" s="69">
        <f t="shared" si="107"/>
        <v>201</v>
      </c>
      <c r="L3448" s="69">
        <f>VLOOKUP(Table_db1_backend_Daily.accdb[[#This Row],[TradingDate]],canon!B:E,4,0)</f>
        <v>31</v>
      </c>
    </row>
    <row r="3449" spans="1:12" x14ac:dyDescent="0.2">
      <c r="A3449" s="69" t="s">
        <v>46</v>
      </c>
      <c r="B3449" s="70">
        <v>42948</v>
      </c>
      <c r="C3449" s="69">
        <v>-36</v>
      </c>
      <c r="D3449" s="69">
        <v>0</v>
      </c>
      <c r="E3449" s="69">
        <v>0</v>
      </c>
      <c r="F3449" s="69">
        <v>0</v>
      </c>
      <c r="G3449" s="69" t="s">
        <v>38</v>
      </c>
      <c r="H3449" s="69" t="str">
        <f>IFERROR(VLOOKUP(Data!$G3449,canon!$I$2:$K$27,2,FALSE),"")</f>
        <v>SHOES</v>
      </c>
      <c r="I3449" s="69" t="str">
        <f>IFERROR(VLOOKUP(Data!$G3449,canon!$I$2:$K$27,3,FALSE),"")</f>
        <v>N.APPAREL</v>
      </c>
      <c r="J3449" s="69">
        <f t="shared" si="106"/>
        <v>3</v>
      </c>
      <c r="K3449" s="69">
        <f t="shared" si="107"/>
        <v>201</v>
      </c>
      <c r="L3449" s="69">
        <f>VLOOKUP(Table_db1_backend_Daily.accdb[[#This Row],[TradingDate]],canon!B:E,4,0)</f>
        <v>31</v>
      </c>
    </row>
    <row r="3450" spans="1:12" x14ac:dyDescent="0.2">
      <c r="A3450" s="69" t="s">
        <v>46</v>
      </c>
      <c r="B3450" s="70">
        <v>42948</v>
      </c>
      <c r="C3450" s="69">
        <v>447</v>
      </c>
      <c r="D3450" s="69">
        <v>11</v>
      </c>
      <c r="E3450" s="69">
        <v>181.72</v>
      </c>
      <c r="F3450" s="69">
        <v>110.17999999999999</v>
      </c>
      <c r="G3450" s="69" t="s">
        <v>35</v>
      </c>
      <c r="H3450" s="69" t="str">
        <f>IFERROR(VLOOKUP(Data!$G3450,canon!$I$2:$K$27,2,FALSE),"")</f>
        <v>DRESS</v>
      </c>
      <c r="I3450" s="69" t="str">
        <f>IFERROR(VLOOKUP(Data!$G3450,canon!$I$2:$K$27,3,FALSE),"")</f>
        <v>APPAREL</v>
      </c>
      <c r="J3450" s="69">
        <f t="shared" si="106"/>
        <v>3</v>
      </c>
      <c r="K3450" s="69">
        <f t="shared" si="107"/>
        <v>201</v>
      </c>
      <c r="L3450" s="69">
        <f>VLOOKUP(Table_db1_backend_Daily.accdb[[#This Row],[TradingDate]],canon!B:E,4,0)</f>
        <v>31</v>
      </c>
    </row>
    <row r="3451" spans="1:12" x14ac:dyDescent="0.2">
      <c r="A3451" s="69" t="s">
        <v>46</v>
      </c>
      <c r="B3451" s="70">
        <v>42948</v>
      </c>
      <c r="C3451" s="69">
        <v>42</v>
      </c>
      <c r="D3451" s="69">
        <v>0</v>
      </c>
      <c r="E3451" s="69">
        <v>0</v>
      </c>
      <c r="F3451" s="69">
        <v>0</v>
      </c>
      <c r="G3451" s="69" t="s">
        <v>10</v>
      </c>
      <c r="H3451" s="69" t="str">
        <f>IFERROR(VLOOKUP(Data!$G3451,canon!$I$2:$K$27,2,FALSE),"")</f>
        <v>ACCESSORY</v>
      </c>
      <c r="I3451" s="69" t="str">
        <f>IFERROR(VLOOKUP(Data!$G3451,canon!$I$2:$K$27,3,FALSE),"")</f>
        <v>N.APPAREL</v>
      </c>
      <c r="J3451" s="69">
        <f t="shared" si="106"/>
        <v>3</v>
      </c>
      <c r="K3451" s="69">
        <f t="shared" si="107"/>
        <v>201</v>
      </c>
      <c r="L3451" s="69">
        <f>VLOOKUP(Table_db1_backend_Daily.accdb[[#This Row],[TradingDate]],canon!B:E,4,0)</f>
        <v>31</v>
      </c>
    </row>
    <row r="3452" spans="1:12" x14ac:dyDescent="0.2">
      <c r="A3452" s="69" t="s">
        <v>46</v>
      </c>
      <c r="B3452" s="70">
        <v>42948</v>
      </c>
      <c r="C3452" s="69">
        <v>1613</v>
      </c>
      <c r="D3452" s="69">
        <v>47</v>
      </c>
      <c r="E3452" s="69">
        <v>340.91999999999996</v>
      </c>
      <c r="F3452" s="69">
        <v>9.4800000000000022</v>
      </c>
      <c r="G3452" s="69" t="s">
        <v>11</v>
      </c>
      <c r="H3452" s="69" t="str">
        <f>IFERROR(VLOOKUP(Data!$G3452,canon!$I$2:$K$27,2,FALSE),"")</f>
        <v>KNIT</v>
      </c>
      <c r="I3452" s="69" t="str">
        <f>IFERROR(VLOOKUP(Data!$G3452,canon!$I$2:$K$27,3,FALSE),"")</f>
        <v>APPAREL</v>
      </c>
      <c r="J3452" s="69">
        <f t="shared" si="106"/>
        <v>3</v>
      </c>
      <c r="K3452" s="69">
        <f t="shared" si="107"/>
        <v>201</v>
      </c>
      <c r="L3452" s="69">
        <f>VLOOKUP(Table_db1_backend_Daily.accdb[[#This Row],[TradingDate]],canon!B:E,4,0)</f>
        <v>31</v>
      </c>
    </row>
    <row r="3453" spans="1:12" x14ac:dyDescent="0.2">
      <c r="A3453" s="69" t="s">
        <v>46</v>
      </c>
      <c r="B3453" s="70">
        <v>42948</v>
      </c>
      <c r="C3453" s="69">
        <v>354</v>
      </c>
      <c r="D3453" s="69">
        <v>1</v>
      </c>
      <c r="E3453" s="69">
        <v>18.18</v>
      </c>
      <c r="F3453" s="69">
        <v>10.79</v>
      </c>
      <c r="G3453" s="69" t="s">
        <v>14</v>
      </c>
      <c r="H3453" s="69" t="str">
        <f>IFERROR(VLOOKUP(Data!$G3453,canon!$I$2:$K$27,2,FALSE),"")</f>
        <v>LEGGING</v>
      </c>
      <c r="I3453" s="69" t="str">
        <f>IFERROR(VLOOKUP(Data!$G3453,canon!$I$2:$K$27,3,FALSE),"")</f>
        <v>APPAREL</v>
      </c>
      <c r="J3453" s="69">
        <f t="shared" si="106"/>
        <v>3</v>
      </c>
      <c r="K3453" s="69">
        <f t="shared" si="107"/>
        <v>201</v>
      </c>
      <c r="L3453" s="69">
        <f>VLOOKUP(Table_db1_backend_Daily.accdb[[#This Row],[TradingDate]],canon!B:E,4,0)</f>
        <v>31</v>
      </c>
    </row>
    <row r="3454" spans="1:12" x14ac:dyDescent="0.2">
      <c r="A3454" s="69" t="s">
        <v>46</v>
      </c>
      <c r="B3454" s="70">
        <v>42948</v>
      </c>
      <c r="C3454" s="69">
        <v>-4</v>
      </c>
      <c r="D3454" s="69">
        <v>0</v>
      </c>
      <c r="E3454" s="69">
        <v>0</v>
      </c>
      <c r="F3454" s="69">
        <v>0</v>
      </c>
      <c r="G3454" s="69" t="s">
        <v>37</v>
      </c>
      <c r="H3454" s="69" t="str">
        <f>IFERROR(VLOOKUP(Data!$G3454,canon!$I$2:$K$27,2,FALSE),"")</f>
        <v>SHOES</v>
      </c>
      <c r="I3454" s="69" t="str">
        <f>IFERROR(VLOOKUP(Data!$G3454,canon!$I$2:$K$27,3,FALSE),"")</f>
        <v>N.APPAREL</v>
      </c>
      <c r="J3454" s="69">
        <f t="shared" si="106"/>
        <v>3</v>
      </c>
      <c r="K3454" s="69">
        <f t="shared" si="107"/>
        <v>201</v>
      </c>
      <c r="L3454" s="69">
        <f>VLOOKUP(Table_db1_backend_Daily.accdb[[#This Row],[TradingDate]],canon!B:E,4,0)</f>
        <v>31</v>
      </c>
    </row>
    <row r="3455" spans="1:12" x14ac:dyDescent="0.2">
      <c r="A3455" s="69" t="s">
        <v>46</v>
      </c>
      <c r="B3455" s="70">
        <v>42948</v>
      </c>
      <c r="C3455" s="69">
        <v>-35</v>
      </c>
      <c r="D3455" s="69">
        <v>0</v>
      </c>
      <c r="E3455" s="69">
        <v>0</v>
      </c>
      <c r="F3455" s="69">
        <v>0</v>
      </c>
      <c r="G3455" s="69" t="s">
        <v>29</v>
      </c>
      <c r="H3455" s="69" t="str">
        <f>IFERROR(VLOOKUP(Data!$G3455,canon!$I$2:$K$27,2,FALSE),"")</f>
        <v>SHOES</v>
      </c>
      <c r="I3455" s="69" t="str">
        <f>IFERROR(VLOOKUP(Data!$G3455,canon!$I$2:$K$27,3,FALSE),"")</f>
        <v>N.APPAREL</v>
      </c>
      <c r="J3455" s="69">
        <f t="shared" si="106"/>
        <v>3</v>
      </c>
      <c r="K3455" s="69">
        <f t="shared" si="107"/>
        <v>201</v>
      </c>
      <c r="L3455" s="69">
        <f>VLOOKUP(Table_db1_backend_Daily.accdb[[#This Row],[TradingDate]],canon!B:E,4,0)</f>
        <v>31</v>
      </c>
    </row>
    <row r="3456" spans="1:12" x14ac:dyDescent="0.2">
      <c r="A3456" s="69" t="s">
        <v>46</v>
      </c>
      <c r="B3456" s="70">
        <v>42948</v>
      </c>
      <c r="C3456" s="69">
        <v>503</v>
      </c>
      <c r="D3456" s="69">
        <v>6</v>
      </c>
      <c r="E3456" s="69">
        <v>95.4</v>
      </c>
      <c r="F3456" s="69">
        <v>45.36</v>
      </c>
      <c r="G3456" s="69" t="s">
        <v>17</v>
      </c>
      <c r="H3456" s="69" t="str">
        <f>IFERROR(VLOOKUP(Data!$G3456,canon!$I$2:$K$27,2,FALSE),"")</f>
        <v>OUTER</v>
      </c>
      <c r="I3456" s="69" t="str">
        <f>IFERROR(VLOOKUP(Data!$G3456,canon!$I$2:$K$27,3,FALSE),"")</f>
        <v>APPAREL</v>
      </c>
      <c r="J3456" s="69">
        <f t="shared" si="106"/>
        <v>3</v>
      </c>
      <c r="K3456" s="69">
        <f t="shared" si="107"/>
        <v>201</v>
      </c>
      <c r="L3456" s="69">
        <f>VLOOKUP(Table_db1_backend_Daily.accdb[[#This Row],[TradingDate]],canon!B:E,4,0)</f>
        <v>31</v>
      </c>
    </row>
    <row r="3457" spans="1:12" x14ac:dyDescent="0.2">
      <c r="A3457" s="69" t="s">
        <v>46</v>
      </c>
      <c r="B3457" s="70">
        <v>42948</v>
      </c>
      <c r="C3457" s="69">
        <v>354</v>
      </c>
      <c r="D3457" s="69">
        <v>8</v>
      </c>
      <c r="E3457" s="69">
        <v>99.970000000000013</v>
      </c>
      <c r="F3457" s="69">
        <v>51.87</v>
      </c>
      <c r="G3457" s="69" t="s">
        <v>19</v>
      </c>
      <c r="H3457" s="69" t="str">
        <f>IFERROR(VLOOKUP(Data!$G3457,canon!$I$2:$K$27,2,FALSE),"")</f>
        <v>PANT</v>
      </c>
      <c r="I3457" s="69" t="str">
        <f>IFERROR(VLOOKUP(Data!$G3457,canon!$I$2:$K$27,3,FALSE),"")</f>
        <v>APPAREL</v>
      </c>
      <c r="J3457" s="69">
        <f t="shared" si="106"/>
        <v>3</v>
      </c>
      <c r="K3457" s="69">
        <f t="shared" si="107"/>
        <v>201</v>
      </c>
      <c r="L3457" s="69">
        <f>VLOOKUP(Table_db1_backend_Daily.accdb[[#This Row],[TradingDate]],canon!B:E,4,0)</f>
        <v>31</v>
      </c>
    </row>
    <row r="3458" spans="1:12" x14ac:dyDescent="0.2">
      <c r="A3458" s="69" t="s">
        <v>46</v>
      </c>
      <c r="B3458" s="70">
        <v>42948</v>
      </c>
      <c r="C3458" s="69">
        <v>194</v>
      </c>
      <c r="D3458" s="69">
        <v>5</v>
      </c>
      <c r="E3458" s="69">
        <v>22.740000000000002</v>
      </c>
      <c r="F3458" s="69">
        <v>14.049999999999999</v>
      </c>
      <c r="G3458" s="69" t="s">
        <v>22</v>
      </c>
      <c r="H3458" s="69" t="str">
        <f>IFERROR(VLOOKUP(Data!$G3458,canon!$I$2:$K$27,2,FALSE),"")</f>
        <v>SCARF</v>
      </c>
      <c r="I3458" s="69" t="str">
        <f>IFERROR(VLOOKUP(Data!$G3458,canon!$I$2:$K$27,3,FALSE),"")</f>
        <v>N.APPAREL</v>
      </c>
      <c r="J3458" s="69">
        <f t="shared" ref="J3458:J3521" si="108">WEEKDAY(B3458)</f>
        <v>3</v>
      </c>
      <c r="K3458" s="69">
        <f t="shared" ref="K3458:K3521" si="109">INT(A3458)</f>
        <v>201</v>
      </c>
      <c r="L3458" s="69">
        <f>VLOOKUP(Table_db1_backend_Daily.accdb[[#This Row],[TradingDate]],canon!B:E,4,0)</f>
        <v>31</v>
      </c>
    </row>
    <row r="3459" spans="1:12" x14ac:dyDescent="0.2">
      <c r="A3459" s="69" t="s">
        <v>46</v>
      </c>
      <c r="B3459" s="70">
        <v>42948</v>
      </c>
      <c r="C3459" s="69">
        <v>341</v>
      </c>
      <c r="D3459" s="69">
        <v>0</v>
      </c>
      <c r="E3459" s="69">
        <v>0</v>
      </c>
      <c r="F3459" s="69">
        <v>0</v>
      </c>
      <c r="G3459" s="69" t="s">
        <v>23</v>
      </c>
      <c r="H3459" s="69" t="str">
        <f>IFERROR(VLOOKUP(Data!$G3459,canon!$I$2:$K$27,2,FALSE),"")</f>
        <v>SH&amp;BL</v>
      </c>
      <c r="I3459" s="69" t="str">
        <f>IFERROR(VLOOKUP(Data!$G3459,canon!$I$2:$K$27,3,FALSE),"")</f>
        <v>APPAREL</v>
      </c>
      <c r="J3459" s="69">
        <f t="shared" si="108"/>
        <v>3</v>
      </c>
      <c r="K3459" s="69">
        <f t="shared" si="109"/>
        <v>201</v>
      </c>
      <c r="L3459" s="69">
        <f>VLOOKUP(Table_db1_backend_Daily.accdb[[#This Row],[TradingDate]],canon!B:E,4,0)</f>
        <v>31</v>
      </c>
    </row>
    <row r="3460" spans="1:12" x14ac:dyDescent="0.2">
      <c r="A3460" s="69" t="s">
        <v>46</v>
      </c>
      <c r="B3460" s="70">
        <v>42948</v>
      </c>
      <c r="C3460" s="69">
        <v>362</v>
      </c>
      <c r="D3460" s="69">
        <v>5</v>
      </c>
      <c r="E3460" s="69">
        <v>22.73</v>
      </c>
      <c r="F3460" s="69">
        <v>-1.8400000000000003</v>
      </c>
      <c r="G3460" s="69" t="s">
        <v>32</v>
      </c>
      <c r="H3460" s="69" t="str">
        <f>IFERROR(VLOOKUP(Data!$G3460,canon!$I$2:$K$27,2,FALSE),"")</f>
        <v>SKIRT</v>
      </c>
      <c r="I3460" s="69" t="str">
        <f>IFERROR(VLOOKUP(Data!$G3460,canon!$I$2:$K$27,3,FALSE),"")</f>
        <v>APPAREL</v>
      </c>
      <c r="J3460" s="69">
        <f t="shared" si="108"/>
        <v>3</v>
      </c>
      <c r="K3460" s="69">
        <f t="shared" si="109"/>
        <v>201</v>
      </c>
      <c r="L3460" s="69">
        <f>VLOOKUP(Table_db1_backend_Daily.accdb[[#This Row],[TradingDate]],canon!B:E,4,0)</f>
        <v>31</v>
      </c>
    </row>
    <row r="3461" spans="1:12" x14ac:dyDescent="0.2">
      <c r="A3461" s="69" t="s">
        <v>46</v>
      </c>
      <c r="B3461" s="70">
        <v>42948</v>
      </c>
      <c r="C3461" s="69">
        <v>1505</v>
      </c>
      <c r="D3461" s="69">
        <v>20</v>
      </c>
      <c r="E3461" s="69">
        <v>118.17999999999999</v>
      </c>
      <c r="F3461" s="69">
        <v>10.100000000000005</v>
      </c>
      <c r="G3461" s="69" t="s">
        <v>25</v>
      </c>
      <c r="H3461" s="69" t="str">
        <f>IFERROR(VLOOKUP(Data!$G3461,canon!$I$2:$K$27,2,FALSE),"")</f>
        <v>TOP</v>
      </c>
      <c r="I3461" s="69" t="str">
        <f>IFERROR(VLOOKUP(Data!$G3461,canon!$I$2:$K$27,3,FALSE),"")</f>
        <v>APPAREL</v>
      </c>
      <c r="J3461" s="69">
        <f t="shared" si="108"/>
        <v>3</v>
      </c>
      <c r="K3461" s="69">
        <f t="shared" si="109"/>
        <v>201</v>
      </c>
      <c r="L3461" s="69">
        <f>VLOOKUP(Table_db1_backend_Daily.accdb[[#This Row],[TradingDate]],canon!B:E,4,0)</f>
        <v>31</v>
      </c>
    </row>
    <row r="3462" spans="1:12" x14ac:dyDescent="0.2">
      <c r="A3462" s="69" t="s">
        <v>46</v>
      </c>
      <c r="B3462" s="70">
        <v>42949</v>
      </c>
      <c r="C3462" s="69">
        <v>-71</v>
      </c>
      <c r="D3462" s="69">
        <v>0</v>
      </c>
      <c r="E3462" s="69">
        <v>0</v>
      </c>
      <c r="F3462" s="69">
        <v>0</v>
      </c>
      <c r="G3462" s="69" t="s">
        <v>27</v>
      </c>
      <c r="H3462" s="69" t="str">
        <f>IFERROR(VLOOKUP(Data!$G3462,canon!$I$2:$K$27,2,FALSE),"")</f>
        <v>ACCESSORY</v>
      </c>
      <c r="I3462" s="69" t="str">
        <f>IFERROR(VLOOKUP(Data!$G3462,canon!$I$2:$K$27,3,FALSE),"")</f>
        <v>N.APPAREL</v>
      </c>
      <c r="J3462" s="69">
        <f t="shared" si="108"/>
        <v>4</v>
      </c>
      <c r="K3462" s="69">
        <f t="shared" si="109"/>
        <v>201</v>
      </c>
      <c r="L3462" s="69">
        <f>VLOOKUP(Table_db1_backend_Daily.accdb[[#This Row],[TradingDate]],canon!B:E,4,0)</f>
        <v>31</v>
      </c>
    </row>
    <row r="3463" spans="1:12" x14ac:dyDescent="0.2">
      <c r="A3463" s="69" t="s">
        <v>46</v>
      </c>
      <c r="B3463" s="70">
        <v>42949</v>
      </c>
      <c r="C3463" s="69">
        <v>-102</v>
      </c>
      <c r="D3463" s="69">
        <v>0</v>
      </c>
      <c r="E3463" s="69">
        <v>0</v>
      </c>
      <c r="F3463" s="69">
        <v>0</v>
      </c>
      <c r="G3463" s="69" t="s">
        <v>34</v>
      </c>
      <c r="H3463" s="69" t="str">
        <f>IFERROR(VLOOKUP(Data!$G3463,canon!$I$2:$K$27,2,FALSE),"")</f>
        <v>SHOES</v>
      </c>
      <c r="I3463" s="69" t="str">
        <f>IFERROR(VLOOKUP(Data!$G3463,canon!$I$2:$K$27,3,FALSE),"")</f>
        <v>N.APPAREL</v>
      </c>
      <c r="J3463" s="69">
        <f t="shared" si="108"/>
        <v>4</v>
      </c>
      <c r="K3463" s="69">
        <f t="shared" si="109"/>
        <v>201</v>
      </c>
      <c r="L3463" s="69">
        <f>VLOOKUP(Table_db1_backend_Daily.accdb[[#This Row],[TradingDate]],canon!B:E,4,0)</f>
        <v>31</v>
      </c>
    </row>
    <row r="3464" spans="1:12" x14ac:dyDescent="0.2">
      <c r="A3464" s="69" t="s">
        <v>46</v>
      </c>
      <c r="B3464" s="70">
        <v>42949</v>
      </c>
      <c r="C3464" s="69">
        <v>-17</v>
      </c>
      <c r="D3464" s="69">
        <v>0</v>
      </c>
      <c r="E3464" s="69">
        <v>0</v>
      </c>
      <c r="F3464" s="69">
        <v>0</v>
      </c>
      <c r="G3464" s="69" t="s">
        <v>38</v>
      </c>
      <c r="H3464" s="69" t="str">
        <f>IFERROR(VLOOKUP(Data!$G3464,canon!$I$2:$K$27,2,FALSE),"")</f>
        <v>SHOES</v>
      </c>
      <c r="I3464" s="69" t="str">
        <f>IFERROR(VLOOKUP(Data!$G3464,canon!$I$2:$K$27,3,FALSE),"")</f>
        <v>N.APPAREL</v>
      </c>
      <c r="J3464" s="69">
        <f t="shared" si="108"/>
        <v>4</v>
      </c>
      <c r="K3464" s="69">
        <f t="shared" si="109"/>
        <v>201</v>
      </c>
      <c r="L3464" s="69">
        <f>VLOOKUP(Table_db1_backend_Daily.accdb[[#This Row],[TradingDate]],canon!B:E,4,0)</f>
        <v>31</v>
      </c>
    </row>
    <row r="3465" spans="1:12" x14ac:dyDescent="0.2">
      <c r="A3465" s="69" t="s">
        <v>46</v>
      </c>
      <c r="B3465" s="70">
        <v>42949</v>
      </c>
      <c r="C3465" s="69">
        <v>439</v>
      </c>
      <c r="D3465" s="69">
        <v>8</v>
      </c>
      <c r="E3465" s="69">
        <v>127.14000000000001</v>
      </c>
      <c r="F3465" s="69">
        <v>74.08</v>
      </c>
      <c r="G3465" s="69" t="s">
        <v>35</v>
      </c>
      <c r="H3465" s="69" t="str">
        <f>IFERROR(VLOOKUP(Data!$G3465,canon!$I$2:$K$27,2,FALSE),"")</f>
        <v>DRESS</v>
      </c>
      <c r="I3465" s="69" t="str">
        <f>IFERROR(VLOOKUP(Data!$G3465,canon!$I$2:$K$27,3,FALSE),"")</f>
        <v>APPAREL</v>
      </c>
      <c r="J3465" s="69">
        <f t="shared" si="108"/>
        <v>4</v>
      </c>
      <c r="K3465" s="69">
        <f t="shared" si="109"/>
        <v>201</v>
      </c>
      <c r="L3465" s="69">
        <f>VLOOKUP(Table_db1_backend_Daily.accdb[[#This Row],[TradingDate]],canon!B:E,4,0)</f>
        <v>31</v>
      </c>
    </row>
    <row r="3466" spans="1:12" x14ac:dyDescent="0.2">
      <c r="A3466" s="69" t="s">
        <v>46</v>
      </c>
      <c r="B3466" s="70">
        <v>42949</v>
      </c>
      <c r="C3466" s="69">
        <v>41</v>
      </c>
      <c r="D3466" s="69">
        <v>0</v>
      </c>
      <c r="E3466" s="69">
        <v>0</v>
      </c>
      <c r="F3466" s="69">
        <v>0</v>
      </c>
      <c r="G3466" s="69" t="s">
        <v>10</v>
      </c>
      <c r="H3466" s="69" t="str">
        <f>IFERROR(VLOOKUP(Data!$G3466,canon!$I$2:$K$27,2,FALSE),"")</f>
        <v>ACCESSORY</v>
      </c>
      <c r="I3466" s="69" t="str">
        <f>IFERROR(VLOOKUP(Data!$G3466,canon!$I$2:$K$27,3,FALSE),"")</f>
        <v>N.APPAREL</v>
      </c>
      <c r="J3466" s="69">
        <f t="shared" si="108"/>
        <v>4</v>
      </c>
      <c r="K3466" s="69">
        <f t="shared" si="109"/>
        <v>201</v>
      </c>
      <c r="L3466" s="69">
        <f>VLOOKUP(Table_db1_backend_Daily.accdb[[#This Row],[TradingDate]],canon!B:E,4,0)</f>
        <v>31</v>
      </c>
    </row>
    <row r="3467" spans="1:12" x14ac:dyDescent="0.2">
      <c r="A3467" s="69" t="s">
        <v>46</v>
      </c>
      <c r="B3467" s="70">
        <v>42949</v>
      </c>
      <c r="C3467" s="69">
        <v>1542</v>
      </c>
      <c r="D3467" s="69">
        <v>71</v>
      </c>
      <c r="E3467" s="69">
        <v>608.38999999999987</v>
      </c>
      <c r="F3467" s="69">
        <v>92.509999999999977</v>
      </c>
      <c r="G3467" s="69" t="s">
        <v>11</v>
      </c>
      <c r="H3467" s="69" t="str">
        <f>IFERROR(VLOOKUP(Data!$G3467,canon!$I$2:$K$27,2,FALSE),"")</f>
        <v>KNIT</v>
      </c>
      <c r="I3467" s="69" t="str">
        <f>IFERROR(VLOOKUP(Data!$G3467,canon!$I$2:$K$27,3,FALSE),"")</f>
        <v>APPAREL</v>
      </c>
      <c r="J3467" s="69">
        <f t="shared" si="108"/>
        <v>4</v>
      </c>
      <c r="K3467" s="69">
        <f t="shared" si="109"/>
        <v>201</v>
      </c>
      <c r="L3467" s="69">
        <f>VLOOKUP(Table_db1_backend_Daily.accdb[[#This Row],[TradingDate]],canon!B:E,4,0)</f>
        <v>31</v>
      </c>
    </row>
    <row r="3468" spans="1:12" x14ac:dyDescent="0.2">
      <c r="A3468" s="69" t="s">
        <v>46</v>
      </c>
      <c r="B3468" s="70">
        <v>42949</v>
      </c>
      <c r="C3468" s="69">
        <v>343</v>
      </c>
      <c r="D3468" s="69">
        <v>4</v>
      </c>
      <c r="E3468" s="69">
        <v>36.35</v>
      </c>
      <c r="F3468" s="69">
        <v>12.44</v>
      </c>
      <c r="G3468" s="69" t="s">
        <v>14</v>
      </c>
      <c r="H3468" s="69" t="str">
        <f>IFERROR(VLOOKUP(Data!$G3468,canon!$I$2:$K$27,2,FALSE),"")</f>
        <v>LEGGING</v>
      </c>
      <c r="I3468" s="69" t="str">
        <f>IFERROR(VLOOKUP(Data!$G3468,canon!$I$2:$K$27,3,FALSE),"")</f>
        <v>APPAREL</v>
      </c>
      <c r="J3468" s="69">
        <f t="shared" si="108"/>
        <v>4</v>
      </c>
      <c r="K3468" s="69">
        <f t="shared" si="109"/>
        <v>201</v>
      </c>
      <c r="L3468" s="69">
        <f>VLOOKUP(Table_db1_backend_Daily.accdb[[#This Row],[TradingDate]],canon!B:E,4,0)</f>
        <v>31</v>
      </c>
    </row>
    <row r="3469" spans="1:12" x14ac:dyDescent="0.2">
      <c r="A3469" s="69" t="s">
        <v>46</v>
      </c>
      <c r="B3469" s="70">
        <v>42949</v>
      </c>
      <c r="C3469" s="69">
        <v>0</v>
      </c>
      <c r="D3469" s="69">
        <v>0</v>
      </c>
      <c r="E3469" s="69">
        <v>0</v>
      </c>
      <c r="F3469" s="69">
        <v>0</v>
      </c>
      <c r="G3469" s="69" t="s">
        <v>37</v>
      </c>
      <c r="H3469" s="69" t="str">
        <f>IFERROR(VLOOKUP(Data!$G3469,canon!$I$2:$K$27,2,FALSE),"")</f>
        <v>SHOES</v>
      </c>
      <c r="I3469" s="69" t="str">
        <f>IFERROR(VLOOKUP(Data!$G3469,canon!$I$2:$K$27,3,FALSE),"")</f>
        <v>N.APPAREL</v>
      </c>
      <c r="J3469" s="69">
        <f t="shared" si="108"/>
        <v>4</v>
      </c>
      <c r="K3469" s="69">
        <f t="shared" si="109"/>
        <v>201</v>
      </c>
      <c r="L3469" s="69">
        <f>VLOOKUP(Table_db1_backend_Daily.accdb[[#This Row],[TradingDate]],canon!B:E,4,0)</f>
        <v>31</v>
      </c>
    </row>
    <row r="3470" spans="1:12" x14ac:dyDescent="0.2">
      <c r="A3470" s="69" t="s">
        <v>46</v>
      </c>
      <c r="B3470" s="70">
        <v>42949</v>
      </c>
      <c r="C3470" s="69">
        <v>1</v>
      </c>
      <c r="D3470" s="69">
        <v>0</v>
      </c>
      <c r="E3470" s="69">
        <v>0</v>
      </c>
      <c r="F3470" s="69">
        <v>0</v>
      </c>
      <c r="G3470" s="69" t="s">
        <v>29</v>
      </c>
      <c r="H3470" s="69" t="str">
        <f>IFERROR(VLOOKUP(Data!$G3470,canon!$I$2:$K$27,2,FALSE),"")</f>
        <v>SHOES</v>
      </c>
      <c r="I3470" s="69" t="str">
        <f>IFERROR(VLOOKUP(Data!$G3470,canon!$I$2:$K$27,3,FALSE),"")</f>
        <v>N.APPAREL</v>
      </c>
      <c r="J3470" s="69">
        <f t="shared" si="108"/>
        <v>4</v>
      </c>
      <c r="K3470" s="69">
        <f t="shared" si="109"/>
        <v>201</v>
      </c>
      <c r="L3470" s="69">
        <f>VLOOKUP(Table_db1_backend_Daily.accdb[[#This Row],[TradingDate]],canon!B:E,4,0)</f>
        <v>31</v>
      </c>
    </row>
    <row r="3471" spans="1:12" x14ac:dyDescent="0.2">
      <c r="A3471" s="69" t="s">
        <v>46</v>
      </c>
      <c r="B3471" s="70">
        <v>42949</v>
      </c>
      <c r="C3471" s="69">
        <v>497</v>
      </c>
      <c r="D3471" s="69">
        <v>6</v>
      </c>
      <c r="E3471" s="69">
        <v>113.55</v>
      </c>
      <c r="F3471" s="69">
        <v>71.169999999999987</v>
      </c>
      <c r="G3471" s="69" t="s">
        <v>17</v>
      </c>
      <c r="H3471" s="69" t="str">
        <f>IFERROR(VLOOKUP(Data!$G3471,canon!$I$2:$K$27,2,FALSE),"")</f>
        <v>OUTER</v>
      </c>
      <c r="I3471" s="69" t="str">
        <f>IFERROR(VLOOKUP(Data!$G3471,canon!$I$2:$K$27,3,FALSE),"")</f>
        <v>APPAREL</v>
      </c>
      <c r="J3471" s="69">
        <f t="shared" si="108"/>
        <v>4</v>
      </c>
      <c r="K3471" s="69">
        <f t="shared" si="109"/>
        <v>201</v>
      </c>
      <c r="L3471" s="69">
        <f>VLOOKUP(Table_db1_backend_Daily.accdb[[#This Row],[TradingDate]],canon!B:E,4,0)</f>
        <v>31</v>
      </c>
    </row>
    <row r="3472" spans="1:12" x14ac:dyDescent="0.2">
      <c r="A3472" s="69" t="s">
        <v>46</v>
      </c>
      <c r="B3472" s="70">
        <v>42949</v>
      </c>
      <c r="C3472" s="69">
        <v>339</v>
      </c>
      <c r="D3472" s="69">
        <v>2</v>
      </c>
      <c r="E3472" s="69">
        <v>27.18</v>
      </c>
      <c r="F3472" s="69">
        <v>9.7799999999999994</v>
      </c>
      <c r="G3472" s="69" t="s">
        <v>19</v>
      </c>
      <c r="H3472" s="69" t="str">
        <f>IFERROR(VLOOKUP(Data!$G3472,canon!$I$2:$K$27,2,FALSE),"")</f>
        <v>PANT</v>
      </c>
      <c r="I3472" s="69" t="str">
        <f>IFERROR(VLOOKUP(Data!$G3472,canon!$I$2:$K$27,3,FALSE),"")</f>
        <v>APPAREL</v>
      </c>
      <c r="J3472" s="69">
        <f t="shared" si="108"/>
        <v>4</v>
      </c>
      <c r="K3472" s="69">
        <f t="shared" si="109"/>
        <v>201</v>
      </c>
      <c r="L3472" s="69">
        <f>VLOOKUP(Table_db1_backend_Daily.accdb[[#This Row],[TradingDate]],canon!B:E,4,0)</f>
        <v>31</v>
      </c>
    </row>
    <row r="3473" spans="1:12" x14ac:dyDescent="0.2">
      <c r="A3473" s="69" t="s">
        <v>46</v>
      </c>
      <c r="B3473" s="70">
        <v>42949</v>
      </c>
      <c r="C3473" s="69">
        <v>206</v>
      </c>
      <c r="D3473" s="69">
        <v>4</v>
      </c>
      <c r="E3473" s="69">
        <v>18.2</v>
      </c>
      <c r="F3473" s="69">
        <v>11.68</v>
      </c>
      <c r="G3473" s="69" t="s">
        <v>22</v>
      </c>
      <c r="H3473" s="69" t="str">
        <f>IFERROR(VLOOKUP(Data!$G3473,canon!$I$2:$K$27,2,FALSE),"")</f>
        <v>SCARF</v>
      </c>
      <c r="I3473" s="69" t="str">
        <f>IFERROR(VLOOKUP(Data!$G3473,canon!$I$2:$K$27,3,FALSE),"")</f>
        <v>N.APPAREL</v>
      </c>
      <c r="J3473" s="69">
        <f t="shared" si="108"/>
        <v>4</v>
      </c>
      <c r="K3473" s="69">
        <f t="shared" si="109"/>
        <v>201</v>
      </c>
      <c r="L3473" s="69">
        <f>VLOOKUP(Table_db1_backend_Daily.accdb[[#This Row],[TradingDate]],canon!B:E,4,0)</f>
        <v>31</v>
      </c>
    </row>
    <row r="3474" spans="1:12" x14ac:dyDescent="0.2">
      <c r="A3474" s="69" t="s">
        <v>46</v>
      </c>
      <c r="B3474" s="70">
        <v>42949</v>
      </c>
      <c r="C3474" s="69">
        <v>340</v>
      </c>
      <c r="D3474" s="69">
        <v>1</v>
      </c>
      <c r="E3474" s="69">
        <v>13.59</v>
      </c>
      <c r="F3474" s="69">
        <v>5.55</v>
      </c>
      <c r="G3474" s="69" t="s">
        <v>23</v>
      </c>
      <c r="H3474" s="69" t="str">
        <f>IFERROR(VLOOKUP(Data!$G3474,canon!$I$2:$K$27,2,FALSE),"")</f>
        <v>SH&amp;BL</v>
      </c>
      <c r="I3474" s="69" t="str">
        <f>IFERROR(VLOOKUP(Data!$G3474,canon!$I$2:$K$27,3,FALSE),"")</f>
        <v>APPAREL</v>
      </c>
      <c r="J3474" s="69">
        <f t="shared" si="108"/>
        <v>4</v>
      </c>
      <c r="K3474" s="69">
        <f t="shared" si="109"/>
        <v>201</v>
      </c>
      <c r="L3474" s="69">
        <f>VLOOKUP(Table_db1_backend_Daily.accdb[[#This Row],[TradingDate]],canon!B:E,4,0)</f>
        <v>31</v>
      </c>
    </row>
    <row r="3475" spans="1:12" x14ac:dyDescent="0.2">
      <c r="A3475" s="69" t="s">
        <v>46</v>
      </c>
      <c r="B3475" s="70">
        <v>42949</v>
      </c>
      <c r="C3475" s="69">
        <v>361</v>
      </c>
      <c r="D3475" s="69">
        <v>1</v>
      </c>
      <c r="E3475" s="69">
        <v>4.55</v>
      </c>
      <c r="F3475" s="69">
        <v>1.07</v>
      </c>
      <c r="G3475" s="69" t="s">
        <v>32</v>
      </c>
      <c r="H3475" s="69" t="str">
        <f>IFERROR(VLOOKUP(Data!$G3475,canon!$I$2:$K$27,2,FALSE),"")</f>
        <v>SKIRT</v>
      </c>
      <c r="I3475" s="69" t="str">
        <f>IFERROR(VLOOKUP(Data!$G3475,canon!$I$2:$K$27,3,FALSE),"")</f>
        <v>APPAREL</v>
      </c>
      <c r="J3475" s="69">
        <f t="shared" si="108"/>
        <v>4</v>
      </c>
      <c r="K3475" s="69">
        <f t="shared" si="109"/>
        <v>201</v>
      </c>
      <c r="L3475" s="69">
        <f>VLOOKUP(Table_db1_backend_Daily.accdb[[#This Row],[TradingDate]],canon!B:E,4,0)</f>
        <v>31</v>
      </c>
    </row>
    <row r="3476" spans="1:12" x14ac:dyDescent="0.2">
      <c r="A3476" s="69" t="s">
        <v>46</v>
      </c>
      <c r="B3476" s="70">
        <v>42949</v>
      </c>
      <c r="C3476" s="69">
        <v>1480</v>
      </c>
      <c r="D3476" s="69">
        <v>26</v>
      </c>
      <c r="E3476" s="69">
        <v>122.77</v>
      </c>
      <c r="F3476" s="69">
        <v>-6.1300000000000008</v>
      </c>
      <c r="G3476" s="69" t="s">
        <v>25</v>
      </c>
      <c r="H3476" s="69" t="str">
        <f>IFERROR(VLOOKUP(Data!$G3476,canon!$I$2:$K$27,2,FALSE),"")</f>
        <v>TOP</v>
      </c>
      <c r="I3476" s="69" t="str">
        <f>IFERROR(VLOOKUP(Data!$G3476,canon!$I$2:$K$27,3,FALSE),"")</f>
        <v>APPAREL</v>
      </c>
      <c r="J3476" s="69">
        <f t="shared" si="108"/>
        <v>4</v>
      </c>
      <c r="K3476" s="69">
        <f t="shared" si="109"/>
        <v>201</v>
      </c>
      <c r="L3476" s="69">
        <f>VLOOKUP(Table_db1_backend_Daily.accdb[[#This Row],[TradingDate]],canon!B:E,4,0)</f>
        <v>31</v>
      </c>
    </row>
    <row r="3477" spans="1:12" x14ac:dyDescent="0.2">
      <c r="A3477" s="69" t="s">
        <v>46</v>
      </c>
      <c r="B3477" s="70">
        <v>42950</v>
      </c>
      <c r="C3477" s="69">
        <v>-72</v>
      </c>
      <c r="D3477" s="69">
        <v>1</v>
      </c>
      <c r="E3477" s="69">
        <v>4.54</v>
      </c>
      <c r="F3477" s="69">
        <v>1.65</v>
      </c>
      <c r="G3477" s="69" t="s">
        <v>27</v>
      </c>
      <c r="H3477" s="69" t="str">
        <f>IFERROR(VLOOKUP(Data!$G3477,canon!$I$2:$K$27,2,FALSE),"")</f>
        <v>ACCESSORY</v>
      </c>
      <c r="I3477" s="69" t="str">
        <f>IFERROR(VLOOKUP(Data!$G3477,canon!$I$2:$K$27,3,FALSE),"")</f>
        <v>N.APPAREL</v>
      </c>
      <c r="J3477" s="69">
        <f t="shared" si="108"/>
        <v>5</v>
      </c>
      <c r="K3477" s="69">
        <f t="shared" si="109"/>
        <v>201</v>
      </c>
      <c r="L3477" s="69">
        <f>VLOOKUP(Table_db1_backend_Daily.accdb[[#This Row],[TradingDate]],canon!B:E,4,0)</f>
        <v>31</v>
      </c>
    </row>
    <row r="3478" spans="1:12" x14ac:dyDescent="0.2">
      <c r="A3478" s="69" t="s">
        <v>46</v>
      </c>
      <c r="B3478" s="70">
        <v>42950</v>
      </c>
      <c r="C3478" s="69">
        <v>-189</v>
      </c>
      <c r="D3478" s="69">
        <v>0</v>
      </c>
      <c r="E3478" s="69">
        <v>0</v>
      </c>
      <c r="F3478" s="69">
        <v>0</v>
      </c>
      <c r="G3478" s="69" t="s">
        <v>34</v>
      </c>
      <c r="H3478" s="69" t="str">
        <f>IFERROR(VLOOKUP(Data!$G3478,canon!$I$2:$K$27,2,FALSE),"")</f>
        <v>SHOES</v>
      </c>
      <c r="I3478" s="69" t="str">
        <f>IFERROR(VLOOKUP(Data!$G3478,canon!$I$2:$K$27,3,FALSE),"")</f>
        <v>N.APPAREL</v>
      </c>
      <c r="J3478" s="69">
        <f t="shared" si="108"/>
        <v>5</v>
      </c>
      <c r="K3478" s="69">
        <f t="shared" si="109"/>
        <v>201</v>
      </c>
      <c r="L3478" s="69">
        <f>VLOOKUP(Table_db1_backend_Daily.accdb[[#This Row],[TradingDate]],canon!B:E,4,0)</f>
        <v>31</v>
      </c>
    </row>
    <row r="3479" spans="1:12" x14ac:dyDescent="0.2">
      <c r="A3479" s="69" t="s">
        <v>46</v>
      </c>
      <c r="B3479" s="70">
        <v>42950</v>
      </c>
      <c r="C3479" s="69">
        <v>-36</v>
      </c>
      <c r="D3479" s="69">
        <v>0</v>
      </c>
      <c r="E3479" s="69">
        <v>0</v>
      </c>
      <c r="F3479" s="69">
        <v>0</v>
      </c>
      <c r="G3479" s="69" t="s">
        <v>38</v>
      </c>
      <c r="H3479" s="69" t="str">
        <f>IFERROR(VLOOKUP(Data!$G3479,canon!$I$2:$K$27,2,FALSE),"")</f>
        <v>SHOES</v>
      </c>
      <c r="I3479" s="69" t="str">
        <f>IFERROR(VLOOKUP(Data!$G3479,canon!$I$2:$K$27,3,FALSE),"")</f>
        <v>N.APPAREL</v>
      </c>
      <c r="J3479" s="69">
        <f t="shared" si="108"/>
        <v>5</v>
      </c>
      <c r="K3479" s="69">
        <f t="shared" si="109"/>
        <v>201</v>
      </c>
      <c r="L3479" s="69">
        <f>VLOOKUP(Table_db1_backend_Daily.accdb[[#This Row],[TradingDate]],canon!B:E,4,0)</f>
        <v>31</v>
      </c>
    </row>
    <row r="3480" spans="1:12" x14ac:dyDescent="0.2">
      <c r="A3480" s="69" t="s">
        <v>46</v>
      </c>
      <c r="B3480" s="70">
        <v>42950</v>
      </c>
      <c r="C3480" s="69">
        <v>429</v>
      </c>
      <c r="D3480" s="69">
        <v>10</v>
      </c>
      <c r="E3480" s="69">
        <v>154.30000000000001</v>
      </c>
      <c r="F3480" s="69">
        <v>71.78</v>
      </c>
      <c r="G3480" s="69" t="s">
        <v>35</v>
      </c>
      <c r="H3480" s="69" t="str">
        <f>IFERROR(VLOOKUP(Data!$G3480,canon!$I$2:$K$27,2,FALSE),"")</f>
        <v>DRESS</v>
      </c>
      <c r="I3480" s="69" t="str">
        <f>IFERROR(VLOOKUP(Data!$G3480,canon!$I$2:$K$27,3,FALSE),"")</f>
        <v>APPAREL</v>
      </c>
      <c r="J3480" s="69">
        <f t="shared" si="108"/>
        <v>5</v>
      </c>
      <c r="K3480" s="69">
        <f t="shared" si="109"/>
        <v>201</v>
      </c>
      <c r="L3480" s="69">
        <f>VLOOKUP(Table_db1_backend_Daily.accdb[[#This Row],[TradingDate]],canon!B:E,4,0)</f>
        <v>31</v>
      </c>
    </row>
    <row r="3481" spans="1:12" x14ac:dyDescent="0.2">
      <c r="A3481" s="69" t="s">
        <v>46</v>
      </c>
      <c r="B3481" s="70">
        <v>42950</v>
      </c>
      <c r="C3481" s="69">
        <v>42</v>
      </c>
      <c r="D3481" s="69">
        <v>0</v>
      </c>
      <c r="E3481" s="69">
        <v>0</v>
      </c>
      <c r="F3481" s="69">
        <v>0</v>
      </c>
      <c r="G3481" s="69" t="s">
        <v>10</v>
      </c>
      <c r="H3481" s="69" t="str">
        <f>IFERROR(VLOOKUP(Data!$G3481,canon!$I$2:$K$27,2,FALSE),"")</f>
        <v>ACCESSORY</v>
      </c>
      <c r="I3481" s="69" t="str">
        <f>IFERROR(VLOOKUP(Data!$G3481,canon!$I$2:$K$27,3,FALSE),"")</f>
        <v>N.APPAREL</v>
      </c>
      <c r="J3481" s="69">
        <f t="shared" si="108"/>
        <v>5</v>
      </c>
      <c r="K3481" s="69">
        <f t="shared" si="109"/>
        <v>201</v>
      </c>
      <c r="L3481" s="69">
        <f>VLOOKUP(Table_db1_backend_Daily.accdb[[#This Row],[TradingDate]],canon!B:E,4,0)</f>
        <v>31</v>
      </c>
    </row>
    <row r="3482" spans="1:12" x14ac:dyDescent="0.2">
      <c r="A3482" s="69" t="s">
        <v>46</v>
      </c>
      <c r="B3482" s="70">
        <v>42950</v>
      </c>
      <c r="C3482" s="69">
        <v>1465</v>
      </c>
      <c r="D3482" s="69">
        <v>77</v>
      </c>
      <c r="E3482" s="69">
        <v>676.7299999999999</v>
      </c>
      <c r="F3482" s="69">
        <v>114.47000000000003</v>
      </c>
      <c r="G3482" s="69" t="s">
        <v>11</v>
      </c>
      <c r="H3482" s="69" t="str">
        <f>IFERROR(VLOOKUP(Data!$G3482,canon!$I$2:$K$27,2,FALSE),"")</f>
        <v>KNIT</v>
      </c>
      <c r="I3482" s="69" t="str">
        <f>IFERROR(VLOOKUP(Data!$G3482,canon!$I$2:$K$27,3,FALSE),"")</f>
        <v>APPAREL</v>
      </c>
      <c r="J3482" s="69">
        <f t="shared" si="108"/>
        <v>5</v>
      </c>
      <c r="K3482" s="69">
        <f t="shared" si="109"/>
        <v>201</v>
      </c>
      <c r="L3482" s="69">
        <f>VLOOKUP(Table_db1_backend_Daily.accdb[[#This Row],[TradingDate]],canon!B:E,4,0)</f>
        <v>31</v>
      </c>
    </row>
    <row r="3483" spans="1:12" x14ac:dyDescent="0.2">
      <c r="A3483" s="69" t="s">
        <v>46</v>
      </c>
      <c r="B3483" s="70">
        <v>42950</v>
      </c>
      <c r="C3483" s="69">
        <v>349</v>
      </c>
      <c r="D3483" s="69">
        <v>1</v>
      </c>
      <c r="E3483" s="69">
        <v>27.25</v>
      </c>
      <c r="F3483" s="69">
        <v>20.73</v>
      </c>
      <c r="G3483" s="69" t="s">
        <v>14</v>
      </c>
      <c r="H3483" s="69" t="str">
        <f>IFERROR(VLOOKUP(Data!$G3483,canon!$I$2:$K$27,2,FALSE),"")</f>
        <v>LEGGING</v>
      </c>
      <c r="I3483" s="69" t="str">
        <f>IFERROR(VLOOKUP(Data!$G3483,canon!$I$2:$K$27,3,FALSE),"")</f>
        <v>APPAREL</v>
      </c>
      <c r="J3483" s="69">
        <f t="shared" si="108"/>
        <v>5</v>
      </c>
      <c r="K3483" s="69">
        <f t="shared" si="109"/>
        <v>201</v>
      </c>
      <c r="L3483" s="69">
        <f>VLOOKUP(Table_db1_backend_Daily.accdb[[#This Row],[TradingDate]],canon!B:E,4,0)</f>
        <v>31</v>
      </c>
    </row>
    <row r="3484" spans="1:12" x14ac:dyDescent="0.2">
      <c r="A3484" s="69" t="s">
        <v>46</v>
      </c>
      <c r="B3484" s="70">
        <v>42950</v>
      </c>
      <c r="C3484" s="69">
        <v>-4</v>
      </c>
      <c r="D3484" s="69">
        <v>0</v>
      </c>
      <c r="E3484" s="69">
        <v>0</v>
      </c>
      <c r="F3484" s="69">
        <v>0</v>
      </c>
      <c r="G3484" s="69" t="s">
        <v>37</v>
      </c>
      <c r="H3484" s="69" t="str">
        <f>IFERROR(VLOOKUP(Data!$G3484,canon!$I$2:$K$27,2,FALSE),"")</f>
        <v>SHOES</v>
      </c>
      <c r="I3484" s="69" t="str">
        <f>IFERROR(VLOOKUP(Data!$G3484,canon!$I$2:$K$27,3,FALSE),"")</f>
        <v>N.APPAREL</v>
      </c>
      <c r="J3484" s="69">
        <f t="shared" si="108"/>
        <v>5</v>
      </c>
      <c r="K3484" s="69">
        <f t="shared" si="109"/>
        <v>201</v>
      </c>
      <c r="L3484" s="69">
        <f>VLOOKUP(Table_db1_backend_Daily.accdb[[#This Row],[TradingDate]],canon!B:E,4,0)</f>
        <v>31</v>
      </c>
    </row>
    <row r="3485" spans="1:12" x14ac:dyDescent="0.2">
      <c r="A3485" s="69" t="s">
        <v>46</v>
      </c>
      <c r="B3485" s="70">
        <v>42950</v>
      </c>
      <c r="C3485" s="69">
        <v>-35</v>
      </c>
      <c r="D3485" s="69">
        <v>0</v>
      </c>
      <c r="E3485" s="69">
        <v>0</v>
      </c>
      <c r="F3485" s="69">
        <v>0</v>
      </c>
      <c r="G3485" s="69" t="s">
        <v>29</v>
      </c>
      <c r="H3485" s="69" t="str">
        <f>IFERROR(VLOOKUP(Data!$G3485,canon!$I$2:$K$27,2,FALSE),"")</f>
        <v>SHOES</v>
      </c>
      <c r="I3485" s="69" t="str">
        <f>IFERROR(VLOOKUP(Data!$G3485,canon!$I$2:$K$27,3,FALSE),"")</f>
        <v>N.APPAREL</v>
      </c>
      <c r="J3485" s="69">
        <f t="shared" si="108"/>
        <v>5</v>
      </c>
      <c r="K3485" s="69">
        <f t="shared" si="109"/>
        <v>201</v>
      </c>
      <c r="L3485" s="69">
        <f>VLOOKUP(Table_db1_backend_Daily.accdb[[#This Row],[TradingDate]],canon!B:E,4,0)</f>
        <v>31</v>
      </c>
    </row>
    <row r="3486" spans="1:12" x14ac:dyDescent="0.2">
      <c r="A3486" s="69" t="s">
        <v>46</v>
      </c>
      <c r="B3486" s="70">
        <v>42950</v>
      </c>
      <c r="C3486" s="69">
        <v>491</v>
      </c>
      <c r="D3486" s="69">
        <v>6</v>
      </c>
      <c r="E3486" s="69">
        <v>90.88000000000001</v>
      </c>
      <c r="F3486" s="69">
        <v>35.51</v>
      </c>
      <c r="G3486" s="69" t="s">
        <v>17</v>
      </c>
      <c r="H3486" s="69" t="str">
        <f>IFERROR(VLOOKUP(Data!$G3486,canon!$I$2:$K$27,2,FALSE),"")</f>
        <v>OUTER</v>
      </c>
      <c r="I3486" s="69" t="str">
        <f>IFERROR(VLOOKUP(Data!$G3486,canon!$I$2:$K$27,3,FALSE),"")</f>
        <v>APPAREL</v>
      </c>
      <c r="J3486" s="69">
        <f t="shared" si="108"/>
        <v>5</v>
      </c>
      <c r="K3486" s="69">
        <f t="shared" si="109"/>
        <v>201</v>
      </c>
      <c r="L3486" s="69">
        <f>VLOOKUP(Table_db1_backend_Daily.accdb[[#This Row],[TradingDate]],canon!B:E,4,0)</f>
        <v>31</v>
      </c>
    </row>
    <row r="3487" spans="1:12" x14ac:dyDescent="0.2">
      <c r="A3487" s="69" t="s">
        <v>46</v>
      </c>
      <c r="B3487" s="70">
        <v>42950</v>
      </c>
      <c r="C3487" s="69">
        <v>348</v>
      </c>
      <c r="D3487" s="69">
        <v>4</v>
      </c>
      <c r="E3487" s="69">
        <v>31.82</v>
      </c>
      <c r="F3487" s="69">
        <v>4.75</v>
      </c>
      <c r="G3487" s="69" t="s">
        <v>19</v>
      </c>
      <c r="H3487" s="69" t="str">
        <f>IFERROR(VLOOKUP(Data!$G3487,canon!$I$2:$K$27,2,FALSE),"")</f>
        <v>PANT</v>
      </c>
      <c r="I3487" s="69" t="str">
        <f>IFERROR(VLOOKUP(Data!$G3487,canon!$I$2:$K$27,3,FALSE),"")</f>
        <v>APPAREL</v>
      </c>
      <c r="J3487" s="69">
        <f t="shared" si="108"/>
        <v>5</v>
      </c>
      <c r="K3487" s="69">
        <f t="shared" si="109"/>
        <v>201</v>
      </c>
      <c r="L3487" s="69">
        <f>VLOOKUP(Table_db1_backend_Daily.accdb[[#This Row],[TradingDate]],canon!B:E,4,0)</f>
        <v>31</v>
      </c>
    </row>
    <row r="3488" spans="1:12" x14ac:dyDescent="0.2">
      <c r="A3488" s="71" t="s">
        <v>46</v>
      </c>
      <c r="B3488" s="72">
        <v>42950</v>
      </c>
      <c r="C3488" s="71">
        <v>479</v>
      </c>
      <c r="D3488" s="71">
        <v>11</v>
      </c>
      <c r="E3488" s="71">
        <v>50.05</v>
      </c>
      <c r="F3488" s="71">
        <v>30.389999999999997</v>
      </c>
      <c r="G3488" s="71" t="s">
        <v>22</v>
      </c>
      <c r="H3488" s="71" t="str">
        <f>IFERROR(VLOOKUP(Data!$G3488,canon!$I$2:$K$27,2,FALSE),"")</f>
        <v>SCARF</v>
      </c>
      <c r="I3488" s="71" t="str">
        <f>IFERROR(VLOOKUP(Data!$G3488,canon!$I$2:$K$27,3,FALSE),"")</f>
        <v>N.APPAREL</v>
      </c>
      <c r="J3488" s="71">
        <f t="shared" si="108"/>
        <v>5</v>
      </c>
      <c r="K3488" s="71">
        <f t="shared" si="109"/>
        <v>201</v>
      </c>
      <c r="L3488" s="71">
        <f>VLOOKUP(Table_db1_backend_Daily.accdb[[#This Row],[TradingDate]],canon!B:E,4,0)</f>
        <v>31</v>
      </c>
    </row>
    <row r="3489" spans="1:12" x14ac:dyDescent="0.2">
      <c r="A3489" s="71" t="s">
        <v>46</v>
      </c>
      <c r="B3489" s="72">
        <v>42950</v>
      </c>
      <c r="C3489" s="71">
        <v>340</v>
      </c>
      <c r="D3489" s="71">
        <v>0</v>
      </c>
      <c r="E3489" s="71">
        <v>0</v>
      </c>
      <c r="F3489" s="71">
        <v>0</v>
      </c>
      <c r="G3489" s="71" t="s">
        <v>23</v>
      </c>
      <c r="H3489" s="71" t="str">
        <f>IFERROR(VLOOKUP(Data!$G3489,canon!$I$2:$K$27,2,FALSE),"")</f>
        <v>SH&amp;BL</v>
      </c>
      <c r="I3489" s="71" t="str">
        <f>IFERROR(VLOOKUP(Data!$G3489,canon!$I$2:$K$27,3,FALSE),"")</f>
        <v>APPAREL</v>
      </c>
      <c r="J3489" s="71">
        <f t="shared" si="108"/>
        <v>5</v>
      </c>
      <c r="K3489" s="71">
        <f t="shared" si="109"/>
        <v>201</v>
      </c>
      <c r="L3489" s="71">
        <f>VLOOKUP(Table_db1_backend_Daily.accdb[[#This Row],[TradingDate]],canon!B:E,4,0)</f>
        <v>31</v>
      </c>
    </row>
    <row r="3490" spans="1:12" x14ac:dyDescent="0.2">
      <c r="A3490" s="71" t="s">
        <v>46</v>
      </c>
      <c r="B3490" s="72">
        <v>42950</v>
      </c>
      <c r="C3490" s="71">
        <v>355</v>
      </c>
      <c r="D3490" s="71">
        <v>6</v>
      </c>
      <c r="E3490" s="71">
        <v>72.709999999999994</v>
      </c>
      <c r="F3490" s="71">
        <v>32.93</v>
      </c>
      <c r="G3490" s="71" t="s">
        <v>32</v>
      </c>
      <c r="H3490" s="71" t="str">
        <f>IFERROR(VLOOKUP(Data!$G3490,canon!$I$2:$K$27,2,FALSE),"")</f>
        <v>SKIRT</v>
      </c>
      <c r="I3490" s="71" t="str">
        <f>IFERROR(VLOOKUP(Data!$G3490,canon!$I$2:$K$27,3,FALSE),"")</f>
        <v>APPAREL</v>
      </c>
      <c r="J3490" s="71">
        <f t="shared" si="108"/>
        <v>5</v>
      </c>
      <c r="K3490" s="71">
        <f t="shared" si="109"/>
        <v>201</v>
      </c>
      <c r="L3490" s="71">
        <f>VLOOKUP(Table_db1_backend_Daily.accdb[[#This Row],[TradingDate]],canon!B:E,4,0)</f>
        <v>31</v>
      </c>
    </row>
    <row r="3491" spans="1:12" x14ac:dyDescent="0.2">
      <c r="A3491" s="71" t="s">
        <v>46</v>
      </c>
      <c r="B3491" s="72">
        <v>42950</v>
      </c>
      <c r="C3491" s="71">
        <v>1466</v>
      </c>
      <c r="D3491" s="71">
        <v>13</v>
      </c>
      <c r="E3491" s="71">
        <v>95.46</v>
      </c>
      <c r="F3491" s="71">
        <v>24.91</v>
      </c>
      <c r="G3491" s="71" t="s">
        <v>25</v>
      </c>
      <c r="H3491" s="71" t="str">
        <f>IFERROR(VLOOKUP(Data!$G3491,canon!$I$2:$K$27,2,FALSE),"")</f>
        <v>TOP</v>
      </c>
      <c r="I3491" s="71" t="str">
        <f>IFERROR(VLOOKUP(Data!$G3491,canon!$I$2:$K$27,3,FALSE),"")</f>
        <v>APPAREL</v>
      </c>
      <c r="J3491" s="71">
        <f t="shared" si="108"/>
        <v>5</v>
      </c>
      <c r="K3491" s="71">
        <f t="shared" si="109"/>
        <v>201</v>
      </c>
      <c r="L3491" s="71">
        <f>VLOOKUP(Table_db1_backend_Daily.accdb[[#This Row],[TradingDate]],canon!B:E,4,0)</f>
        <v>31</v>
      </c>
    </row>
    <row r="3492" spans="1:12" x14ac:dyDescent="0.2">
      <c r="A3492" s="71" t="s">
        <v>46</v>
      </c>
      <c r="B3492" s="72">
        <v>42951</v>
      </c>
      <c r="C3492" s="71">
        <v>-75</v>
      </c>
      <c r="D3492" s="71">
        <v>3</v>
      </c>
      <c r="E3492" s="71">
        <v>13.64</v>
      </c>
      <c r="F3492" s="71">
        <v>4.97</v>
      </c>
      <c r="G3492" s="71" t="s">
        <v>27</v>
      </c>
      <c r="H3492" s="71" t="str">
        <f>IFERROR(VLOOKUP(Data!$G3492,canon!$I$2:$K$27,2,FALSE),"")</f>
        <v>ACCESSORY</v>
      </c>
      <c r="I3492" s="71" t="str">
        <f>IFERROR(VLOOKUP(Data!$G3492,canon!$I$2:$K$27,3,FALSE),"")</f>
        <v>N.APPAREL</v>
      </c>
      <c r="J3492" s="71">
        <f t="shared" si="108"/>
        <v>6</v>
      </c>
      <c r="K3492" s="71">
        <f t="shared" si="109"/>
        <v>201</v>
      </c>
      <c r="L3492" s="71">
        <f>VLOOKUP(Table_db1_backend_Daily.accdb[[#This Row],[TradingDate]],canon!B:E,4,0)</f>
        <v>31</v>
      </c>
    </row>
    <row r="3493" spans="1:12" x14ac:dyDescent="0.2">
      <c r="A3493" s="71" t="s">
        <v>46</v>
      </c>
      <c r="B3493" s="72">
        <v>42951</v>
      </c>
      <c r="C3493" s="71">
        <v>-189</v>
      </c>
      <c r="D3493" s="71">
        <v>0</v>
      </c>
      <c r="E3493" s="71">
        <v>0</v>
      </c>
      <c r="F3493" s="71">
        <v>0</v>
      </c>
      <c r="G3493" s="71" t="s">
        <v>34</v>
      </c>
      <c r="H3493" s="71" t="str">
        <f>IFERROR(VLOOKUP(Data!$G3493,canon!$I$2:$K$27,2,FALSE),"")</f>
        <v>SHOES</v>
      </c>
      <c r="I3493" s="71" t="str">
        <f>IFERROR(VLOOKUP(Data!$G3493,canon!$I$2:$K$27,3,FALSE),"")</f>
        <v>N.APPAREL</v>
      </c>
      <c r="J3493" s="71">
        <f t="shared" si="108"/>
        <v>6</v>
      </c>
      <c r="K3493" s="71">
        <f t="shared" si="109"/>
        <v>201</v>
      </c>
      <c r="L3493" s="71">
        <f>VLOOKUP(Table_db1_backend_Daily.accdb[[#This Row],[TradingDate]],canon!B:E,4,0)</f>
        <v>31</v>
      </c>
    </row>
    <row r="3494" spans="1:12" x14ac:dyDescent="0.2">
      <c r="A3494" s="71" t="s">
        <v>46</v>
      </c>
      <c r="B3494" s="72">
        <v>42951</v>
      </c>
      <c r="C3494" s="71">
        <v>-36</v>
      </c>
      <c r="D3494" s="71">
        <v>0</v>
      </c>
      <c r="E3494" s="71">
        <v>0</v>
      </c>
      <c r="F3494" s="71">
        <v>0</v>
      </c>
      <c r="G3494" s="71" t="s">
        <v>38</v>
      </c>
      <c r="H3494" s="71" t="str">
        <f>IFERROR(VLOOKUP(Data!$G3494,canon!$I$2:$K$27,2,FALSE),"")</f>
        <v>SHOES</v>
      </c>
      <c r="I3494" s="71" t="str">
        <f>IFERROR(VLOOKUP(Data!$G3494,canon!$I$2:$K$27,3,FALSE),"")</f>
        <v>N.APPAREL</v>
      </c>
      <c r="J3494" s="71">
        <f t="shared" si="108"/>
        <v>6</v>
      </c>
      <c r="K3494" s="71">
        <f t="shared" si="109"/>
        <v>201</v>
      </c>
      <c r="L3494" s="71">
        <f>VLOOKUP(Table_db1_backend_Daily.accdb[[#This Row],[TradingDate]],canon!B:E,4,0)</f>
        <v>31</v>
      </c>
    </row>
    <row r="3495" spans="1:12" x14ac:dyDescent="0.2">
      <c r="A3495" s="71" t="s">
        <v>46</v>
      </c>
      <c r="B3495" s="72">
        <v>42951</v>
      </c>
      <c r="C3495" s="71">
        <v>395</v>
      </c>
      <c r="D3495" s="71">
        <v>34</v>
      </c>
      <c r="E3495" s="71">
        <v>340.88</v>
      </c>
      <c r="F3495" s="71">
        <v>61.999999999999993</v>
      </c>
      <c r="G3495" s="71" t="s">
        <v>35</v>
      </c>
      <c r="H3495" s="71" t="str">
        <f>IFERROR(VLOOKUP(Data!$G3495,canon!$I$2:$K$27,2,FALSE),"")</f>
        <v>DRESS</v>
      </c>
      <c r="I3495" s="71" t="str">
        <f>IFERROR(VLOOKUP(Data!$G3495,canon!$I$2:$K$27,3,FALSE),"")</f>
        <v>APPAREL</v>
      </c>
      <c r="J3495" s="71">
        <f t="shared" si="108"/>
        <v>6</v>
      </c>
      <c r="K3495" s="71">
        <f t="shared" si="109"/>
        <v>201</v>
      </c>
      <c r="L3495" s="71">
        <f>VLOOKUP(Table_db1_backend_Daily.accdb[[#This Row],[TradingDate]],canon!B:E,4,0)</f>
        <v>31</v>
      </c>
    </row>
    <row r="3496" spans="1:12" x14ac:dyDescent="0.2">
      <c r="A3496" s="71" t="s">
        <v>46</v>
      </c>
      <c r="B3496" s="72">
        <v>42951</v>
      </c>
      <c r="C3496" s="71">
        <v>42</v>
      </c>
      <c r="D3496" s="71">
        <v>0</v>
      </c>
      <c r="E3496" s="71">
        <v>0</v>
      </c>
      <c r="F3496" s="71">
        <v>0</v>
      </c>
      <c r="G3496" s="71" t="s">
        <v>10</v>
      </c>
      <c r="H3496" s="71" t="str">
        <f>IFERROR(VLOOKUP(Data!$G3496,canon!$I$2:$K$27,2,FALSE),"")</f>
        <v>ACCESSORY</v>
      </c>
      <c r="I3496" s="71" t="str">
        <f>IFERROR(VLOOKUP(Data!$G3496,canon!$I$2:$K$27,3,FALSE),"")</f>
        <v>N.APPAREL</v>
      </c>
      <c r="J3496" s="71">
        <f t="shared" si="108"/>
        <v>6</v>
      </c>
      <c r="K3496" s="71">
        <f t="shared" si="109"/>
        <v>201</v>
      </c>
      <c r="L3496" s="71">
        <f>VLOOKUP(Table_db1_backend_Daily.accdb[[#This Row],[TradingDate]],canon!B:E,4,0)</f>
        <v>31</v>
      </c>
    </row>
    <row r="3497" spans="1:12" x14ac:dyDescent="0.2">
      <c r="A3497" s="71" t="s">
        <v>46</v>
      </c>
      <c r="B3497" s="72">
        <v>42951</v>
      </c>
      <c r="C3497" s="71">
        <v>1343</v>
      </c>
      <c r="D3497" s="71">
        <v>122</v>
      </c>
      <c r="E3497" s="71">
        <v>1104.4099999999999</v>
      </c>
      <c r="F3497" s="71">
        <v>154.97999999999996</v>
      </c>
      <c r="G3497" s="71" t="s">
        <v>11</v>
      </c>
      <c r="H3497" s="71" t="str">
        <f>IFERROR(VLOOKUP(Data!$G3497,canon!$I$2:$K$27,2,FALSE),"")</f>
        <v>KNIT</v>
      </c>
      <c r="I3497" s="71" t="str">
        <f>IFERROR(VLOOKUP(Data!$G3497,canon!$I$2:$K$27,3,FALSE),"")</f>
        <v>APPAREL</v>
      </c>
      <c r="J3497" s="71">
        <f t="shared" si="108"/>
        <v>6</v>
      </c>
      <c r="K3497" s="71">
        <f t="shared" si="109"/>
        <v>201</v>
      </c>
      <c r="L3497" s="71">
        <f>VLOOKUP(Table_db1_backend_Daily.accdb[[#This Row],[TradingDate]],canon!B:E,4,0)</f>
        <v>31</v>
      </c>
    </row>
    <row r="3498" spans="1:12" x14ac:dyDescent="0.2">
      <c r="A3498" s="71" t="s">
        <v>46</v>
      </c>
      <c r="B3498" s="72">
        <v>42951</v>
      </c>
      <c r="C3498" s="71">
        <v>346</v>
      </c>
      <c r="D3498" s="71">
        <v>3</v>
      </c>
      <c r="E3498" s="71">
        <v>27.26</v>
      </c>
      <c r="F3498" s="71">
        <v>5.74</v>
      </c>
      <c r="G3498" s="71" t="s">
        <v>14</v>
      </c>
      <c r="H3498" s="71" t="str">
        <f>IFERROR(VLOOKUP(Data!$G3498,canon!$I$2:$K$27,2,FALSE),"")</f>
        <v>LEGGING</v>
      </c>
      <c r="I3498" s="71" t="str">
        <f>IFERROR(VLOOKUP(Data!$G3498,canon!$I$2:$K$27,3,FALSE),"")</f>
        <v>APPAREL</v>
      </c>
      <c r="J3498" s="71">
        <f t="shared" si="108"/>
        <v>6</v>
      </c>
      <c r="K3498" s="71">
        <f t="shared" si="109"/>
        <v>201</v>
      </c>
      <c r="L3498" s="71">
        <f>VLOOKUP(Table_db1_backend_Daily.accdb[[#This Row],[TradingDate]],canon!B:E,4,0)</f>
        <v>31</v>
      </c>
    </row>
    <row r="3499" spans="1:12" x14ac:dyDescent="0.2">
      <c r="A3499" s="71" t="s">
        <v>46</v>
      </c>
      <c r="B3499" s="72">
        <v>42951</v>
      </c>
      <c r="C3499" s="71">
        <v>-4</v>
      </c>
      <c r="D3499" s="71">
        <v>0</v>
      </c>
      <c r="E3499" s="71">
        <v>0</v>
      </c>
      <c r="F3499" s="71">
        <v>0</v>
      </c>
      <c r="G3499" s="71" t="s">
        <v>37</v>
      </c>
      <c r="H3499" s="71" t="str">
        <f>IFERROR(VLOOKUP(Data!$G3499,canon!$I$2:$K$27,2,FALSE),"")</f>
        <v>SHOES</v>
      </c>
      <c r="I3499" s="71" t="str">
        <f>IFERROR(VLOOKUP(Data!$G3499,canon!$I$2:$K$27,3,FALSE),"")</f>
        <v>N.APPAREL</v>
      </c>
      <c r="J3499" s="71">
        <f t="shared" si="108"/>
        <v>6</v>
      </c>
      <c r="K3499" s="71">
        <f t="shared" si="109"/>
        <v>201</v>
      </c>
      <c r="L3499" s="71">
        <f>VLOOKUP(Table_db1_backend_Daily.accdb[[#This Row],[TradingDate]],canon!B:E,4,0)</f>
        <v>31</v>
      </c>
    </row>
    <row r="3500" spans="1:12" x14ac:dyDescent="0.2">
      <c r="A3500" s="71" t="s">
        <v>46</v>
      </c>
      <c r="B3500" s="72">
        <v>42951</v>
      </c>
      <c r="C3500" s="71">
        <v>-35</v>
      </c>
      <c r="D3500" s="71">
        <v>0</v>
      </c>
      <c r="E3500" s="71">
        <v>0</v>
      </c>
      <c r="F3500" s="71">
        <v>0</v>
      </c>
      <c r="G3500" s="71" t="s">
        <v>29</v>
      </c>
      <c r="H3500" s="71" t="str">
        <f>IFERROR(VLOOKUP(Data!$G3500,canon!$I$2:$K$27,2,FALSE),"")</f>
        <v>SHOES</v>
      </c>
      <c r="I3500" s="71" t="str">
        <f>IFERROR(VLOOKUP(Data!$G3500,canon!$I$2:$K$27,3,FALSE),"")</f>
        <v>N.APPAREL</v>
      </c>
      <c r="J3500" s="71">
        <f t="shared" si="108"/>
        <v>6</v>
      </c>
      <c r="K3500" s="71">
        <f t="shared" si="109"/>
        <v>201</v>
      </c>
      <c r="L3500" s="71">
        <f>VLOOKUP(Table_db1_backend_Daily.accdb[[#This Row],[TradingDate]],canon!B:E,4,0)</f>
        <v>31</v>
      </c>
    </row>
    <row r="3501" spans="1:12" x14ac:dyDescent="0.2">
      <c r="A3501" s="45" t="s">
        <v>46</v>
      </c>
      <c r="B3501" s="47">
        <v>42951</v>
      </c>
      <c r="C3501" s="45">
        <v>459</v>
      </c>
      <c r="D3501" s="45">
        <v>32</v>
      </c>
      <c r="E3501" s="45">
        <v>331.76000000000005</v>
      </c>
      <c r="F3501" s="45">
        <v>-27.750000000000007</v>
      </c>
      <c r="G3501" s="45" t="s">
        <v>17</v>
      </c>
      <c r="H3501" s="45" t="str">
        <f>IFERROR(VLOOKUP(Data!$G3501,canon!$I$2:$K$27,2,FALSE),"")</f>
        <v>OUTER</v>
      </c>
      <c r="I3501" s="45" t="str">
        <f>IFERROR(VLOOKUP(Data!$G3501,canon!$I$2:$K$27,3,FALSE),"")</f>
        <v>APPAREL</v>
      </c>
      <c r="J3501" s="45">
        <f t="shared" si="108"/>
        <v>6</v>
      </c>
      <c r="K3501" s="45">
        <f t="shared" si="109"/>
        <v>201</v>
      </c>
      <c r="L3501" s="45">
        <f>VLOOKUP(Table_db1_backend_Daily.accdb[[#This Row],[TradingDate]],canon!B:E,4,0)</f>
        <v>31</v>
      </c>
    </row>
    <row r="3502" spans="1:12" x14ac:dyDescent="0.2">
      <c r="A3502" s="45" t="s">
        <v>46</v>
      </c>
      <c r="B3502" s="47">
        <v>42951</v>
      </c>
      <c r="C3502" s="45">
        <v>337</v>
      </c>
      <c r="D3502" s="45">
        <v>11</v>
      </c>
      <c r="E3502" s="45">
        <v>59.129999999999995</v>
      </c>
      <c r="F3502" s="45">
        <v>-9.5599999999999987</v>
      </c>
      <c r="G3502" s="45" t="s">
        <v>19</v>
      </c>
      <c r="H3502" s="45" t="str">
        <f>IFERROR(VLOOKUP(Data!$G3502,canon!$I$2:$K$27,2,FALSE),"")</f>
        <v>PANT</v>
      </c>
      <c r="I3502" s="45" t="str">
        <f>IFERROR(VLOOKUP(Data!$G3502,canon!$I$2:$K$27,3,FALSE),"")</f>
        <v>APPAREL</v>
      </c>
      <c r="J3502" s="45">
        <f t="shared" si="108"/>
        <v>6</v>
      </c>
      <c r="K3502" s="45">
        <f t="shared" si="109"/>
        <v>201</v>
      </c>
      <c r="L3502" s="45">
        <f>VLOOKUP(Table_db1_backend_Daily.accdb[[#This Row],[TradingDate]],canon!B:E,4,0)</f>
        <v>31</v>
      </c>
    </row>
    <row r="3503" spans="1:12" x14ac:dyDescent="0.2">
      <c r="A3503" s="45" t="s">
        <v>46</v>
      </c>
      <c r="B3503" s="47">
        <v>42951</v>
      </c>
      <c r="C3503" s="45">
        <v>469</v>
      </c>
      <c r="D3503" s="45">
        <v>10</v>
      </c>
      <c r="E3503" s="45">
        <v>48.16</v>
      </c>
      <c r="F3503" s="45">
        <v>30.569999999999997</v>
      </c>
      <c r="G3503" s="45" t="s">
        <v>22</v>
      </c>
      <c r="H3503" s="45" t="str">
        <f>IFERROR(VLOOKUP(Data!$G3503,canon!$I$2:$K$27,2,FALSE),"")</f>
        <v>SCARF</v>
      </c>
      <c r="I3503" s="45" t="str">
        <f>IFERROR(VLOOKUP(Data!$G3503,canon!$I$2:$K$27,3,FALSE),"")</f>
        <v>N.APPAREL</v>
      </c>
      <c r="J3503" s="45">
        <f t="shared" si="108"/>
        <v>6</v>
      </c>
      <c r="K3503" s="45">
        <f t="shared" si="109"/>
        <v>201</v>
      </c>
      <c r="L3503" s="45">
        <f>VLOOKUP(Table_db1_backend_Daily.accdb[[#This Row],[TradingDate]],canon!B:E,4,0)</f>
        <v>31</v>
      </c>
    </row>
    <row r="3504" spans="1:12" x14ac:dyDescent="0.2">
      <c r="A3504" s="45" t="s">
        <v>46</v>
      </c>
      <c r="B3504" s="47">
        <v>42951</v>
      </c>
      <c r="C3504" s="45">
        <v>335</v>
      </c>
      <c r="D3504" s="45">
        <v>5</v>
      </c>
      <c r="E3504" s="45">
        <v>45.45</v>
      </c>
      <c r="F3504" s="45">
        <v>5.4399999999999995</v>
      </c>
      <c r="G3504" s="45" t="s">
        <v>23</v>
      </c>
      <c r="H3504" s="45" t="str">
        <f>IFERROR(VLOOKUP(Data!$G3504,canon!$I$2:$K$27,2,FALSE),"")</f>
        <v>SH&amp;BL</v>
      </c>
      <c r="I3504" s="45" t="str">
        <f>IFERROR(VLOOKUP(Data!$G3504,canon!$I$2:$K$27,3,FALSE),"")</f>
        <v>APPAREL</v>
      </c>
      <c r="J3504" s="45">
        <f t="shared" si="108"/>
        <v>6</v>
      </c>
      <c r="K3504" s="45">
        <f t="shared" si="109"/>
        <v>201</v>
      </c>
      <c r="L3504" s="45">
        <f>VLOOKUP(Table_db1_backend_Daily.accdb[[#This Row],[TradingDate]],canon!B:E,4,0)</f>
        <v>31</v>
      </c>
    </row>
    <row r="3505" spans="1:12" x14ac:dyDescent="0.2">
      <c r="A3505" s="45" t="s">
        <v>46</v>
      </c>
      <c r="B3505" s="47">
        <v>42951</v>
      </c>
      <c r="C3505" s="45">
        <v>348</v>
      </c>
      <c r="D3505" s="45">
        <v>7</v>
      </c>
      <c r="E3505" s="45">
        <v>59.05</v>
      </c>
      <c r="F3505" s="45">
        <v>22.32</v>
      </c>
      <c r="G3505" s="45" t="s">
        <v>32</v>
      </c>
      <c r="H3505" s="45" t="str">
        <f>IFERROR(VLOOKUP(Data!$G3505,canon!$I$2:$K$27,2,FALSE),"")</f>
        <v>SKIRT</v>
      </c>
      <c r="I3505" s="45" t="str">
        <f>IFERROR(VLOOKUP(Data!$G3505,canon!$I$2:$K$27,3,FALSE),"")</f>
        <v>APPAREL</v>
      </c>
      <c r="J3505" s="45">
        <f t="shared" si="108"/>
        <v>6</v>
      </c>
      <c r="K3505" s="45">
        <f t="shared" si="109"/>
        <v>201</v>
      </c>
      <c r="L3505" s="45">
        <f>VLOOKUP(Table_db1_backend_Daily.accdb[[#This Row],[TradingDate]],canon!B:E,4,0)</f>
        <v>31</v>
      </c>
    </row>
    <row r="3506" spans="1:12" x14ac:dyDescent="0.2">
      <c r="A3506" s="45" t="s">
        <v>46</v>
      </c>
      <c r="B3506" s="47">
        <v>42951</v>
      </c>
      <c r="C3506" s="45">
        <v>1433</v>
      </c>
      <c r="D3506" s="45">
        <v>33</v>
      </c>
      <c r="E3506" s="45">
        <v>236.38</v>
      </c>
      <c r="F3506" s="45">
        <v>47.980000000000004</v>
      </c>
      <c r="G3506" s="45" t="s">
        <v>25</v>
      </c>
      <c r="H3506" s="45" t="str">
        <f>IFERROR(VLOOKUP(Data!$G3506,canon!$I$2:$K$27,2,FALSE),"")</f>
        <v>TOP</v>
      </c>
      <c r="I3506" s="45" t="str">
        <f>IFERROR(VLOOKUP(Data!$G3506,canon!$I$2:$K$27,3,FALSE),"")</f>
        <v>APPAREL</v>
      </c>
      <c r="J3506" s="45">
        <f t="shared" si="108"/>
        <v>6</v>
      </c>
      <c r="K3506" s="45">
        <f t="shared" si="109"/>
        <v>201</v>
      </c>
      <c r="L3506" s="45">
        <f>VLOOKUP(Table_db1_backend_Daily.accdb[[#This Row],[TradingDate]],canon!B:E,4,0)</f>
        <v>31</v>
      </c>
    </row>
    <row r="3507" spans="1:12" x14ac:dyDescent="0.2">
      <c r="A3507" s="45" t="s">
        <v>46</v>
      </c>
      <c r="B3507" s="47">
        <v>42952</v>
      </c>
      <c r="C3507" s="45">
        <v>-75</v>
      </c>
      <c r="D3507" s="45">
        <v>0</v>
      </c>
      <c r="E3507" s="45">
        <v>0</v>
      </c>
      <c r="F3507" s="45">
        <v>0</v>
      </c>
      <c r="G3507" s="45" t="s">
        <v>27</v>
      </c>
      <c r="H3507" s="45" t="str">
        <f>IFERROR(VLOOKUP(Data!$G3507,canon!$I$2:$K$27,2,FALSE),"")</f>
        <v>ACCESSORY</v>
      </c>
      <c r="I3507" s="45" t="str">
        <f>IFERROR(VLOOKUP(Data!$G3507,canon!$I$2:$K$27,3,FALSE),"")</f>
        <v>N.APPAREL</v>
      </c>
      <c r="J3507" s="45">
        <f t="shared" si="108"/>
        <v>7</v>
      </c>
      <c r="K3507" s="45">
        <f t="shared" si="109"/>
        <v>201</v>
      </c>
      <c r="L3507" s="45">
        <f>VLOOKUP(Table_db1_backend_Daily.accdb[[#This Row],[TradingDate]],canon!B:E,4,0)</f>
        <v>31</v>
      </c>
    </row>
    <row r="3508" spans="1:12" x14ac:dyDescent="0.2">
      <c r="A3508" s="45" t="s">
        <v>46</v>
      </c>
      <c r="B3508" s="47">
        <v>42952</v>
      </c>
      <c r="C3508" s="45">
        <v>-189</v>
      </c>
      <c r="D3508" s="45">
        <v>0</v>
      </c>
      <c r="E3508" s="45">
        <v>0</v>
      </c>
      <c r="F3508" s="45">
        <v>0</v>
      </c>
      <c r="G3508" s="45" t="s">
        <v>34</v>
      </c>
      <c r="H3508" s="45" t="str">
        <f>IFERROR(VLOOKUP(Data!$G3508,canon!$I$2:$K$27,2,FALSE),"")</f>
        <v>SHOES</v>
      </c>
      <c r="I3508" s="45" t="str">
        <f>IFERROR(VLOOKUP(Data!$G3508,canon!$I$2:$K$27,3,FALSE),"")</f>
        <v>N.APPAREL</v>
      </c>
      <c r="J3508" s="45">
        <f t="shared" si="108"/>
        <v>7</v>
      </c>
      <c r="K3508" s="45">
        <f t="shared" si="109"/>
        <v>201</v>
      </c>
      <c r="L3508" s="45">
        <f>VLOOKUP(Table_db1_backend_Daily.accdb[[#This Row],[TradingDate]],canon!B:E,4,0)</f>
        <v>31</v>
      </c>
    </row>
    <row r="3509" spans="1:12" x14ac:dyDescent="0.2">
      <c r="A3509" s="45" t="s">
        <v>46</v>
      </c>
      <c r="B3509" s="47">
        <v>42952</v>
      </c>
      <c r="C3509" s="45">
        <v>-36</v>
      </c>
      <c r="D3509" s="45">
        <v>0</v>
      </c>
      <c r="E3509" s="45">
        <v>0</v>
      </c>
      <c r="F3509" s="45">
        <v>0</v>
      </c>
      <c r="G3509" s="45" t="s">
        <v>38</v>
      </c>
      <c r="H3509" s="45" t="str">
        <f>IFERROR(VLOOKUP(Data!$G3509,canon!$I$2:$K$27,2,FALSE),"")</f>
        <v>SHOES</v>
      </c>
      <c r="I3509" s="45" t="str">
        <f>IFERROR(VLOOKUP(Data!$G3509,canon!$I$2:$K$27,3,FALSE),"")</f>
        <v>N.APPAREL</v>
      </c>
      <c r="J3509" s="45">
        <f t="shared" si="108"/>
        <v>7</v>
      </c>
      <c r="K3509" s="45">
        <f t="shared" si="109"/>
        <v>201</v>
      </c>
      <c r="L3509" s="45">
        <f>VLOOKUP(Table_db1_backend_Daily.accdb[[#This Row],[TradingDate]],canon!B:E,4,0)</f>
        <v>31</v>
      </c>
    </row>
    <row r="3510" spans="1:12" x14ac:dyDescent="0.2">
      <c r="A3510" s="45" t="s">
        <v>46</v>
      </c>
      <c r="B3510" s="47">
        <v>42952</v>
      </c>
      <c r="C3510" s="45">
        <v>368</v>
      </c>
      <c r="D3510" s="45">
        <v>27</v>
      </c>
      <c r="E3510" s="45">
        <v>254.53000000000003</v>
      </c>
      <c r="F3510" s="45">
        <v>54.67</v>
      </c>
      <c r="G3510" s="45" t="s">
        <v>35</v>
      </c>
      <c r="H3510" s="45" t="str">
        <f>IFERROR(VLOOKUP(Data!$G3510,canon!$I$2:$K$27,2,FALSE),"")</f>
        <v>DRESS</v>
      </c>
      <c r="I3510" s="45" t="str">
        <f>IFERROR(VLOOKUP(Data!$G3510,canon!$I$2:$K$27,3,FALSE),"")</f>
        <v>APPAREL</v>
      </c>
      <c r="J3510" s="45">
        <f t="shared" si="108"/>
        <v>7</v>
      </c>
      <c r="K3510" s="45">
        <f t="shared" si="109"/>
        <v>201</v>
      </c>
      <c r="L3510" s="45">
        <f>VLOOKUP(Table_db1_backend_Daily.accdb[[#This Row],[TradingDate]],canon!B:E,4,0)</f>
        <v>31</v>
      </c>
    </row>
    <row r="3511" spans="1:12" x14ac:dyDescent="0.2">
      <c r="A3511" s="45" t="s">
        <v>46</v>
      </c>
      <c r="B3511" s="47">
        <v>42952</v>
      </c>
      <c r="C3511" s="45">
        <v>42</v>
      </c>
      <c r="D3511" s="45">
        <v>0</v>
      </c>
      <c r="E3511" s="45">
        <v>0</v>
      </c>
      <c r="F3511" s="45">
        <v>0</v>
      </c>
      <c r="G3511" s="45" t="s">
        <v>10</v>
      </c>
      <c r="H3511" s="45" t="str">
        <f>IFERROR(VLOOKUP(Data!$G3511,canon!$I$2:$K$27,2,FALSE),"")</f>
        <v>ACCESSORY</v>
      </c>
      <c r="I3511" s="45" t="str">
        <f>IFERROR(VLOOKUP(Data!$G3511,canon!$I$2:$K$27,3,FALSE),"")</f>
        <v>N.APPAREL</v>
      </c>
      <c r="J3511" s="45">
        <f t="shared" si="108"/>
        <v>7</v>
      </c>
      <c r="K3511" s="45">
        <f t="shared" si="109"/>
        <v>201</v>
      </c>
      <c r="L3511" s="45">
        <f>VLOOKUP(Table_db1_backend_Daily.accdb[[#This Row],[TradingDate]],canon!B:E,4,0)</f>
        <v>31</v>
      </c>
    </row>
    <row r="3512" spans="1:12" x14ac:dyDescent="0.2">
      <c r="A3512" s="45" t="s">
        <v>46</v>
      </c>
      <c r="B3512" s="47">
        <v>42952</v>
      </c>
      <c r="C3512" s="45">
        <v>1256</v>
      </c>
      <c r="D3512" s="45">
        <v>87</v>
      </c>
      <c r="E3512" s="45">
        <v>777.21</v>
      </c>
      <c r="F3512" s="45">
        <v>112.42</v>
      </c>
      <c r="G3512" s="45" t="s">
        <v>11</v>
      </c>
      <c r="H3512" s="45" t="str">
        <f>IFERROR(VLOOKUP(Data!$G3512,canon!$I$2:$K$27,2,FALSE),"")</f>
        <v>KNIT</v>
      </c>
      <c r="I3512" s="45" t="str">
        <f>IFERROR(VLOOKUP(Data!$G3512,canon!$I$2:$K$27,3,FALSE),"")</f>
        <v>APPAREL</v>
      </c>
      <c r="J3512" s="45">
        <f t="shared" si="108"/>
        <v>7</v>
      </c>
      <c r="K3512" s="45">
        <f t="shared" si="109"/>
        <v>201</v>
      </c>
      <c r="L3512" s="45">
        <f>VLOOKUP(Table_db1_backend_Daily.accdb[[#This Row],[TradingDate]],canon!B:E,4,0)</f>
        <v>31</v>
      </c>
    </row>
    <row r="3513" spans="1:12" x14ac:dyDescent="0.2">
      <c r="A3513" s="73" t="s">
        <v>46</v>
      </c>
      <c r="B3513" s="74">
        <v>42952</v>
      </c>
      <c r="C3513" s="73">
        <v>338</v>
      </c>
      <c r="D3513" s="73">
        <v>8</v>
      </c>
      <c r="E3513" s="73">
        <v>118.17000000000002</v>
      </c>
      <c r="F3513" s="73">
        <v>63.069999999999993</v>
      </c>
      <c r="G3513" s="73" t="s">
        <v>14</v>
      </c>
      <c r="H3513" s="73" t="str">
        <f>IFERROR(VLOOKUP(Data!$G3513,canon!$I$2:$K$27,2,FALSE),"")</f>
        <v>LEGGING</v>
      </c>
      <c r="I3513" s="73" t="str">
        <f>IFERROR(VLOOKUP(Data!$G3513,canon!$I$2:$K$27,3,FALSE),"")</f>
        <v>APPAREL</v>
      </c>
      <c r="J3513" s="73">
        <f t="shared" si="108"/>
        <v>7</v>
      </c>
      <c r="K3513" s="73">
        <f t="shared" si="109"/>
        <v>201</v>
      </c>
      <c r="L3513" s="73">
        <f>VLOOKUP(Table_db1_backend_Daily.accdb[[#This Row],[TradingDate]],canon!B:E,4,0)</f>
        <v>31</v>
      </c>
    </row>
    <row r="3514" spans="1:12" x14ac:dyDescent="0.2">
      <c r="A3514" s="73" t="s">
        <v>46</v>
      </c>
      <c r="B3514" s="74">
        <v>42952</v>
      </c>
      <c r="C3514" s="73">
        <v>-4</v>
      </c>
      <c r="D3514" s="73">
        <v>0</v>
      </c>
      <c r="E3514" s="73">
        <v>0</v>
      </c>
      <c r="F3514" s="73">
        <v>0</v>
      </c>
      <c r="G3514" s="73" t="s">
        <v>37</v>
      </c>
      <c r="H3514" s="73" t="str">
        <f>IFERROR(VLOOKUP(Data!$G3514,canon!$I$2:$K$27,2,FALSE),"")</f>
        <v>SHOES</v>
      </c>
      <c r="I3514" s="73" t="str">
        <f>IFERROR(VLOOKUP(Data!$G3514,canon!$I$2:$K$27,3,FALSE),"")</f>
        <v>N.APPAREL</v>
      </c>
      <c r="J3514" s="73">
        <f t="shared" si="108"/>
        <v>7</v>
      </c>
      <c r="K3514" s="73">
        <f t="shared" si="109"/>
        <v>201</v>
      </c>
      <c r="L3514" s="73">
        <f>VLOOKUP(Table_db1_backend_Daily.accdb[[#This Row],[TradingDate]],canon!B:E,4,0)</f>
        <v>31</v>
      </c>
    </row>
    <row r="3515" spans="1:12" x14ac:dyDescent="0.2">
      <c r="A3515" s="73" t="s">
        <v>46</v>
      </c>
      <c r="B3515" s="74">
        <v>42952</v>
      </c>
      <c r="C3515" s="73">
        <v>-35</v>
      </c>
      <c r="D3515" s="73">
        <v>0</v>
      </c>
      <c r="E3515" s="73">
        <v>0</v>
      </c>
      <c r="F3515" s="73">
        <v>0</v>
      </c>
      <c r="G3515" s="73" t="s">
        <v>29</v>
      </c>
      <c r="H3515" s="73" t="str">
        <f>IFERROR(VLOOKUP(Data!$G3515,canon!$I$2:$K$27,2,FALSE),"")</f>
        <v>SHOES</v>
      </c>
      <c r="I3515" s="73" t="str">
        <f>IFERROR(VLOOKUP(Data!$G3515,canon!$I$2:$K$27,3,FALSE),"")</f>
        <v>N.APPAREL</v>
      </c>
      <c r="J3515" s="73">
        <f t="shared" si="108"/>
        <v>7</v>
      </c>
      <c r="K3515" s="73">
        <f t="shared" si="109"/>
        <v>201</v>
      </c>
      <c r="L3515" s="73">
        <f>VLOOKUP(Table_db1_backend_Daily.accdb[[#This Row],[TradingDate]],canon!B:E,4,0)</f>
        <v>31</v>
      </c>
    </row>
    <row r="3516" spans="1:12" x14ac:dyDescent="0.2">
      <c r="A3516" s="73" t="s">
        <v>46</v>
      </c>
      <c r="B3516" s="74">
        <v>42952</v>
      </c>
      <c r="C3516" s="73">
        <v>444</v>
      </c>
      <c r="D3516" s="73">
        <v>15</v>
      </c>
      <c r="E3516" s="73">
        <v>209.02</v>
      </c>
      <c r="F3516" s="73">
        <v>69.570000000000007</v>
      </c>
      <c r="G3516" s="73" t="s">
        <v>17</v>
      </c>
      <c r="H3516" s="73" t="str">
        <f>IFERROR(VLOOKUP(Data!$G3516,canon!$I$2:$K$27,2,FALSE),"")</f>
        <v>OUTER</v>
      </c>
      <c r="I3516" s="73" t="str">
        <f>IFERROR(VLOOKUP(Data!$G3516,canon!$I$2:$K$27,3,FALSE),"")</f>
        <v>APPAREL</v>
      </c>
      <c r="J3516" s="73">
        <f t="shared" si="108"/>
        <v>7</v>
      </c>
      <c r="K3516" s="73">
        <f t="shared" si="109"/>
        <v>201</v>
      </c>
      <c r="L3516" s="73">
        <f>VLOOKUP(Table_db1_backend_Daily.accdb[[#This Row],[TradingDate]],canon!B:E,4,0)</f>
        <v>31</v>
      </c>
    </row>
    <row r="3517" spans="1:12" x14ac:dyDescent="0.2">
      <c r="A3517" s="73" t="s">
        <v>46</v>
      </c>
      <c r="B3517" s="74">
        <v>42952</v>
      </c>
      <c r="C3517" s="73">
        <v>330</v>
      </c>
      <c r="D3517" s="73">
        <v>7</v>
      </c>
      <c r="E3517" s="73">
        <v>68.179999999999993</v>
      </c>
      <c r="F3517" s="73">
        <v>24.05</v>
      </c>
      <c r="G3517" s="73" t="s">
        <v>19</v>
      </c>
      <c r="H3517" s="73" t="str">
        <f>IFERROR(VLOOKUP(Data!$G3517,canon!$I$2:$K$27,2,FALSE),"")</f>
        <v>PANT</v>
      </c>
      <c r="I3517" s="73" t="str">
        <f>IFERROR(VLOOKUP(Data!$G3517,canon!$I$2:$K$27,3,FALSE),"")</f>
        <v>APPAREL</v>
      </c>
      <c r="J3517" s="73">
        <f t="shared" si="108"/>
        <v>7</v>
      </c>
      <c r="K3517" s="73">
        <f t="shared" si="109"/>
        <v>201</v>
      </c>
      <c r="L3517" s="73">
        <f>VLOOKUP(Table_db1_backend_Daily.accdb[[#This Row],[TradingDate]],canon!B:E,4,0)</f>
        <v>31</v>
      </c>
    </row>
    <row r="3518" spans="1:12" x14ac:dyDescent="0.2">
      <c r="A3518" s="73" t="s">
        <v>46</v>
      </c>
      <c r="B3518" s="74">
        <v>42952</v>
      </c>
      <c r="C3518" s="73">
        <v>452</v>
      </c>
      <c r="D3518" s="73">
        <v>17</v>
      </c>
      <c r="E3518" s="73">
        <v>77.33</v>
      </c>
      <c r="F3518" s="73">
        <v>47.559999999999995</v>
      </c>
      <c r="G3518" s="73" t="s">
        <v>22</v>
      </c>
      <c r="H3518" s="73" t="str">
        <f>IFERROR(VLOOKUP(Data!$G3518,canon!$I$2:$K$27,2,FALSE),"")</f>
        <v>SCARF</v>
      </c>
      <c r="I3518" s="73" t="str">
        <f>IFERROR(VLOOKUP(Data!$G3518,canon!$I$2:$K$27,3,FALSE),"")</f>
        <v>N.APPAREL</v>
      </c>
      <c r="J3518" s="73">
        <f t="shared" si="108"/>
        <v>7</v>
      </c>
      <c r="K3518" s="73">
        <f t="shared" si="109"/>
        <v>201</v>
      </c>
      <c r="L3518" s="73">
        <f>VLOOKUP(Table_db1_backend_Daily.accdb[[#This Row],[TradingDate]],canon!B:E,4,0)</f>
        <v>31</v>
      </c>
    </row>
    <row r="3519" spans="1:12" x14ac:dyDescent="0.2">
      <c r="A3519" s="73" t="s">
        <v>46</v>
      </c>
      <c r="B3519" s="74">
        <v>42952</v>
      </c>
      <c r="C3519" s="73">
        <v>327</v>
      </c>
      <c r="D3519" s="73">
        <v>8</v>
      </c>
      <c r="E3519" s="73">
        <v>81.800000000000011</v>
      </c>
      <c r="F3519" s="73">
        <v>19.28</v>
      </c>
      <c r="G3519" s="73" t="s">
        <v>23</v>
      </c>
      <c r="H3519" s="73" t="str">
        <f>IFERROR(VLOOKUP(Data!$G3519,canon!$I$2:$K$27,2,FALSE),"")</f>
        <v>SH&amp;BL</v>
      </c>
      <c r="I3519" s="73" t="str">
        <f>IFERROR(VLOOKUP(Data!$G3519,canon!$I$2:$K$27,3,FALSE),"")</f>
        <v>APPAREL</v>
      </c>
      <c r="J3519" s="73">
        <f t="shared" si="108"/>
        <v>7</v>
      </c>
      <c r="K3519" s="73">
        <f t="shared" si="109"/>
        <v>201</v>
      </c>
      <c r="L3519" s="73">
        <f>VLOOKUP(Table_db1_backend_Daily.accdb[[#This Row],[TradingDate]],canon!B:E,4,0)</f>
        <v>31</v>
      </c>
    </row>
    <row r="3520" spans="1:12" x14ac:dyDescent="0.2">
      <c r="A3520" s="73" t="s">
        <v>46</v>
      </c>
      <c r="B3520" s="74">
        <v>42952</v>
      </c>
      <c r="C3520" s="73">
        <v>344</v>
      </c>
      <c r="D3520" s="73">
        <v>4</v>
      </c>
      <c r="E3520" s="73">
        <v>36.369999999999997</v>
      </c>
      <c r="F3520" s="73">
        <v>17.57</v>
      </c>
      <c r="G3520" s="73" t="s">
        <v>32</v>
      </c>
      <c r="H3520" s="73" t="str">
        <f>IFERROR(VLOOKUP(Data!$G3520,canon!$I$2:$K$27,2,FALSE),"")</f>
        <v>SKIRT</v>
      </c>
      <c r="I3520" s="73" t="str">
        <f>IFERROR(VLOOKUP(Data!$G3520,canon!$I$2:$K$27,3,FALSE),"")</f>
        <v>APPAREL</v>
      </c>
      <c r="J3520" s="73">
        <f t="shared" si="108"/>
        <v>7</v>
      </c>
      <c r="K3520" s="73">
        <f t="shared" si="109"/>
        <v>201</v>
      </c>
      <c r="L3520" s="73">
        <f>VLOOKUP(Table_db1_backend_Daily.accdb[[#This Row],[TradingDate]],canon!B:E,4,0)</f>
        <v>31</v>
      </c>
    </row>
    <row r="3521" spans="1:12" x14ac:dyDescent="0.2">
      <c r="A3521" s="73" t="s">
        <v>46</v>
      </c>
      <c r="B3521" s="74">
        <v>42952</v>
      </c>
      <c r="C3521" s="73">
        <v>1402</v>
      </c>
      <c r="D3521" s="73">
        <v>31</v>
      </c>
      <c r="E3521" s="73">
        <v>281.79000000000008</v>
      </c>
      <c r="F3521" s="73">
        <v>100.66999999999999</v>
      </c>
      <c r="G3521" s="73" t="s">
        <v>25</v>
      </c>
      <c r="H3521" s="73" t="str">
        <f>IFERROR(VLOOKUP(Data!$G3521,canon!$I$2:$K$27,2,FALSE),"")</f>
        <v>TOP</v>
      </c>
      <c r="I3521" s="73" t="str">
        <f>IFERROR(VLOOKUP(Data!$G3521,canon!$I$2:$K$27,3,FALSE),"")</f>
        <v>APPAREL</v>
      </c>
      <c r="J3521" s="73">
        <f t="shared" si="108"/>
        <v>7</v>
      </c>
      <c r="K3521" s="73">
        <f t="shared" si="109"/>
        <v>201</v>
      </c>
      <c r="L3521" s="73">
        <f>VLOOKUP(Table_db1_backend_Daily.accdb[[#This Row],[TradingDate]],canon!B:E,4,0)</f>
        <v>31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849"/>
  <sheetViews>
    <sheetView topLeftCell="A283" workbookViewId="0">
      <selection activeCell="L18" sqref="L18"/>
    </sheetView>
  </sheetViews>
  <sheetFormatPr defaultRowHeight="11.25" x14ac:dyDescent="0.2"/>
  <cols>
    <col min="2" max="2" width="10.5" bestFit="1" customWidth="1"/>
    <col min="4" max="4" width="14" bestFit="1" customWidth="1"/>
    <col min="5" max="5" width="8.33203125" bestFit="1" customWidth="1"/>
    <col min="6" max="6" width="5.1640625" bestFit="1" customWidth="1"/>
    <col min="7" max="7" width="7.1640625" bestFit="1" customWidth="1"/>
  </cols>
  <sheetData>
    <row r="1" spans="1:11" x14ac:dyDescent="0.2">
      <c r="B1" t="s">
        <v>62</v>
      </c>
      <c r="C1" t="s">
        <v>63</v>
      </c>
      <c r="D1" t="s">
        <v>64</v>
      </c>
      <c r="E1" t="s">
        <v>65</v>
      </c>
      <c r="F1" t="s">
        <v>66</v>
      </c>
    </row>
    <row r="2" spans="1:11" x14ac:dyDescent="0.2">
      <c r="A2" t="str">
        <f>RIGHT(G2,4)</f>
        <v>1501</v>
      </c>
      <c r="B2" s="28">
        <v>42001</v>
      </c>
      <c r="C2" s="29" t="s">
        <v>55</v>
      </c>
      <c r="D2" s="29">
        <v>42001</v>
      </c>
      <c r="E2" s="30">
        <v>1</v>
      </c>
      <c r="F2" s="30">
        <v>2015</v>
      </c>
      <c r="G2" s="26">
        <v>201501</v>
      </c>
      <c r="I2" s="40" t="s">
        <v>79</v>
      </c>
      <c r="J2" s="44" t="s">
        <v>80</v>
      </c>
      <c r="K2" s="41" t="s">
        <v>81</v>
      </c>
    </row>
    <row r="3" spans="1:11" x14ac:dyDescent="0.2">
      <c r="A3" s="22" t="str">
        <f t="shared" ref="A3:A66" si="0">RIGHT(G3,4)</f>
        <v>1501</v>
      </c>
      <c r="B3" s="31">
        <v>42002</v>
      </c>
      <c r="C3" s="32" t="s">
        <v>56</v>
      </c>
      <c r="D3" s="32">
        <v>42001</v>
      </c>
      <c r="E3" s="33">
        <v>1</v>
      </c>
      <c r="F3" s="33">
        <v>2015</v>
      </c>
      <c r="G3" s="27">
        <v>201501</v>
      </c>
      <c r="I3" s="36" t="s">
        <v>26</v>
      </c>
      <c r="J3" s="42" t="s">
        <v>26</v>
      </c>
      <c r="K3" s="37" t="s">
        <v>13</v>
      </c>
    </row>
    <row r="4" spans="1:11" x14ac:dyDescent="0.2">
      <c r="A4" s="22" t="str">
        <f t="shared" si="0"/>
        <v>1501</v>
      </c>
      <c r="B4" s="31">
        <v>42003</v>
      </c>
      <c r="C4" s="32" t="s">
        <v>57</v>
      </c>
      <c r="D4" s="32">
        <v>42001</v>
      </c>
      <c r="E4" s="33">
        <v>1</v>
      </c>
      <c r="F4" s="33">
        <v>2015</v>
      </c>
      <c r="G4" s="27">
        <v>201501</v>
      </c>
      <c r="I4" s="36" t="s">
        <v>20</v>
      </c>
      <c r="J4" s="42" t="s">
        <v>20</v>
      </c>
      <c r="K4" s="37" t="s">
        <v>13</v>
      </c>
    </row>
    <row r="5" spans="1:11" x14ac:dyDescent="0.2">
      <c r="A5" s="22" t="str">
        <f t="shared" si="0"/>
        <v>1501</v>
      </c>
      <c r="B5" s="31">
        <v>42004</v>
      </c>
      <c r="C5" s="32" t="s">
        <v>58</v>
      </c>
      <c r="D5" s="32">
        <v>42001</v>
      </c>
      <c r="E5" s="33">
        <v>1</v>
      </c>
      <c r="F5" s="33">
        <v>2015</v>
      </c>
      <c r="G5" s="27">
        <v>201501</v>
      </c>
      <c r="I5" s="36" t="s">
        <v>15</v>
      </c>
      <c r="J5" s="42" t="s">
        <v>15</v>
      </c>
      <c r="K5" s="37" t="s">
        <v>13</v>
      </c>
    </row>
    <row r="6" spans="1:11" x14ac:dyDescent="0.2">
      <c r="A6" s="22" t="str">
        <f t="shared" si="0"/>
        <v>1501</v>
      </c>
      <c r="B6" s="31">
        <v>42005</v>
      </c>
      <c r="C6" s="32" t="s">
        <v>59</v>
      </c>
      <c r="D6" s="32">
        <v>42001</v>
      </c>
      <c r="E6" s="33">
        <v>1</v>
      </c>
      <c r="F6" s="33">
        <v>2015</v>
      </c>
      <c r="G6" s="27">
        <v>201501</v>
      </c>
      <c r="I6" s="36" t="s">
        <v>24</v>
      </c>
      <c r="J6" s="42" t="s">
        <v>24</v>
      </c>
      <c r="K6" s="37" t="s">
        <v>13</v>
      </c>
    </row>
    <row r="7" spans="1:11" x14ac:dyDescent="0.2">
      <c r="A7" s="22" t="str">
        <f t="shared" si="0"/>
        <v>1501</v>
      </c>
      <c r="B7" s="31">
        <v>42006</v>
      </c>
      <c r="C7" s="32" t="s">
        <v>60</v>
      </c>
      <c r="D7" s="32">
        <v>42001</v>
      </c>
      <c r="E7" s="33">
        <v>1</v>
      </c>
      <c r="F7" s="33">
        <v>2015</v>
      </c>
      <c r="G7" s="27">
        <v>201501</v>
      </c>
      <c r="I7" s="36" t="s">
        <v>18</v>
      </c>
      <c r="J7" s="42" t="s">
        <v>18</v>
      </c>
      <c r="K7" s="37" t="s">
        <v>13</v>
      </c>
    </row>
    <row r="8" spans="1:11" x14ac:dyDescent="0.2">
      <c r="A8" s="22" t="str">
        <f t="shared" si="0"/>
        <v>1501</v>
      </c>
      <c r="B8" s="31">
        <v>42007</v>
      </c>
      <c r="C8" s="32" t="s">
        <v>61</v>
      </c>
      <c r="D8" s="32">
        <v>42001</v>
      </c>
      <c r="E8" s="33">
        <v>1</v>
      </c>
      <c r="F8" s="33">
        <v>2015</v>
      </c>
      <c r="G8" s="27">
        <v>201501</v>
      </c>
      <c r="I8" s="36" t="s">
        <v>12</v>
      </c>
      <c r="J8" s="42" t="s">
        <v>12</v>
      </c>
      <c r="K8" s="37" t="s">
        <v>13</v>
      </c>
    </row>
    <row r="9" spans="1:11" x14ac:dyDescent="0.2">
      <c r="A9" s="22" t="str">
        <f t="shared" si="0"/>
        <v>1502</v>
      </c>
      <c r="B9" s="31">
        <v>42008</v>
      </c>
      <c r="C9" s="32" t="s">
        <v>55</v>
      </c>
      <c r="D9" s="32">
        <v>42008</v>
      </c>
      <c r="E9" s="33">
        <v>2</v>
      </c>
      <c r="F9" s="33">
        <v>2015</v>
      </c>
      <c r="G9" s="27">
        <v>201502</v>
      </c>
      <c r="I9" s="36" t="s">
        <v>33</v>
      </c>
      <c r="J9" s="42" t="s">
        <v>33</v>
      </c>
      <c r="K9" s="37" t="s">
        <v>13</v>
      </c>
    </row>
    <row r="10" spans="1:11" x14ac:dyDescent="0.2">
      <c r="A10" s="22" t="str">
        <f t="shared" si="0"/>
        <v>1502</v>
      </c>
      <c r="B10" s="31">
        <v>42009</v>
      </c>
      <c r="C10" s="32" t="s">
        <v>56</v>
      </c>
      <c r="D10" s="32">
        <v>42008</v>
      </c>
      <c r="E10" s="33">
        <v>2</v>
      </c>
      <c r="F10" s="33">
        <v>2015</v>
      </c>
      <c r="G10" s="27">
        <v>201502</v>
      </c>
      <c r="I10" s="36" t="s">
        <v>36</v>
      </c>
      <c r="J10" s="42" t="s">
        <v>36</v>
      </c>
      <c r="K10" s="37" t="s">
        <v>13</v>
      </c>
    </row>
    <row r="11" spans="1:11" x14ac:dyDescent="0.2">
      <c r="A11" s="22" t="str">
        <f t="shared" si="0"/>
        <v>1502</v>
      </c>
      <c r="B11" s="31">
        <v>42010</v>
      </c>
      <c r="C11" s="32" t="s">
        <v>57</v>
      </c>
      <c r="D11" s="32">
        <v>42008</v>
      </c>
      <c r="E11" s="33">
        <v>2</v>
      </c>
      <c r="F11" s="33">
        <v>2015</v>
      </c>
      <c r="G11" s="27">
        <v>201502</v>
      </c>
      <c r="I11" s="36" t="s">
        <v>39</v>
      </c>
      <c r="J11" s="42" t="s">
        <v>30</v>
      </c>
      <c r="K11" s="37" t="s">
        <v>9</v>
      </c>
    </row>
    <row r="12" spans="1:11" x14ac:dyDescent="0.2">
      <c r="A12" s="22" t="str">
        <f t="shared" si="0"/>
        <v>1502</v>
      </c>
      <c r="B12" s="31">
        <v>42011</v>
      </c>
      <c r="C12" s="32" t="s">
        <v>58</v>
      </c>
      <c r="D12" s="32">
        <v>42008</v>
      </c>
      <c r="E12" s="33">
        <v>2</v>
      </c>
      <c r="F12" s="33">
        <v>2015</v>
      </c>
      <c r="G12" s="27">
        <v>201502</v>
      </c>
      <c r="I12" s="36" t="s">
        <v>7</v>
      </c>
      <c r="J12" s="42" t="s">
        <v>8</v>
      </c>
      <c r="K12" s="37" t="s">
        <v>9</v>
      </c>
    </row>
    <row r="13" spans="1:11" x14ac:dyDescent="0.2">
      <c r="A13" s="22" t="str">
        <f t="shared" si="0"/>
        <v>1502</v>
      </c>
      <c r="B13" s="31">
        <v>42012</v>
      </c>
      <c r="C13" s="32" t="s">
        <v>59</v>
      </c>
      <c r="D13" s="32">
        <v>42008</v>
      </c>
      <c r="E13" s="33">
        <v>2</v>
      </c>
      <c r="F13" s="33">
        <v>2015</v>
      </c>
      <c r="G13" s="27">
        <v>201502</v>
      </c>
      <c r="I13" s="36" t="s">
        <v>34</v>
      </c>
      <c r="J13" s="42" t="s">
        <v>30</v>
      </c>
      <c r="K13" s="37" t="s">
        <v>9</v>
      </c>
    </row>
    <row r="14" spans="1:11" x14ac:dyDescent="0.2">
      <c r="A14" s="22" t="str">
        <f t="shared" si="0"/>
        <v>1502</v>
      </c>
      <c r="B14" s="31">
        <v>42013</v>
      </c>
      <c r="C14" s="32" t="s">
        <v>60</v>
      </c>
      <c r="D14" s="32">
        <v>42008</v>
      </c>
      <c r="E14" s="33">
        <v>2</v>
      </c>
      <c r="F14" s="33">
        <v>2015</v>
      </c>
      <c r="G14" s="27">
        <v>201502</v>
      </c>
      <c r="I14" s="36" t="s">
        <v>38</v>
      </c>
      <c r="J14" s="42" t="s">
        <v>30</v>
      </c>
      <c r="K14" s="37" t="s">
        <v>9</v>
      </c>
    </row>
    <row r="15" spans="1:11" x14ac:dyDescent="0.2">
      <c r="A15" s="22" t="str">
        <f t="shared" si="0"/>
        <v>1502</v>
      </c>
      <c r="B15" s="31">
        <v>42014</v>
      </c>
      <c r="C15" s="32" t="s">
        <v>61</v>
      </c>
      <c r="D15" s="32">
        <v>42008</v>
      </c>
      <c r="E15" s="33">
        <v>2</v>
      </c>
      <c r="F15" s="33">
        <v>2015</v>
      </c>
      <c r="G15" s="27">
        <v>201502</v>
      </c>
      <c r="I15" s="36" t="s">
        <v>10</v>
      </c>
      <c r="J15" s="42" t="s">
        <v>8</v>
      </c>
      <c r="K15" s="37" t="s">
        <v>9</v>
      </c>
    </row>
    <row r="16" spans="1:11" x14ac:dyDescent="0.2">
      <c r="A16" s="22" t="str">
        <f t="shared" si="0"/>
        <v>1503</v>
      </c>
      <c r="B16" s="31">
        <v>42015</v>
      </c>
      <c r="C16" s="32" t="s">
        <v>55</v>
      </c>
      <c r="D16" s="32">
        <v>42015</v>
      </c>
      <c r="E16" s="33">
        <v>3</v>
      </c>
      <c r="F16" s="33">
        <v>2015</v>
      </c>
      <c r="G16" s="27">
        <v>201503</v>
      </c>
      <c r="I16" s="36" t="s">
        <v>28</v>
      </c>
      <c r="J16" s="42" t="s">
        <v>8</v>
      </c>
      <c r="K16" s="37" t="s">
        <v>9</v>
      </c>
    </row>
    <row r="17" spans="1:11" x14ac:dyDescent="0.2">
      <c r="A17" s="22" t="str">
        <f t="shared" si="0"/>
        <v>1503</v>
      </c>
      <c r="B17" s="31">
        <v>42016</v>
      </c>
      <c r="C17" s="32" t="s">
        <v>56</v>
      </c>
      <c r="D17" s="32">
        <v>42015</v>
      </c>
      <c r="E17" s="33">
        <v>3</v>
      </c>
      <c r="F17" s="33">
        <v>2015</v>
      </c>
      <c r="G17" s="27">
        <v>201503</v>
      </c>
      <c r="I17" s="36" t="s">
        <v>82</v>
      </c>
      <c r="J17" s="42" t="s">
        <v>8</v>
      </c>
      <c r="K17" s="37" t="s">
        <v>9</v>
      </c>
    </row>
    <row r="18" spans="1:11" x14ac:dyDescent="0.2">
      <c r="A18" s="22" t="str">
        <f t="shared" si="0"/>
        <v>1503</v>
      </c>
      <c r="B18" s="31">
        <v>42017</v>
      </c>
      <c r="C18" s="32" t="s">
        <v>57</v>
      </c>
      <c r="D18" s="32">
        <v>42015</v>
      </c>
      <c r="E18" s="33">
        <v>3</v>
      </c>
      <c r="F18" s="33">
        <v>2015</v>
      </c>
      <c r="G18" s="27">
        <v>201503</v>
      </c>
      <c r="I18" s="36" t="s">
        <v>16</v>
      </c>
      <c r="J18" s="42" t="s">
        <v>8</v>
      </c>
      <c r="K18" s="37" t="s">
        <v>9</v>
      </c>
    </row>
    <row r="19" spans="1:11" x14ac:dyDescent="0.2">
      <c r="A19" s="22" t="str">
        <f t="shared" si="0"/>
        <v>1503</v>
      </c>
      <c r="B19" s="31">
        <v>42018</v>
      </c>
      <c r="C19" s="32" t="s">
        <v>58</v>
      </c>
      <c r="D19" s="32">
        <v>42015</v>
      </c>
      <c r="E19" s="33">
        <v>3</v>
      </c>
      <c r="F19" s="33">
        <v>2015</v>
      </c>
      <c r="G19" s="27">
        <v>201503</v>
      </c>
      <c r="I19" s="36" t="s">
        <v>37</v>
      </c>
      <c r="J19" s="42" t="s">
        <v>30</v>
      </c>
      <c r="K19" s="37" t="s">
        <v>9</v>
      </c>
    </row>
    <row r="20" spans="1:11" x14ac:dyDescent="0.2">
      <c r="A20" s="22" t="str">
        <f t="shared" si="0"/>
        <v>1503</v>
      </c>
      <c r="B20" s="31">
        <v>42019</v>
      </c>
      <c r="C20" s="32" t="s">
        <v>59</v>
      </c>
      <c r="D20" s="32">
        <v>42015</v>
      </c>
      <c r="E20" s="33">
        <v>3</v>
      </c>
      <c r="F20" s="33">
        <v>2015</v>
      </c>
      <c r="G20" s="27">
        <v>201503</v>
      </c>
      <c r="I20" s="36" t="s">
        <v>29</v>
      </c>
      <c r="J20" s="42" t="s">
        <v>30</v>
      </c>
      <c r="K20" s="37" t="s">
        <v>9</v>
      </c>
    </row>
    <row r="21" spans="1:11" x14ac:dyDescent="0.2">
      <c r="A21" s="22" t="str">
        <f t="shared" si="0"/>
        <v>1503</v>
      </c>
      <c r="B21" s="31">
        <v>42020</v>
      </c>
      <c r="C21" s="32" t="s">
        <v>60</v>
      </c>
      <c r="D21" s="32">
        <v>42015</v>
      </c>
      <c r="E21" s="33">
        <v>3</v>
      </c>
      <c r="F21" s="33">
        <v>2015</v>
      </c>
      <c r="G21" s="27">
        <v>201503</v>
      </c>
      <c r="I21" s="36" t="s">
        <v>21</v>
      </c>
      <c r="J21" s="42" t="s">
        <v>8</v>
      </c>
      <c r="K21" s="37" t="s">
        <v>9</v>
      </c>
    </row>
    <row r="22" spans="1:11" x14ac:dyDescent="0.2">
      <c r="A22" s="22" t="str">
        <f t="shared" si="0"/>
        <v>1503</v>
      </c>
      <c r="B22" s="31">
        <v>42021</v>
      </c>
      <c r="C22" s="32" t="s">
        <v>61</v>
      </c>
      <c r="D22" s="32">
        <v>42015</v>
      </c>
      <c r="E22" s="33">
        <v>3</v>
      </c>
      <c r="F22" s="33">
        <v>2015</v>
      </c>
      <c r="G22" s="27">
        <v>201503</v>
      </c>
      <c r="I22" s="36" t="s">
        <v>31</v>
      </c>
      <c r="J22" s="42" t="s">
        <v>8</v>
      </c>
      <c r="K22" s="37" t="s">
        <v>9</v>
      </c>
    </row>
    <row r="23" spans="1:11" x14ac:dyDescent="0.2">
      <c r="A23" s="22" t="str">
        <f t="shared" si="0"/>
        <v>1504</v>
      </c>
      <c r="B23" s="31">
        <v>42022</v>
      </c>
      <c r="C23" s="32" t="s">
        <v>55</v>
      </c>
      <c r="D23" s="32">
        <v>42022</v>
      </c>
      <c r="E23" s="33">
        <v>4</v>
      </c>
      <c r="F23" s="33">
        <v>2015</v>
      </c>
      <c r="G23" s="27">
        <v>201504</v>
      </c>
      <c r="I23" s="36" t="s">
        <v>22</v>
      </c>
      <c r="J23" s="42" t="s">
        <v>22</v>
      </c>
      <c r="K23" s="37" t="s">
        <v>9</v>
      </c>
    </row>
    <row r="24" spans="1:11" x14ac:dyDescent="0.2">
      <c r="A24" s="22" t="str">
        <f t="shared" si="0"/>
        <v>1504</v>
      </c>
      <c r="B24" s="31">
        <v>42023</v>
      </c>
      <c r="C24" s="32" t="s">
        <v>56</v>
      </c>
      <c r="D24" s="32">
        <v>42022</v>
      </c>
      <c r="E24" s="33">
        <v>4</v>
      </c>
      <c r="F24" s="33">
        <v>2015</v>
      </c>
      <c r="G24" s="27">
        <v>201504</v>
      </c>
      <c r="I24" s="36" t="s">
        <v>83</v>
      </c>
      <c r="J24" s="42" t="s">
        <v>8</v>
      </c>
      <c r="K24" s="37" t="s">
        <v>9</v>
      </c>
    </row>
    <row r="25" spans="1:11" x14ac:dyDescent="0.2">
      <c r="A25" s="22" t="str">
        <f t="shared" si="0"/>
        <v>1504</v>
      </c>
      <c r="B25" s="31">
        <v>42024</v>
      </c>
      <c r="C25" s="32" t="s">
        <v>57</v>
      </c>
      <c r="D25" s="32">
        <v>42022</v>
      </c>
      <c r="E25" s="33">
        <v>4</v>
      </c>
      <c r="F25" s="33">
        <v>2015</v>
      </c>
      <c r="G25" s="27">
        <v>201504</v>
      </c>
      <c r="I25" s="36" t="s">
        <v>84</v>
      </c>
      <c r="J25" s="42" t="s">
        <v>8</v>
      </c>
      <c r="K25" s="37" t="s">
        <v>9</v>
      </c>
    </row>
    <row r="26" spans="1:11" x14ac:dyDescent="0.2">
      <c r="A26" s="22" t="str">
        <f t="shared" si="0"/>
        <v>1504</v>
      </c>
      <c r="B26" s="31">
        <v>42025</v>
      </c>
      <c r="C26" s="32" t="s">
        <v>58</v>
      </c>
      <c r="D26" s="32">
        <v>42022</v>
      </c>
      <c r="E26" s="33">
        <v>4</v>
      </c>
      <c r="F26" s="33">
        <v>2015</v>
      </c>
      <c r="G26" s="27">
        <v>201504</v>
      </c>
      <c r="I26" s="36" t="s">
        <v>85</v>
      </c>
      <c r="J26" s="42" t="s">
        <v>8</v>
      </c>
      <c r="K26" s="37" t="s">
        <v>9</v>
      </c>
    </row>
    <row r="27" spans="1:11" x14ac:dyDescent="0.2">
      <c r="A27" s="22" t="str">
        <f t="shared" si="0"/>
        <v>1504</v>
      </c>
      <c r="B27" s="31">
        <v>42026</v>
      </c>
      <c r="C27" s="32" t="s">
        <v>59</v>
      </c>
      <c r="D27" s="32">
        <v>42022</v>
      </c>
      <c r="E27" s="33">
        <v>4</v>
      </c>
      <c r="F27" s="33">
        <v>2015</v>
      </c>
      <c r="G27" s="27">
        <v>201504</v>
      </c>
      <c r="I27" s="38" t="s">
        <v>27</v>
      </c>
      <c r="J27" s="43" t="s">
        <v>8</v>
      </c>
      <c r="K27" s="39" t="s">
        <v>9</v>
      </c>
    </row>
    <row r="28" spans="1:11" x14ac:dyDescent="0.2">
      <c r="A28" s="22" t="str">
        <f t="shared" si="0"/>
        <v>1504</v>
      </c>
      <c r="B28" s="31">
        <v>42027</v>
      </c>
      <c r="C28" s="32" t="s">
        <v>60</v>
      </c>
      <c r="D28" s="32">
        <v>42022</v>
      </c>
      <c r="E28" s="33">
        <v>4</v>
      </c>
      <c r="F28" s="33">
        <v>2015</v>
      </c>
      <c r="G28" s="27">
        <v>201504</v>
      </c>
    </row>
    <row r="29" spans="1:11" x14ac:dyDescent="0.2">
      <c r="A29" s="22" t="str">
        <f t="shared" si="0"/>
        <v>1504</v>
      </c>
      <c r="B29" s="31">
        <v>42028</v>
      </c>
      <c r="C29" s="32" t="s">
        <v>61</v>
      </c>
      <c r="D29" s="32">
        <v>42022</v>
      </c>
      <c r="E29" s="33">
        <v>4</v>
      </c>
      <c r="F29" s="33">
        <v>2015</v>
      </c>
      <c r="G29" s="27">
        <v>201504</v>
      </c>
    </row>
    <row r="30" spans="1:11" x14ac:dyDescent="0.2">
      <c r="A30" s="22" t="str">
        <f t="shared" si="0"/>
        <v>1505</v>
      </c>
      <c r="B30" s="31">
        <v>42029</v>
      </c>
      <c r="C30" s="32" t="s">
        <v>55</v>
      </c>
      <c r="D30" s="32">
        <v>42029</v>
      </c>
      <c r="E30" s="33">
        <v>5</v>
      </c>
      <c r="F30" s="33">
        <v>2015</v>
      </c>
      <c r="G30" s="27">
        <v>201505</v>
      </c>
    </row>
    <row r="31" spans="1:11" x14ac:dyDescent="0.2">
      <c r="A31" s="22" t="str">
        <f t="shared" si="0"/>
        <v>1505</v>
      </c>
      <c r="B31" s="31">
        <v>42030</v>
      </c>
      <c r="C31" s="32" t="s">
        <v>56</v>
      </c>
      <c r="D31" s="32">
        <v>42029</v>
      </c>
      <c r="E31" s="33">
        <v>5</v>
      </c>
      <c r="F31" s="33">
        <v>2015</v>
      </c>
      <c r="G31" s="27">
        <v>201505</v>
      </c>
    </row>
    <row r="32" spans="1:11" x14ac:dyDescent="0.2">
      <c r="A32" s="22" t="str">
        <f t="shared" si="0"/>
        <v>1505</v>
      </c>
      <c r="B32" s="31">
        <v>42031</v>
      </c>
      <c r="C32" s="32" t="s">
        <v>57</v>
      </c>
      <c r="D32" s="32">
        <v>42029</v>
      </c>
      <c r="E32" s="33">
        <v>5</v>
      </c>
      <c r="F32" s="33">
        <v>2015</v>
      </c>
      <c r="G32" s="27">
        <v>201505</v>
      </c>
    </row>
    <row r="33" spans="1:7" x14ac:dyDescent="0.2">
      <c r="A33" s="22" t="str">
        <f t="shared" si="0"/>
        <v>1505</v>
      </c>
      <c r="B33" s="31">
        <v>42032</v>
      </c>
      <c r="C33" s="32" t="s">
        <v>58</v>
      </c>
      <c r="D33" s="32">
        <v>42029</v>
      </c>
      <c r="E33" s="33">
        <v>5</v>
      </c>
      <c r="F33" s="33">
        <v>2015</v>
      </c>
      <c r="G33" s="27">
        <v>201505</v>
      </c>
    </row>
    <row r="34" spans="1:7" x14ac:dyDescent="0.2">
      <c r="A34" s="22" t="str">
        <f t="shared" si="0"/>
        <v>1505</v>
      </c>
      <c r="B34" s="31">
        <v>42033</v>
      </c>
      <c r="C34" s="32" t="s">
        <v>59</v>
      </c>
      <c r="D34" s="32">
        <v>42029</v>
      </c>
      <c r="E34" s="33">
        <v>5</v>
      </c>
      <c r="F34" s="33">
        <v>2015</v>
      </c>
      <c r="G34" s="27">
        <v>201505</v>
      </c>
    </row>
    <row r="35" spans="1:7" x14ac:dyDescent="0.2">
      <c r="A35" s="22" t="str">
        <f t="shared" si="0"/>
        <v>1505</v>
      </c>
      <c r="B35" s="31">
        <v>42034</v>
      </c>
      <c r="C35" s="32" t="s">
        <v>60</v>
      </c>
      <c r="D35" s="32">
        <v>42029</v>
      </c>
      <c r="E35" s="33">
        <v>5</v>
      </c>
      <c r="F35" s="33">
        <v>2015</v>
      </c>
      <c r="G35" s="27">
        <v>201505</v>
      </c>
    </row>
    <row r="36" spans="1:7" x14ac:dyDescent="0.2">
      <c r="A36" s="22" t="str">
        <f t="shared" si="0"/>
        <v>1505</v>
      </c>
      <c r="B36" s="31">
        <v>42035</v>
      </c>
      <c r="C36" s="32" t="s">
        <v>61</v>
      </c>
      <c r="D36" s="32">
        <v>42029</v>
      </c>
      <c r="E36" s="33">
        <v>5</v>
      </c>
      <c r="F36" s="33">
        <v>2015</v>
      </c>
      <c r="G36" s="27">
        <v>201505</v>
      </c>
    </row>
    <row r="37" spans="1:7" x14ac:dyDescent="0.2">
      <c r="A37" s="22" t="str">
        <f t="shared" si="0"/>
        <v>1506</v>
      </c>
      <c r="B37" s="31">
        <v>42036</v>
      </c>
      <c r="C37" s="32" t="s">
        <v>55</v>
      </c>
      <c r="D37" s="32">
        <v>42036</v>
      </c>
      <c r="E37" s="33">
        <v>6</v>
      </c>
      <c r="F37" s="33">
        <v>2015</v>
      </c>
      <c r="G37" s="27">
        <v>201506</v>
      </c>
    </row>
    <row r="38" spans="1:7" x14ac:dyDescent="0.2">
      <c r="A38" s="22" t="str">
        <f t="shared" si="0"/>
        <v>1506</v>
      </c>
      <c r="B38" s="31">
        <v>42037</v>
      </c>
      <c r="C38" s="32" t="s">
        <v>56</v>
      </c>
      <c r="D38" s="32">
        <v>42036</v>
      </c>
      <c r="E38" s="33">
        <v>6</v>
      </c>
      <c r="F38" s="33">
        <v>2015</v>
      </c>
      <c r="G38" s="27">
        <v>201506</v>
      </c>
    </row>
    <row r="39" spans="1:7" x14ac:dyDescent="0.2">
      <c r="A39" s="22" t="str">
        <f t="shared" si="0"/>
        <v>1506</v>
      </c>
      <c r="B39" s="31">
        <v>42038</v>
      </c>
      <c r="C39" s="32" t="s">
        <v>57</v>
      </c>
      <c r="D39" s="32">
        <v>42036</v>
      </c>
      <c r="E39" s="33">
        <v>6</v>
      </c>
      <c r="F39" s="33">
        <v>2015</v>
      </c>
      <c r="G39" s="27">
        <v>201506</v>
      </c>
    </row>
    <row r="40" spans="1:7" x14ac:dyDescent="0.2">
      <c r="A40" s="22" t="str">
        <f t="shared" si="0"/>
        <v>1506</v>
      </c>
      <c r="B40" s="31">
        <v>42039</v>
      </c>
      <c r="C40" s="32" t="s">
        <v>58</v>
      </c>
      <c r="D40" s="32">
        <v>42036</v>
      </c>
      <c r="E40" s="33">
        <v>6</v>
      </c>
      <c r="F40" s="33">
        <v>2015</v>
      </c>
      <c r="G40" s="27">
        <v>201506</v>
      </c>
    </row>
    <row r="41" spans="1:7" x14ac:dyDescent="0.2">
      <c r="A41" s="22" t="str">
        <f t="shared" si="0"/>
        <v>1506</v>
      </c>
      <c r="B41" s="31">
        <v>42040</v>
      </c>
      <c r="C41" s="32" t="s">
        <v>59</v>
      </c>
      <c r="D41" s="32">
        <v>42036</v>
      </c>
      <c r="E41" s="33">
        <v>6</v>
      </c>
      <c r="F41" s="33">
        <v>2015</v>
      </c>
      <c r="G41" s="27">
        <v>201506</v>
      </c>
    </row>
    <row r="42" spans="1:7" x14ac:dyDescent="0.2">
      <c r="A42" s="22" t="str">
        <f t="shared" si="0"/>
        <v>1506</v>
      </c>
      <c r="B42" s="31">
        <v>42041</v>
      </c>
      <c r="C42" s="32" t="s">
        <v>60</v>
      </c>
      <c r="D42" s="32">
        <v>42036</v>
      </c>
      <c r="E42" s="33">
        <v>6</v>
      </c>
      <c r="F42" s="33">
        <v>2015</v>
      </c>
      <c r="G42" s="27">
        <v>201506</v>
      </c>
    </row>
    <row r="43" spans="1:7" x14ac:dyDescent="0.2">
      <c r="A43" s="22" t="str">
        <f t="shared" si="0"/>
        <v>1506</v>
      </c>
      <c r="B43" s="31">
        <v>42042</v>
      </c>
      <c r="C43" s="32" t="s">
        <v>61</v>
      </c>
      <c r="D43" s="32">
        <v>42036</v>
      </c>
      <c r="E43" s="33">
        <v>6</v>
      </c>
      <c r="F43" s="33">
        <v>2015</v>
      </c>
      <c r="G43" s="27">
        <v>201506</v>
      </c>
    </row>
    <row r="44" spans="1:7" x14ac:dyDescent="0.2">
      <c r="A44" s="22" t="str">
        <f t="shared" si="0"/>
        <v>1507</v>
      </c>
      <c r="B44" s="31">
        <v>42043</v>
      </c>
      <c r="C44" s="32" t="s">
        <v>55</v>
      </c>
      <c r="D44" s="32">
        <v>42043</v>
      </c>
      <c r="E44" s="33">
        <v>7</v>
      </c>
      <c r="F44" s="33">
        <v>2015</v>
      </c>
      <c r="G44" s="27">
        <v>201507</v>
      </c>
    </row>
    <row r="45" spans="1:7" x14ac:dyDescent="0.2">
      <c r="A45" s="22" t="str">
        <f t="shared" si="0"/>
        <v>1507</v>
      </c>
      <c r="B45" s="31">
        <v>42044</v>
      </c>
      <c r="C45" s="32" t="s">
        <v>56</v>
      </c>
      <c r="D45" s="32">
        <v>42043</v>
      </c>
      <c r="E45" s="33">
        <v>7</v>
      </c>
      <c r="F45" s="33">
        <v>2015</v>
      </c>
      <c r="G45" s="27">
        <v>201507</v>
      </c>
    </row>
    <row r="46" spans="1:7" x14ac:dyDescent="0.2">
      <c r="A46" s="22" t="str">
        <f t="shared" si="0"/>
        <v>1507</v>
      </c>
      <c r="B46" s="31">
        <v>42045</v>
      </c>
      <c r="C46" s="32" t="s">
        <v>57</v>
      </c>
      <c r="D46" s="32">
        <v>42043</v>
      </c>
      <c r="E46" s="33">
        <v>7</v>
      </c>
      <c r="F46" s="33">
        <v>2015</v>
      </c>
      <c r="G46" s="27">
        <v>201507</v>
      </c>
    </row>
    <row r="47" spans="1:7" x14ac:dyDescent="0.2">
      <c r="A47" s="22" t="str">
        <f t="shared" si="0"/>
        <v>1507</v>
      </c>
      <c r="B47" s="31">
        <v>42046</v>
      </c>
      <c r="C47" s="32" t="s">
        <v>58</v>
      </c>
      <c r="D47" s="32">
        <v>42043</v>
      </c>
      <c r="E47" s="33">
        <v>7</v>
      </c>
      <c r="F47" s="33">
        <v>2015</v>
      </c>
      <c r="G47" s="27">
        <v>201507</v>
      </c>
    </row>
    <row r="48" spans="1:7" x14ac:dyDescent="0.2">
      <c r="A48" s="22" t="str">
        <f t="shared" si="0"/>
        <v>1507</v>
      </c>
      <c r="B48" s="31">
        <v>42047</v>
      </c>
      <c r="C48" s="32" t="s">
        <v>59</v>
      </c>
      <c r="D48" s="32">
        <v>42043</v>
      </c>
      <c r="E48" s="33">
        <v>7</v>
      </c>
      <c r="F48" s="33">
        <v>2015</v>
      </c>
      <c r="G48" s="27">
        <v>201507</v>
      </c>
    </row>
    <row r="49" spans="1:7" x14ac:dyDescent="0.2">
      <c r="A49" s="22" t="str">
        <f t="shared" si="0"/>
        <v>1507</v>
      </c>
      <c r="B49" s="31">
        <v>42048</v>
      </c>
      <c r="C49" s="32" t="s">
        <v>60</v>
      </c>
      <c r="D49" s="32">
        <v>42043</v>
      </c>
      <c r="E49" s="33">
        <v>7</v>
      </c>
      <c r="F49" s="33">
        <v>2015</v>
      </c>
      <c r="G49" s="27">
        <v>201507</v>
      </c>
    </row>
    <row r="50" spans="1:7" x14ac:dyDescent="0.2">
      <c r="A50" s="22" t="str">
        <f t="shared" si="0"/>
        <v>1507</v>
      </c>
      <c r="B50" s="31">
        <v>42049</v>
      </c>
      <c r="C50" s="32" t="s">
        <v>61</v>
      </c>
      <c r="D50" s="32">
        <v>42043</v>
      </c>
      <c r="E50" s="33">
        <v>7</v>
      </c>
      <c r="F50" s="33">
        <v>2015</v>
      </c>
      <c r="G50" s="27">
        <v>201507</v>
      </c>
    </row>
    <row r="51" spans="1:7" x14ac:dyDescent="0.2">
      <c r="A51" s="22" t="str">
        <f t="shared" si="0"/>
        <v>1508</v>
      </c>
      <c r="B51" s="31">
        <v>42050</v>
      </c>
      <c r="C51" s="32" t="s">
        <v>55</v>
      </c>
      <c r="D51" s="32">
        <v>42050</v>
      </c>
      <c r="E51" s="33">
        <v>8</v>
      </c>
      <c r="F51" s="33">
        <v>2015</v>
      </c>
      <c r="G51" s="27">
        <v>201508</v>
      </c>
    </row>
    <row r="52" spans="1:7" x14ac:dyDescent="0.2">
      <c r="A52" s="22" t="str">
        <f t="shared" si="0"/>
        <v>1508</v>
      </c>
      <c r="B52" s="31">
        <v>42051</v>
      </c>
      <c r="C52" s="32" t="s">
        <v>56</v>
      </c>
      <c r="D52" s="32">
        <v>42050</v>
      </c>
      <c r="E52" s="33">
        <v>8</v>
      </c>
      <c r="F52" s="33">
        <v>2015</v>
      </c>
      <c r="G52" s="27">
        <v>201508</v>
      </c>
    </row>
    <row r="53" spans="1:7" x14ac:dyDescent="0.2">
      <c r="A53" s="22" t="str">
        <f t="shared" si="0"/>
        <v>1508</v>
      </c>
      <c r="B53" s="31">
        <v>42052</v>
      </c>
      <c r="C53" s="32" t="s">
        <v>57</v>
      </c>
      <c r="D53" s="32">
        <v>42050</v>
      </c>
      <c r="E53" s="33">
        <v>8</v>
      </c>
      <c r="F53" s="33">
        <v>2015</v>
      </c>
      <c r="G53" s="27">
        <v>201508</v>
      </c>
    </row>
    <row r="54" spans="1:7" x14ac:dyDescent="0.2">
      <c r="A54" s="22" t="str">
        <f t="shared" si="0"/>
        <v>1508</v>
      </c>
      <c r="B54" s="31">
        <v>42053</v>
      </c>
      <c r="C54" s="32" t="s">
        <v>58</v>
      </c>
      <c r="D54" s="32">
        <v>42050</v>
      </c>
      <c r="E54" s="33">
        <v>8</v>
      </c>
      <c r="F54" s="33">
        <v>2015</v>
      </c>
      <c r="G54" s="27">
        <v>201508</v>
      </c>
    </row>
    <row r="55" spans="1:7" x14ac:dyDescent="0.2">
      <c r="A55" s="22" t="str">
        <f t="shared" si="0"/>
        <v>1508</v>
      </c>
      <c r="B55" s="31">
        <v>42054</v>
      </c>
      <c r="C55" s="32" t="s">
        <v>59</v>
      </c>
      <c r="D55" s="32">
        <v>42050</v>
      </c>
      <c r="E55" s="33">
        <v>8</v>
      </c>
      <c r="F55" s="33">
        <v>2015</v>
      </c>
      <c r="G55" s="27">
        <v>201508</v>
      </c>
    </row>
    <row r="56" spans="1:7" x14ac:dyDescent="0.2">
      <c r="A56" s="22" t="str">
        <f t="shared" si="0"/>
        <v>1508</v>
      </c>
      <c r="B56" s="31">
        <v>42055</v>
      </c>
      <c r="C56" s="32" t="s">
        <v>60</v>
      </c>
      <c r="D56" s="32">
        <v>42050</v>
      </c>
      <c r="E56" s="33">
        <v>8</v>
      </c>
      <c r="F56" s="33">
        <v>2015</v>
      </c>
      <c r="G56" s="27">
        <v>201508</v>
      </c>
    </row>
    <row r="57" spans="1:7" x14ac:dyDescent="0.2">
      <c r="A57" s="22" t="str">
        <f t="shared" si="0"/>
        <v>1508</v>
      </c>
      <c r="B57" s="31">
        <v>42056</v>
      </c>
      <c r="C57" s="32" t="s">
        <v>61</v>
      </c>
      <c r="D57" s="32">
        <v>42050</v>
      </c>
      <c r="E57" s="33">
        <v>8</v>
      </c>
      <c r="F57" s="33">
        <v>2015</v>
      </c>
      <c r="G57" s="27">
        <v>201508</v>
      </c>
    </row>
    <row r="58" spans="1:7" x14ac:dyDescent="0.2">
      <c r="A58" s="22" t="str">
        <f t="shared" si="0"/>
        <v>1509</v>
      </c>
      <c r="B58" s="31">
        <v>42057</v>
      </c>
      <c r="C58" s="32" t="s">
        <v>55</v>
      </c>
      <c r="D58" s="32">
        <v>42057</v>
      </c>
      <c r="E58" s="33">
        <v>9</v>
      </c>
      <c r="F58" s="33">
        <v>2015</v>
      </c>
      <c r="G58" s="27">
        <v>201509</v>
      </c>
    </row>
    <row r="59" spans="1:7" x14ac:dyDescent="0.2">
      <c r="A59" s="22" t="str">
        <f t="shared" si="0"/>
        <v>1509</v>
      </c>
      <c r="B59" s="31">
        <v>42058</v>
      </c>
      <c r="C59" s="32" t="s">
        <v>56</v>
      </c>
      <c r="D59" s="32">
        <v>42057</v>
      </c>
      <c r="E59" s="33">
        <v>9</v>
      </c>
      <c r="F59" s="33">
        <v>2015</v>
      </c>
      <c r="G59" s="27">
        <v>201509</v>
      </c>
    </row>
    <row r="60" spans="1:7" x14ac:dyDescent="0.2">
      <c r="A60" s="22" t="str">
        <f t="shared" si="0"/>
        <v>1509</v>
      </c>
      <c r="B60" s="31">
        <v>42059</v>
      </c>
      <c r="C60" s="32" t="s">
        <v>57</v>
      </c>
      <c r="D60" s="32">
        <v>42057</v>
      </c>
      <c r="E60" s="33">
        <v>9</v>
      </c>
      <c r="F60" s="33">
        <v>2015</v>
      </c>
      <c r="G60" s="27">
        <v>201509</v>
      </c>
    </row>
    <row r="61" spans="1:7" x14ac:dyDescent="0.2">
      <c r="A61" s="22" t="str">
        <f t="shared" si="0"/>
        <v>1509</v>
      </c>
      <c r="B61" s="31">
        <v>42060</v>
      </c>
      <c r="C61" s="32" t="s">
        <v>58</v>
      </c>
      <c r="D61" s="32">
        <v>42057</v>
      </c>
      <c r="E61" s="33">
        <v>9</v>
      </c>
      <c r="F61" s="33">
        <v>2015</v>
      </c>
      <c r="G61" s="27">
        <v>201509</v>
      </c>
    </row>
    <row r="62" spans="1:7" x14ac:dyDescent="0.2">
      <c r="A62" s="22" t="str">
        <f t="shared" si="0"/>
        <v>1509</v>
      </c>
      <c r="B62" s="31">
        <v>42061</v>
      </c>
      <c r="C62" s="32" t="s">
        <v>59</v>
      </c>
      <c r="D62" s="32">
        <v>42057</v>
      </c>
      <c r="E62" s="33">
        <v>9</v>
      </c>
      <c r="F62" s="33">
        <v>2015</v>
      </c>
      <c r="G62" s="27">
        <v>201509</v>
      </c>
    </row>
    <row r="63" spans="1:7" x14ac:dyDescent="0.2">
      <c r="A63" s="22" t="str">
        <f t="shared" si="0"/>
        <v>1509</v>
      </c>
      <c r="B63" s="31">
        <v>42062</v>
      </c>
      <c r="C63" s="32" t="s">
        <v>60</v>
      </c>
      <c r="D63" s="32">
        <v>42057</v>
      </c>
      <c r="E63" s="33">
        <v>9</v>
      </c>
      <c r="F63" s="33">
        <v>2015</v>
      </c>
      <c r="G63" s="27">
        <v>201509</v>
      </c>
    </row>
    <row r="64" spans="1:7" x14ac:dyDescent="0.2">
      <c r="A64" s="22" t="str">
        <f t="shared" si="0"/>
        <v>1509</v>
      </c>
      <c r="B64" s="31">
        <v>42063</v>
      </c>
      <c r="C64" s="32" t="s">
        <v>61</v>
      </c>
      <c r="D64" s="32">
        <v>42057</v>
      </c>
      <c r="E64" s="33">
        <v>9</v>
      </c>
      <c r="F64" s="33">
        <v>2015</v>
      </c>
      <c r="G64" s="27">
        <v>201509</v>
      </c>
    </row>
    <row r="65" spans="1:7" x14ac:dyDescent="0.2">
      <c r="A65" s="22" t="str">
        <f t="shared" si="0"/>
        <v>1510</v>
      </c>
      <c r="B65" s="31">
        <v>42064</v>
      </c>
      <c r="C65" s="32" t="s">
        <v>55</v>
      </c>
      <c r="D65" s="32">
        <v>42064</v>
      </c>
      <c r="E65" s="33">
        <v>10</v>
      </c>
      <c r="F65" s="33">
        <v>2015</v>
      </c>
      <c r="G65" s="27">
        <v>201510</v>
      </c>
    </row>
    <row r="66" spans="1:7" x14ac:dyDescent="0.2">
      <c r="A66" s="22" t="str">
        <f t="shared" si="0"/>
        <v>1510</v>
      </c>
      <c r="B66" s="31">
        <v>42065</v>
      </c>
      <c r="C66" s="32" t="s">
        <v>56</v>
      </c>
      <c r="D66" s="32">
        <v>42064</v>
      </c>
      <c r="E66" s="33">
        <v>10</v>
      </c>
      <c r="F66" s="33">
        <v>2015</v>
      </c>
      <c r="G66" s="27">
        <v>201510</v>
      </c>
    </row>
    <row r="67" spans="1:7" x14ac:dyDescent="0.2">
      <c r="A67" s="22" t="str">
        <f t="shared" ref="A67:A130" si="1">RIGHT(G67,4)</f>
        <v>1510</v>
      </c>
      <c r="B67" s="31">
        <v>42066</v>
      </c>
      <c r="C67" s="32" t="s">
        <v>57</v>
      </c>
      <c r="D67" s="32">
        <v>42064</v>
      </c>
      <c r="E67" s="33">
        <v>10</v>
      </c>
      <c r="F67" s="33">
        <v>2015</v>
      </c>
      <c r="G67" s="27">
        <v>201510</v>
      </c>
    </row>
    <row r="68" spans="1:7" x14ac:dyDescent="0.2">
      <c r="A68" s="22" t="str">
        <f t="shared" si="1"/>
        <v>1510</v>
      </c>
      <c r="B68" s="31">
        <v>42067</v>
      </c>
      <c r="C68" s="32" t="s">
        <v>58</v>
      </c>
      <c r="D68" s="32">
        <v>42064</v>
      </c>
      <c r="E68" s="33">
        <v>10</v>
      </c>
      <c r="F68" s="33">
        <v>2015</v>
      </c>
      <c r="G68" s="27">
        <v>201510</v>
      </c>
    </row>
    <row r="69" spans="1:7" x14ac:dyDescent="0.2">
      <c r="A69" s="22" t="str">
        <f t="shared" si="1"/>
        <v>1510</v>
      </c>
      <c r="B69" s="31">
        <v>42068</v>
      </c>
      <c r="C69" s="32" t="s">
        <v>59</v>
      </c>
      <c r="D69" s="32">
        <v>42064</v>
      </c>
      <c r="E69" s="33">
        <v>10</v>
      </c>
      <c r="F69" s="33">
        <v>2015</v>
      </c>
      <c r="G69" s="27">
        <v>201510</v>
      </c>
    </row>
    <row r="70" spans="1:7" x14ac:dyDescent="0.2">
      <c r="A70" s="22" t="str">
        <f t="shared" si="1"/>
        <v>1510</v>
      </c>
      <c r="B70" s="31">
        <v>42069</v>
      </c>
      <c r="C70" s="32" t="s">
        <v>60</v>
      </c>
      <c r="D70" s="32">
        <v>42064</v>
      </c>
      <c r="E70" s="33">
        <v>10</v>
      </c>
      <c r="F70" s="33">
        <v>2015</v>
      </c>
      <c r="G70" s="27">
        <v>201510</v>
      </c>
    </row>
    <row r="71" spans="1:7" x14ac:dyDescent="0.2">
      <c r="A71" s="22" t="str">
        <f t="shared" si="1"/>
        <v>1510</v>
      </c>
      <c r="B71" s="31">
        <v>42070</v>
      </c>
      <c r="C71" s="32" t="s">
        <v>61</v>
      </c>
      <c r="D71" s="32">
        <v>42064</v>
      </c>
      <c r="E71" s="33">
        <v>10</v>
      </c>
      <c r="F71" s="33">
        <v>2015</v>
      </c>
      <c r="G71" s="27">
        <v>201510</v>
      </c>
    </row>
    <row r="72" spans="1:7" x14ac:dyDescent="0.2">
      <c r="A72" s="22" t="str">
        <f t="shared" si="1"/>
        <v>1511</v>
      </c>
      <c r="B72" s="31">
        <v>42071</v>
      </c>
      <c r="C72" s="32" t="s">
        <v>55</v>
      </c>
      <c r="D72" s="32">
        <v>42071</v>
      </c>
      <c r="E72" s="33">
        <v>11</v>
      </c>
      <c r="F72" s="33">
        <v>2015</v>
      </c>
      <c r="G72" s="27">
        <v>201511</v>
      </c>
    </row>
    <row r="73" spans="1:7" x14ac:dyDescent="0.2">
      <c r="A73" s="22" t="str">
        <f t="shared" si="1"/>
        <v>1511</v>
      </c>
      <c r="B73" s="31">
        <v>42072</v>
      </c>
      <c r="C73" s="32" t="s">
        <v>56</v>
      </c>
      <c r="D73" s="32">
        <v>42071</v>
      </c>
      <c r="E73" s="33">
        <v>11</v>
      </c>
      <c r="F73" s="33">
        <v>2015</v>
      </c>
      <c r="G73" s="27">
        <v>201511</v>
      </c>
    </row>
    <row r="74" spans="1:7" x14ac:dyDescent="0.2">
      <c r="A74" s="22" t="str">
        <f t="shared" si="1"/>
        <v>1511</v>
      </c>
      <c r="B74" s="31">
        <v>42073</v>
      </c>
      <c r="C74" s="32" t="s">
        <v>57</v>
      </c>
      <c r="D74" s="32">
        <v>42071</v>
      </c>
      <c r="E74" s="33">
        <v>11</v>
      </c>
      <c r="F74" s="33">
        <v>2015</v>
      </c>
      <c r="G74" s="27">
        <v>201511</v>
      </c>
    </row>
    <row r="75" spans="1:7" x14ac:dyDescent="0.2">
      <c r="A75" s="22" t="str">
        <f t="shared" si="1"/>
        <v>1511</v>
      </c>
      <c r="B75" s="31">
        <v>42074</v>
      </c>
      <c r="C75" s="32" t="s">
        <v>58</v>
      </c>
      <c r="D75" s="32">
        <v>42071</v>
      </c>
      <c r="E75" s="33">
        <v>11</v>
      </c>
      <c r="F75" s="33">
        <v>2015</v>
      </c>
      <c r="G75" s="27">
        <v>201511</v>
      </c>
    </row>
    <row r="76" spans="1:7" x14ac:dyDescent="0.2">
      <c r="A76" s="22" t="str">
        <f t="shared" si="1"/>
        <v>1511</v>
      </c>
      <c r="B76" s="31">
        <v>42075</v>
      </c>
      <c r="C76" s="32" t="s">
        <v>59</v>
      </c>
      <c r="D76" s="32">
        <v>42071</v>
      </c>
      <c r="E76" s="33">
        <v>11</v>
      </c>
      <c r="F76" s="33">
        <v>2015</v>
      </c>
      <c r="G76" s="27">
        <v>201511</v>
      </c>
    </row>
    <row r="77" spans="1:7" x14ac:dyDescent="0.2">
      <c r="A77" s="22" t="str">
        <f t="shared" si="1"/>
        <v>1511</v>
      </c>
      <c r="B77" s="31">
        <v>42076</v>
      </c>
      <c r="C77" s="32" t="s">
        <v>60</v>
      </c>
      <c r="D77" s="32">
        <v>42071</v>
      </c>
      <c r="E77" s="33">
        <v>11</v>
      </c>
      <c r="F77" s="33">
        <v>2015</v>
      </c>
      <c r="G77" s="27">
        <v>201511</v>
      </c>
    </row>
    <row r="78" spans="1:7" x14ac:dyDescent="0.2">
      <c r="A78" s="22" t="str">
        <f t="shared" si="1"/>
        <v>1511</v>
      </c>
      <c r="B78" s="31">
        <v>42077</v>
      </c>
      <c r="C78" s="32" t="s">
        <v>61</v>
      </c>
      <c r="D78" s="32">
        <v>42071</v>
      </c>
      <c r="E78" s="33">
        <v>11</v>
      </c>
      <c r="F78" s="33">
        <v>2015</v>
      </c>
      <c r="G78" s="27">
        <v>201511</v>
      </c>
    </row>
    <row r="79" spans="1:7" x14ac:dyDescent="0.2">
      <c r="A79" s="22" t="str">
        <f t="shared" si="1"/>
        <v>1512</v>
      </c>
      <c r="B79" s="31">
        <v>42078</v>
      </c>
      <c r="C79" s="32" t="s">
        <v>55</v>
      </c>
      <c r="D79" s="32">
        <v>42078</v>
      </c>
      <c r="E79" s="33">
        <v>12</v>
      </c>
      <c r="F79" s="33">
        <v>2015</v>
      </c>
      <c r="G79" s="27">
        <v>201512</v>
      </c>
    </row>
    <row r="80" spans="1:7" x14ac:dyDescent="0.2">
      <c r="A80" s="22" t="str">
        <f t="shared" si="1"/>
        <v>1512</v>
      </c>
      <c r="B80" s="31">
        <v>42079</v>
      </c>
      <c r="C80" s="32" t="s">
        <v>56</v>
      </c>
      <c r="D80" s="32">
        <v>42078</v>
      </c>
      <c r="E80" s="33">
        <v>12</v>
      </c>
      <c r="F80" s="33">
        <v>2015</v>
      </c>
      <c r="G80" s="27">
        <v>201512</v>
      </c>
    </row>
    <row r="81" spans="1:7" x14ac:dyDescent="0.2">
      <c r="A81" s="22" t="str">
        <f t="shared" si="1"/>
        <v>1512</v>
      </c>
      <c r="B81" s="31">
        <v>42080</v>
      </c>
      <c r="C81" s="32" t="s">
        <v>57</v>
      </c>
      <c r="D81" s="32">
        <v>42078</v>
      </c>
      <c r="E81" s="33">
        <v>12</v>
      </c>
      <c r="F81" s="33">
        <v>2015</v>
      </c>
      <c r="G81" s="27">
        <v>201512</v>
      </c>
    </row>
    <row r="82" spans="1:7" x14ac:dyDescent="0.2">
      <c r="A82" s="22" t="str">
        <f t="shared" si="1"/>
        <v>1512</v>
      </c>
      <c r="B82" s="31">
        <v>42081</v>
      </c>
      <c r="C82" s="32" t="s">
        <v>58</v>
      </c>
      <c r="D82" s="32">
        <v>42078</v>
      </c>
      <c r="E82" s="33">
        <v>12</v>
      </c>
      <c r="F82" s="33">
        <v>2015</v>
      </c>
      <c r="G82" s="27">
        <v>201512</v>
      </c>
    </row>
    <row r="83" spans="1:7" x14ac:dyDescent="0.2">
      <c r="A83" s="22" t="str">
        <f t="shared" si="1"/>
        <v>1512</v>
      </c>
      <c r="B83" s="31">
        <v>42082</v>
      </c>
      <c r="C83" s="32" t="s">
        <v>59</v>
      </c>
      <c r="D83" s="32">
        <v>42078</v>
      </c>
      <c r="E83" s="33">
        <v>12</v>
      </c>
      <c r="F83" s="33">
        <v>2015</v>
      </c>
      <c r="G83" s="27">
        <v>201512</v>
      </c>
    </row>
    <row r="84" spans="1:7" x14ac:dyDescent="0.2">
      <c r="A84" s="22" t="str">
        <f t="shared" si="1"/>
        <v>1512</v>
      </c>
      <c r="B84" s="31">
        <v>42083</v>
      </c>
      <c r="C84" s="32" t="s">
        <v>60</v>
      </c>
      <c r="D84" s="32">
        <v>42078</v>
      </c>
      <c r="E84" s="33">
        <v>12</v>
      </c>
      <c r="F84" s="33">
        <v>2015</v>
      </c>
      <c r="G84" s="27">
        <v>201512</v>
      </c>
    </row>
    <row r="85" spans="1:7" x14ac:dyDescent="0.2">
      <c r="A85" s="22" t="str">
        <f t="shared" si="1"/>
        <v>1512</v>
      </c>
      <c r="B85" s="31">
        <v>42084</v>
      </c>
      <c r="C85" s="32" t="s">
        <v>61</v>
      </c>
      <c r="D85" s="32">
        <v>42078</v>
      </c>
      <c r="E85" s="33">
        <v>12</v>
      </c>
      <c r="F85" s="33">
        <v>2015</v>
      </c>
      <c r="G85" s="27">
        <v>201512</v>
      </c>
    </row>
    <row r="86" spans="1:7" x14ac:dyDescent="0.2">
      <c r="A86" s="22" t="str">
        <f t="shared" si="1"/>
        <v>1513</v>
      </c>
      <c r="B86" s="31">
        <v>42085</v>
      </c>
      <c r="C86" s="32" t="s">
        <v>55</v>
      </c>
      <c r="D86" s="32">
        <v>42085</v>
      </c>
      <c r="E86" s="33">
        <v>13</v>
      </c>
      <c r="F86" s="33">
        <v>2015</v>
      </c>
      <c r="G86" s="27">
        <v>201513</v>
      </c>
    </row>
    <row r="87" spans="1:7" x14ac:dyDescent="0.2">
      <c r="A87" s="22" t="str">
        <f t="shared" si="1"/>
        <v>1513</v>
      </c>
      <c r="B87" s="31">
        <v>42086</v>
      </c>
      <c r="C87" s="32" t="s">
        <v>56</v>
      </c>
      <c r="D87" s="32">
        <v>42085</v>
      </c>
      <c r="E87" s="33">
        <v>13</v>
      </c>
      <c r="F87" s="33">
        <v>2015</v>
      </c>
      <c r="G87" s="27">
        <v>201513</v>
      </c>
    </row>
    <row r="88" spans="1:7" x14ac:dyDescent="0.2">
      <c r="A88" s="22" t="str">
        <f t="shared" si="1"/>
        <v>1513</v>
      </c>
      <c r="B88" s="31">
        <v>42087</v>
      </c>
      <c r="C88" s="32" t="s">
        <v>57</v>
      </c>
      <c r="D88" s="32">
        <v>42085</v>
      </c>
      <c r="E88" s="33">
        <v>13</v>
      </c>
      <c r="F88" s="33">
        <v>2015</v>
      </c>
      <c r="G88" s="27">
        <v>201513</v>
      </c>
    </row>
    <row r="89" spans="1:7" x14ac:dyDescent="0.2">
      <c r="A89" s="22" t="str">
        <f t="shared" si="1"/>
        <v>1513</v>
      </c>
      <c r="B89" s="31">
        <v>42088</v>
      </c>
      <c r="C89" s="32" t="s">
        <v>58</v>
      </c>
      <c r="D89" s="32">
        <v>42085</v>
      </c>
      <c r="E89" s="33">
        <v>13</v>
      </c>
      <c r="F89" s="33">
        <v>2015</v>
      </c>
      <c r="G89" s="27">
        <v>201513</v>
      </c>
    </row>
    <row r="90" spans="1:7" x14ac:dyDescent="0.2">
      <c r="A90" s="22" t="str">
        <f t="shared" si="1"/>
        <v>1513</v>
      </c>
      <c r="B90" s="31">
        <v>42089</v>
      </c>
      <c r="C90" s="32" t="s">
        <v>59</v>
      </c>
      <c r="D90" s="32">
        <v>42085</v>
      </c>
      <c r="E90" s="33">
        <v>13</v>
      </c>
      <c r="F90" s="33">
        <v>2015</v>
      </c>
      <c r="G90" s="27">
        <v>201513</v>
      </c>
    </row>
    <row r="91" spans="1:7" x14ac:dyDescent="0.2">
      <c r="A91" s="22" t="str">
        <f t="shared" si="1"/>
        <v>1513</v>
      </c>
      <c r="B91" s="31">
        <v>42090</v>
      </c>
      <c r="C91" s="32" t="s">
        <v>60</v>
      </c>
      <c r="D91" s="32">
        <v>42085</v>
      </c>
      <c r="E91" s="33">
        <v>13</v>
      </c>
      <c r="F91" s="33">
        <v>2015</v>
      </c>
      <c r="G91" s="27">
        <v>201513</v>
      </c>
    </row>
    <row r="92" spans="1:7" x14ac:dyDescent="0.2">
      <c r="A92" s="22" t="str">
        <f t="shared" si="1"/>
        <v>1513</v>
      </c>
      <c r="B92" s="31">
        <v>42091</v>
      </c>
      <c r="C92" s="32" t="s">
        <v>61</v>
      </c>
      <c r="D92" s="32">
        <v>42085</v>
      </c>
      <c r="E92" s="33">
        <v>13</v>
      </c>
      <c r="F92" s="33">
        <v>2015</v>
      </c>
      <c r="G92" s="27">
        <v>201513</v>
      </c>
    </row>
    <row r="93" spans="1:7" x14ac:dyDescent="0.2">
      <c r="A93" s="22" t="str">
        <f t="shared" si="1"/>
        <v>1514</v>
      </c>
      <c r="B93" s="31">
        <v>42092</v>
      </c>
      <c r="C93" s="32" t="s">
        <v>55</v>
      </c>
      <c r="D93" s="32">
        <v>42092</v>
      </c>
      <c r="E93" s="33">
        <v>14</v>
      </c>
      <c r="F93" s="33">
        <v>2015</v>
      </c>
      <c r="G93" s="27">
        <v>201514</v>
      </c>
    </row>
    <row r="94" spans="1:7" x14ac:dyDescent="0.2">
      <c r="A94" s="22" t="str">
        <f t="shared" si="1"/>
        <v>1514</v>
      </c>
      <c r="B94" s="31">
        <v>42093</v>
      </c>
      <c r="C94" s="32" t="s">
        <v>56</v>
      </c>
      <c r="D94" s="32">
        <v>42092</v>
      </c>
      <c r="E94" s="33">
        <v>14</v>
      </c>
      <c r="F94" s="33">
        <v>2015</v>
      </c>
      <c r="G94" s="27">
        <v>201514</v>
      </c>
    </row>
    <row r="95" spans="1:7" x14ac:dyDescent="0.2">
      <c r="A95" s="22" t="str">
        <f t="shared" si="1"/>
        <v>1514</v>
      </c>
      <c r="B95" s="31">
        <v>42094</v>
      </c>
      <c r="C95" s="32" t="s">
        <v>57</v>
      </c>
      <c r="D95" s="32">
        <v>42092</v>
      </c>
      <c r="E95" s="33">
        <v>14</v>
      </c>
      <c r="F95" s="33">
        <v>2015</v>
      </c>
      <c r="G95" s="27">
        <v>201514</v>
      </c>
    </row>
    <row r="96" spans="1:7" x14ac:dyDescent="0.2">
      <c r="A96" s="22" t="str">
        <f t="shared" si="1"/>
        <v>1514</v>
      </c>
      <c r="B96" s="31">
        <v>42095</v>
      </c>
      <c r="C96" s="32" t="s">
        <v>58</v>
      </c>
      <c r="D96" s="32">
        <v>42092</v>
      </c>
      <c r="E96" s="33">
        <v>14</v>
      </c>
      <c r="F96" s="33">
        <v>2015</v>
      </c>
      <c r="G96" s="27">
        <v>201514</v>
      </c>
    </row>
    <row r="97" spans="1:7" x14ac:dyDescent="0.2">
      <c r="A97" s="22" t="str">
        <f t="shared" si="1"/>
        <v>1514</v>
      </c>
      <c r="B97" s="31">
        <v>42096</v>
      </c>
      <c r="C97" s="32" t="s">
        <v>59</v>
      </c>
      <c r="D97" s="32">
        <v>42092</v>
      </c>
      <c r="E97" s="33">
        <v>14</v>
      </c>
      <c r="F97" s="33">
        <v>2015</v>
      </c>
      <c r="G97" s="27">
        <v>201514</v>
      </c>
    </row>
    <row r="98" spans="1:7" x14ac:dyDescent="0.2">
      <c r="A98" s="22" t="str">
        <f t="shared" si="1"/>
        <v>1514</v>
      </c>
      <c r="B98" s="31">
        <v>42097</v>
      </c>
      <c r="C98" s="32" t="s">
        <v>60</v>
      </c>
      <c r="D98" s="32">
        <v>42092</v>
      </c>
      <c r="E98" s="33">
        <v>14</v>
      </c>
      <c r="F98" s="33">
        <v>2015</v>
      </c>
      <c r="G98" s="27">
        <v>201514</v>
      </c>
    </row>
    <row r="99" spans="1:7" x14ac:dyDescent="0.2">
      <c r="A99" s="22" t="str">
        <f t="shared" si="1"/>
        <v>1514</v>
      </c>
      <c r="B99" s="31">
        <v>42098</v>
      </c>
      <c r="C99" s="32" t="s">
        <v>61</v>
      </c>
      <c r="D99" s="32">
        <v>42092</v>
      </c>
      <c r="E99" s="33">
        <v>14</v>
      </c>
      <c r="F99" s="33">
        <v>2015</v>
      </c>
      <c r="G99" s="27">
        <v>201514</v>
      </c>
    </row>
    <row r="100" spans="1:7" x14ac:dyDescent="0.2">
      <c r="A100" s="22" t="str">
        <f t="shared" si="1"/>
        <v>1515</v>
      </c>
      <c r="B100" s="31">
        <v>42099</v>
      </c>
      <c r="C100" s="32" t="s">
        <v>55</v>
      </c>
      <c r="D100" s="32">
        <v>42099</v>
      </c>
      <c r="E100" s="33">
        <v>15</v>
      </c>
      <c r="F100" s="33">
        <v>2015</v>
      </c>
      <c r="G100" s="27">
        <v>201515</v>
      </c>
    </row>
    <row r="101" spans="1:7" x14ac:dyDescent="0.2">
      <c r="A101" s="22" t="str">
        <f t="shared" si="1"/>
        <v>1515</v>
      </c>
      <c r="B101" s="31">
        <v>42100</v>
      </c>
      <c r="C101" s="32" t="s">
        <v>56</v>
      </c>
      <c r="D101" s="32">
        <v>42099</v>
      </c>
      <c r="E101" s="33">
        <v>15</v>
      </c>
      <c r="F101" s="33">
        <v>2015</v>
      </c>
      <c r="G101" s="27">
        <v>201515</v>
      </c>
    </row>
    <row r="102" spans="1:7" x14ac:dyDescent="0.2">
      <c r="A102" s="22" t="str">
        <f t="shared" si="1"/>
        <v>1515</v>
      </c>
      <c r="B102" s="31">
        <v>42101</v>
      </c>
      <c r="C102" s="32" t="s">
        <v>57</v>
      </c>
      <c r="D102" s="32">
        <v>42099</v>
      </c>
      <c r="E102" s="33">
        <v>15</v>
      </c>
      <c r="F102" s="33">
        <v>2015</v>
      </c>
      <c r="G102" s="27">
        <v>201515</v>
      </c>
    </row>
    <row r="103" spans="1:7" x14ac:dyDescent="0.2">
      <c r="A103" s="22" t="str">
        <f t="shared" si="1"/>
        <v>1515</v>
      </c>
      <c r="B103" s="31">
        <v>42102</v>
      </c>
      <c r="C103" s="32" t="s">
        <v>58</v>
      </c>
      <c r="D103" s="32">
        <v>42099</v>
      </c>
      <c r="E103" s="33">
        <v>15</v>
      </c>
      <c r="F103" s="33">
        <v>2015</v>
      </c>
      <c r="G103" s="27">
        <v>201515</v>
      </c>
    </row>
    <row r="104" spans="1:7" x14ac:dyDescent="0.2">
      <c r="A104" s="22" t="str">
        <f t="shared" si="1"/>
        <v>1515</v>
      </c>
      <c r="B104" s="31">
        <v>42103</v>
      </c>
      <c r="C104" s="32" t="s">
        <v>59</v>
      </c>
      <c r="D104" s="32">
        <v>42099</v>
      </c>
      <c r="E104" s="33">
        <v>15</v>
      </c>
      <c r="F104" s="33">
        <v>2015</v>
      </c>
      <c r="G104" s="27">
        <v>201515</v>
      </c>
    </row>
    <row r="105" spans="1:7" x14ac:dyDescent="0.2">
      <c r="A105" s="22" t="str">
        <f t="shared" si="1"/>
        <v>1515</v>
      </c>
      <c r="B105" s="31">
        <v>42104</v>
      </c>
      <c r="C105" s="32" t="s">
        <v>60</v>
      </c>
      <c r="D105" s="32">
        <v>42099</v>
      </c>
      <c r="E105" s="33">
        <v>15</v>
      </c>
      <c r="F105" s="33">
        <v>2015</v>
      </c>
      <c r="G105" s="27">
        <v>201515</v>
      </c>
    </row>
    <row r="106" spans="1:7" x14ac:dyDescent="0.2">
      <c r="A106" s="22" t="str">
        <f t="shared" si="1"/>
        <v>1515</v>
      </c>
      <c r="B106" s="31">
        <v>42105</v>
      </c>
      <c r="C106" s="32" t="s">
        <v>61</v>
      </c>
      <c r="D106" s="32">
        <v>42099</v>
      </c>
      <c r="E106" s="33">
        <v>15</v>
      </c>
      <c r="F106" s="33">
        <v>2015</v>
      </c>
      <c r="G106" s="27">
        <v>201515</v>
      </c>
    </row>
    <row r="107" spans="1:7" x14ac:dyDescent="0.2">
      <c r="A107" s="22" t="str">
        <f t="shared" si="1"/>
        <v>1516</v>
      </c>
      <c r="B107" s="31">
        <v>42106</v>
      </c>
      <c r="C107" s="32" t="s">
        <v>55</v>
      </c>
      <c r="D107" s="32">
        <v>42106</v>
      </c>
      <c r="E107" s="33">
        <v>16</v>
      </c>
      <c r="F107" s="33">
        <v>2015</v>
      </c>
      <c r="G107" s="27">
        <v>201516</v>
      </c>
    </row>
    <row r="108" spans="1:7" x14ac:dyDescent="0.2">
      <c r="A108" s="22" t="str">
        <f t="shared" si="1"/>
        <v>1516</v>
      </c>
      <c r="B108" s="31">
        <v>42107</v>
      </c>
      <c r="C108" s="32" t="s">
        <v>56</v>
      </c>
      <c r="D108" s="32">
        <v>42106</v>
      </c>
      <c r="E108" s="33">
        <v>16</v>
      </c>
      <c r="F108" s="33">
        <v>2015</v>
      </c>
      <c r="G108" s="27">
        <v>201516</v>
      </c>
    </row>
    <row r="109" spans="1:7" x14ac:dyDescent="0.2">
      <c r="A109" s="22" t="str">
        <f t="shared" si="1"/>
        <v>1516</v>
      </c>
      <c r="B109" s="31">
        <v>42108</v>
      </c>
      <c r="C109" s="32" t="s">
        <v>57</v>
      </c>
      <c r="D109" s="32">
        <v>42106</v>
      </c>
      <c r="E109" s="33">
        <v>16</v>
      </c>
      <c r="F109" s="33">
        <v>2015</v>
      </c>
      <c r="G109" s="27">
        <v>201516</v>
      </c>
    </row>
    <row r="110" spans="1:7" x14ac:dyDescent="0.2">
      <c r="A110" s="22" t="str">
        <f t="shared" si="1"/>
        <v>1516</v>
      </c>
      <c r="B110" s="31">
        <v>42109</v>
      </c>
      <c r="C110" s="32" t="s">
        <v>58</v>
      </c>
      <c r="D110" s="32">
        <v>42106</v>
      </c>
      <c r="E110" s="33">
        <v>16</v>
      </c>
      <c r="F110" s="33">
        <v>2015</v>
      </c>
      <c r="G110" s="27">
        <v>201516</v>
      </c>
    </row>
    <row r="111" spans="1:7" x14ac:dyDescent="0.2">
      <c r="A111" s="22" t="str">
        <f t="shared" si="1"/>
        <v>1516</v>
      </c>
      <c r="B111" s="31">
        <v>42110</v>
      </c>
      <c r="C111" s="32" t="s">
        <v>59</v>
      </c>
      <c r="D111" s="32">
        <v>42106</v>
      </c>
      <c r="E111" s="33">
        <v>16</v>
      </c>
      <c r="F111" s="33">
        <v>2015</v>
      </c>
      <c r="G111" s="27">
        <v>201516</v>
      </c>
    </row>
    <row r="112" spans="1:7" x14ac:dyDescent="0.2">
      <c r="A112" s="22" t="str">
        <f t="shared" si="1"/>
        <v>1516</v>
      </c>
      <c r="B112" s="31">
        <v>42111</v>
      </c>
      <c r="C112" s="32" t="s">
        <v>60</v>
      </c>
      <c r="D112" s="32">
        <v>42106</v>
      </c>
      <c r="E112" s="33">
        <v>16</v>
      </c>
      <c r="F112" s="33">
        <v>2015</v>
      </c>
      <c r="G112" s="27">
        <v>201516</v>
      </c>
    </row>
    <row r="113" spans="1:7" x14ac:dyDescent="0.2">
      <c r="A113" s="22" t="str">
        <f t="shared" si="1"/>
        <v>1516</v>
      </c>
      <c r="B113" s="31">
        <v>42112</v>
      </c>
      <c r="C113" s="32" t="s">
        <v>61</v>
      </c>
      <c r="D113" s="32">
        <v>42106</v>
      </c>
      <c r="E113" s="33">
        <v>16</v>
      </c>
      <c r="F113" s="33">
        <v>2015</v>
      </c>
      <c r="G113" s="27">
        <v>201516</v>
      </c>
    </row>
    <row r="114" spans="1:7" x14ac:dyDescent="0.2">
      <c r="A114" s="22" t="str">
        <f t="shared" si="1"/>
        <v>1517</v>
      </c>
      <c r="B114" s="31">
        <v>42113</v>
      </c>
      <c r="C114" s="32" t="s">
        <v>55</v>
      </c>
      <c r="D114" s="32">
        <v>42113</v>
      </c>
      <c r="E114" s="33">
        <v>17</v>
      </c>
      <c r="F114" s="33">
        <v>2015</v>
      </c>
      <c r="G114" s="27">
        <v>201517</v>
      </c>
    </row>
    <row r="115" spans="1:7" x14ac:dyDescent="0.2">
      <c r="A115" s="22" t="str">
        <f t="shared" si="1"/>
        <v>1517</v>
      </c>
      <c r="B115" s="31">
        <v>42114</v>
      </c>
      <c r="C115" s="32" t="s">
        <v>56</v>
      </c>
      <c r="D115" s="32">
        <v>42113</v>
      </c>
      <c r="E115" s="33">
        <v>17</v>
      </c>
      <c r="F115" s="33">
        <v>2015</v>
      </c>
      <c r="G115" s="27">
        <v>201517</v>
      </c>
    </row>
    <row r="116" spans="1:7" x14ac:dyDescent="0.2">
      <c r="A116" s="22" t="str">
        <f t="shared" si="1"/>
        <v>1517</v>
      </c>
      <c r="B116" s="31">
        <v>42115</v>
      </c>
      <c r="C116" s="32" t="s">
        <v>57</v>
      </c>
      <c r="D116" s="32">
        <v>42113</v>
      </c>
      <c r="E116" s="33">
        <v>17</v>
      </c>
      <c r="F116" s="33">
        <v>2015</v>
      </c>
      <c r="G116" s="27">
        <v>201517</v>
      </c>
    </row>
    <row r="117" spans="1:7" x14ac:dyDescent="0.2">
      <c r="A117" s="22" t="str">
        <f t="shared" si="1"/>
        <v>1517</v>
      </c>
      <c r="B117" s="31">
        <v>42116</v>
      </c>
      <c r="C117" s="32" t="s">
        <v>58</v>
      </c>
      <c r="D117" s="32">
        <v>42113</v>
      </c>
      <c r="E117" s="33">
        <v>17</v>
      </c>
      <c r="F117" s="33">
        <v>2015</v>
      </c>
      <c r="G117" s="27">
        <v>201517</v>
      </c>
    </row>
    <row r="118" spans="1:7" x14ac:dyDescent="0.2">
      <c r="A118" s="22" t="str">
        <f t="shared" si="1"/>
        <v>1517</v>
      </c>
      <c r="B118" s="31">
        <v>42117</v>
      </c>
      <c r="C118" s="32" t="s">
        <v>59</v>
      </c>
      <c r="D118" s="32">
        <v>42113</v>
      </c>
      <c r="E118" s="33">
        <v>17</v>
      </c>
      <c r="F118" s="33">
        <v>2015</v>
      </c>
      <c r="G118" s="27">
        <v>201517</v>
      </c>
    </row>
    <row r="119" spans="1:7" x14ac:dyDescent="0.2">
      <c r="A119" s="22" t="str">
        <f t="shared" si="1"/>
        <v>1517</v>
      </c>
      <c r="B119" s="31">
        <v>42118</v>
      </c>
      <c r="C119" s="32" t="s">
        <v>60</v>
      </c>
      <c r="D119" s="32">
        <v>42113</v>
      </c>
      <c r="E119" s="33">
        <v>17</v>
      </c>
      <c r="F119" s="33">
        <v>2015</v>
      </c>
      <c r="G119" s="27">
        <v>201517</v>
      </c>
    </row>
    <row r="120" spans="1:7" x14ac:dyDescent="0.2">
      <c r="A120" s="22" t="str">
        <f t="shared" si="1"/>
        <v>1517</v>
      </c>
      <c r="B120" s="31">
        <v>42119</v>
      </c>
      <c r="C120" s="32" t="s">
        <v>61</v>
      </c>
      <c r="D120" s="32">
        <v>42113</v>
      </c>
      <c r="E120" s="33">
        <v>17</v>
      </c>
      <c r="F120" s="33">
        <v>2015</v>
      </c>
      <c r="G120" s="27">
        <v>201517</v>
      </c>
    </row>
    <row r="121" spans="1:7" x14ac:dyDescent="0.2">
      <c r="A121" s="22" t="str">
        <f t="shared" si="1"/>
        <v>1518</v>
      </c>
      <c r="B121" s="31">
        <v>42120</v>
      </c>
      <c r="C121" s="32" t="s">
        <v>55</v>
      </c>
      <c r="D121" s="32">
        <v>42120</v>
      </c>
      <c r="E121" s="33">
        <v>18</v>
      </c>
      <c r="F121" s="33">
        <v>2015</v>
      </c>
      <c r="G121" s="27">
        <v>201518</v>
      </c>
    </row>
    <row r="122" spans="1:7" x14ac:dyDescent="0.2">
      <c r="A122" s="22" t="str">
        <f t="shared" si="1"/>
        <v>1518</v>
      </c>
      <c r="B122" s="31">
        <v>42121</v>
      </c>
      <c r="C122" s="32" t="s">
        <v>56</v>
      </c>
      <c r="D122" s="32">
        <v>42120</v>
      </c>
      <c r="E122" s="33">
        <v>18</v>
      </c>
      <c r="F122" s="33">
        <v>2015</v>
      </c>
      <c r="G122" s="27">
        <v>201518</v>
      </c>
    </row>
    <row r="123" spans="1:7" x14ac:dyDescent="0.2">
      <c r="A123" s="22" t="str">
        <f t="shared" si="1"/>
        <v>1518</v>
      </c>
      <c r="B123" s="31">
        <v>42122</v>
      </c>
      <c r="C123" s="32" t="s">
        <v>57</v>
      </c>
      <c r="D123" s="32">
        <v>42120</v>
      </c>
      <c r="E123" s="33">
        <v>18</v>
      </c>
      <c r="F123" s="33">
        <v>2015</v>
      </c>
      <c r="G123" s="27">
        <v>201518</v>
      </c>
    </row>
    <row r="124" spans="1:7" x14ac:dyDescent="0.2">
      <c r="A124" s="22" t="str">
        <f t="shared" si="1"/>
        <v>1518</v>
      </c>
      <c r="B124" s="31">
        <v>42123</v>
      </c>
      <c r="C124" s="32" t="s">
        <v>58</v>
      </c>
      <c r="D124" s="32">
        <v>42120</v>
      </c>
      <c r="E124" s="33">
        <v>18</v>
      </c>
      <c r="F124" s="33">
        <v>2015</v>
      </c>
      <c r="G124" s="27">
        <v>201518</v>
      </c>
    </row>
    <row r="125" spans="1:7" x14ac:dyDescent="0.2">
      <c r="A125" s="22" t="str">
        <f t="shared" si="1"/>
        <v>1518</v>
      </c>
      <c r="B125" s="31">
        <v>42124</v>
      </c>
      <c r="C125" s="32" t="s">
        <v>59</v>
      </c>
      <c r="D125" s="32">
        <v>42120</v>
      </c>
      <c r="E125" s="33">
        <v>18</v>
      </c>
      <c r="F125" s="33">
        <v>2015</v>
      </c>
      <c r="G125" s="27">
        <v>201518</v>
      </c>
    </row>
    <row r="126" spans="1:7" x14ac:dyDescent="0.2">
      <c r="A126" s="22" t="str">
        <f t="shared" si="1"/>
        <v>1518</v>
      </c>
      <c r="B126" s="31">
        <v>42125</v>
      </c>
      <c r="C126" s="32" t="s">
        <v>60</v>
      </c>
      <c r="D126" s="32">
        <v>42120</v>
      </c>
      <c r="E126" s="33">
        <v>18</v>
      </c>
      <c r="F126" s="33">
        <v>2015</v>
      </c>
      <c r="G126" s="27">
        <v>201518</v>
      </c>
    </row>
    <row r="127" spans="1:7" x14ac:dyDescent="0.2">
      <c r="A127" s="22" t="str">
        <f t="shared" si="1"/>
        <v>1518</v>
      </c>
      <c r="B127" s="31">
        <v>42126</v>
      </c>
      <c r="C127" s="32" t="s">
        <v>61</v>
      </c>
      <c r="D127" s="32">
        <v>42120</v>
      </c>
      <c r="E127" s="33">
        <v>18</v>
      </c>
      <c r="F127" s="33">
        <v>2015</v>
      </c>
      <c r="G127" s="27">
        <v>201518</v>
      </c>
    </row>
    <row r="128" spans="1:7" x14ac:dyDescent="0.2">
      <c r="A128" s="22" t="str">
        <f t="shared" si="1"/>
        <v>1519</v>
      </c>
      <c r="B128" s="31">
        <v>42127</v>
      </c>
      <c r="C128" s="32" t="s">
        <v>55</v>
      </c>
      <c r="D128" s="32">
        <v>42127</v>
      </c>
      <c r="E128" s="33">
        <v>19</v>
      </c>
      <c r="F128" s="33">
        <v>2015</v>
      </c>
      <c r="G128" s="27">
        <v>201519</v>
      </c>
    </row>
    <row r="129" spans="1:7" x14ac:dyDescent="0.2">
      <c r="A129" s="22" t="str">
        <f t="shared" si="1"/>
        <v>1519</v>
      </c>
      <c r="B129" s="31">
        <v>42128</v>
      </c>
      <c r="C129" s="32" t="s">
        <v>56</v>
      </c>
      <c r="D129" s="32">
        <v>42127</v>
      </c>
      <c r="E129" s="33">
        <v>19</v>
      </c>
      <c r="F129" s="33">
        <v>2015</v>
      </c>
      <c r="G129" s="27">
        <v>201519</v>
      </c>
    </row>
    <row r="130" spans="1:7" x14ac:dyDescent="0.2">
      <c r="A130" s="22" t="str">
        <f t="shared" si="1"/>
        <v>1519</v>
      </c>
      <c r="B130" s="31">
        <v>42129</v>
      </c>
      <c r="C130" s="32" t="s">
        <v>57</v>
      </c>
      <c r="D130" s="32">
        <v>42127</v>
      </c>
      <c r="E130" s="33">
        <v>19</v>
      </c>
      <c r="F130" s="33">
        <v>2015</v>
      </c>
      <c r="G130" s="27">
        <v>201519</v>
      </c>
    </row>
    <row r="131" spans="1:7" x14ac:dyDescent="0.2">
      <c r="A131" s="22" t="str">
        <f t="shared" ref="A131:A194" si="2">RIGHT(G131,4)</f>
        <v>1519</v>
      </c>
      <c r="B131" s="31">
        <v>42130</v>
      </c>
      <c r="C131" s="32" t="s">
        <v>58</v>
      </c>
      <c r="D131" s="32">
        <v>42127</v>
      </c>
      <c r="E131" s="33">
        <v>19</v>
      </c>
      <c r="F131" s="33">
        <v>2015</v>
      </c>
      <c r="G131" s="27">
        <v>201519</v>
      </c>
    </row>
    <row r="132" spans="1:7" x14ac:dyDescent="0.2">
      <c r="A132" s="22" t="str">
        <f t="shared" si="2"/>
        <v>1519</v>
      </c>
      <c r="B132" s="31">
        <v>42131</v>
      </c>
      <c r="C132" s="32" t="s">
        <v>59</v>
      </c>
      <c r="D132" s="32">
        <v>42127</v>
      </c>
      <c r="E132" s="33">
        <v>19</v>
      </c>
      <c r="F132" s="33">
        <v>2015</v>
      </c>
      <c r="G132" s="27">
        <v>201519</v>
      </c>
    </row>
    <row r="133" spans="1:7" x14ac:dyDescent="0.2">
      <c r="A133" s="22" t="str">
        <f t="shared" si="2"/>
        <v>1519</v>
      </c>
      <c r="B133" s="31">
        <v>42132</v>
      </c>
      <c r="C133" s="32" t="s">
        <v>60</v>
      </c>
      <c r="D133" s="32">
        <v>42127</v>
      </c>
      <c r="E133" s="33">
        <v>19</v>
      </c>
      <c r="F133" s="33">
        <v>2015</v>
      </c>
      <c r="G133" s="27">
        <v>201519</v>
      </c>
    </row>
    <row r="134" spans="1:7" x14ac:dyDescent="0.2">
      <c r="A134" s="22" t="str">
        <f t="shared" si="2"/>
        <v>1519</v>
      </c>
      <c r="B134" s="31">
        <v>42133</v>
      </c>
      <c r="C134" s="32" t="s">
        <v>61</v>
      </c>
      <c r="D134" s="32">
        <v>42127</v>
      </c>
      <c r="E134" s="33">
        <v>19</v>
      </c>
      <c r="F134" s="33">
        <v>2015</v>
      </c>
      <c r="G134" s="27">
        <v>201519</v>
      </c>
    </row>
    <row r="135" spans="1:7" x14ac:dyDescent="0.2">
      <c r="A135" s="22" t="str">
        <f t="shared" si="2"/>
        <v>1520</v>
      </c>
      <c r="B135" s="31">
        <v>42134</v>
      </c>
      <c r="C135" s="32" t="s">
        <v>55</v>
      </c>
      <c r="D135" s="32">
        <v>42134</v>
      </c>
      <c r="E135" s="33">
        <v>20</v>
      </c>
      <c r="F135" s="33">
        <v>2015</v>
      </c>
      <c r="G135" s="27">
        <v>201520</v>
      </c>
    </row>
    <row r="136" spans="1:7" x14ac:dyDescent="0.2">
      <c r="A136" s="22" t="str">
        <f t="shared" si="2"/>
        <v>1520</v>
      </c>
      <c r="B136" s="31">
        <v>42135</v>
      </c>
      <c r="C136" s="32" t="s">
        <v>56</v>
      </c>
      <c r="D136" s="32">
        <v>42134</v>
      </c>
      <c r="E136" s="33">
        <v>20</v>
      </c>
      <c r="F136" s="33">
        <v>2015</v>
      </c>
      <c r="G136" s="27">
        <v>201520</v>
      </c>
    </row>
    <row r="137" spans="1:7" x14ac:dyDescent="0.2">
      <c r="A137" s="22" t="str">
        <f t="shared" si="2"/>
        <v>1520</v>
      </c>
      <c r="B137" s="31">
        <v>42136</v>
      </c>
      <c r="C137" s="32" t="s">
        <v>57</v>
      </c>
      <c r="D137" s="32">
        <v>42134</v>
      </c>
      <c r="E137" s="33">
        <v>20</v>
      </c>
      <c r="F137" s="33">
        <v>2015</v>
      </c>
      <c r="G137" s="27">
        <v>201520</v>
      </c>
    </row>
    <row r="138" spans="1:7" x14ac:dyDescent="0.2">
      <c r="A138" s="22" t="str">
        <f t="shared" si="2"/>
        <v>1520</v>
      </c>
      <c r="B138" s="31">
        <v>42137</v>
      </c>
      <c r="C138" s="32" t="s">
        <v>58</v>
      </c>
      <c r="D138" s="32">
        <v>42134</v>
      </c>
      <c r="E138" s="33">
        <v>20</v>
      </c>
      <c r="F138" s="33">
        <v>2015</v>
      </c>
      <c r="G138" s="27">
        <v>201520</v>
      </c>
    </row>
    <row r="139" spans="1:7" x14ac:dyDescent="0.2">
      <c r="A139" s="22" t="str">
        <f t="shared" si="2"/>
        <v>1520</v>
      </c>
      <c r="B139" s="31">
        <v>42138</v>
      </c>
      <c r="C139" s="32" t="s">
        <v>59</v>
      </c>
      <c r="D139" s="32">
        <v>42134</v>
      </c>
      <c r="E139" s="33">
        <v>20</v>
      </c>
      <c r="F139" s="33">
        <v>2015</v>
      </c>
      <c r="G139" s="27">
        <v>201520</v>
      </c>
    </row>
    <row r="140" spans="1:7" x14ac:dyDescent="0.2">
      <c r="A140" s="22" t="str">
        <f t="shared" si="2"/>
        <v>1520</v>
      </c>
      <c r="B140" s="31">
        <v>42139</v>
      </c>
      <c r="C140" s="32" t="s">
        <v>60</v>
      </c>
      <c r="D140" s="32">
        <v>42134</v>
      </c>
      <c r="E140" s="33">
        <v>20</v>
      </c>
      <c r="F140" s="33">
        <v>2015</v>
      </c>
      <c r="G140" s="27">
        <v>201520</v>
      </c>
    </row>
    <row r="141" spans="1:7" x14ac:dyDescent="0.2">
      <c r="A141" s="22" t="str">
        <f t="shared" si="2"/>
        <v>1520</v>
      </c>
      <c r="B141" s="31">
        <v>42140</v>
      </c>
      <c r="C141" s="32" t="s">
        <v>61</v>
      </c>
      <c r="D141" s="32">
        <v>42134</v>
      </c>
      <c r="E141" s="33">
        <v>20</v>
      </c>
      <c r="F141" s="33">
        <v>2015</v>
      </c>
      <c r="G141" s="27">
        <v>201520</v>
      </c>
    </row>
    <row r="142" spans="1:7" x14ac:dyDescent="0.2">
      <c r="A142" s="22" t="str">
        <f t="shared" si="2"/>
        <v>1521</v>
      </c>
      <c r="B142" s="31">
        <v>42141</v>
      </c>
      <c r="C142" s="32" t="s">
        <v>55</v>
      </c>
      <c r="D142" s="32">
        <v>42141</v>
      </c>
      <c r="E142" s="33">
        <v>21</v>
      </c>
      <c r="F142" s="33">
        <v>2015</v>
      </c>
      <c r="G142" s="27">
        <v>201521</v>
      </c>
    </row>
    <row r="143" spans="1:7" x14ac:dyDescent="0.2">
      <c r="A143" s="22" t="str">
        <f t="shared" si="2"/>
        <v>1521</v>
      </c>
      <c r="B143" s="31">
        <v>42142</v>
      </c>
      <c r="C143" s="32" t="s">
        <v>56</v>
      </c>
      <c r="D143" s="32">
        <v>42141</v>
      </c>
      <c r="E143" s="33">
        <v>21</v>
      </c>
      <c r="F143" s="33">
        <v>2015</v>
      </c>
      <c r="G143" s="27">
        <v>201521</v>
      </c>
    </row>
    <row r="144" spans="1:7" x14ac:dyDescent="0.2">
      <c r="A144" s="22" t="str">
        <f t="shared" si="2"/>
        <v>1521</v>
      </c>
      <c r="B144" s="31">
        <v>42143</v>
      </c>
      <c r="C144" s="32" t="s">
        <v>57</v>
      </c>
      <c r="D144" s="32">
        <v>42141</v>
      </c>
      <c r="E144" s="33">
        <v>21</v>
      </c>
      <c r="F144" s="33">
        <v>2015</v>
      </c>
      <c r="G144" s="27">
        <v>201521</v>
      </c>
    </row>
    <row r="145" spans="1:7" x14ac:dyDescent="0.2">
      <c r="A145" s="22" t="str">
        <f t="shared" si="2"/>
        <v>1521</v>
      </c>
      <c r="B145" s="31">
        <v>42144</v>
      </c>
      <c r="C145" s="32" t="s">
        <v>58</v>
      </c>
      <c r="D145" s="32">
        <v>42141</v>
      </c>
      <c r="E145" s="33">
        <v>21</v>
      </c>
      <c r="F145" s="33">
        <v>2015</v>
      </c>
      <c r="G145" s="27">
        <v>201521</v>
      </c>
    </row>
    <row r="146" spans="1:7" x14ac:dyDescent="0.2">
      <c r="A146" s="22" t="str">
        <f t="shared" si="2"/>
        <v>1521</v>
      </c>
      <c r="B146" s="31">
        <v>42145</v>
      </c>
      <c r="C146" s="32" t="s">
        <v>59</v>
      </c>
      <c r="D146" s="32">
        <v>42141</v>
      </c>
      <c r="E146" s="33">
        <v>21</v>
      </c>
      <c r="F146" s="33">
        <v>2015</v>
      </c>
      <c r="G146" s="27">
        <v>201521</v>
      </c>
    </row>
    <row r="147" spans="1:7" x14ac:dyDescent="0.2">
      <c r="A147" s="22" t="str">
        <f t="shared" si="2"/>
        <v>1521</v>
      </c>
      <c r="B147" s="31">
        <v>42146</v>
      </c>
      <c r="C147" s="32" t="s">
        <v>60</v>
      </c>
      <c r="D147" s="32">
        <v>42141</v>
      </c>
      <c r="E147" s="33">
        <v>21</v>
      </c>
      <c r="F147" s="33">
        <v>2015</v>
      </c>
      <c r="G147" s="27">
        <v>201521</v>
      </c>
    </row>
    <row r="148" spans="1:7" x14ac:dyDescent="0.2">
      <c r="A148" s="22" t="str">
        <f t="shared" si="2"/>
        <v>1521</v>
      </c>
      <c r="B148" s="31">
        <v>42147</v>
      </c>
      <c r="C148" s="32" t="s">
        <v>61</v>
      </c>
      <c r="D148" s="32">
        <v>42141</v>
      </c>
      <c r="E148" s="33">
        <v>21</v>
      </c>
      <c r="F148" s="33">
        <v>2015</v>
      </c>
      <c r="G148" s="27">
        <v>201521</v>
      </c>
    </row>
    <row r="149" spans="1:7" x14ac:dyDescent="0.2">
      <c r="A149" s="22" t="str">
        <f t="shared" si="2"/>
        <v>1522</v>
      </c>
      <c r="B149" s="31">
        <v>42148</v>
      </c>
      <c r="C149" s="32" t="s">
        <v>55</v>
      </c>
      <c r="D149" s="32">
        <v>42148</v>
      </c>
      <c r="E149" s="33">
        <v>22</v>
      </c>
      <c r="F149" s="33">
        <v>2015</v>
      </c>
      <c r="G149" s="27">
        <v>201522</v>
      </c>
    </row>
    <row r="150" spans="1:7" x14ac:dyDescent="0.2">
      <c r="A150" s="22" t="str">
        <f t="shared" si="2"/>
        <v>1522</v>
      </c>
      <c r="B150" s="31">
        <v>42149</v>
      </c>
      <c r="C150" s="32" t="s">
        <v>56</v>
      </c>
      <c r="D150" s="32">
        <v>42148</v>
      </c>
      <c r="E150" s="33">
        <v>22</v>
      </c>
      <c r="F150" s="33">
        <v>2015</v>
      </c>
      <c r="G150" s="27">
        <v>201522</v>
      </c>
    </row>
    <row r="151" spans="1:7" x14ac:dyDescent="0.2">
      <c r="A151" s="22" t="str">
        <f t="shared" si="2"/>
        <v>1522</v>
      </c>
      <c r="B151" s="31">
        <v>42150</v>
      </c>
      <c r="C151" s="32" t="s">
        <v>57</v>
      </c>
      <c r="D151" s="32">
        <v>42148</v>
      </c>
      <c r="E151" s="33">
        <v>22</v>
      </c>
      <c r="F151" s="33">
        <v>2015</v>
      </c>
      <c r="G151" s="27">
        <v>201522</v>
      </c>
    </row>
    <row r="152" spans="1:7" x14ac:dyDescent="0.2">
      <c r="A152" s="22" t="str">
        <f t="shared" si="2"/>
        <v>1522</v>
      </c>
      <c r="B152" s="31">
        <v>42151</v>
      </c>
      <c r="C152" s="32" t="s">
        <v>58</v>
      </c>
      <c r="D152" s="32">
        <v>42148</v>
      </c>
      <c r="E152" s="33">
        <v>22</v>
      </c>
      <c r="F152" s="33">
        <v>2015</v>
      </c>
      <c r="G152" s="27">
        <v>201522</v>
      </c>
    </row>
    <row r="153" spans="1:7" x14ac:dyDescent="0.2">
      <c r="A153" s="22" t="str">
        <f t="shared" si="2"/>
        <v>1522</v>
      </c>
      <c r="B153" s="31">
        <v>42152</v>
      </c>
      <c r="C153" s="32" t="s">
        <v>59</v>
      </c>
      <c r="D153" s="32">
        <v>42148</v>
      </c>
      <c r="E153" s="33">
        <v>22</v>
      </c>
      <c r="F153" s="33">
        <v>2015</v>
      </c>
      <c r="G153" s="27">
        <v>201522</v>
      </c>
    </row>
    <row r="154" spans="1:7" x14ac:dyDescent="0.2">
      <c r="A154" s="22" t="str">
        <f t="shared" si="2"/>
        <v>1522</v>
      </c>
      <c r="B154" s="31">
        <v>42153</v>
      </c>
      <c r="C154" s="32" t="s">
        <v>60</v>
      </c>
      <c r="D154" s="32">
        <v>42148</v>
      </c>
      <c r="E154" s="33">
        <v>22</v>
      </c>
      <c r="F154" s="33">
        <v>2015</v>
      </c>
      <c r="G154" s="27">
        <v>201522</v>
      </c>
    </row>
    <row r="155" spans="1:7" x14ac:dyDescent="0.2">
      <c r="A155" s="22" t="str">
        <f t="shared" si="2"/>
        <v>1522</v>
      </c>
      <c r="B155" s="31">
        <v>42154</v>
      </c>
      <c r="C155" s="32" t="s">
        <v>61</v>
      </c>
      <c r="D155" s="32">
        <v>42148</v>
      </c>
      <c r="E155" s="33">
        <v>22</v>
      </c>
      <c r="F155" s="33">
        <v>2015</v>
      </c>
      <c r="G155" s="27">
        <v>201522</v>
      </c>
    </row>
    <row r="156" spans="1:7" x14ac:dyDescent="0.2">
      <c r="A156" s="22" t="str">
        <f t="shared" si="2"/>
        <v>1523</v>
      </c>
      <c r="B156" s="31">
        <v>42155</v>
      </c>
      <c r="C156" s="32" t="s">
        <v>55</v>
      </c>
      <c r="D156" s="32">
        <v>42155</v>
      </c>
      <c r="E156" s="33">
        <v>23</v>
      </c>
      <c r="F156" s="33">
        <v>2015</v>
      </c>
      <c r="G156" s="27">
        <v>201523</v>
      </c>
    </row>
    <row r="157" spans="1:7" x14ac:dyDescent="0.2">
      <c r="A157" s="22" t="str">
        <f t="shared" si="2"/>
        <v>1523</v>
      </c>
      <c r="B157" s="31">
        <v>42156</v>
      </c>
      <c r="C157" s="32" t="s">
        <v>56</v>
      </c>
      <c r="D157" s="32">
        <v>42155</v>
      </c>
      <c r="E157" s="33">
        <v>23</v>
      </c>
      <c r="F157" s="33">
        <v>2015</v>
      </c>
      <c r="G157" s="27">
        <v>201523</v>
      </c>
    </row>
    <row r="158" spans="1:7" x14ac:dyDescent="0.2">
      <c r="A158" s="22" t="str">
        <f t="shared" si="2"/>
        <v>1523</v>
      </c>
      <c r="B158" s="31">
        <v>42157</v>
      </c>
      <c r="C158" s="32" t="s">
        <v>57</v>
      </c>
      <c r="D158" s="32">
        <v>42155</v>
      </c>
      <c r="E158" s="33">
        <v>23</v>
      </c>
      <c r="F158" s="33">
        <v>2015</v>
      </c>
      <c r="G158" s="27">
        <v>201523</v>
      </c>
    </row>
    <row r="159" spans="1:7" x14ac:dyDescent="0.2">
      <c r="A159" s="22" t="str">
        <f t="shared" si="2"/>
        <v>1523</v>
      </c>
      <c r="B159" s="31">
        <v>42158</v>
      </c>
      <c r="C159" s="32" t="s">
        <v>58</v>
      </c>
      <c r="D159" s="32">
        <v>42155</v>
      </c>
      <c r="E159" s="33">
        <v>23</v>
      </c>
      <c r="F159" s="33">
        <v>2015</v>
      </c>
      <c r="G159" s="27">
        <v>201523</v>
      </c>
    </row>
    <row r="160" spans="1:7" x14ac:dyDescent="0.2">
      <c r="A160" s="22" t="str">
        <f t="shared" si="2"/>
        <v>1523</v>
      </c>
      <c r="B160" s="31">
        <v>42159</v>
      </c>
      <c r="C160" s="32" t="s">
        <v>59</v>
      </c>
      <c r="D160" s="32">
        <v>42155</v>
      </c>
      <c r="E160" s="33">
        <v>23</v>
      </c>
      <c r="F160" s="33">
        <v>2015</v>
      </c>
      <c r="G160" s="27">
        <v>201523</v>
      </c>
    </row>
    <row r="161" spans="1:7" x14ac:dyDescent="0.2">
      <c r="A161" s="22" t="str">
        <f t="shared" si="2"/>
        <v>1523</v>
      </c>
      <c r="B161" s="31">
        <v>42160</v>
      </c>
      <c r="C161" s="32" t="s">
        <v>60</v>
      </c>
      <c r="D161" s="32">
        <v>42155</v>
      </c>
      <c r="E161" s="33">
        <v>23</v>
      </c>
      <c r="F161" s="33">
        <v>2015</v>
      </c>
      <c r="G161" s="27">
        <v>201523</v>
      </c>
    </row>
    <row r="162" spans="1:7" x14ac:dyDescent="0.2">
      <c r="A162" s="22" t="str">
        <f t="shared" si="2"/>
        <v>1523</v>
      </c>
      <c r="B162" s="31">
        <v>42161</v>
      </c>
      <c r="C162" s="32" t="s">
        <v>61</v>
      </c>
      <c r="D162" s="32">
        <v>42155</v>
      </c>
      <c r="E162" s="33">
        <v>23</v>
      </c>
      <c r="F162" s="33">
        <v>2015</v>
      </c>
      <c r="G162" s="27">
        <v>201523</v>
      </c>
    </row>
    <row r="163" spans="1:7" x14ac:dyDescent="0.2">
      <c r="A163" s="22" t="str">
        <f t="shared" si="2"/>
        <v>1524</v>
      </c>
      <c r="B163" s="31">
        <v>42162</v>
      </c>
      <c r="C163" s="32" t="s">
        <v>55</v>
      </c>
      <c r="D163" s="32">
        <v>42162</v>
      </c>
      <c r="E163" s="33">
        <v>24</v>
      </c>
      <c r="F163" s="33">
        <v>2015</v>
      </c>
      <c r="G163" s="27">
        <v>201524</v>
      </c>
    </row>
    <row r="164" spans="1:7" x14ac:dyDescent="0.2">
      <c r="A164" s="22" t="str">
        <f t="shared" si="2"/>
        <v>1524</v>
      </c>
      <c r="B164" s="31">
        <v>42163</v>
      </c>
      <c r="C164" s="32" t="s">
        <v>56</v>
      </c>
      <c r="D164" s="32">
        <v>42162</v>
      </c>
      <c r="E164" s="33">
        <v>24</v>
      </c>
      <c r="F164" s="33">
        <v>2015</v>
      </c>
      <c r="G164" s="27">
        <v>201524</v>
      </c>
    </row>
    <row r="165" spans="1:7" x14ac:dyDescent="0.2">
      <c r="A165" s="22" t="str">
        <f t="shared" si="2"/>
        <v>1524</v>
      </c>
      <c r="B165" s="31">
        <v>42164</v>
      </c>
      <c r="C165" s="32" t="s">
        <v>57</v>
      </c>
      <c r="D165" s="32">
        <v>42162</v>
      </c>
      <c r="E165" s="33">
        <v>24</v>
      </c>
      <c r="F165" s="33">
        <v>2015</v>
      </c>
      <c r="G165" s="27">
        <v>201524</v>
      </c>
    </row>
    <row r="166" spans="1:7" x14ac:dyDescent="0.2">
      <c r="A166" s="22" t="str">
        <f t="shared" si="2"/>
        <v>1524</v>
      </c>
      <c r="B166" s="31">
        <v>42165</v>
      </c>
      <c r="C166" s="32" t="s">
        <v>58</v>
      </c>
      <c r="D166" s="32">
        <v>42162</v>
      </c>
      <c r="E166" s="33">
        <v>24</v>
      </c>
      <c r="F166" s="33">
        <v>2015</v>
      </c>
      <c r="G166" s="27">
        <v>201524</v>
      </c>
    </row>
    <row r="167" spans="1:7" x14ac:dyDescent="0.2">
      <c r="A167" s="22" t="str">
        <f t="shared" si="2"/>
        <v>1524</v>
      </c>
      <c r="B167" s="31">
        <v>42166</v>
      </c>
      <c r="C167" s="32" t="s">
        <v>59</v>
      </c>
      <c r="D167" s="32">
        <v>42162</v>
      </c>
      <c r="E167" s="33">
        <v>24</v>
      </c>
      <c r="F167" s="33">
        <v>2015</v>
      </c>
      <c r="G167" s="27">
        <v>201524</v>
      </c>
    </row>
    <row r="168" spans="1:7" x14ac:dyDescent="0.2">
      <c r="A168" s="22" t="str">
        <f t="shared" si="2"/>
        <v>1524</v>
      </c>
      <c r="B168" s="31">
        <v>42167</v>
      </c>
      <c r="C168" s="32" t="s">
        <v>60</v>
      </c>
      <c r="D168" s="32">
        <v>42162</v>
      </c>
      <c r="E168" s="33">
        <v>24</v>
      </c>
      <c r="F168" s="33">
        <v>2015</v>
      </c>
      <c r="G168" s="27">
        <v>201524</v>
      </c>
    </row>
    <row r="169" spans="1:7" x14ac:dyDescent="0.2">
      <c r="A169" s="22" t="str">
        <f t="shared" si="2"/>
        <v>1524</v>
      </c>
      <c r="B169" s="31">
        <v>42168</v>
      </c>
      <c r="C169" s="32" t="s">
        <v>61</v>
      </c>
      <c r="D169" s="32">
        <v>42162</v>
      </c>
      <c r="E169" s="33">
        <v>24</v>
      </c>
      <c r="F169" s="33">
        <v>2015</v>
      </c>
      <c r="G169" s="27">
        <v>201524</v>
      </c>
    </row>
    <row r="170" spans="1:7" x14ac:dyDescent="0.2">
      <c r="A170" s="22" t="str">
        <f t="shared" si="2"/>
        <v>1525</v>
      </c>
      <c r="B170" s="31">
        <v>42169</v>
      </c>
      <c r="C170" s="32" t="s">
        <v>55</v>
      </c>
      <c r="D170" s="32">
        <v>42169</v>
      </c>
      <c r="E170" s="33">
        <v>25</v>
      </c>
      <c r="F170" s="33">
        <v>2015</v>
      </c>
      <c r="G170" s="27">
        <v>201525</v>
      </c>
    </row>
    <row r="171" spans="1:7" x14ac:dyDescent="0.2">
      <c r="A171" s="22" t="str">
        <f t="shared" si="2"/>
        <v>1525</v>
      </c>
      <c r="B171" s="31">
        <v>42170</v>
      </c>
      <c r="C171" s="32" t="s">
        <v>56</v>
      </c>
      <c r="D171" s="32">
        <v>42169</v>
      </c>
      <c r="E171" s="33">
        <v>25</v>
      </c>
      <c r="F171" s="33">
        <v>2015</v>
      </c>
      <c r="G171" s="27">
        <v>201525</v>
      </c>
    </row>
    <row r="172" spans="1:7" x14ac:dyDescent="0.2">
      <c r="A172" s="22" t="str">
        <f t="shared" si="2"/>
        <v>1525</v>
      </c>
      <c r="B172" s="31">
        <v>42171</v>
      </c>
      <c r="C172" s="32" t="s">
        <v>57</v>
      </c>
      <c r="D172" s="32">
        <v>42169</v>
      </c>
      <c r="E172" s="33">
        <v>25</v>
      </c>
      <c r="F172" s="33">
        <v>2015</v>
      </c>
      <c r="G172" s="27">
        <v>201525</v>
      </c>
    </row>
    <row r="173" spans="1:7" x14ac:dyDescent="0.2">
      <c r="A173" s="22" t="str">
        <f t="shared" si="2"/>
        <v>1525</v>
      </c>
      <c r="B173" s="31">
        <v>42172</v>
      </c>
      <c r="C173" s="32" t="s">
        <v>58</v>
      </c>
      <c r="D173" s="32">
        <v>42169</v>
      </c>
      <c r="E173" s="33">
        <v>25</v>
      </c>
      <c r="F173" s="33">
        <v>2015</v>
      </c>
      <c r="G173" s="27">
        <v>201525</v>
      </c>
    </row>
    <row r="174" spans="1:7" x14ac:dyDescent="0.2">
      <c r="A174" s="22" t="str">
        <f t="shared" si="2"/>
        <v>1525</v>
      </c>
      <c r="B174" s="31">
        <v>42173</v>
      </c>
      <c r="C174" s="32" t="s">
        <v>59</v>
      </c>
      <c r="D174" s="32">
        <v>42169</v>
      </c>
      <c r="E174" s="33">
        <v>25</v>
      </c>
      <c r="F174" s="33">
        <v>2015</v>
      </c>
      <c r="G174" s="27">
        <v>201525</v>
      </c>
    </row>
    <row r="175" spans="1:7" x14ac:dyDescent="0.2">
      <c r="A175" s="22" t="str">
        <f t="shared" si="2"/>
        <v>1525</v>
      </c>
      <c r="B175" s="31">
        <v>42174</v>
      </c>
      <c r="C175" s="32" t="s">
        <v>60</v>
      </c>
      <c r="D175" s="32">
        <v>42169</v>
      </c>
      <c r="E175" s="33">
        <v>25</v>
      </c>
      <c r="F175" s="33">
        <v>2015</v>
      </c>
      <c r="G175" s="27">
        <v>201525</v>
      </c>
    </row>
    <row r="176" spans="1:7" x14ac:dyDescent="0.2">
      <c r="A176" s="22" t="str">
        <f t="shared" si="2"/>
        <v>1525</v>
      </c>
      <c r="B176" s="31">
        <v>42175</v>
      </c>
      <c r="C176" s="32" t="s">
        <v>61</v>
      </c>
      <c r="D176" s="32">
        <v>42169</v>
      </c>
      <c r="E176" s="33">
        <v>25</v>
      </c>
      <c r="F176" s="33">
        <v>2015</v>
      </c>
      <c r="G176" s="27">
        <v>201525</v>
      </c>
    </row>
    <row r="177" spans="1:7" x14ac:dyDescent="0.2">
      <c r="A177" s="22" t="str">
        <f t="shared" si="2"/>
        <v>1526</v>
      </c>
      <c r="B177" s="31">
        <v>42176</v>
      </c>
      <c r="C177" s="32" t="s">
        <v>55</v>
      </c>
      <c r="D177" s="32">
        <v>42176</v>
      </c>
      <c r="E177" s="33">
        <v>26</v>
      </c>
      <c r="F177" s="33">
        <v>2015</v>
      </c>
      <c r="G177" s="27">
        <v>201526</v>
      </c>
    </row>
    <row r="178" spans="1:7" x14ac:dyDescent="0.2">
      <c r="A178" s="22" t="str">
        <f t="shared" si="2"/>
        <v>1526</v>
      </c>
      <c r="B178" s="31">
        <v>42177</v>
      </c>
      <c r="C178" s="32" t="s">
        <v>56</v>
      </c>
      <c r="D178" s="32">
        <v>42176</v>
      </c>
      <c r="E178" s="33">
        <v>26</v>
      </c>
      <c r="F178" s="33">
        <v>2015</v>
      </c>
      <c r="G178" s="27">
        <v>201526</v>
      </c>
    </row>
    <row r="179" spans="1:7" x14ac:dyDescent="0.2">
      <c r="A179" s="22" t="str">
        <f t="shared" si="2"/>
        <v>1526</v>
      </c>
      <c r="B179" s="31">
        <v>42178</v>
      </c>
      <c r="C179" s="32" t="s">
        <v>57</v>
      </c>
      <c r="D179" s="32">
        <v>42176</v>
      </c>
      <c r="E179" s="33">
        <v>26</v>
      </c>
      <c r="F179" s="33">
        <v>2015</v>
      </c>
      <c r="G179" s="27">
        <v>201526</v>
      </c>
    </row>
    <row r="180" spans="1:7" x14ac:dyDescent="0.2">
      <c r="A180" s="22" t="str">
        <f t="shared" si="2"/>
        <v>1526</v>
      </c>
      <c r="B180" s="31">
        <v>42179</v>
      </c>
      <c r="C180" s="32" t="s">
        <v>58</v>
      </c>
      <c r="D180" s="32">
        <v>42176</v>
      </c>
      <c r="E180" s="33">
        <v>26</v>
      </c>
      <c r="F180" s="33">
        <v>2015</v>
      </c>
      <c r="G180" s="27">
        <v>201526</v>
      </c>
    </row>
    <row r="181" spans="1:7" x14ac:dyDescent="0.2">
      <c r="A181" s="22" t="str">
        <f t="shared" si="2"/>
        <v>1526</v>
      </c>
      <c r="B181" s="31">
        <v>42180</v>
      </c>
      <c r="C181" s="32" t="s">
        <v>59</v>
      </c>
      <c r="D181" s="32">
        <v>42176</v>
      </c>
      <c r="E181" s="33">
        <v>26</v>
      </c>
      <c r="F181" s="33">
        <v>2015</v>
      </c>
      <c r="G181" s="27">
        <v>201526</v>
      </c>
    </row>
    <row r="182" spans="1:7" x14ac:dyDescent="0.2">
      <c r="A182" s="22" t="str">
        <f t="shared" si="2"/>
        <v>1526</v>
      </c>
      <c r="B182" s="31">
        <v>42181</v>
      </c>
      <c r="C182" s="32" t="s">
        <v>60</v>
      </c>
      <c r="D182" s="32">
        <v>42176</v>
      </c>
      <c r="E182" s="33">
        <v>26</v>
      </c>
      <c r="F182" s="33">
        <v>2015</v>
      </c>
      <c r="G182" s="27">
        <v>201526</v>
      </c>
    </row>
    <row r="183" spans="1:7" x14ac:dyDescent="0.2">
      <c r="A183" s="22" t="str">
        <f t="shared" si="2"/>
        <v>1526</v>
      </c>
      <c r="B183" s="31">
        <v>42182</v>
      </c>
      <c r="C183" s="32" t="s">
        <v>61</v>
      </c>
      <c r="D183" s="32">
        <v>42176</v>
      </c>
      <c r="E183" s="33">
        <v>26</v>
      </c>
      <c r="F183" s="33">
        <v>2015</v>
      </c>
      <c r="G183" s="27">
        <v>201526</v>
      </c>
    </row>
    <row r="184" spans="1:7" x14ac:dyDescent="0.2">
      <c r="A184" s="22" t="str">
        <f t="shared" si="2"/>
        <v>1527</v>
      </c>
      <c r="B184" s="31">
        <v>42183</v>
      </c>
      <c r="C184" s="32" t="s">
        <v>55</v>
      </c>
      <c r="D184" s="32">
        <v>42183</v>
      </c>
      <c r="E184" s="33">
        <v>27</v>
      </c>
      <c r="F184" s="33">
        <v>2015</v>
      </c>
      <c r="G184" s="27">
        <v>201527</v>
      </c>
    </row>
    <row r="185" spans="1:7" x14ac:dyDescent="0.2">
      <c r="A185" s="22" t="str">
        <f t="shared" si="2"/>
        <v>1527</v>
      </c>
      <c r="B185" s="31">
        <v>42184</v>
      </c>
      <c r="C185" s="32" t="s">
        <v>56</v>
      </c>
      <c r="D185" s="32">
        <v>42183</v>
      </c>
      <c r="E185" s="33">
        <v>27</v>
      </c>
      <c r="F185" s="33">
        <v>2015</v>
      </c>
      <c r="G185" s="27">
        <v>201527</v>
      </c>
    </row>
    <row r="186" spans="1:7" x14ac:dyDescent="0.2">
      <c r="A186" s="22" t="str">
        <f t="shared" si="2"/>
        <v>1527</v>
      </c>
      <c r="B186" s="31">
        <v>42185</v>
      </c>
      <c r="C186" s="32" t="s">
        <v>57</v>
      </c>
      <c r="D186" s="32">
        <v>42183</v>
      </c>
      <c r="E186" s="33">
        <v>27</v>
      </c>
      <c r="F186" s="33">
        <v>2015</v>
      </c>
      <c r="G186" s="27">
        <v>201527</v>
      </c>
    </row>
    <row r="187" spans="1:7" x14ac:dyDescent="0.2">
      <c r="A187" s="22" t="str">
        <f t="shared" si="2"/>
        <v>1527</v>
      </c>
      <c r="B187" s="31">
        <v>42186</v>
      </c>
      <c r="C187" s="32" t="s">
        <v>58</v>
      </c>
      <c r="D187" s="32">
        <v>42183</v>
      </c>
      <c r="E187" s="33">
        <v>27</v>
      </c>
      <c r="F187" s="33">
        <v>2015</v>
      </c>
      <c r="G187" s="27">
        <v>201527</v>
      </c>
    </row>
    <row r="188" spans="1:7" x14ac:dyDescent="0.2">
      <c r="A188" s="22" t="str">
        <f t="shared" si="2"/>
        <v>1527</v>
      </c>
      <c r="B188" s="31">
        <v>42187</v>
      </c>
      <c r="C188" s="32" t="s">
        <v>59</v>
      </c>
      <c r="D188" s="32">
        <v>42183</v>
      </c>
      <c r="E188" s="33">
        <v>27</v>
      </c>
      <c r="F188" s="33">
        <v>2015</v>
      </c>
      <c r="G188" s="27">
        <v>201527</v>
      </c>
    </row>
    <row r="189" spans="1:7" x14ac:dyDescent="0.2">
      <c r="A189" s="22" t="str">
        <f t="shared" si="2"/>
        <v>1527</v>
      </c>
      <c r="B189" s="31">
        <v>42188</v>
      </c>
      <c r="C189" s="32" t="s">
        <v>60</v>
      </c>
      <c r="D189" s="32">
        <v>42183</v>
      </c>
      <c r="E189" s="33">
        <v>27</v>
      </c>
      <c r="F189" s="33">
        <v>2015</v>
      </c>
      <c r="G189" s="27">
        <v>201527</v>
      </c>
    </row>
    <row r="190" spans="1:7" x14ac:dyDescent="0.2">
      <c r="A190" s="22" t="str">
        <f t="shared" si="2"/>
        <v>1527</v>
      </c>
      <c r="B190" s="31">
        <v>42189</v>
      </c>
      <c r="C190" s="32" t="s">
        <v>61</v>
      </c>
      <c r="D190" s="32">
        <v>42183</v>
      </c>
      <c r="E190" s="33">
        <v>27</v>
      </c>
      <c r="F190" s="33">
        <v>2015</v>
      </c>
      <c r="G190" s="27">
        <v>201527</v>
      </c>
    </row>
    <row r="191" spans="1:7" x14ac:dyDescent="0.2">
      <c r="A191" s="22" t="str">
        <f t="shared" si="2"/>
        <v>1528</v>
      </c>
      <c r="B191" s="31">
        <v>42190</v>
      </c>
      <c r="C191" s="32" t="s">
        <v>55</v>
      </c>
      <c r="D191" s="32">
        <v>42190</v>
      </c>
      <c r="E191" s="33">
        <v>28</v>
      </c>
      <c r="F191" s="33">
        <v>2015</v>
      </c>
      <c r="G191" s="27">
        <v>201528</v>
      </c>
    </row>
    <row r="192" spans="1:7" x14ac:dyDescent="0.2">
      <c r="A192" s="22" t="str">
        <f t="shared" si="2"/>
        <v>1528</v>
      </c>
      <c r="B192" s="31">
        <v>42191</v>
      </c>
      <c r="C192" s="32" t="s">
        <v>56</v>
      </c>
      <c r="D192" s="32">
        <v>42190</v>
      </c>
      <c r="E192" s="33">
        <v>28</v>
      </c>
      <c r="F192" s="33">
        <v>2015</v>
      </c>
      <c r="G192" s="27">
        <v>201528</v>
      </c>
    </row>
    <row r="193" spans="1:7" x14ac:dyDescent="0.2">
      <c r="A193" s="22" t="str">
        <f t="shared" si="2"/>
        <v>1528</v>
      </c>
      <c r="B193" s="31">
        <v>42192</v>
      </c>
      <c r="C193" s="32" t="s">
        <v>57</v>
      </c>
      <c r="D193" s="32">
        <v>42190</v>
      </c>
      <c r="E193" s="33">
        <v>28</v>
      </c>
      <c r="F193" s="33">
        <v>2015</v>
      </c>
      <c r="G193" s="27">
        <v>201528</v>
      </c>
    </row>
    <row r="194" spans="1:7" x14ac:dyDescent="0.2">
      <c r="A194" s="22" t="str">
        <f t="shared" si="2"/>
        <v>1528</v>
      </c>
      <c r="B194" s="31">
        <v>42193</v>
      </c>
      <c r="C194" s="32" t="s">
        <v>58</v>
      </c>
      <c r="D194" s="32">
        <v>42190</v>
      </c>
      <c r="E194" s="33">
        <v>28</v>
      </c>
      <c r="F194" s="33">
        <v>2015</v>
      </c>
      <c r="G194" s="27">
        <v>201528</v>
      </c>
    </row>
    <row r="195" spans="1:7" x14ac:dyDescent="0.2">
      <c r="A195" s="22" t="str">
        <f t="shared" ref="A195:A258" si="3">RIGHT(G195,4)</f>
        <v>1528</v>
      </c>
      <c r="B195" s="31">
        <v>42194</v>
      </c>
      <c r="C195" s="32" t="s">
        <v>59</v>
      </c>
      <c r="D195" s="32">
        <v>42190</v>
      </c>
      <c r="E195" s="33">
        <v>28</v>
      </c>
      <c r="F195" s="33">
        <v>2015</v>
      </c>
      <c r="G195" s="27">
        <v>201528</v>
      </c>
    </row>
    <row r="196" spans="1:7" x14ac:dyDescent="0.2">
      <c r="A196" s="22" t="str">
        <f t="shared" si="3"/>
        <v>1528</v>
      </c>
      <c r="B196" s="31">
        <v>42195</v>
      </c>
      <c r="C196" s="32" t="s">
        <v>60</v>
      </c>
      <c r="D196" s="32">
        <v>42190</v>
      </c>
      <c r="E196" s="33">
        <v>28</v>
      </c>
      <c r="F196" s="33">
        <v>2015</v>
      </c>
      <c r="G196" s="27">
        <v>201528</v>
      </c>
    </row>
    <row r="197" spans="1:7" x14ac:dyDescent="0.2">
      <c r="A197" s="22" t="str">
        <f t="shared" si="3"/>
        <v>1528</v>
      </c>
      <c r="B197" s="31">
        <v>42196</v>
      </c>
      <c r="C197" s="32" t="s">
        <v>61</v>
      </c>
      <c r="D197" s="32">
        <v>42190</v>
      </c>
      <c r="E197" s="33">
        <v>28</v>
      </c>
      <c r="F197" s="33">
        <v>2015</v>
      </c>
      <c r="G197" s="27">
        <v>201528</v>
      </c>
    </row>
    <row r="198" spans="1:7" x14ac:dyDescent="0.2">
      <c r="A198" s="22" t="str">
        <f t="shared" si="3"/>
        <v>1529</v>
      </c>
      <c r="B198" s="31">
        <v>42197</v>
      </c>
      <c r="C198" s="32" t="s">
        <v>55</v>
      </c>
      <c r="D198" s="32">
        <v>42197</v>
      </c>
      <c r="E198" s="33">
        <v>29</v>
      </c>
      <c r="F198" s="33">
        <v>2015</v>
      </c>
      <c r="G198" s="27">
        <v>201529</v>
      </c>
    </row>
    <row r="199" spans="1:7" x14ac:dyDescent="0.2">
      <c r="A199" s="22" t="str">
        <f t="shared" si="3"/>
        <v>1529</v>
      </c>
      <c r="B199" s="31">
        <v>42198</v>
      </c>
      <c r="C199" s="32" t="s">
        <v>56</v>
      </c>
      <c r="D199" s="32">
        <v>42197</v>
      </c>
      <c r="E199" s="33">
        <v>29</v>
      </c>
      <c r="F199" s="33">
        <v>2015</v>
      </c>
      <c r="G199" s="27">
        <v>201529</v>
      </c>
    </row>
    <row r="200" spans="1:7" x14ac:dyDescent="0.2">
      <c r="A200" s="22" t="str">
        <f t="shared" si="3"/>
        <v>1529</v>
      </c>
      <c r="B200" s="31">
        <v>42199</v>
      </c>
      <c r="C200" s="32" t="s">
        <v>57</v>
      </c>
      <c r="D200" s="32">
        <v>42197</v>
      </c>
      <c r="E200" s="33">
        <v>29</v>
      </c>
      <c r="F200" s="33">
        <v>2015</v>
      </c>
      <c r="G200" s="27">
        <v>201529</v>
      </c>
    </row>
    <row r="201" spans="1:7" x14ac:dyDescent="0.2">
      <c r="A201" s="22" t="str">
        <f t="shared" si="3"/>
        <v>1529</v>
      </c>
      <c r="B201" s="31">
        <v>42200</v>
      </c>
      <c r="C201" s="32" t="s">
        <v>58</v>
      </c>
      <c r="D201" s="32">
        <v>42197</v>
      </c>
      <c r="E201" s="33">
        <v>29</v>
      </c>
      <c r="F201" s="33">
        <v>2015</v>
      </c>
      <c r="G201" s="27">
        <v>201529</v>
      </c>
    </row>
    <row r="202" spans="1:7" x14ac:dyDescent="0.2">
      <c r="A202" s="22" t="str">
        <f t="shared" si="3"/>
        <v>1529</v>
      </c>
      <c r="B202" s="31">
        <v>42201</v>
      </c>
      <c r="C202" s="32" t="s">
        <v>59</v>
      </c>
      <c r="D202" s="32">
        <v>42197</v>
      </c>
      <c r="E202" s="33">
        <v>29</v>
      </c>
      <c r="F202" s="33">
        <v>2015</v>
      </c>
      <c r="G202" s="27">
        <v>201529</v>
      </c>
    </row>
    <row r="203" spans="1:7" x14ac:dyDescent="0.2">
      <c r="A203" s="22" t="str">
        <f t="shared" si="3"/>
        <v>1529</v>
      </c>
      <c r="B203" s="31">
        <v>42202</v>
      </c>
      <c r="C203" s="32" t="s">
        <v>60</v>
      </c>
      <c r="D203" s="32">
        <v>42197</v>
      </c>
      <c r="E203" s="33">
        <v>29</v>
      </c>
      <c r="F203" s="33">
        <v>2015</v>
      </c>
      <c r="G203" s="27">
        <v>201529</v>
      </c>
    </row>
    <row r="204" spans="1:7" x14ac:dyDescent="0.2">
      <c r="A204" s="22" t="str">
        <f t="shared" si="3"/>
        <v>1529</v>
      </c>
      <c r="B204" s="31">
        <v>42203</v>
      </c>
      <c r="C204" s="32" t="s">
        <v>61</v>
      </c>
      <c r="D204" s="32">
        <v>42197</v>
      </c>
      <c r="E204" s="33">
        <v>29</v>
      </c>
      <c r="F204" s="33">
        <v>2015</v>
      </c>
      <c r="G204" s="27">
        <v>201529</v>
      </c>
    </row>
    <row r="205" spans="1:7" x14ac:dyDescent="0.2">
      <c r="A205" s="22" t="str">
        <f t="shared" si="3"/>
        <v>1530</v>
      </c>
      <c r="B205" s="31">
        <v>42204</v>
      </c>
      <c r="C205" s="32" t="s">
        <v>55</v>
      </c>
      <c r="D205" s="32">
        <v>42204</v>
      </c>
      <c r="E205" s="33">
        <v>30</v>
      </c>
      <c r="F205" s="33">
        <v>2015</v>
      </c>
      <c r="G205" s="27">
        <v>201530</v>
      </c>
    </row>
    <row r="206" spans="1:7" x14ac:dyDescent="0.2">
      <c r="A206" s="22" t="str">
        <f t="shared" si="3"/>
        <v>1530</v>
      </c>
      <c r="B206" s="31">
        <v>42205</v>
      </c>
      <c r="C206" s="32" t="s">
        <v>56</v>
      </c>
      <c r="D206" s="32">
        <v>42204</v>
      </c>
      <c r="E206" s="33">
        <v>30</v>
      </c>
      <c r="F206" s="33">
        <v>2015</v>
      </c>
      <c r="G206" s="27">
        <v>201530</v>
      </c>
    </row>
    <row r="207" spans="1:7" x14ac:dyDescent="0.2">
      <c r="A207" s="22" t="str">
        <f t="shared" si="3"/>
        <v>1530</v>
      </c>
      <c r="B207" s="31">
        <v>42206</v>
      </c>
      <c r="C207" s="32" t="s">
        <v>57</v>
      </c>
      <c r="D207" s="32">
        <v>42204</v>
      </c>
      <c r="E207" s="33">
        <v>30</v>
      </c>
      <c r="F207" s="33">
        <v>2015</v>
      </c>
      <c r="G207" s="27">
        <v>201530</v>
      </c>
    </row>
    <row r="208" spans="1:7" x14ac:dyDescent="0.2">
      <c r="A208" s="22" t="str">
        <f t="shared" si="3"/>
        <v>1530</v>
      </c>
      <c r="B208" s="31">
        <v>42207</v>
      </c>
      <c r="C208" s="32" t="s">
        <v>58</v>
      </c>
      <c r="D208" s="32">
        <v>42204</v>
      </c>
      <c r="E208" s="33">
        <v>30</v>
      </c>
      <c r="F208" s="33">
        <v>2015</v>
      </c>
      <c r="G208" s="27">
        <v>201530</v>
      </c>
    </row>
    <row r="209" spans="1:7" x14ac:dyDescent="0.2">
      <c r="A209" s="22" t="str">
        <f t="shared" si="3"/>
        <v>1530</v>
      </c>
      <c r="B209" s="31">
        <v>42208</v>
      </c>
      <c r="C209" s="32" t="s">
        <v>59</v>
      </c>
      <c r="D209" s="32">
        <v>42204</v>
      </c>
      <c r="E209" s="33">
        <v>30</v>
      </c>
      <c r="F209" s="33">
        <v>2015</v>
      </c>
      <c r="G209" s="27">
        <v>201530</v>
      </c>
    </row>
    <row r="210" spans="1:7" x14ac:dyDescent="0.2">
      <c r="A210" s="22" t="str">
        <f t="shared" si="3"/>
        <v>1530</v>
      </c>
      <c r="B210" s="31">
        <v>42209</v>
      </c>
      <c r="C210" s="32" t="s">
        <v>60</v>
      </c>
      <c r="D210" s="32">
        <v>42204</v>
      </c>
      <c r="E210" s="33">
        <v>30</v>
      </c>
      <c r="F210" s="33">
        <v>2015</v>
      </c>
      <c r="G210" s="27">
        <v>201530</v>
      </c>
    </row>
    <row r="211" spans="1:7" x14ac:dyDescent="0.2">
      <c r="A211" s="22" t="str">
        <f t="shared" si="3"/>
        <v>1530</v>
      </c>
      <c r="B211" s="31">
        <v>42210</v>
      </c>
      <c r="C211" s="32" t="s">
        <v>61</v>
      </c>
      <c r="D211" s="32">
        <v>42204</v>
      </c>
      <c r="E211" s="33">
        <v>30</v>
      </c>
      <c r="F211" s="33">
        <v>2015</v>
      </c>
      <c r="G211" s="27">
        <v>201530</v>
      </c>
    </row>
    <row r="212" spans="1:7" x14ac:dyDescent="0.2">
      <c r="A212" s="22" t="str">
        <f t="shared" si="3"/>
        <v>1531</v>
      </c>
      <c r="B212" s="31">
        <v>42211</v>
      </c>
      <c r="C212" s="32" t="s">
        <v>55</v>
      </c>
      <c r="D212" s="32">
        <v>42211</v>
      </c>
      <c r="E212" s="33">
        <v>31</v>
      </c>
      <c r="F212" s="33">
        <v>2015</v>
      </c>
      <c r="G212" s="27">
        <v>201531</v>
      </c>
    </row>
    <row r="213" spans="1:7" x14ac:dyDescent="0.2">
      <c r="A213" s="22" t="str">
        <f t="shared" si="3"/>
        <v>1531</v>
      </c>
      <c r="B213" s="31">
        <v>42212</v>
      </c>
      <c r="C213" s="32" t="s">
        <v>56</v>
      </c>
      <c r="D213" s="32">
        <v>42211</v>
      </c>
      <c r="E213" s="33">
        <v>31</v>
      </c>
      <c r="F213" s="33">
        <v>2015</v>
      </c>
      <c r="G213" s="27">
        <v>201531</v>
      </c>
    </row>
    <row r="214" spans="1:7" x14ac:dyDescent="0.2">
      <c r="A214" s="22" t="str">
        <f t="shared" si="3"/>
        <v>1531</v>
      </c>
      <c r="B214" s="31">
        <v>42213</v>
      </c>
      <c r="C214" s="32" t="s">
        <v>57</v>
      </c>
      <c r="D214" s="32">
        <v>42211</v>
      </c>
      <c r="E214" s="33">
        <v>31</v>
      </c>
      <c r="F214" s="33">
        <v>2015</v>
      </c>
      <c r="G214" s="27">
        <v>201531</v>
      </c>
    </row>
    <row r="215" spans="1:7" x14ac:dyDescent="0.2">
      <c r="A215" s="22" t="str">
        <f t="shared" si="3"/>
        <v>1531</v>
      </c>
      <c r="B215" s="31">
        <v>42214</v>
      </c>
      <c r="C215" s="32" t="s">
        <v>58</v>
      </c>
      <c r="D215" s="32">
        <v>42211</v>
      </c>
      <c r="E215" s="33">
        <v>31</v>
      </c>
      <c r="F215" s="33">
        <v>2015</v>
      </c>
      <c r="G215" s="27">
        <v>201531</v>
      </c>
    </row>
    <row r="216" spans="1:7" x14ac:dyDescent="0.2">
      <c r="A216" s="22" t="str">
        <f t="shared" si="3"/>
        <v>1531</v>
      </c>
      <c r="B216" s="31">
        <v>42215</v>
      </c>
      <c r="C216" s="32" t="s">
        <v>59</v>
      </c>
      <c r="D216" s="32">
        <v>42211</v>
      </c>
      <c r="E216" s="33">
        <v>31</v>
      </c>
      <c r="F216" s="33">
        <v>2015</v>
      </c>
      <c r="G216" s="27">
        <v>201531</v>
      </c>
    </row>
    <row r="217" spans="1:7" x14ac:dyDescent="0.2">
      <c r="A217" s="22" t="str">
        <f t="shared" si="3"/>
        <v>1531</v>
      </c>
      <c r="B217" s="31">
        <v>42216</v>
      </c>
      <c r="C217" s="32" t="s">
        <v>60</v>
      </c>
      <c r="D217" s="32">
        <v>42211</v>
      </c>
      <c r="E217" s="33">
        <v>31</v>
      </c>
      <c r="F217" s="33">
        <v>2015</v>
      </c>
      <c r="G217" s="27">
        <v>201531</v>
      </c>
    </row>
    <row r="218" spans="1:7" x14ac:dyDescent="0.2">
      <c r="A218" s="22" t="str">
        <f t="shared" si="3"/>
        <v>1531</v>
      </c>
      <c r="B218" s="31">
        <v>42217</v>
      </c>
      <c r="C218" s="32" t="s">
        <v>61</v>
      </c>
      <c r="D218" s="32">
        <v>42211</v>
      </c>
      <c r="E218" s="33">
        <v>31</v>
      </c>
      <c r="F218" s="33">
        <v>2015</v>
      </c>
      <c r="G218" s="27">
        <v>201531</v>
      </c>
    </row>
    <row r="219" spans="1:7" x14ac:dyDescent="0.2">
      <c r="A219" s="22" t="str">
        <f t="shared" si="3"/>
        <v>1532</v>
      </c>
      <c r="B219" s="31">
        <v>42218</v>
      </c>
      <c r="C219" s="32" t="s">
        <v>55</v>
      </c>
      <c r="D219" s="32">
        <v>42218</v>
      </c>
      <c r="E219" s="33">
        <v>32</v>
      </c>
      <c r="F219" s="33">
        <v>2015</v>
      </c>
      <c r="G219" s="27">
        <v>201532</v>
      </c>
    </row>
    <row r="220" spans="1:7" x14ac:dyDescent="0.2">
      <c r="A220" s="22" t="str">
        <f t="shared" si="3"/>
        <v>1532</v>
      </c>
      <c r="B220" s="31">
        <v>42219</v>
      </c>
      <c r="C220" s="32" t="s">
        <v>56</v>
      </c>
      <c r="D220" s="32">
        <v>42218</v>
      </c>
      <c r="E220" s="33">
        <v>32</v>
      </c>
      <c r="F220" s="33">
        <v>2015</v>
      </c>
      <c r="G220" s="27">
        <v>201532</v>
      </c>
    </row>
    <row r="221" spans="1:7" x14ac:dyDescent="0.2">
      <c r="A221" s="22" t="str">
        <f t="shared" si="3"/>
        <v>1532</v>
      </c>
      <c r="B221" s="31">
        <v>42220</v>
      </c>
      <c r="C221" s="32" t="s">
        <v>57</v>
      </c>
      <c r="D221" s="32">
        <v>42218</v>
      </c>
      <c r="E221" s="33">
        <v>32</v>
      </c>
      <c r="F221" s="33">
        <v>2015</v>
      </c>
      <c r="G221" s="27">
        <v>201532</v>
      </c>
    </row>
    <row r="222" spans="1:7" x14ac:dyDescent="0.2">
      <c r="A222" s="22" t="str">
        <f t="shared" si="3"/>
        <v>1532</v>
      </c>
      <c r="B222" s="31">
        <v>42221</v>
      </c>
      <c r="C222" s="32" t="s">
        <v>58</v>
      </c>
      <c r="D222" s="32">
        <v>42218</v>
      </c>
      <c r="E222" s="33">
        <v>32</v>
      </c>
      <c r="F222" s="33">
        <v>2015</v>
      </c>
      <c r="G222" s="27">
        <v>201532</v>
      </c>
    </row>
    <row r="223" spans="1:7" x14ac:dyDescent="0.2">
      <c r="A223" s="22" t="str">
        <f t="shared" si="3"/>
        <v>1532</v>
      </c>
      <c r="B223" s="31">
        <v>42222</v>
      </c>
      <c r="C223" s="32" t="s">
        <v>59</v>
      </c>
      <c r="D223" s="32">
        <v>42218</v>
      </c>
      <c r="E223" s="33">
        <v>32</v>
      </c>
      <c r="F223" s="33">
        <v>2015</v>
      </c>
      <c r="G223" s="27">
        <v>201532</v>
      </c>
    </row>
    <row r="224" spans="1:7" x14ac:dyDescent="0.2">
      <c r="A224" s="22" t="str">
        <f t="shared" si="3"/>
        <v>1532</v>
      </c>
      <c r="B224" s="31">
        <v>42223</v>
      </c>
      <c r="C224" s="32" t="s">
        <v>60</v>
      </c>
      <c r="D224" s="32">
        <v>42218</v>
      </c>
      <c r="E224" s="33">
        <v>32</v>
      </c>
      <c r="F224" s="33">
        <v>2015</v>
      </c>
      <c r="G224" s="27">
        <v>201532</v>
      </c>
    </row>
    <row r="225" spans="1:7" x14ac:dyDescent="0.2">
      <c r="A225" s="22" t="str">
        <f t="shared" si="3"/>
        <v>1532</v>
      </c>
      <c r="B225" s="31">
        <v>42224</v>
      </c>
      <c r="C225" s="32" t="s">
        <v>61</v>
      </c>
      <c r="D225" s="32">
        <v>42218</v>
      </c>
      <c r="E225" s="33">
        <v>32</v>
      </c>
      <c r="F225" s="33">
        <v>2015</v>
      </c>
      <c r="G225" s="27">
        <v>201532</v>
      </c>
    </row>
    <row r="226" spans="1:7" x14ac:dyDescent="0.2">
      <c r="A226" s="22" t="str">
        <f t="shared" si="3"/>
        <v>1533</v>
      </c>
      <c r="B226" s="31">
        <v>42225</v>
      </c>
      <c r="C226" s="32" t="s">
        <v>55</v>
      </c>
      <c r="D226" s="32">
        <v>42225</v>
      </c>
      <c r="E226" s="33">
        <v>33</v>
      </c>
      <c r="F226" s="33">
        <v>2015</v>
      </c>
      <c r="G226" s="27">
        <v>201533</v>
      </c>
    </row>
    <row r="227" spans="1:7" x14ac:dyDescent="0.2">
      <c r="A227" s="22" t="str">
        <f t="shared" si="3"/>
        <v>1533</v>
      </c>
      <c r="B227" s="31">
        <v>42226</v>
      </c>
      <c r="C227" s="32" t="s">
        <v>56</v>
      </c>
      <c r="D227" s="32">
        <v>42225</v>
      </c>
      <c r="E227" s="33">
        <v>33</v>
      </c>
      <c r="F227" s="33">
        <v>2015</v>
      </c>
      <c r="G227" s="27">
        <v>201533</v>
      </c>
    </row>
    <row r="228" spans="1:7" x14ac:dyDescent="0.2">
      <c r="A228" s="22" t="str">
        <f t="shared" si="3"/>
        <v>1533</v>
      </c>
      <c r="B228" s="31">
        <v>42227</v>
      </c>
      <c r="C228" s="32" t="s">
        <v>57</v>
      </c>
      <c r="D228" s="32">
        <v>42225</v>
      </c>
      <c r="E228" s="33">
        <v>33</v>
      </c>
      <c r="F228" s="33">
        <v>2015</v>
      </c>
      <c r="G228" s="27">
        <v>201533</v>
      </c>
    </row>
    <row r="229" spans="1:7" x14ac:dyDescent="0.2">
      <c r="A229" s="22" t="str">
        <f t="shared" si="3"/>
        <v>1533</v>
      </c>
      <c r="B229" s="31">
        <v>42228</v>
      </c>
      <c r="C229" s="32" t="s">
        <v>58</v>
      </c>
      <c r="D229" s="32">
        <v>42225</v>
      </c>
      <c r="E229" s="33">
        <v>33</v>
      </c>
      <c r="F229" s="33">
        <v>2015</v>
      </c>
      <c r="G229" s="27">
        <v>201533</v>
      </c>
    </row>
    <row r="230" spans="1:7" x14ac:dyDescent="0.2">
      <c r="A230" s="22" t="str">
        <f t="shared" si="3"/>
        <v>1533</v>
      </c>
      <c r="B230" s="31">
        <v>42229</v>
      </c>
      <c r="C230" s="32" t="s">
        <v>59</v>
      </c>
      <c r="D230" s="32">
        <v>42225</v>
      </c>
      <c r="E230" s="33">
        <v>33</v>
      </c>
      <c r="F230" s="33">
        <v>2015</v>
      </c>
      <c r="G230" s="27">
        <v>201533</v>
      </c>
    </row>
    <row r="231" spans="1:7" x14ac:dyDescent="0.2">
      <c r="A231" s="22" t="str">
        <f t="shared" si="3"/>
        <v>1533</v>
      </c>
      <c r="B231" s="31">
        <v>42230</v>
      </c>
      <c r="C231" s="32" t="s">
        <v>60</v>
      </c>
      <c r="D231" s="32">
        <v>42225</v>
      </c>
      <c r="E231" s="33">
        <v>33</v>
      </c>
      <c r="F231" s="33">
        <v>2015</v>
      </c>
      <c r="G231" s="27">
        <v>201533</v>
      </c>
    </row>
    <row r="232" spans="1:7" x14ac:dyDescent="0.2">
      <c r="A232" s="22" t="str">
        <f t="shared" si="3"/>
        <v>1533</v>
      </c>
      <c r="B232" s="31">
        <v>42231</v>
      </c>
      <c r="C232" s="32" t="s">
        <v>61</v>
      </c>
      <c r="D232" s="32">
        <v>42225</v>
      </c>
      <c r="E232" s="33">
        <v>33</v>
      </c>
      <c r="F232" s="33">
        <v>2015</v>
      </c>
      <c r="G232" s="27">
        <v>201533</v>
      </c>
    </row>
    <row r="233" spans="1:7" x14ac:dyDescent="0.2">
      <c r="A233" s="22" t="str">
        <f t="shared" si="3"/>
        <v>1534</v>
      </c>
      <c r="B233" s="31">
        <v>42232</v>
      </c>
      <c r="C233" s="32" t="s">
        <v>55</v>
      </c>
      <c r="D233" s="32">
        <v>42232</v>
      </c>
      <c r="E233" s="33">
        <v>34</v>
      </c>
      <c r="F233" s="33">
        <v>2015</v>
      </c>
      <c r="G233" s="27">
        <v>201534</v>
      </c>
    </row>
    <row r="234" spans="1:7" x14ac:dyDescent="0.2">
      <c r="A234" s="22" t="str">
        <f t="shared" si="3"/>
        <v>1534</v>
      </c>
      <c r="B234" s="31">
        <v>42233</v>
      </c>
      <c r="C234" s="32" t="s">
        <v>56</v>
      </c>
      <c r="D234" s="32">
        <v>42232</v>
      </c>
      <c r="E234" s="33">
        <v>34</v>
      </c>
      <c r="F234" s="33">
        <v>2015</v>
      </c>
      <c r="G234" s="27">
        <v>201534</v>
      </c>
    </row>
    <row r="235" spans="1:7" x14ac:dyDescent="0.2">
      <c r="A235" s="22" t="str">
        <f t="shared" si="3"/>
        <v>1534</v>
      </c>
      <c r="B235" s="31">
        <v>42234</v>
      </c>
      <c r="C235" s="32" t="s">
        <v>57</v>
      </c>
      <c r="D235" s="32">
        <v>42232</v>
      </c>
      <c r="E235" s="33">
        <v>34</v>
      </c>
      <c r="F235" s="33">
        <v>2015</v>
      </c>
      <c r="G235" s="27">
        <v>201534</v>
      </c>
    </row>
    <row r="236" spans="1:7" x14ac:dyDescent="0.2">
      <c r="A236" s="22" t="str">
        <f t="shared" si="3"/>
        <v>1534</v>
      </c>
      <c r="B236" s="31">
        <v>42235</v>
      </c>
      <c r="C236" s="32" t="s">
        <v>58</v>
      </c>
      <c r="D236" s="32">
        <v>42232</v>
      </c>
      <c r="E236" s="33">
        <v>34</v>
      </c>
      <c r="F236" s="33">
        <v>2015</v>
      </c>
      <c r="G236" s="27">
        <v>201534</v>
      </c>
    </row>
    <row r="237" spans="1:7" x14ac:dyDescent="0.2">
      <c r="A237" s="22" t="str">
        <f t="shared" si="3"/>
        <v>1534</v>
      </c>
      <c r="B237" s="31">
        <v>42236</v>
      </c>
      <c r="C237" s="32" t="s">
        <v>59</v>
      </c>
      <c r="D237" s="32">
        <v>42232</v>
      </c>
      <c r="E237" s="33">
        <v>34</v>
      </c>
      <c r="F237" s="33">
        <v>2015</v>
      </c>
      <c r="G237" s="27">
        <v>201534</v>
      </c>
    </row>
    <row r="238" spans="1:7" x14ac:dyDescent="0.2">
      <c r="A238" s="22" t="str">
        <f t="shared" si="3"/>
        <v>1534</v>
      </c>
      <c r="B238" s="31">
        <v>42237</v>
      </c>
      <c r="C238" s="32" t="s">
        <v>60</v>
      </c>
      <c r="D238" s="32">
        <v>42232</v>
      </c>
      <c r="E238" s="33">
        <v>34</v>
      </c>
      <c r="F238" s="33">
        <v>2015</v>
      </c>
      <c r="G238" s="27">
        <v>201534</v>
      </c>
    </row>
    <row r="239" spans="1:7" x14ac:dyDescent="0.2">
      <c r="A239" s="22" t="str">
        <f t="shared" si="3"/>
        <v>1534</v>
      </c>
      <c r="B239" s="31">
        <v>42238</v>
      </c>
      <c r="C239" s="32" t="s">
        <v>61</v>
      </c>
      <c r="D239" s="32">
        <v>42232</v>
      </c>
      <c r="E239" s="33">
        <v>34</v>
      </c>
      <c r="F239" s="33">
        <v>2015</v>
      </c>
      <c r="G239" s="27">
        <v>201534</v>
      </c>
    </row>
    <row r="240" spans="1:7" x14ac:dyDescent="0.2">
      <c r="A240" s="22" t="str">
        <f t="shared" si="3"/>
        <v>1535</v>
      </c>
      <c r="B240" s="31">
        <v>42239</v>
      </c>
      <c r="C240" s="32" t="s">
        <v>55</v>
      </c>
      <c r="D240" s="32">
        <v>42239</v>
      </c>
      <c r="E240" s="33">
        <v>35</v>
      </c>
      <c r="F240" s="33">
        <v>2015</v>
      </c>
      <c r="G240" s="27">
        <v>201535</v>
      </c>
    </row>
    <row r="241" spans="1:7" x14ac:dyDescent="0.2">
      <c r="A241" s="22" t="str">
        <f t="shared" si="3"/>
        <v>1535</v>
      </c>
      <c r="B241" s="31">
        <v>42240</v>
      </c>
      <c r="C241" s="32" t="s">
        <v>56</v>
      </c>
      <c r="D241" s="32">
        <v>42239</v>
      </c>
      <c r="E241" s="33">
        <v>35</v>
      </c>
      <c r="F241" s="33">
        <v>2015</v>
      </c>
      <c r="G241" s="27">
        <v>201535</v>
      </c>
    </row>
    <row r="242" spans="1:7" x14ac:dyDescent="0.2">
      <c r="A242" s="22" t="str">
        <f t="shared" si="3"/>
        <v>1535</v>
      </c>
      <c r="B242" s="31">
        <v>42241</v>
      </c>
      <c r="C242" s="32" t="s">
        <v>57</v>
      </c>
      <c r="D242" s="32">
        <v>42239</v>
      </c>
      <c r="E242" s="33">
        <v>35</v>
      </c>
      <c r="F242" s="33">
        <v>2015</v>
      </c>
      <c r="G242" s="27">
        <v>201535</v>
      </c>
    </row>
    <row r="243" spans="1:7" x14ac:dyDescent="0.2">
      <c r="A243" s="22" t="str">
        <f t="shared" si="3"/>
        <v>1535</v>
      </c>
      <c r="B243" s="31">
        <v>42242</v>
      </c>
      <c r="C243" s="32" t="s">
        <v>58</v>
      </c>
      <c r="D243" s="32">
        <v>42239</v>
      </c>
      <c r="E243" s="33">
        <v>35</v>
      </c>
      <c r="F243" s="33">
        <v>2015</v>
      </c>
      <c r="G243" s="27">
        <v>201535</v>
      </c>
    </row>
    <row r="244" spans="1:7" x14ac:dyDescent="0.2">
      <c r="A244" s="22" t="str">
        <f t="shared" si="3"/>
        <v>1535</v>
      </c>
      <c r="B244" s="31">
        <v>42243</v>
      </c>
      <c r="C244" s="32" t="s">
        <v>59</v>
      </c>
      <c r="D244" s="32">
        <v>42239</v>
      </c>
      <c r="E244" s="33">
        <v>35</v>
      </c>
      <c r="F244" s="33">
        <v>2015</v>
      </c>
      <c r="G244" s="27">
        <v>201535</v>
      </c>
    </row>
    <row r="245" spans="1:7" x14ac:dyDescent="0.2">
      <c r="A245" s="22" t="str">
        <f t="shared" si="3"/>
        <v>1535</v>
      </c>
      <c r="B245" s="31">
        <v>42244</v>
      </c>
      <c r="C245" s="32" t="s">
        <v>60</v>
      </c>
      <c r="D245" s="32">
        <v>42239</v>
      </c>
      <c r="E245" s="33">
        <v>35</v>
      </c>
      <c r="F245" s="33">
        <v>2015</v>
      </c>
      <c r="G245" s="27">
        <v>201535</v>
      </c>
    </row>
    <row r="246" spans="1:7" x14ac:dyDescent="0.2">
      <c r="A246" s="22" t="str">
        <f t="shared" si="3"/>
        <v>1535</v>
      </c>
      <c r="B246" s="31">
        <v>42245</v>
      </c>
      <c r="C246" s="32" t="s">
        <v>61</v>
      </c>
      <c r="D246" s="32">
        <v>42239</v>
      </c>
      <c r="E246" s="33">
        <v>35</v>
      </c>
      <c r="F246" s="33">
        <v>2015</v>
      </c>
      <c r="G246" s="27">
        <v>201535</v>
      </c>
    </row>
    <row r="247" spans="1:7" x14ac:dyDescent="0.2">
      <c r="A247" s="22" t="str">
        <f t="shared" si="3"/>
        <v>1536</v>
      </c>
      <c r="B247" s="31">
        <v>42246</v>
      </c>
      <c r="C247" s="32" t="s">
        <v>55</v>
      </c>
      <c r="D247" s="32">
        <v>42246</v>
      </c>
      <c r="E247" s="33">
        <v>36</v>
      </c>
      <c r="F247" s="33">
        <v>2015</v>
      </c>
      <c r="G247" s="27">
        <v>201536</v>
      </c>
    </row>
    <row r="248" spans="1:7" x14ac:dyDescent="0.2">
      <c r="A248" s="22" t="str">
        <f t="shared" si="3"/>
        <v>1536</v>
      </c>
      <c r="B248" s="31">
        <v>42247</v>
      </c>
      <c r="C248" s="32" t="s">
        <v>56</v>
      </c>
      <c r="D248" s="32">
        <v>42246</v>
      </c>
      <c r="E248" s="33">
        <v>36</v>
      </c>
      <c r="F248" s="33">
        <v>2015</v>
      </c>
      <c r="G248" s="27">
        <v>201536</v>
      </c>
    </row>
    <row r="249" spans="1:7" x14ac:dyDescent="0.2">
      <c r="A249" s="22" t="str">
        <f t="shared" si="3"/>
        <v>1536</v>
      </c>
      <c r="B249" s="31">
        <v>42248</v>
      </c>
      <c r="C249" s="32" t="s">
        <v>57</v>
      </c>
      <c r="D249" s="32">
        <v>42246</v>
      </c>
      <c r="E249" s="33">
        <v>36</v>
      </c>
      <c r="F249" s="33">
        <v>2015</v>
      </c>
      <c r="G249" s="27">
        <v>201536</v>
      </c>
    </row>
    <row r="250" spans="1:7" x14ac:dyDescent="0.2">
      <c r="A250" s="22" t="str">
        <f t="shared" si="3"/>
        <v>1536</v>
      </c>
      <c r="B250" s="31">
        <v>42249</v>
      </c>
      <c r="C250" s="32" t="s">
        <v>58</v>
      </c>
      <c r="D250" s="32">
        <v>42246</v>
      </c>
      <c r="E250" s="33">
        <v>36</v>
      </c>
      <c r="F250" s="33">
        <v>2015</v>
      </c>
      <c r="G250" s="27">
        <v>201536</v>
      </c>
    </row>
    <row r="251" spans="1:7" x14ac:dyDescent="0.2">
      <c r="A251" s="22" t="str">
        <f t="shared" si="3"/>
        <v>1536</v>
      </c>
      <c r="B251" s="31">
        <v>42250</v>
      </c>
      <c r="C251" s="32" t="s">
        <v>59</v>
      </c>
      <c r="D251" s="32">
        <v>42246</v>
      </c>
      <c r="E251" s="33">
        <v>36</v>
      </c>
      <c r="F251" s="33">
        <v>2015</v>
      </c>
      <c r="G251" s="27">
        <v>201536</v>
      </c>
    </row>
    <row r="252" spans="1:7" x14ac:dyDescent="0.2">
      <c r="A252" s="22" t="str">
        <f t="shared" si="3"/>
        <v>1536</v>
      </c>
      <c r="B252" s="31">
        <v>42251</v>
      </c>
      <c r="C252" s="32" t="s">
        <v>60</v>
      </c>
      <c r="D252" s="32">
        <v>42246</v>
      </c>
      <c r="E252" s="33">
        <v>36</v>
      </c>
      <c r="F252" s="33">
        <v>2015</v>
      </c>
      <c r="G252" s="27">
        <v>201536</v>
      </c>
    </row>
    <row r="253" spans="1:7" x14ac:dyDescent="0.2">
      <c r="A253" s="22" t="str">
        <f t="shared" si="3"/>
        <v>1536</v>
      </c>
      <c r="B253" s="31">
        <v>42252</v>
      </c>
      <c r="C253" s="32" t="s">
        <v>61</v>
      </c>
      <c r="D253" s="32">
        <v>42246</v>
      </c>
      <c r="E253" s="33">
        <v>36</v>
      </c>
      <c r="F253" s="33">
        <v>2015</v>
      </c>
      <c r="G253" s="27">
        <v>201536</v>
      </c>
    </row>
    <row r="254" spans="1:7" x14ac:dyDescent="0.2">
      <c r="A254" s="22" t="str">
        <f t="shared" si="3"/>
        <v>1537</v>
      </c>
      <c r="B254" s="31">
        <v>42253</v>
      </c>
      <c r="C254" s="32" t="s">
        <v>55</v>
      </c>
      <c r="D254" s="32">
        <v>42253</v>
      </c>
      <c r="E254" s="33">
        <v>37</v>
      </c>
      <c r="F254" s="33">
        <v>2015</v>
      </c>
      <c r="G254" s="27">
        <v>201537</v>
      </c>
    </row>
    <row r="255" spans="1:7" x14ac:dyDescent="0.2">
      <c r="A255" s="22" t="str">
        <f t="shared" si="3"/>
        <v>1537</v>
      </c>
      <c r="B255" s="31">
        <v>42254</v>
      </c>
      <c r="C255" s="32" t="s">
        <v>56</v>
      </c>
      <c r="D255" s="32">
        <v>42253</v>
      </c>
      <c r="E255" s="33">
        <v>37</v>
      </c>
      <c r="F255" s="33">
        <v>2015</v>
      </c>
      <c r="G255" s="27">
        <v>201537</v>
      </c>
    </row>
    <row r="256" spans="1:7" x14ac:dyDescent="0.2">
      <c r="A256" s="22" t="str">
        <f t="shared" si="3"/>
        <v>1537</v>
      </c>
      <c r="B256" s="31">
        <v>42255</v>
      </c>
      <c r="C256" s="32" t="s">
        <v>57</v>
      </c>
      <c r="D256" s="32">
        <v>42253</v>
      </c>
      <c r="E256" s="33">
        <v>37</v>
      </c>
      <c r="F256" s="33">
        <v>2015</v>
      </c>
      <c r="G256" s="27">
        <v>201537</v>
      </c>
    </row>
    <row r="257" spans="1:7" x14ac:dyDescent="0.2">
      <c r="A257" s="22" t="str">
        <f t="shared" si="3"/>
        <v>1537</v>
      </c>
      <c r="B257" s="31">
        <v>42256</v>
      </c>
      <c r="C257" s="32" t="s">
        <v>58</v>
      </c>
      <c r="D257" s="32">
        <v>42253</v>
      </c>
      <c r="E257" s="33">
        <v>37</v>
      </c>
      <c r="F257" s="33">
        <v>2015</v>
      </c>
      <c r="G257" s="27">
        <v>201537</v>
      </c>
    </row>
    <row r="258" spans="1:7" x14ac:dyDescent="0.2">
      <c r="A258" s="22" t="str">
        <f t="shared" si="3"/>
        <v>1537</v>
      </c>
      <c r="B258" s="31">
        <v>42257</v>
      </c>
      <c r="C258" s="32" t="s">
        <v>59</v>
      </c>
      <c r="D258" s="32">
        <v>42253</v>
      </c>
      <c r="E258" s="33">
        <v>37</v>
      </c>
      <c r="F258" s="33">
        <v>2015</v>
      </c>
      <c r="G258" s="27">
        <v>201537</v>
      </c>
    </row>
    <row r="259" spans="1:7" x14ac:dyDescent="0.2">
      <c r="A259" s="22" t="str">
        <f t="shared" ref="A259:A322" si="4">RIGHT(G259,4)</f>
        <v>1537</v>
      </c>
      <c r="B259" s="31">
        <v>42258</v>
      </c>
      <c r="C259" s="32" t="s">
        <v>60</v>
      </c>
      <c r="D259" s="32">
        <v>42253</v>
      </c>
      <c r="E259" s="33">
        <v>37</v>
      </c>
      <c r="F259" s="33">
        <v>2015</v>
      </c>
      <c r="G259" s="27">
        <v>201537</v>
      </c>
    </row>
    <row r="260" spans="1:7" x14ac:dyDescent="0.2">
      <c r="A260" s="22" t="str">
        <f t="shared" si="4"/>
        <v>1537</v>
      </c>
      <c r="B260" s="31">
        <v>42259</v>
      </c>
      <c r="C260" s="32" t="s">
        <v>61</v>
      </c>
      <c r="D260" s="32">
        <v>42253</v>
      </c>
      <c r="E260" s="33">
        <v>37</v>
      </c>
      <c r="F260" s="33">
        <v>2015</v>
      </c>
      <c r="G260" s="27">
        <v>201537</v>
      </c>
    </row>
    <row r="261" spans="1:7" x14ac:dyDescent="0.2">
      <c r="A261" s="22" t="str">
        <f t="shared" si="4"/>
        <v>1538</v>
      </c>
      <c r="B261" s="31">
        <v>42260</v>
      </c>
      <c r="C261" s="32" t="s">
        <v>55</v>
      </c>
      <c r="D261" s="32">
        <v>42260</v>
      </c>
      <c r="E261" s="33">
        <v>38</v>
      </c>
      <c r="F261" s="33">
        <v>2015</v>
      </c>
      <c r="G261" s="27">
        <v>201538</v>
      </c>
    </row>
    <row r="262" spans="1:7" x14ac:dyDescent="0.2">
      <c r="A262" s="22" t="str">
        <f t="shared" si="4"/>
        <v>1538</v>
      </c>
      <c r="B262" s="31">
        <v>42261</v>
      </c>
      <c r="C262" s="32" t="s">
        <v>56</v>
      </c>
      <c r="D262" s="32">
        <v>42260</v>
      </c>
      <c r="E262" s="33">
        <v>38</v>
      </c>
      <c r="F262" s="33">
        <v>2015</v>
      </c>
      <c r="G262" s="27">
        <v>201538</v>
      </c>
    </row>
    <row r="263" spans="1:7" x14ac:dyDescent="0.2">
      <c r="A263" s="22" t="str">
        <f t="shared" si="4"/>
        <v>1538</v>
      </c>
      <c r="B263" s="31">
        <v>42262</v>
      </c>
      <c r="C263" s="32" t="s">
        <v>57</v>
      </c>
      <c r="D263" s="32">
        <v>42260</v>
      </c>
      <c r="E263" s="33">
        <v>38</v>
      </c>
      <c r="F263" s="33">
        <v>2015</v>
      </c>
      <c r="G263" s="27">
        <v>201538</v>
      </c>
    </row>
    <row r="264" spans="1:7" x14ac:dyDescent="0.2">
      <c r="A264" s="22" t="str">
        <f t="shared" si="4"/>
        <v>1538</v>
      </c>
      <c r="B264" s="31">
        <v>42263</v>
      </c>
      <c r="C264" s="32" t="s">
        <v>58</v>
      </c>
      <c r="D264" s="32">
        <v>42260</v>
      </c>
      <c r="E264" s="33">
        <v>38</v>
      </c>
      <c r="F264" s="33">
        <v>2015</v>
      </c>
      <c r="G264" s="27">
        <v>201538</v>
      </c>
    </row>
    <row r="265" spans="1:7" x14ac:dyDescent="0.2">
      <c r="A265" s="22" t="str">
        <f t="shared" si="4"/>
        <v>1538</v>
      </c>
      <c r="B265" s="31">
        <v>42264</v>
      </c>
      <c r="C265" s="32" t="s">
        <v>59</v>
      </c>
      <c r="D265" s="32">
        <v>42260</v>
      </c>
      <c r="E265" s="33">
        <v>38</v>
      </c>
      <c r="F265" s="33">
        <v>2015</v>
      </c>
      <c r="G265" s="27">
        <v>201538</v>
      </c>
    </row>
    <row r="266" spans="1:7" x14ac:dyDescent="0.2">
      <c r="A266" s="22" t="str">
        <f t="shared" si="4"/>
        <v>1538</v>
      </c>
      <c r="B266" s="31">
        <v>42265</v>
      </c>
      <c r="C266" s="32" t="s">
        <v>60</v>
      </c>
      <c r="D266" s="32">
        <v>42260</v>
      </c>
      <c r="E266" s="33">
        <v>38</v>
      </c>
      <c r="F266" s="33">
        <v>2015</v>
      </c>
      <c r="G266" s="27">
        <v>201538</v>
      </c>
    </row>
    <row r="267" spans="1:7" x14ac:dyDescent="0.2">
      <c r="A267" s="22" t="str">
        <f t="shared" si="4"/>
        <v>1538</v>
      </c>
      <c r="B267" s="31">
        <v>42266</v>
      </c>
      <c r="C267" s="32" t="s">
        <v>61</v>
      </c>
      <c r="D267" s="32">
        <v>42260</v>
      </c>
      <c r="E267" s="33">
        <v>38</v>
      </c>
      <c r="F267" s="33">
        <v>2015</v>
      </c>
      <c r="G267" s="27">
        <v>201538</v>
      </c>
    </row>
    <row r="268" spans="1:7" x14ac:dyDescent="0.2">
      <c r="A268" s="22" t="str">
        <f t="shared" si="4"/>
        <v>1539</v>
      </c>
      <c r="B268" s="31">
        <v>42267</v>
      </c>
      <c r="C268" s="32" t="s">
        <v>55</v>
      </c>
      <c r="D268" s="32">
        <v>42267</v>
      </c>
      <c r="E268" s="33">
        <v>39</v>
      </c>
      <c r="F268" s="33">
        <v>2015</v>
      </c>
      <c r="G268" s="27">
        <v>201539</v>
      </c>
    </row>
    <row r="269" spans="1:7" x14ac:dyDescent="0.2">
      <c r="A269" s="22" t="str">
        <f t="shared" si="4"/>
        <v>1539</v>
      </c>
      <c r="B269" s="31">
        <v>42268</v>
      </c>
      <c r="C269" s="32" t="s">
        <v>56</v>
      </c>
      <c r="D269" s="32">
        <v>42267</v>
      </c>
      <c r="E269" s="33">
        <v>39</v>
      </c>
      <c r="F269" s="33">
        <v>2015</v>
      </c>
      <c r="G269" s="27">
        <v>201539</v>
      </c>
    </row>
    <row r="270" spans="1:7" x14ac:dyDescent="0.2">
      <c r="A270" s="22" t="str">
        <f t="shared" si="4"/>
        <v>1539</v>
      </c>
      <c r="B270" s="31">
        <v>42269</v>
      </c>
      <c r="C270" s="32" t="s">
        <v>57</v>
      </c>
      <c r="D270" s="32">
        <v>42267</v>
      </c>
      <c r="E270" s="33">
        <v>39</v>
      </c>
      <c r="F270" s="33">
        <v>2015</v>
      </c>
      <c r="G270" s="27">
        <v>201539</v>
      </c>
    </row>
    <row r="271" spans="1:7" x14ac:dyDescent="0.2">
      <c r="A271" s="22" t="str">
        <f t="shared" si="4"/>
        <v>1539</v>
      </c>
      <c r="B271" s="31">
        <v>42270</v>
      </c>
      <c r="C271" s="32" t="s">
        <v>58</v>
      </c>
      <c r="D271" s="32">
        <v>42267</v>
      </c>
      <c r="E271" s="33">
        <v>39</v>
      </c>
      <c r="F271" s="33">
        <v>2015</v>
      </c>
      <c r="G271" s="27">
        <v>201539</v>
      </c>
    </row>
    <row r="272" spans="1:7" x14ac:dyDescent="0.2">
      <c r="A272" s="22" t="str">
        <f t="shared" si="4"/>
        <v>1539</v>
      </c>
      <c r="B272" s="31">
        <v>42271</v>
      </c>
      <c r="C272" s="32" t="s">
        <v>59</v>
      </c>
      <c r="D272" s="32">
        <v>42267</v>
      </c>
      <c r="E272" s="33">
        <v>39</v>
      </c>
      <c r="F272" s="33">
        <v>2015</v>
      </c>
      <c r="G272" s="27">
        <v>201539</v>
      </c>
    </row>
    <row r="273" spans="1:7" x14ac:dyDescent="0.2">
      <c r="A273" s="22" t="str">
        <f t="shared" si="4"/>
        <v>1539</v>
      </c>
      <c r="B273" s="31">
        <v>42272</v>
      </c>
      <c r="C273" s="32" t="s">
        <v>60</v>
      </c>
      <c r="D273" s="32">
        <v>42267</v>
      </c>
      <c r="E273" s="33">
        <v>39</v>
      </c>
      <c r="F273" s="33">
        <v>2015</v>
      </c>
      <c r="G273" s="27">
        <v>201539</v>
      </c>
    </row>
    <row r="274" spans="1:7" x14ac:dyDescent="0.2">
      <c r="A274" s="22" t="str">
        <f t="shared" si="4"/>
        <v>1539</v>
      </c>
      <c r="B274" s="31">
        <v>42273</v>
      </c>
      <c r="C274" s="32" t="s">
        <v>61</v>
      </c>
      <c r="D274" s="32">
        <v>42267</v>
      </c>
      <c r="E274" s="33">
        <v>39</v>
      </c>
      <c r="F274" s="33">
        <v>2015</v>
      </c>
      <c r="G274" s="27">
        <v>201539</v>
      </c>
    </row>
    <row r="275" spans="1:7" x14ac:dyDescent="0.2">
      <c r="A275" s="22" t="str">
        <f t="shared" si="4"/>
        <v>1540</v>
      </c>
      <c r="B275" s="31">
        <v>42274</v>
      </c>
      <c r="C275" s="32" t="s">
        <v>55</v>
      </c>
      <c r="D275" s="32">
        <v>42274</v>
      </c>
      <c r="E275" s="33">
        <v>40</v>
      </c>
      <c r="F275" s="33">
        <v>2015</v>
      </c>
      <c r="G275" s="27">
        <v>201540</v>
      </c>
    </row>
    <row r="276" spans="1:7" x14ac:dyDescent="0.2">
      <c r="A276" s="22" t="str">
        <f t="shared" si="4"/>
        <v>1540</v>
      </c>
      <c r="B276" s="31">
        <v>42275</v>
      </c>
      <c r="C276" s="32" t="s">
        <v>56</v>
      </c>
      <c r="D276" s="32">
        <v>42274</v>
      </c>
      <c r="E276" s="33">
        <v>40</v>
      </c>
      <c r="F276" s="33">
        <v>2015</v>
      </c>
      <c r="G276" s="27">
        <v>201540</v>
      </c>
    </row>
    <row r="277" spans="1:7" x14ac:dyDescent="0.2">
      <c r="A277" s="22" t="str">
        <f t="shared" si="4"/>
        <v>1540</v>
      </c>
      <c r="B277" s="31">
        <v>42276</v>
      </c>
      <c r="C277" s="32" t="s">
        <v>57</v>
      </c>
      <c r="D277" s="32">
        <v>42274</v>
      </c>
      <c r="E277" s="33">
        <v>40</v>
      </c>
      <c r="F277" s="33">
        <v>2015</v>
      </c>
      <c r="G277" s="27">
        <v>201540</v>
      </c>
    </row>
    <row r="278" spans="1:7" x14ac:dyDescent="0.2">
      <c r="A278" s="22" t="str">
        <f t="shared" si="4"/>
        <v>1540</v>
      </c>
      <c r="B278" s="31">
        <v>42277</v>
      </c>
      <c r="C278" s="32" t="s">
        <v>58</v>
      </c>
      <c r="D278" s="32">
        <v>42274</v>
      </c>
      <c r="E278" s="33">
        <v>40</v>
      </c>
      <c r="F278" s="33">
        <v>2015</v>
      </c>
      <c r="G278" s="27">
        <v>201540</v>
      </c>
    </row>
    <row r="279" spans="1:7" x14ac:dyDescent="0.2">
      <c r="A279" s="22" t="str">
        <f t="shared" si="4"/>
        <v>1540</v>
      </c>
      <c r="B279" s="31">
        <v>42278</v>
      </c>
      <c r="C279" s="32" t="s">
        <v>59</v>
      </c>
      <c r="D279" s="32">
        <v>42274</v>
      </c>
      <c r="E279" s="33">
        <v>40</v>
      </c>
      <c r="F279" s="33">
        <v>2015</v>
      </c>
      <c r="G279" s="27">
        <v>201540</v>
      </c>
    </row>
    <row r="280" spans="1:7" x14ac:dyDescent="0.2">
      <c r="A280" s="22" t="str">
        <f t="shared" si="4"/>
        <v>1540</v>
      </c>
      <c r="B280" s="31">
        <v>42279</v>
      </c>
      <c r="C280" s="32" t="s">
        <v>60</v>
      </c>
      <c r="D280" s="32">
        <v>42274</v>
      </c>
      <c r="E280" s="33">
        <v>40</v>
      </c>
      <c r="F280" s="33">
        <v>2015</v>
      </c>
      <c r="G280" s="27">
        <v>201540</v>
      </c>
    </row>
    <row r="281" spans="1:7" x14ac:dyDescent="0.2">
      <c r="A281" s="22" t="str">
        <f t="shared" si="4"/>
        <v>1540</v>
      </c>
      <c r="B281" s="31">
        <v>42280</v>
      </c>
      <c r="C281" s="32" t="s">
        <v>61</v>
      </c>
      <c r="D281" s="32">
        <v>42274</v>
      </c>
      <c r="E281" s="33">
        <v>40</v>
      </c>
      <c r="F281" s="33">
        <v>2015</v>
      </c>
      <c r="G281" s="27">
        <v>201540</v>
      </c>
    </row>
    <row r="282" spans="1:7" x14ac:dyDescent="0.2">
      <c r="A282" s="22" t="str">
        <f t="shared" si="4"/>
        <v>1541</v>
      </c>
      <c r="B282" s="31">
        <v>42281</v>
      </c>
      <c r="C282" s="32" t="s">
        <v>55</v>
      </c>
      <c r="D282" s="32">
        <v>42281</v>
      </c>
      <c r="E282" s="33">
        <v>41</v>
      </c>
      <c r="F282" s="33">
        <v>2015</v>
      </c>
      <c r="G282" s="27">
        <v>201541</v>
      </c>
    </row>
    <row r="283" spans="1:7" x14ac:dyDescent="0.2">
      <c r="A283" s="22" t="str">
        <f t="shared" si="4"/>
        <v>1541</v>
      </c>
      <c r="B283" s="31">
        <v>42282</v>
      </c>
      <c r="C283" s="32" t="s">
        <v>56</v>
      </c>
      <c r="D283" s="32">
        <v>42281</v>
      </c>
      <c r="E283" s="33">
        <v>41</v>
      </c>
      <c r="F283" s="33">
        <v>2015</v>
      </c>
      <c r="G283" s="27">
        <v>201541</v>
      </c>
    </row>
    <row r="284" spans="1:7" x14ac:dyDescent="0.2">
      <c r="A284" s="22" t="str">
        <f t="shared" si="4"/>
        <v>1541</v>
      </c>
      <c r="B284" s="31">
        <v>42283</v>
      </c>
      <c r="C284" s="32" t="s">
        <v>57</v>
      </c>
      <c r="D284" s="32">
        <v>42281</v>
      </c>
      <c r="E284" s="33">
        <v>41</v>
      </c>
      <c r="F284" s="33">
        <v>2015</v>
      </c>
      <c r="G284" s="27">
        <v>201541</v>
      </c>
    </row>
    <row r="285" spans="1:7" x14ac:dyDescent="0.2">
      <c r="A285" s="22" t="str">
        <f t="shared" si="4"/>
        <v>1541</v>
      </c>
      <c r="B285" s="31">
        <v>42284</v>
      </c>
      <c r="C285" s="32" t="s">
        <v>58</v>
      </c>
      <c r="D285" s="32">
        <v>42281</v>
      </c>
      <c r="E285" s="33">
        <v>41</v>
      </c>
      <c r="F285" s="33">
        <v>2015</v>
      </c>
      <c r="G285" s="27">
        <v>201541</v>
      </c>
    </row>
    <row r="286" spans="1:7" x14ac:dyDescent="0.2">
      <c r="A286" s="22" t="str">
        <f t="shared" si="4"/>
        <v>1541</v>
      </c>
      <c r="B286" s="31">
        <v>42285</v>
      </c>
      <c r="C286" s="32" t="s">
        <v>59</v>
      </c>
      <c r="D286" s="32">
        <v>42281</v>
      </c>
      <c r="E286" s="33">
        <v>41</v>
      </c>
      <c r="F286" s="33">
        <v>2015</v>
      </c>
      <c r="G286" s="27">
        <v>201541</v>
      </c>
    </row>
    <row r="287" spans="1:7" x14ac:dyDescent="0.2">
      <c r="A287" s="22" t="str">
        <f t="shared" si="4"/>
        <v>1541</v>
      </c>
      <c r="B287" s="31">
        <v>42286</v>
      </c>
      <c r="C287" s="32" t="s">
        <v>60</v>
      </c>
      <c r="D287" s="32">
        <v>42281</v>
      </c>
      <c r="E287" s="33">
        <v>41</v>
      </c>
      <c r="F287" s="33">
        <v>2015</v>
      </c>
      <c r="G287" s="27">
        <v>201541</v>
      </c>
    </row>
    <row r="288" spans="1:7" x14ac:dyDescent="0.2">
      <c r="A288" s="22" t="str">
        <f t="shared" si="4"/>
        <v>1541</v>
      </c>
      <c r="B288" s="31">
        <v>42287</v>
      </c>
      <c r="C288" s="32" t="s">
        <v>61</v>
      </c>
      <c r="D288" s="32">
        <v>42281</v>
      </c>
      <c r="E288" s="33">
        <v>41</v>
      </c>
      <c r="F288" s="33">
        <v>2015</v>
      </c>
      <c r="G288" s="27">
        <v>201541</v>
      </c>
    </row>
    <row r="289" spans="1:7" x14ac:dyDescent="0.2">
      <c r="A289" s="22" t="str">
        <f t="shared" si="4"/>
        <v>1542</v>
      </c>
      <c r="B289" s="31">
        <v>42288</v>
      </c>
      <c r="C289" s="32" t="s">
        <v>55</v>
      </c>
      <c r="D289" s="32">
        <v>42288</v>
      </c>
      <c r="E289" s="33">
        <v>42</v>
      </c>
      <c r="F289" s="33">
        <v>2015</v>
      </c>
      <c r="G289" s="27">
        <v>201542</v>
      </c>
    </row>
    <row r="290" spans="1:7" x14ac:dyDescent="0.2">
      <c r="A290" s="22" t="str">
        <f t="shared" si="4"/>
        <v>1542</v>
      </c>
      <c r="B290" s="31">
        <v>42289</v>
      </c>
      <c r="C290" s="32" t="s">
        <v>56</v>
      </c>
      <c r="D290" s="32">
        <v>42288</v>
      </c>
      <c r="E290" s="33">
        <v>42</v>
      </c>
      <c r="F290" s="33">
        <v>2015</v>
      </c>
      <c r="G290" s="27">
        <v>201542</v>
      </c>
    </row>
    <row r="291" spans="1:7" x14ac:dyDescent="0.2">
      <c r="A291" s="22" t="str">
        <f t="shared" si="4"/>
        <v>1542</v>
      </c>
      <c r="B291" s="31">
        <v>42290</v>
      </c>
      <c r="C291" s="32" t="s">
        <v>57</v>
      </c>
      <c r="D291" s="32">
        <v>42288</v>
      </c>
      <c r="E291" s="33">
        <v>42</v>
      </c>
      <c r="F291" s="33">
        <v>2015</v>
      </c>
      <c r="G291" s="27">
        <v>201542</v>
      </c>
    </row>
    <row r="292" spans="1:7" x14ac:dyDescent="0.2">
      <c r="A292" s="22" t="str">
        <f t="shared" si="4"/>
        <v>1542</v>
      </c>
      <c r="B292" s="31">
        <v>42291</v>
      </c>
      <c r="C292" s="32" t="s">
        <v>58</v>
      </c>
      <c r="D292" s="32">
        <v>42288</v>
      </c>
      <c r="E292" s="33">
        <v>42</v>
      </c>
      <c r="F292" s="33">
        <v>2015</v>
      </c>
      <c r="G292" s="27">
        <v>201542</v>
      </c>
    </row>
    <row r="293" spans="1:7" x14ac:dyDescent="0.2">
      <c r="A293" s="22" t="str">
        <f t="shared" si="4"/>
        <v>1542</v>
      </c>
      <c r="B293" s="31">
        <v>42292</v>
      </c>
      <c r="C293" s="32" t="s">
        <v>59</v>
      </c>
      <c r="D293" s="32">
        <v>42288</v>
      </c>
      <c r="E293" s="33">
        <v>42</v>
      </c>
      <c r="F293" s="33">
        <v>2015</v>
      </c>
      <c r="G293" s="27">
        <v>201542</v>
      </c>
    </row>
    <row r="294" spans="1:7" x14ac:dyDescent="0.2">
      <c r="A294" s="22" t="str">
        <f t="shared" si="4"/>
        <v>1542</v>
      </c>
      <c r="B294" s="31">
        <v>42293</v>
      </c>
      <c r="C294" s="32" t="s">
        <v>60</v>
      </c>
      <c r="D294" s="32">
        <v>42288</v>
      </c>
      <c r="E294" s="33">
        <v>42</v>
      </c>
      <c r="F294" s="33">
        <v>2015</v>
      </c>
      <c r="G294" s="27">
        <v>201542</v>
      </c>
    </row>
    <row r="295" spans="1:7" x14ac:dyDescent="0.2">
      <c r="A295" s="22" t="str">
        <f t="shared" si="4"/>
        <v>1542</v>
      </c>
      <c r="B295" s="31">
        <v>42294</v>
      </c>
      <c r="C295" s="32" t="s">
        <v>61</v>
      </c>
      <c r="D295" s="32">
        <v>42288</v>
      </c>
      <c r="E295" s="33">
        <v>42</v>
      </c>
      <c r="F295" s="33">
        <v>2015</v>
      </c>
      <c r="G295" s="27">
        <v>201542</v>
      </c>
    </row>
    <row r="296" spans="1:7" x14ac:dyDescent="0.2">
      <c r="A296" s="22" t="str">
        <f t="shared" si="4"/>
        <v>1543</v>
      </c>
      <c r="B296" s="31">
        <v>42295</v>
      </c>
      <c r="C296" s="32" t="s">
        <v>55</v>
      </c>
      <c r="D296" s="32">
        <v>42295</v>
      </c>
      <c r="E296" s="33">
        <v>43</v>
      </c>
      <c r="F296" s="33">
        <v>2015</v>
      </c>
      <c r="G296" s="27">
        <v>201543</v>
      </c>
    </row>
    <row r="297" spans="1:7" x14ac:dyDescent="0.2">
      <c r="A297" s="22" t="str">
        <f t="shared" si="4"/>
        <v>1543</v>
      </c>
      <c r="B297" s="31">
        <v>42296</v>
      </c>
      <c r="C297" s="32" t="s">
        <v>56</v>
      </c>
      <c r="D297" s="32">
        <v>42295</v>
      </c>
      <c r="E297" s="33">
        <v>43</v>
      </c>
      <c r="F297" s="33">
        <v>2015</v>
      </c>
      <c r="G297" s="27">
        <v>201543</v>
      </c>
    </row>
    <row r="298" spans="1:7" x14ac:dyDescent="0.2">
      <c r="A298" s="22" t="str">
        <f t="shared" si="4"/>
        <v>1543</v>
      </c>
      <c r="B298" s="31">
        <v>42297</v>
      </c>
      <c r="C298" s="32" t="s">
        <v>57</v>
      </c>
      <c r="D298" s="32">
        <v>42295</v>
      </c>
      <c r="E298" s="33">
        <v>43</v>
      </c>
      <c r="F298" s="33">
        <v>2015</v>
      </c>
      <c r="G298" s="27">
        <v>201543</v>
      </c>
    </row>
    <row r="299" spans="1:7" x14ac:dyDescent="0.2">
      <c r="A299" s="22" t="str">
        <f t="shared" si="4"/>
        <v>1543</v>
      </c>
      <c r="B299" s="31">
        <v>42298</v>
      </c>
      <c r="C299" s="32" t="s">
        <v>58</v>
      </c>
      <c r="D299" s="32">
        <v>42295</v>
      </c>
      <c r="E299" s="33">
        <v>43</v>
      </c>
      <c r="F299" s="33">
        <v>2015</v>
      </c>
      <c r="G299" s="27">
        <v>201543</v>
      </c>
    </row>
    <row r="300" spans="1:7" x14ac:dyDescent="0.2">
      <c r="A300" s="22" t="str">
        <f t="shared" si="4"/>
        <v>1543</v>
      </c>
      <c r="B300" s="31">
        <v>42299</v>
      </c>
      <c r="C300" s="32" t="s">
        <v>59</v>
      </c>
      <c r="D300" s="32">
        <v>42295</v>
      </c>
      <c r="E300" s="33">
        <v>43</v>
      </c>
      <c r="F300" s="33">
        <v>2015</v>
      </c>
      <c r="G300" s="27">
        <v>201543</v>
      </c>
    </row>
    <row r="301" spans="1:7" x14ac:dyDescent="0.2">
      <c r="A301" s="22" t="str">
        <f t="shared" si="4"/>
        <v>1543</v>
      </c>
      <c r="B301" s="31">
        <v>42300</v>
      </c>
      <c r="C301" s="32" t="s">
        <v>60</v>
      </c>
      <c r="D301" s="32">
        <v>42295</v>
      </c>
      <c r="E301" s="33">
        <v>43</v>
      </c>
      <c r="F301" s="33">
        <v>2015</v>
      </c>
      <c r="G301" s="27">
        <v>201543</v>
      </c>
    </row>
    <row r="302" spans="1:7" x14ac:dyDescent="0.2">
      <c r="A302" s="22" t="str">
        <f t="shared" si="4"/>
        <v>1543</v>
      </c>
      <c r="B302" s="31">
        <v>42301</v>
      </c>
      <c r="C302" s="32" t="s">
        <v>61</v>
      </c>
      <c r="D302" s="32">
        <v>42295</v>
      </c>
      <c r="E302" s="33">
        <v>43</v>
      </c>
      <c r="F302" s="33">
        <v>2015</v>
      </c>
      <c r="G302" s="27">
        <v>201543</v>
      </c>
    </row>
    <row r="303" spans="1:7" x14ac:dyDescent="0.2">
      <c r="A303" s="22" t="str">
        <f t="shared" si="4"/>
        <v>1544</v>
      </c>
      <c r="B303" s="31">
        <v>42302</v>
      </c>
      <c r="C303" s="32" t="s">
        <v>55</v>
      </c>
      <c r="D303" s="32">
        <v>42302</v>
      </c>
      <c r="E303" s="33">
        <v>44</v>
      </c>
      <c r="F303" s="33">
        <v>2015</v>
      </c>
      <c r="G303" s="27">
        <v>201544</v>
      </c>
    </row>
    <row r="304" spans="1:7" x14ac:dyDescent="0.2">
      <c r="A304" s="22" t="str">
        <f t="shared" si="4"/>
        <v>1544</v>
      </c>
      <c r="B304" s="31">
        <v>42303</v>
      </c>
      <c r="C304" s="32" t="s">
        <v>56</v>
      </c>
      <c r="D304" s="32">
        <v>42302</v>
      </c>
      <c r="E304" s="33">
        <v>44</v>
      </c>
      <c r="F304" s="33">
        <v>2015</v>
      </c>
      <c r="G304" s="27">
        <v>201544</v>
      </c>
    </row>
    <row r="305" spans="1:7" x14ac:dyDescent="0.2">
      <c r="A305" s="22" t="str">
        <f t="shared" si="4"/>
        <v>1544</v>
      </c>
      <c r="B305" s="31">
        <v>42304</v>
      </c>
      <c r="C305" s="32" t="s">
        <v>57</v>
      </c>
      <c r="D305" s="32">
        <v>42302</v>
      </c>
      <c r="E305" s="33">
        <v>44</v>
      </c>
      <c r="F305" s="33">
        <v>2015</v>
      </c>
      <c r="G305" s="27">
        <v>201544</v>
      </c>
    </row>
    <row r="306" spans="1:7" x14ac:dyDescent="0.2">
      <c r="A306" s="22" t="str">
        <f t="shared" si="4"/>
        <v>1544</v>
      </c>
      <c r="B306" s="31">
        <v>42305</v>
      </c>
      <c r="C306" s="32" t="s">
        <v>58</v>
      </c>
      <c r="D306" s="32">
        <v>42302</v>
      </c>
      <c r="E306" s="33">
        <v>44</v>
      </c>
      <c r="F306" s="33">
        <v>2015</v>
      </c>
      <c r="G306" s="27">
        <v>201544</v>
      </c>
    </row>
    <row r="307" spans="1:7" x14ac:dyDescent="0.2">
      <c r="A307" s="22" t="str">
        <f t="shared" si="4"/>
        <v>1544</v>
      </c>
      <c r="B307" s="31">
        <v>42306</v>
      </c>
      <c r="C307" s="32" t="s">
        <v>59</v>
      </c>
      <c r="D307" s="32">
        <v>42302</v>
      </c>
      <c r="E307" s="33">
        <v>44</v>
      </c>
      <c r="F307" s="33">
        <v>2015</v>
      </c>
      <c r="G307" s="27">
        <v>201544</v>
      </c>
    </row>
    <row r="308" spans="1:7" x14ac:dyDescent="0.2">
      <c r="A308" s="22" t="str">
        <f t="shared" si="4"/>
        <v>1544</v>
      </c>
      <c r="B308" s="31">
        <v>42307</v>
      </c>
      <c r="C308" s="32" t="s">
        <v>60</v>
      </c>
      <c r="D308" s="32">
        <v>42302</v>
      </c>
      <c r="E308" s="33">
        <v>44</v>
      </c>
      <c r="F308" s="33">
        <v>2015</v>
      </c>
      <c r="G308" s="27">
        <v>201544</v>
      </c>
    </row>
    <row r="309" spans="1:7" x14ac:dyDescent="0.2">
      <c r="A309" s="22" t="str">
        <f t="shared" si="4"/>
        <v>1544</v>
      </c>
      <c r="B309" s="31">
        <v>42308</v>
      </c>
      <c r="C309" s="32" t="s">
        <v>61</v>
      </c>
      <c r="D309" s="32">
        <v>42302</v>
      </c>
      <c r="E309" s="33">
        <v>44</v>
      </c>
      <c r="F309" s="33">
        <v>2015</v>
      </c>
      <c r="G309" s="27">
        <v>201544</v>
      </c>
    </row>
    <row r="310" spans="1:7" x14ac:dyDescent="0.2">
      <c r="A310" s="22" t="str">
        <f t="shared" si="4"/>
        <v>1545</v>
      </c>
      <c r="B310" s="31">
        <v>42309</v>
      </c>
      <c r="C310" s="32" t="s">
        <v>55</v>
      </c>
      <c r="D310" s="32">
        <v>42309</v>
      </c>
      <c r="E310" s="33">
        <v>45</v>
      </c>
      <c r="F310" s="33">
        <v>2015</v>
      </c>
      <c r="G310" s="27">
        <v>201545</v>
      </c>
    </row>
    <row r="311" spans="1:7" x14ac:dyDescent="0.2">
      <c r="A311" s="22" t="str">
        <f t="shared" si="4"/>
        <v>1545</v>
      </c>
      <c r="B311" s="31">
        <v>42310</v>
      </c>
      <c r="C311" s="32" t="s">
        <v>56</v>
      </c>
      <c r="D311" s="32">
        <v>42309</v>
      </c>
      <c r="E311" s="33">
        <v>45</v>
      </c>
      <c r="F311" s="33">
        <v>2015</v>
      </c>
      <c r="G311" s="27">
        <v>201545</v>
      </c>
    </row>
    <row r="312" spans="1:7" x14ac:dyDescent="0.2">
      <c r="A312" s="22" t="str">
        <f t="shared" si="4"/>
        <v>1545</v>
      </c>
      <c r="B312" s="31">
        <v>42311</v>
      </c>
      <c r="C312" s="32" t="s">
        <v>57</v>
      </c>
      <c r="D312" s="32">
        <v>42309</v>
      </c>
      <c r="E312" s="33">
        <v>45</v>
      </c>
      <c r="F312" s="33">
        <v>2015</v>
      </c>
      <c r="G312" s="27">
        <v>201545</v>
      </c>
    </row>
    <row r="313" spans="1:7" x14ac:dyDescent="0.2">
      <c r="A313" s="22" t="str">
        <f t="shared" si="4"/>
        <v>1545</v>
      </c>
      <c r="B313" s="31">
        <v>42312</v>
      </c>
      <c r="C313" s="32" t="s">
        <v>58</v>
      </c>
      <c r="D313" s="32">
        <v>42309</v>
      </c>
      <c r="E313" s="33">
        <v>45</v>
      </c>
      <c r="F313" s="33">
        <v>2015</v>
      </c>
      <c r="G313" s="27">
        <v>201545</v>
      </c>
    </row>
    <row r="314" spans="1:7" x14ac:dyDescent="0.2">
      <c r="A314" s="22" t="str">
        <f t="shared" si="4"/>
        <v>1545</v>
      </c>
      <c r="B314" s="31">
        <v>42313</v>
      </c>
      <c r="C314" s="32" t="s">
        <v>59</v>
      </c>
      <c r="D314" s="32">
        <v>42309</v>
      </c>
      <c r="E314" s="33">
        <v>45</v>
      </c>
      <c r="F314" s="33">
        <v>2015</v>
      </c>
      <c r="G314" s="27">
        <v>201545</v>
      </c>
    </row>
    <row r="315" spans="1:7" x14ac:dyDescent="0.2">
      <c r="A315" s="22" t="str">
        <f t="shared" si="4"/>
        <v>1545</v>
      </c>
      <c r="B315" s="31">
        <v>42314</v>
      </c>
      <c r="C315" s="32" t="s">
        <v>60</v>
      </c>
      <c r="D315" s="32">
        <v>42309</v>
      </c>
      <c r="E315" s="33">
        <v>45</v>
      </c>
      <c r="F315" s="33">
        <v>2015</v>
      </c>
      <c r="G315" s="27">
        <v>201545</v>
      </c>
    </row>
    <row r="316" spans="1:7" x14ac:dyDescent="0.2">
      <c r="A316" s="22" t="str">
        <f t="shared" si="4"/>
        <v>1545</v>
      </c>
      <c r="B316" s="31">
        <v>42315</v>
      </c>
      <c r="C316" s="32" t="s">
        <v>61</v>
      </c>
      <c r="D316" s="32">
        <v>42309</v>
      </c>
      <c r="E316" s="33">
        <v>45</v>
      </c>
      <c r="F316" s="33">
        <v>2015</v>
      </c>
      <c r="G316" s="27">
        <v>201545</v>
      </c>
    </row>
    <row r="317" spans="1:7" x14ac:dyDescent="0.2">
      <c r="A317" s="22" t="str">
        <f t="shared" si="4"/>
        <v>1546</v>
      </c>
      <c r="B317" s="31">
        <v>42316</v>
      </c>
      <c r="C317" s="32" t="s">
        <v>55</v>
      </c>
      <c r="D317" s="32">
        <v>42316</v>
      </c>
      <c r="E317" s="33">
        <v>46</v>
      </c>
      <c r="F317" s="33">
        <v>2015</v>
      </c>
      <c r="G317" s="27">
        <v>201546</v>
      </c>
    </row>
    <row r="318" spans="1:7" x14ac:dyDescent="0.2">
      <c r="A318" s="22" t="str">
        <f t="shared" si="4"/>
        <v>1546</v>
      </c>
      <c r="B318" s="31">
        <v>42317</v>
      </c>
      <c r="C318" s="32" t="s">
        <v>56</v>
      </c>
      <c r="D318" s="32">
        <v>42316</v>
      </c>
      <c r="E318" s="33">
        <v>46</v>
      </c>
      <c r="F318" s="33">
        <v>2015</v>
      </c>
      <c r="G318" s="27">
        <v>201546</v>
      </c>
    </row>
    <row r="319" spans="1:7" x14ac:dyDescent="0.2">
      <c r="A319" s="22" t="str">
        <f t="shared" si="4"/>
        <v>1546</v>
      </c>
      <c r="B319" s="31">
        <v>42318</v>
      </c>
      <c r="C319" s="32" t="s">
        <v>57</v>
      </c>
      <c r="D319" s="32">
        <v>42316</v>
      </c>
      <c r="E319" s="33">
        <v>46</v>
      </c>
      <c r="F319" s="33">
        <v>2015</v>
      </c>
      <c r="G319" s="27">
        <v>201546</v>
      </c>
    </row>
    <row r="320" spans="1:7" x14ac:dyDescent="0.2">
      <c r="A320" s="22" t="str">
        <f t="shared" si="4"/>
        <v>1546</v>
      </c>
      <c r="B320" s="31">
        <v>42319</v>
      </c>
      <c r="C320" s="32" t="s">
        <v>58</v>
      </c>
      <c r="D320" s="32">
        <v>42316</v>
      </c>
      <c r="E320" s="33">
        <v>46</v>
      </c>
      <c r="F320" s="33">
        <v>2015</v>
      </c>
      <c r="G320" s="27">
        <v>201546</v>
      </c>
    </row>
    <row r="321" spans="1:7" x14ac:dyDescent="0.2">
      <c r="A321" s="22" t="str">
        <f t="shared" si="4"/>
        <v>1546</v>
      </c>
      <c r="B321" s="31">
        <v>42320</v>
      </c>
      <c r="C321" s="32" t="s">
        <v>59</v>
      </c>
      <c r="D321" s="32">
        <v>42316</v>
      </c>
      <c r="E321" s="33">
        <v>46</v>
      </c>
      <c r="F321" s="33">
        <v>2015</v>
      </c>
      <c r="G321" s="27">
        <v>201546</v>
      </c>
    </row>
    <row r="322" spans="1:7" x14ac:dyDescent="0.2">
      <c r="A322" s="22" t="str">
        <f t="shared" si="4"/>
        <v>1546</v>
      </c>
      <c r="B322" s="31">
        <v>42321</v>
      </c>
      <c r="C322" s="32" t="s">
        <v>60</v>
      </c>
      <c r="D322" s="32">
        <v>42316</v>
      </c>
      <c r="E322" s="33">
        <v>46</v>
      </c>
      <c r="F322" s="33">
        <v>2015</v>
      </c>
      <c r="G322" s="27">
        <v>201546</v>
      </c>
    </row>
    <row r="323" spans="1:7" x14ac:dyDescent="0.2">
      <c r="A323" s="22" t="str">
        <f t="shared" ref="A323:A386" si="5">RIGHT(G323,4)</f>
        <v>1546</v>
      </c>
      <c r="B323" s="31">
        <v>42322</v>
      </c>
      <c r="C323" s="32" t="s">
        <v>61</v>
      </c>
      <c r="D323" s="32">
        <v>42316</v>
      </c>
      <c r="E323" s="33">
        <v>46</v>
      </c>
      <c r="F323" s="33">
        <v>2015</v>
      </c>
      <c r="G323" s="27">
        <v>201546</v>
      </c>
    </row>
    <row r="324" spans="1:7" x14ac:dyDescent="0.2">
      <c r="A324" s="22" t="str">
        <f t="shared" si="5"/>
        <v>1547</v>
      </c>
      <c r="B324" s="31">
        <v>42323</v>
      </c>
      <c r="C324" s="32" t="s">
        <v>55</v>
      </c>
      <c r="D324" s="32">
        <v>42323</v>
      </c>
      <c r="E324" s="33">
        <v>47</v>
      </c>
      <c r="F324" s="33">
        <v>2015</v>
      </c>
      <c r="G324" s="27">
        <v>201547</v>
      </c>
    </row>
    <row r="325" spans="1:7" x14ac:dyDescent="0.2">
      <c r="A325" s="22" t="str">
        <f t="shared" si="5"/>
        <v>1547</v>
      </c>
      <c r="B325" s="31">
        <v>42324</v>
      </c>
      <c r="C325" s="32" t="s">
        <v>56</v>
      </c>
      <c r="D325" s="32">
        <v>42323</v>
      </c>
      <c r="E325" s="33">
        <v>47</v>
      </c>
      <c r="F325" s="33">
        <v>2015</v>
      </c>
      <c r="G325" s="27">
        <v>201547</v>
      </c>
    </row>
    <row r="326" spans="1:7" x14ac:dyDescent="0.2">
      <c r="A326" s="22" t="str">
        <f t="shared" si="5"/>
        <v>1547</v>
      </c>
      <c r="B326" s="31">
        <v>42325</v>
      </c>
      <c r="C326" s="32" t="s">
        <v>57</v>
      </c>
      <c r="D326" s="32">
        <v>42323</v>
      </c>
      <c r="E326" s="33">
        <v>47</v>
      </c>
      <c r="F326" s="33">
        <v>2015</v>
      </c>
      <c r="G326" s="27">
        <v>201547</v>
      </c>
    </row>
    <row r="327" spans="1:7" x14ac:dyDescent="0.2">
      <c r="A327" s="22" t="str">
        <f t="shared" si="5"/>
        <v>1547</v>
      </c>
      <c r="B327" s="31">
        <v>42326</v>
      </c>
      <c r="C327" s="32" t="s">
        <v>58</v>
      </c>
      <c r="D327" s="32">
        <v>42323</v>
      </c>
      <c r="E327" s="33">
        <v>47</v>
      </c>
      <c r="F327" s="33">
        <v>2015</v>
      </c>
      <c r="G327" s="27">
        <v>201547</v>
      </c>
    </row>
    <row r="328" spans="1:7" x14ac:dyDescent="0.2">
      <c r="A328" s="22" t="str">
        <f t="shared" si="5"/>
        <v>1547</v>
      </c>
      <c r="B328" s="31">
        <v>42327</v>
      </c>
      <c r="C328" s="32" t="s">
        <v>59</v>
      </c>
      <c r="D328" s="32">
        <v>42323</v>
      </c>
      <c r="E328" s="33">
        <v>47</v>
      </c>
      <c r="F328" s="33">
        <v>2015</v>
      </c>
      <c r="G328" s="27">
        <v>201547</v>
      </c>
    </row>
    <row r="329" spans="1:7" x14ac:dyDescent="0.2">
      <c r="A329" s="22" t="str">
        <f t="shared" si="5"/>
        <v>1547</v>
      </c>
      <c r="B329" s="31">
        <v>42328</v>
      </c>
      <c r="C329" s="32" t="s">
        <v>60</v>
      </c>
      <c r="D329" s="32">
        <v>42323</v>
      </c>
      <c r="E329" s="33">
        <v>47</v>
      </c>
      <c r="F329" s="33">
        <v>2015</v>
      </c>
      <c r="G329" s="27">
        <v>201547</v>
      </c>
    </row>
    <row r="330" spans="1:7" x14ac:dyDescent="0.2">
      <c r="A330" s="22" t="str">
        <f t="shared" si="5"/>
        <v>1547</v>
      </c>
      <c r="B330" s="31">
        <v>42329</v>
      </c>
      <c r="C330" s="32" t="s">
        <v>61</v>
      </c>
      <c r="D330" s="32">
        <v>42323</v>
      </c>
      <c r="E330" s="33">
        <v>47</v>
      </c>
      <c r="F330" s="33">
        <v>2015</v>
      </c>
      <c r="G330" s="27">
        <v>201547</v>
      </c>
    </row>
    <row r="331" spans="1:7" x14ac:dyDescent="0.2">
      <c r="A331" s="22" t="str">
        <f t="shared" si="5"/>
        <v>1548</v>
      </c>
      <c r="B331" s="31">
        <v>42330</v>
      </c>
      <c r="C331" s="32" t="s">
        <v>55</v>
      </c>
      <c r="D331" s="32">
        <v>42330</v>
      </c>
      <c r="E331" s="33">
        <v>48</v>
      </c>
      <c r="F331" s="33">
        <v>2015</v>
      </c>
      <c r="G331" s="27">
        <v>201548</v>
      </c>
    </row>
    <row r="332" spans="1:7" x14ac:dyDescent="0.2">
      <c r="A332" s="22" t="str">
        <f t="shared" si="5"/>
        <v>1548</v>
      </c>
      <c r="B332" s="31">
        <v>42331</v>
      </c>
      <c r="C332" s="32" t="s">
        <v>56</v>
      </c>
      <c r="D332" s="32">
        <v>42330</v>
      </c>
      <c r="E332" s="33">
        <v>48</v>
      </c>
      <c r="F332" s="33">
        <v>2015</v>
      </c>
      <c r="G332" s="27">
        <v>201548</v>
      </c>
    </row>
    <row r="333" spans="1:7" x14ac:dyDescent="0.2">
      <c r="A333" s="22" t="str">
        <f t="shared" si="5"/>
        <v>1548</v>
      </c>
      <c r="B333" s="31">
        <v>42332</v>
      </c>
      <c r="C333" s="32" t="s">
        <v>57</v>
      </c>
      <c r="D333" s="32">
        <v>42330</v>
      </c>
      <c r="E333" s="33">
        <v>48</v>
      </c>
      <c r="F333" s="33">
        <v>2015</v>
      </c>
      <c r="G333" s="27">
        <v>201548</v>
      </c>
    </row>
    <row r="334" spans="1:7" x14ac:dyDescent="0.2">
      <c r="A334" s="22" t="str">
        <f t="shared" si="5"/>
        <v>1548</v>
      </c>
      <c r="B334" s="31">
        <v>42333</v>
      </c>
      <c r="C334" s="32" t="s">
        <v>58</v>
      </c>
      <c r="D334" s="32">
        <v>42330</v>
      </c>
      <c r="E334" s="33">
        <v>48</v>
      </c>
      <c r="F334" s="33">
        <v>2015</v>
      </c>
      <c r="G334" s="27">
        <v>201548</v>
      </c>
    </row>
    <row r="335" spans="1:7" x14ac:dyDescent="0.2">
      <c r="A335" s="22" t="str">
        <f t="shared" si="5"/>
        <v>1548</v>
      </c>
      <c r="B335" s="31">
        <v>42334</v>
      </c>
      <c r="C335" s="32" t="s">
        <v>59</v>
      </c>
      <c r="D335" s="32">
        <v>42330</v>
      </c>
      <c r="E335" s="33">
        <v>48</v>
      </c>
      <c r="F335" s="33">
        <v>2015</v>
      </c>
      <c r="G335" s="27">
        <v>201548</v>
      </c>
    </row>
    <row r="336" spans="1:7" x14ac:dyDescent="0.2">
      <c r="A336" s="22" t="str">
        <f t="shared" si="5"/>
        <v>1548</v>
      </c>
      <c r="B336" s="31">
        <v>42335</v>
      </c>
      <c r="C336" s="32" t="s">
        <v>60</v>
      </c>
      <c r="D336" s="32">
        <v>42330</v>
      </c>
      <c r="E336" s="33">
        <v>48</v>
      </c>
      <c r="F336" s="33">
        <v>2015</v>
      </c>
      <c r="G336" s="27">
        <v>201548</v>
      </c>
    </row>
    <row r="337" spans="1:7" x14ac:dyDescent="0.2">
      <c r="A337" s="22" t="str">
        <f t="shared" si="5"/>
        <v>1548</v>
      </c>
      <c r="B337" s="31">
        <v>42336</v>
      </c>
      <c r="C337" s="32" t="s">
        <v>61</v>
      </c>
      <c r="D337" s="32">
        <v>42330</v>
      </c>
      <c r="E337" s="33">
        <v>48</v>
      </c>
      <c r="F337" s="33">
        <v>2015</v>
      </c>
      <c r="G337" s="27">
        <v>201548</v>
      </c>
    </row>
    <row r="338" spans="1:7" x14ac:dyDescent="0.2">
      <c r="A338" s="22" t="str">
        <f t="shared" si="5"/>
        <v>1549</v>
      </c>
      <c r="B338" s="31">
        <v>42337</v>
      </c>
      <c r="C338" s="32" t="s">
        <v>55</v>
      </c>
      <c r="D338" s="32">
        <v>42337</v>
      </c>
      <c r="E338" s="33">
        <v>49</v>
      </c>
      <c r="F338" s="33">
        <v>2015</v>
      </c>
      <c r="G338" s="27">
        <v>201549</v>
      </c>
    </row>
    <row r="339" spans="1:7" x14ac:dyDescent="0.2">
      <c r="A339" s="22" t="str">
        <f t="shared" si="5"/>
        <v>1549</v>
      </c>
      <c r="B339" s="31">
        <v>42338</v>
      </c>
      <c r="C339" s="32" t="s">
        <v>56</v>
      </c>
      <c r="D339" s="32">
        <v>42337</v>
      </c>
      <c r="E339" s="33">
        <v>49</v>
      </c>
      <c r="F339" s="33">
        <v>2015</v>
      </c>
      <c r="G339" s="27">
        <v>201549</v>
      </c>
    </row>
    <row r="340" spans="1:7" x14ac:dyDescent="0.2">
      <c r="A340" s="22" t="str">
        <f t="shared" si="5"/>
        <v>1549</v>
      </c>
      <c r="B340" s="31">
        <v>42339</v>
      </c>
      <c r="C340" s="32" t="s">
        <v>57</v>
      </c>
      <c r="D340" s="32">
        <v>42337</v>
      </c>
      <c r="E340" s="33">
        <v>49</v>
      </c>
      <c r="F340" s="33">
        <v>2015</v>
      </c>
      <c r="G340" s="27">
        <v>201549</v>
      </c>
    </row>
    <row r="341" spans="1:7" x14ac:dyDescent="0.2">
      <c r="A341" s="22" t="str">
        <f t="shared" si="5"/>
        <v>1549</v>
      </c>
      <c r="B341" s="31">
        <v>42340</v>
      </c>
      <c r="C341" s="32" t="s">
        <v>58</v>
      </c>
      <c r="D341" s="32">
        <v>42337</v>
      </c>
      <c r="E341" s="33">
        <v>49</v>
      </c>
      <c r="F341" s="33">
        <v>2015</v>
      </c>
      <c r="G341" s="27">
        <v>201549</v>
      </c>
    </row>
    <row r="342" spans="1:7" x14ac:dyDescent="0.2">
      <c r="A342" s="22" t="str">
        <f t="shared" si="5"/>
        <v>1549</v>
      </c>
      <c r="B342" s="31">
        <v>42341</v>
      </c>
      <c r="C342" s="32" t="s">
        <v>59</v>
      </c>
      <c r="D342" s="32">
        <v>42337</v>
      </c>
      <c r="E342" s="33">
        <v>49</v>
      </c>
      <c r="F342" s="33">
        <v>2015</v>
      </c>
      <c r="G342" s="27">
        <v>201549</v>
      </c>
    </row>
    <row r="343" spans="1:7" x14ac:dyDescent="0.2">
      <c r="A343" s="22" t="str">
        <f t="shared" si="5"/>
        <v>1549</v>
      </c>
      <c r="B343" s="31">
        <v>42342</v>
      </c>
      <c r="C343" s="32" t="s">
        <v>60</v>
      </c>
      <c r="D343" s="32">
        <v>42337</v>
      </c>
      <c r="E343" s="33">
        <v>49</v>
      </c>
      <c r="F343" s="33">
        <v>2015</v>
      </c>
      <c r="G343" s="27">
        <v>201549</v>
      </c>
    </row>
    <row r="344" spans="1:7" x14ac:dyDescent="0.2">
      <c r="A344" s="22" t="str">
        <f t="shared" si="5"/>
        <v>1549</v>
      </c>
      <c r="B344" s="31">
        <v>42343</v>
      </c>
      <c r="C344" s="32" t="s">
        <v>61</v>
      </c>
      <c r="D344" s="32">
        <v>42337</v>
      </c>
      <c r="E344" s="33">
        <v>49</v>
      </c>
      <c r="F344" s="33">
        <v>2015</v>
      </c>
      <c r="G344" s="27">
        <v>201549</v>
      </c>
    </row>
    <row r="345" spans="1:7" x14ac:dyDescent="0.2">
      <c r="A345" s="22" t="str">
        <f t="shared" si="5"/>
        <v>1550</v>
      </c>
      <c r="B345" s="31">
        <v>42344</v>
      </c>
      <c r="C345" s="32" t="s">
        <v>55</v>
      </c>
      <c r="D345" s="32">
        <v>42344</v>
      </c>
      <c r="E345" s="33">
        <v>50</v>
      </c>
      <c r="F345" s="33">
        <v>2015</v>
      </c>
      <c r="G345" s="27">
        <v>201550</v>
      </c>
    </row>
    <row r="346" spans="1:7" x14ac:dyDescent="0.2">
      <c r="A346" s="22" t="str">
        <f t="shared" si="5"/>
        <v>1550</v>
      </c>
      <c r="B346" s="31">
        <v>42345</v>
      </c>
      <c r="C346" s="32" t="s">
        <v>56</v>
      </c>
      <c r="D346" s="32">
        <v>42344</v>
      </c>
      <c r="E346" s="33">
        <v>50</v>
      </c>
      <c r="F346" s="33">
        <v>2015</v>
      </c>
      <c r="G346" s="27">
        <v>201550</v>
      </c>
    </row>
    <row r="347" spans="1:7" x14ac:dyDescent="0.2">
      <c r="A347" s="22" t="str">
        <f t="shared" si="5"/>
        <v>1550</v>
      </c>
      <c r="B347" s="31">
        <v>42346</v>
      </c>
      <c r="C347" s="32" t="s">
        <v>57</v>
      </c>
      <c r="D347" s="32">
        <v>42344</v>
      </c>
      <c r="E347" s="33">
        <v>50</v>
      </c>
      <c r="F347" s="33">
        <v>2015</v>
      </c>
      <c r="G347" s="27">
        <v>201550</v>
      </c>
    </row>
    <row r="348" spans="1:7" x14ac:dyDescent="0.2">
      <c r="A348" s="22" t="str">
        <f t="shared" si="5"/>
        <v>1550</v>
      </c>
      <c r="B348" s="31">
        <v>42347</v>
      </c>
      <c r="C348" s="32" t="s">
        <v>58</v>
      </c>
      <c r="D348" s="32">
        <v>42344</v>
      </c>
      <c r="E348" s="33">
        <v>50</v>
      </c>
      <c r="F348" s="33">
        <v>2015</v>
      </c>
      <c r="G348" s="27">
        <v>201550</v>
      </c>
    </row>
    <row r="349" spans="1:7" x14ac:dyDescent="0.2">
      <c r="A349" s="22" t="str">
        <f t="shared" si="5"/>
        <v>1550</v>
      </c>
      <c r="B349" s="31">
        <v>42348</v>
      </c>
      <c r="C349" s="32" t="s">
        <v>59</v>
      </c>
      <c r="D349" s="32">
        <v>42344</v>
      </c>
      <c r="E349" s="33">
        <v>50</v>
      </c>
      <c r="F349" s="33">
        <v>2015</v>
      </c>
      <c r="G349" s="27">
        <v>201550</v>
      </c>
    </row>
    <row r="350" spans="1:7" x14ac:dyDescent="0.2">
      <c r="A350" s="22" t="str">
        <f t="shared" si="5"/>
        <v>1550</v>
      </c>
      <c r="B350" s="31">
        <v>42349</v>
      </c>
      <c r="C350" s="32" t="s">
        <v>60</v>
      </c>
      <c r="D350" s="32">
        <v>42344</v>
      </c>
      <c r="E350" s="33">
        <v>50</v>
      </c>
      <c r="F350" s="33">
        <v>2015</v>
      </c>
      <c r="G350" s="27">
        <v>201550</v>
      </c>
    </row>
    <row r="351" spans="1:7" x14ac:dyDescent="0.2">
      <c r="A351" s="22" t="str">
        <f t="shared" si="5"/>
        <v>1550</v>
      </c>
      <c r="B351" s="31">
        <v>42350</v>
      </c>
      <c r="C351" s="32" t="s">
        <v>61</v>
      </c>
      <c r="D351" s="32">
        <v>42344</v>
      </c>
      <c r="E351" s="33">
        <v>50</v>
      </c>
      <c r="F351" s="33">
        <v>2015</v>
      </c>
      <c r="G351" s="27">
        <v>201550</v>
      </c>
    </row>
    <row r="352" spans="1:7" x14ac:dyDescent="0.2">
      <c r="A352" s="22" t="str">
        <f t="shared" si="5"/>
        <v>1551</v>
      </c>
      <c r="B352" s="31">
        <v>42351</v>
      </c>
      <c r="C352" s="32" t="s">
        <v>55</v>
      </c>
      <c r="D352" s="32">
        <v>42351</v>
      </c>
      <c r="E352" s="33">
        <v>51</v>
      </c>
      <c r="F352" s="33">
        <v>2015</v>
      </c>
      <c r="G352" s="27">
        <v>201551</v>
      </c>
    </row>
    <row r="353" spans="1:7" x14ac:dyDescent="0.2">
      <c r="A353" s="22" t="str">
        <f t="shared" si="5"/>
        <v>1551</v>
      </c>
      <c r="B353" s="31">
        <v>42352</v>
      </c>
      <c r="C353" s="32" t="s">
        <v>56</v>
      </c>
      <c r="D353" s="32">
        <v>42351</v>
      </c>
      <c r="E353" s="33">
        <v>51</v>
      </c>
      <c r="F353" s="33">
        <v>2015</v>
      </c>
      <c r="G353" s="27">
        <v>201551</v>
      </c>
    </row>
    <row r="354" spans="1:7" x14ac:dyDescent="0.2">
      <c r="A354" s="22" t="str">
        <f t="shared" si="5"/>
        <v>1551</v>
      </c>
      <c r="B354" s="31">
        <v>42353</v>
      </c>
      <c r="C354" s="32" t="s">
        <v>57</v>
      </c>
      <c r="D354" s="32">
        <v>42351</v>
      </c>
      <c r="E354" s="33">
        <v>51</v>
      </c>
      <c r="F354" s="33">
        <v>2015</v>
      </c>
      <c r="G354" s="27">
        <v>201551</v>
      </c>
    </row>
    <row r="355" spans="1:7" x14ac:dyDescent="0.2">
      <c r="A355" s="22" t="str">
        <f t="shared" si="5"/>
        <v>1551</v>
      </c>
      <c r="B355" s="31">
        <v>42354</v>
      </c>
      <c r="C355" s="32" t="s">
        <v>58</v>
      </c>
      <c r="D355" s="32">
        <v>42351</v>
      </c>
      <c r="E355" s="33">
        <v>51</v>
      </c>
      <c r="F355" s="33">
        <v>2015</v>
      </c>
      <c r="G355" s="27">
        <v>201551</v>
      </c>
    </row>
    <row r="356" spans="1:7" x14ac:dyDescent="0.2">
      <c r="A356" s="22" t="str">
        <f t="shared" si="5"/>
        <v>1551</v>
      </c>
      <c r="B356" s="31">
        <v>42355</v>
      </c>
      <c r="C356" s="32" t="s">
        <v>59</v>
      </c>
      <c r="D356" s="32">
        <v>42351</v>
      </c>
      <c r="E356" s="33">
        <v>51</v>
      </c>
      <c r="F356" s="33">
        <v>2015</v>
      </c>
      <c r="G356" s="27">
        <v>201551</v>
      </c>
    </row>
    <row r="357" spans="1:7" x14ac:dyDescent="0.2">
      <c r="A357" s="22" t="str">
        <f t="shared" si="5"/>
        <v>1551</v>
      </c>
      <c r="B357" s="31">
        <v>42356</v>
      </c>
      <c r="C357" s="32" t="s">
        <v>60</v>
      </c>
      <c r="D357" s="32">
        <v>42351</v>
      </c>
      <c r="E357" s="33">
        <v>51</v>
      </c>
      <c r="F357" s="33">
        <v>2015</v>
      </c>
      <c r="G357" s="27">
        <v>201551</v>
      </c>
    </row>
    <row r="358" spans="1:7" x14ac:dyDescent="0.2">
      <c r="A358" s="22" t="str">
        <f t="shared" si="5"/>
        <v>1551</v>
      </c>
      <c r="B358" s="31">
        <v>42357</v>
      </c>
      <c r="C358" s="32" t="s">
        <v>61</v>
      </c>
      <c r="D358" s="32">
        <v>42351</v>
      </c>
      <c r="E358" s="33">
        <v>51</v>
      </c>
      <c r="F358" s="33">
        <v>2015</v>
      </c>
      <c r="G358" s="27">
        <v>201551</v>
      </c>
    </row>
    <row r="359" spans="1:7" x14ac:dyDescent="0.2">
      <c r="A359" s="22" t="str">
        <f t="shared" si="5"/>
        <v>1552</v>
      </c>
      <c r="B359" s="31">
        <v>42358</v>
      </c>
      <c r="C359" s="32" t="s">
        <v>55</v>
      </c>
      <c r="D359" s="32">
        <v>42358</v>
      </c>
      <c r="E359" s="33">
        <v>52</v>
      </c>
      <c r="F359" s="33">
        <v>2015</v>
      </c>
      <c r="G359" s="27">
        <v>201552</v>
      </c>
    </row>
    <row r="360" spans="1:7" x14ac:dyDescent="0.2">
      <c r="A360" s="22" t="str">
        <f t="shared" si="5"/>
        <v>1552</v>
      </c>
      <c r="B360" s="31">
        <v>42359</v>
      </c>
      <c r="C360" s="32" t="s">
        <v>56</v>
      </c>
      <c r="D360" s="32">
        <v>42358</v>
      </c>
      <c r="E360" s="33">
        <v>52</v>
      </c>
      <c r="F360" s="33">
        <v>2015</v>
      </c>
      <c r="G360" s="27">
        <v>201552</v>
      </c>
    </row>
    <row r="361" spans="1:7" x14ac:dyDescent="0.2">
      <c r="A361" s="22" t="str">
        <f t="shared" si="5"/>
        <v>1552</v>
      </c>
      <c r="B361" s="31">
        <v>42360</v>
      </c>
      <c r="C361" s="32" t="s">
        <v>57</v>
      </c>
      <c r="D361" s="32">
        <v>42358</v>
      </c>
      <c r="E361" s="33">
        <v>52</v>
      </c>
      <c r="F361" s="33">
        <v>2015</v>
      </c>
      <c r="G361" s="27">
        <v>201552</v>
      </c>
    </row>
    <row r="362" spans="1:7" x14ac:dyDescent="0.2">
      <c r="A362" s="22" t="str">
        <f t="shared" si="5"/>
        <v>1552</v>
      </c>
      <c r="B362" s="31">
        <v>42361</v>
      </c>
      <c r="C362" s="32" t="s">
        <v>58</v>
      </c>
      <c r="D362" s="32">
        <v>42358</v>
      </c>
      <c r="E362" s="33">
        <v>52</v>
      </c>
      <c r="F362" s="33">
        <v>2015</v>
      </c>
      <c r="G362" s="27">
        <v>201552</v>
      </c>
    </row>
    <row r="363" spans="1:7" x14ac:dyDescent="0.2">
      <c r="A363" s="22" t="str">
        <f t="shared" si="5"/>
        <v>1552</v>
      </c>
      <c r="B363" s="31">
        <v>42362</v>
      </c>
      <c r="C363" s="32" t="s">
        <v>59</v>
      </c>
      <c r="D363" s="32">
        <v>42358</v>
      </c>
      <c r="E363" s="33">
        <v>52</v>
      </c>
      <c r="F363" s="33">
        <v>2015</v>
      </c>
      <c r="G363" s="27">
        <v>201552</v>
      </c>
    </row>
    <row r="364" spans="1:7" x14ac:dyDescent="0.2">
      <c r="A364" s="22" t="str">
        <f t="shared" si="5"/>
        <v>1552</v>
      </c>
      <c r="B364" s="31">
        <v>42363</v>
      </c>
      <c r="C364" s="32" t="s">
        <v>60</v>
      </c>
      <c r="D364" s="32">
        <v>42358</v>
      </c>
      <c r="E364" s="33">
        <v>52</v>
      </c>
      <c r="F364" s="33">
        <v>2015</v>
      </c>
      <c r="G364" s="27">
        <v>201552</v>
      </c>
    </row>
    <row r="365" spans="1:7" x14ac:dyDescent="0.2">
      <c r="A365" s="22" t="str">
        <f t="shared" si="5"/>
        <v>1552</v>
      </c>
      <c r="B365" s="31">
        <v>42364</v>
      </c>
      <c r="C365" s="32" t="s">
        <v>61</v>
      </c>
      <c r="D365" s="32">
        <v>42358</v>
      </c>
      <c r="E365" s="33">
        <v>52</v>
      </c>
      <c r="F365" s="33">
        <v>2015</v>
      </c>
      <c r="G365" s="27">
        <v>201552</v>
      </c>
    </row>
    <row r="366" spans="1:7" x14ac:dyDescent="0.2">
      <c r="A366" s="22" t="str">
        <f t="shared" si="5"/>
        <v>1553</v>
      </c>
      <c r="B366" s="31">
        <v>42365</v>
      </c>
      <c r="C366" s="32" t="s">
        <v>55</v>
      </c>
      <c r="D366" s="32">
        <v>42365</v>
      </c>
      <c r="E366" s="33">
        <v>53</v>
      </c>
      <c r="F366" s="33">
        <v>2015</v>
      </c>
      <c r="G366" s="27">
        <v>201553</v>
      </c>
    </row>
    <row r="367" spans="1:7" x14ac:dyDescent="0.2">
      <c r="A367" s="22" t="str">
        <f t="shared" si="5"/>
        <v>1553</v>
      </c>
      <c r="B367" s="31">
        <v>42366</v>
      </c>
      <c r="C367" s="32" t="s">
        <v>56</v>
      </c>
      <c r="D367" s="32">
        <v>42365</v>
      </c>
      <c r="E367" s="33">
        <v>53</v>
      </c>
      <c r="F367" s="33">
        <v>2015</v>
      </c>
      <c r="G367" s="27">
        <v>201553</v>
      </c>
    </row>
    <row r="368" spans="1:7" x14ac:dyDescent="0.2">
      <c r="A368" s="22" t="str">
        <f t="shared" si="5"/>
        <v>1553</v>
      </c>
      <c r="B368" s="31">
        <v>42367</v>
      </c>
      <c r="C368" s="32" t="s">
        <v>57</v>
      </c>
      <c r="D368" s="32">
        <v>42365</v>
      </c>
      <c r="E368" s="33">
        <v>53</v>
      </c>
      <c r="F368" s="33">
        <v>2015</v>
      </c>
      <c r="G368" s="27">
        <v>201553</v>
      </c>
    </row>
    <row r="369" spans="1:7" x14ac:dyDescent="0.2">
      <c r="A369" s="22" t="str">
        <f t="shared" si="5"/>
        <v>1553</v>
      </c>
      <c r="B369" s="31">
        <v>42368</v>
      </c>
      <c r="C369" s="32" t="s">
        <v>58</v>
      </c>
      <c r="D369" s="32">
        <v>42365</v>
      </c>
      <c r="E369" s="33">
        <v>53</v>
      </c>
      <c r="F369" s="33">
        <v>2015</v>
      </c>
      <c r="G369" s="27">
        <v>201553</v>
      </c>
    </row>
    <row r="370" spans="1:7" x14ac:dyDescent="0.2">
      <c r="A370" s="22" t="str">
        <f t="shared" si="5"/>
        <v>1553</v>
      </c>
      <c r="B370" s="31">
        <v>42369</v>
      </c>
      <c r="C370" s="32" t="s">
        <v>59</v>
      </c>
      <c r="D370" s="32">
        <v>42365</v>
      </c>
      <c r="E370" s="33">
        <v>53</v>
      </c>
      <c r="F370" s="33">
        <v>2015</v>
      </c>
      <c r="G370" s="27">
        <v>201553</v>
      </c>
    </row>
    <row r="371" spans="1:7" x14ac:dyDescent="0.2">
      <c r="A371" s="22" t="str">
        <f t="shared" si="5"/>
        <v>1553</v>
      </c>
      <c r="B371" s="31">
        <v>42370</v>
      </c>
      <c r="C371" s="32" t="s">
        <v>60</v>
      </c>
      <c r="D371" s="32">
        <v>42365</v>
      </c>
      <c r="E371" s="33">
        <v>53</v>
      </c>
      <c r="F371" s="33">
        <v>2015</v>
      </c>
      <c r="G371" s="27">
        <v>201553</v>
      </c>
    </row>
    <row r="372" spans="1:7" x14ac:dyDescent="0.2">
      <c r="A372" s="22" t="str">
        <f t="shared" si="5"/>
        <v>1553</v>
      </c>
      <c r="B372" s="31">
        <v>42371</v>
      </c>
      <c r="C372" s="32" t="s">
        <v>61</v>
      </c>
      <c r="D372" s="32">
        <v>42365</v>
      </c>
      <c r="E372" s="33">
        <v>53</v>
      </c>
      <c r="F372" s="33">
        <v>2015</v>
      </c>
      <c r="G372" s="27">
        <v>201553</v>
      </c>
    </row>
    <row r="373" spans="1:7" x14ac:dyDescent="0.2">
      <c r="A373" s="22" t="str">
        <f t="shared" si="5"/>
        <v>1601</v>
      </c>
      <c r="B373" s="31">
        <v>42372</v>
      </c>
      <c r="C373" s="32" t="s">
        <v>55</v>
      </c>
      <c r="D373" s="32">
        <v>42372</v>
      </c>
      <c r="E373" s="33">
        <v>1</v>
      </c>
      <c r="F373" s="33">
        <v>2016</v>
      </c>
      <c r="G373" s="27">
        <v>201601</v>
      </c>
    </row>
    <row r="374" spans="1:7" x14ac:dyDescent="0.2">
      <c r="A374" s="22" t="str">
        <f t="shared" si="5"/>
        <v>1601</v>
      </c>
      <c r="B374" s="31">
        <v>42373</v>
      </c>
      <c r="C374" s="32" t="s">
        <v>56</v>
      </c>
      <c r="D374" s="32">
        <v>42372</v>
      </c>
      <c r="E374" s="33">
        <v>1</v>
      </c>
      <c r="F374" s="33">
        <v>2016</v>
      </c>
      <c r="G374" s="27">
        <v>201601</v>
      </c>
    </row>
    <row r="375" spans="1:7" x14ac:dyDescent="0.2">
      <c r="A375" s="22" t="str">
        <f t="shared" si="5"/>
        <v>1601</v>
      </c>
      <c r="B375" s="31">
        <v>42374</v>
      </c>
      <c r="C375" s="32" t="s">
        <v>57</v>
      </c>
      <c r="D375" s="32">
        <v>42372</v>
      </c>
      <c r="E375" s="33">
        <v>1</v>
      </c>
      <c r="F375" s="33">
        <v>2016</v>
      </c>
      <c r="G375" s="27">
        <v>201601</v>
      </c>
    </row>
    <row r="376" spans="1:7" x14ac:dyDescent="0.2">
      <c r="A376" s="22" t="str">
        <f t="shared" si="5"/>
        <v>1601</v>
      </c>
      <c r="B376" s="31">
        <v>42375</v>
      </c>
      <c r="C376" s="32" t="s">
        <v>58</v>
      </c>
      <c r="D376" s="32">
        <v>42372</v>
      </c>
      <c r="E376" s="33">
        <v>1</v>
      </c>
      <c r="F376" s="33">
        <v>2016</v>
      </c>
      <c r="G376" s="27">
        <v>201601</v>
      </c>
    </row>
    <row r="377" spans="1:7" x14ac:dyDescent="0.2">
      <c r="A377" s="22" t="str">
        <f t="shared" si="5"/>
        <v>1601</v>
      </c>
      <c r="B377" s="31">
        <v>42376</v>
      </c>
      <c r="C377" s="32" t="s">
        <v>59</v>
      </c>
      <c r="D377" s="32">
        <v>42372</v>
      </c>
      <c r="E377" s="33">
        <v>1</v>
      </c>
      <c r="F377" s="33">
        <v>2016</v>
      </c>
      <c r="G377" s="27">
        <v>201601</v>
      </c>
    </row>
    <row r="378" spans="1:7" x14ac:dyDescent="0.2">
      <c r="A378" s="22" t="str">
        <f t="shared" si="5"/>
        <v>1601</v>
      </c>
      <c r="B378" s="31">
        <v>42377</v>
      </c>
      <c r="C378" s="32" t="s">
        <v>60</v>
      </c>
      <c r="D378" s="32">
        <v>42372</v>
      </c>
      <c r="E378" s="33">
        <v>1</v>
      </c>
      <c r="F378" s="33">
        <v>2016</v>
      </c>
      <c r="G378" s="27">
        <v>201601</v>
      </c>
    </row>
    <row r="379" spans="1:7" x14ac:dyDescent="0.2">
      <c r="A379" s="22" t="str">
        <f t="shared" si="5"/>
        <v>1601</v>
      </c>
      <c r="B379" s="31">
        <v>42378</v>
      </c>
      <c r="C379" s="32" t="s">
        <v>61</v>
      </c>
      <c r="D379" s="32">
        <v>42372</v>
      </c>
      <c r="E379" s="33">
        <v>1</v>
      </c>
      <c r="F379" s="33">
        <v>2016</v>
      </c>
      <c r="G379" s="27">
        <v>201601</v>
      </c>
    </row>
    <row r="380" spans="1:7" x14ac:dyDescent="0.2">
      <c r="A380" s="22" t="str">
        <f t="shared" si="5"/>
        <v>1602</v>
      </c>
      <c r="B380" s="31">
        <v>42379</v>
      </c>
      <c r="C380" s="32" t="s">
        <v>55</v>
      </c>
      <c r="D380" s="32">
        <v>42379</v>
      </c>
      <c r="E380" s="33">
        <v>2</v>
      </c>
      <c r="F380" s="33">
        <v>2016</v>
      </c>
      <c r="G380" s="27">
        <v>201602</v>
      </c>
    </row>
    <row r="381" spans="1:7" x14ac:dyDescent="0.2">
      <c r="A381" s="22" t="str">
        <f t="shared" si="5"/>
        <v>1602</v>
      </c>
      <c r="B381" s="31">
        <v>42380</v>
      </c>
      <c r="C381" s="32" t="s">
        <v>56</v>
      </c>
      <c r="D381" s="32">
        <v>42379</v>
      </c>
      <c r="E381" s="33">
        <v>2</v>
      </c>
      <c r="F381" s="33">
        <v>2016</v>
      </c>
      <c r="G381" s="27">
        <v>201602</v>
      </c>
    </row>
    <row r="382" spans="1:7" x14ac:dyDescent="0.2">
      <c r="A382" s="22" t="str">
        <f t="shared" si="5"/>
        <v>1602</v>
      </c>
      <c r="B382" s="31">
        <v>42381</v>
      </c>
      <c r="C382" s="32" t="s">
        <v>57</v>
      </c>
      <c r="D382" s="32">
        <v>42379</v>
      </c>
      <c r="E382" s="33">
        <v>2</v>
      </c>
      <c r="F382" s="33">
        <v>2016</v>
      </c>
      <c r="G382" s="27">
        <v>201602</v>
      </c>
    </row>
    <row r="383" spans="1:7" x14ac:dyDescent="0.2">
      <c r="A383" s="22" t="str">
        <f t="shared" si="5"/>
        <v>1602</v>
      </c>
      <c r="B383" s="31">
        <v>42382</v>
      </c>
      <c r="C383" s="32" t="s">
        <v>58</v>
      </c>
      <c r="D383" s="32">
        <v>42379</v>
      </c>
      <c r="E383" s="33">
        <v>2</v>
      </c>
      <c r="F383" s="33">
        <v>2016</v>
      </c>
      <c r="G383" s="27">
        <v>201602</v>
      </c>
    </row>
    <row r="384" spans="1:7" x14ac:dyDescent="0.2">
      <c r="A384" s="22" t="str">
        <f t="shared" si="5"/>
        <v>1602</v>
      </c>
      <c r="B384" s="31">
        <v>42383</v>
      </c>
      <c r="C384" s="32" t="s">
        <v>59</v>
      </c>
      <c r="D384" s="32">
        <v>42379</v>
      </c>
      <c r="E384" s="33">
        <v>2</v>
      </c>
      <c r="F384" s="33">
        <v>2016</v>
      </c>
      <c r="G384" s="27">
        <v>201602</v>
      </c>
    </row>
    <row r="385" spans="1:7" x14ac:dyDescent="0.2">
      <c r="A385" s="22" t="str">
        <f t="shared" si="5"/>
        <v>1602</v>
      </c>
      <c r="B385" s="31">
        <v>42384</v>
      </c>
      <c r="C385" s="32" t="s">
        <v>60</v>
      </c>
      <c r="D385" s="32">
        <v>42379</v>
      </c>
      <c r="E385" s="33">
        <v>2</v>
      </c>
      <c r="F385" s="33">
        <v>2016</v>
      </c>
      <c r="G385" s="27">
        <v>201602</v>
      </c>
    </row>
    <row r="386" spans="1:7" x14ac:dyDescent="0.2">
      <c r="A386" s="22" t="str">
        <f t="shared" si="5"/>
        <v>1602</v>
      </c>
      <c r="B386" s="31">
        <v>42385</v>
      </c>
      <c r="C386" s="32" t="s">
        <v>61</v>
      </c>
      <c r="D386" s="32">
        <v>42379</v>
      </c>
      <c r="E386" s="33">
        <v>2</v>
      </c>
      <c r="F386" s="33">
        <v>2016</v>
      </c>
      <c r="G386" s="27">
        <v>201602</v>
      </c>
    </row>
    <row r="387" spans="1:7" x14ac:dyDescent="0.2">
      <c r="A387" s="22" t="str">
        <f t="shared" ref="A387:A450" si="6">RIGHT(G387,4)</f>
        <v>1603</v>
      </c>
      <c r="B387" s="31">
        <v>42386</v>
      </c>
      <c r="C387" s="32" t="s">
        <v>55</v>
      </c>
      <c r="D387" s="32">
        <v>42386</v>
      </c>
      <c r="E387" s="33">
        <v>3</v>
      </c>
      <c r="F387" s="33">
        <v>2016</v>
      </c>
      <c r="G387" s="27">
        <v>201603</v>
      </c>
    </row>
    <row r="388" spans="1:7" x14ac:dyDescent="0.2">
      <c r="A388" s="22" t="str">
        <f t="shared" si="6"/>
        <v>1603</v>
      </c>
      <c r="B388" s="31">
        <v>42387</v>
      </c>
      <c r="C388" s="32" t="s">
        <v>56</v>
      </c>
      <c r="D388" s="32">
        <v>42386</v>
      </c>
      <c r="E388" s="33">
        <v>3</v>
      </c>
      <c r="F388" s="33">
        <v>2016</v>
      </c>
      <c r="G388" s="27">
        <v>201603</v>
      </c>
    </row>
    <row r="389" spans="1:7" x14ac:dyDescent="0.2">
      <c r="A389" s="22" t="str">
        <f t="shared" si="6"/>
        <v>1603</v>
      </c>
      <c r="B389" s="31">
        <v>42388</v>
      </c>
      <c r="C389" s="32" t="s">
        <v>57</v>
      </c>
      <c r="D389" s="32">
        <v>42386</v>
      </c>
      <c r="E389" s="33">
        <v>3</v>
      </c>
      <c r="F389" s="33">
        <v>2016</v>
      </c>
      <c r="G389" s="27">
        <v>201603</v>
      </c>
    </row>
    <row r="390" spans="1:7" x14ac:dyDescent="0.2">
      <c r="A390" s="22" t="str">
        <f t="shared" si="6"/>
        <v>1603</v>
      </c>
      <c r="B390" s="31">
        <v>42389</v>
      </c>
      <c r="C390" s="32" t="s">
        <v>58</v>
      </c>
      <c r="D390" s="32">
        <v>42386</v>
      </c>
      <c r="E390" s="33">
        <v>3</v>
      </c>
      <c r="F390" s="33">
        <v>2016</v>
      </c>
      <c r="G390" s="27">
        <v>201603</v>
      </c>
    </row>
    <row r="391" spans="1:7" x14ac:dyDescent="0.2">
      <c r="A391" s="22" t="str">
        <f t="shared" si="6"/>
        <v>1603</v>
      </c>
      <c r="B391" s="31">
        <v>42390</v>
      </c>
      <c r="C391" s="32" t="s">
        <v>59</v>
      </c>
      <c r="D391" s="32">
        <v>42386</v>
      </c>
      <c r="E391" s="33">
        <v>3</v>
      </c>
      <c r="F391" s="33">
        <v>2016</v>
      </c>
      <c r="G391" s="27">
        <v>201603</v>
      </c>
    </row>
    <row r="392" spans="1:7" x14ac:dyDescent="0.2">
      <c r="A392" s="22" t="str">
        <f t="shared" si="6"/>
        <v>1603</v>
      </c>
      <c r="B392" s="31">
        <v>42391</v>
      </c>
      <c r="C392" s="32" t="s">
        <v>60</v>
      </c>
      <c r="D392" s="32">
        <v>42386</v>
      </c>
      <c r="E392" s="33">
        <v>3</v>
      </c>
      <c r="F392" s="33">
        <v>2016</v>
      </c>
      <c r="G392" s="27">
        <v>201603</v>
      </c>
    </row>
    <row r="393" spans="1:7" x14ac:dyDescent="0.2">
      <c r="A393" s="22" t="str">
        <f t="shared" si="6"/>
        <v>1603</v>
      </c>
      <c r="B393" s="31">
        <v>42392</v>
      </c>
      <c r="C393" s="32" t="s">
        <v>61</v>
      </c>
      <c r="D393" s="32">
        <v>42386</v>
      </c>
      <c r="E393" s="33">
        <v>3</v>
      </c>
      <c r="F393" s="33">
        <v>2016</v>
      </c>
      <c r="G393" s="27">
        <v>201603</v>
      </c>
    </row>
    <row r="394" spans="1:7" x14ac:dyDescent="0.2">
      <c r="A394" s="22" t="str">
        <f t="shared" si="6"/>
        <v>1604</v>
      </c>
      <c r="B394" s="31">
        <v>42393</v>
      </c>
      <c r="C394" s="32" t="s">
        <v>55</v>
      </c>
      <c r="D394" s="32">
        <v>42393</v>
      </c>
      <c r="E394" s="33">
        <v>4</v>
      </c>
      <c r="F394" s="33">
        <v>2016</v>
      </c>
      <c r="G394" s="27">
        <v>201604</v>
      </c>
    </row>
    <row r="395" spans="1:7" x14ac:dyDescent="0.2">
      <c r="A395" s="22" t="str">
        <f t="shared" si="6"/>
        <v>1604</v>
      </c>
      <c r="B395" s="31">
        <v>42394</v>
      </c>
      <c r="C395" s="32" t="s">
        <v>56</v>
      </c>
      <c r="D395" s="32">
        <v>42393</v>
      </c>
      <c r="E395" s="33">
        <v>4</v>
      </c>
      <c r="F395" s="33">
        <v>2016</v>
      </c>
      <c r="G395" s="27">
        <v>201604</v>
      </c>
    </row>
    <row r="396" spans="1:7" x14ac:dyDescent="0.2">
      <c r="A396" s="22" t="str">
        <f t="shared" si="6"/>
        <v>1604</v>
      </c>
      <c r="B396" s="31">
        <v>42395</v>
      </c>
      <c r="C396" s="32" t="s">
        <v>57</v>
      </c>
      <c r="D396" s="32">
        <v>42393</v>
      </c>
      <c r="E396" s="33">
        <v>4</v>
      </c>
      <c r="F396" s="33">
        <v>2016</v>
      </c>
      <c r="G396" s="27">
        <v>201604</v>
      </c>
    </row>
    <row r="397" spans="1:7" x14ac:dyDescent="0.2">
      <c r="A397" s="22" t="str">
        <f t="shared" si="6"/>
        <v>1604</v>
      </c>
      <c r="B397" s="31">
        <v>42396</v>
      </c>
      <c r="C397" s="32" t="s">
        <v>58</v>
      </c>
      <c r="D397" s="32">
        <v>42393</v>
      </c>
      <c r="E397" s="33">
        <v>4</v>
      </c>
      <c r="F397" s="33">
        <v>2016</v>
      </c>
      <c r="G397" s="27">
        <v>201604</v>
      </c>
    </row>
    <row r="398" spans="1:7" x14ac:dyDescent="0.2">
      <c r="A398" s="22" t="str">
        <f t="shared" si="6"/>
        <v>1604</v>
      </c>
      <c r="B398" s="31">
        <v>42397</v>
      </c>
      <c r="C398" s="32" t="s">
        <v>59</v>
      </c>
      <c r="D398" s="32">
        <v>42393</v>
      </c>
      <c r="E398" s="33">
        <v>4</v>
      </c>
      <c r="F398" s="33">
        <v>2016</v>
      </c>
      <c r="G398" s="27">
        <v>201604</v>
      </c>
    </row>
    <row r="399" spans="1:7" x14ac:dyDescent="0.2">
      <c r="A399" s="22" t="str">
        <f t="shared" si="6"/>
        <v>1604</v>
      </c>
      <c r="B399" s="31">
        <v>42398</v>
      </c>
      <c r="C399" s="32" t="s">
        <v>60</v>
      </c>
      <c r="D399" s="32">
        <v>42393</v>
      </c>
      <c r="E399" s="33">
        <v>4</v>
      </c>
      <c r="F399" s="33">
        <v>2016</v>
      </c>
      <c r="G399" s="27">
        <v>201604</v>
      </c>
    </row>
    <row r="400" spans="1:7" x14ac:dyDescent="0.2">
      <c r="A400" s="22" t="str">
        <f t="shared" si="6"/>
        <v>1604</v>
      </c>
      <c r="B400" s="31">
        <v>42399</v>
      </c>
      <c r="C400" s="32" t="s">
        <v>61</v>
      </c>
      <c r="D400" s="32">
        <v>42393</v>
      </c>
      <c r="E400" s="33">
        <v>4</v>
      </c>
      <c r="F400" s="33">
        <v>2016</v>
      </c>
      <c r="G400" s="27">
        <v>201604</v>
      </c>
    </row>
    <row r="401" spans="1:7" x14ac:dyDescent="0.2">
      <c r="A401" s="22" t="str">
        <f t="shared" si="6"/>
        <v>1605</v>
      </c>
      <c r="B401" s="31">
        <v>42400</v>
      </c>
      <c r="C401" s="32" t="s">
        <v>55</v>
      </c>
      <c r="D401" s="32">
        <v>42400</v>
      </c>
      <c r="E401" s="33">
        <v>5</v>
      </c>
      <c r="F401" s="33">
        <v>2016</v>
      </c>
      <c r="G401" s="27">
        <v>201605</v>
      </c>
    </row>
    <row r="402" spans="1:7" x14ac:dyDescent="0.2">
      <c r="A402" s="22" t="str">
        <f t="shared" si="6"/>
        <v>1605</v>
      </c>
      <c r="B402" s="31">
        <v>42401</v>
      </c>
      <c r="C402" s="32" t="s">
        <v>56</v>
      </c>
      <c r="D402" s="32">
        <v>42400</v>
      </c>
      <c r="E402" s="33">
        <v>5</v>
      </c>
      <c r="F402" s="33">
        <v>2016</v>
      </c>
      <c r="G402" s="27">
        <v>201605</v>
      </c>
    </row>
    <row r="403" spans="1:7" x14ac:dyDescent="0.2">
      <c r="A403" s="22" t="str">
        <f t="shared" si="6"/>
        <v>1605</v>
      </c>
      <c r="B403" s="31">
        <v>42402</v>
      </c>
      <c r="C403" s="32" t="s">
        <v>57</v>
      </c>
      <c r="D403" s="32">
        <v>42400</v>
      </c>
      <c r="E403" s="33">
        <v>5</v>
      </c>
      <c r="F403" s="33">
        <v>2016</v>
      </c>
      <c r="G403" s="27">
        <v>201605</v>
      </c>
    </row>
    <row r="404" spans="1:7" x14ac:dyDescent="0.2">
      <c r="A404" s="22" t="str">
        <f t="shared" si="6"/>
        <v>1605</v>
      </c>
      <c r="B404" s="31">
        <v>42403</v>
      </c>
      <c r="C404" s="32" t="s">
        <v>58</v>
      </c>
      <c r="D404" s="32">
        <v>42400</v>
      </c>
      <c r="E404" s="33">
        <v>5</v>
      </c>
      <c r="F404" s="33">
        <v>2016</v>
      </c>
      <c r="G404" s="27">
        <v>201605</v>
      </c>
    </row>
    <row r="405" spans="1:7" x14ac:dyDescent="0.2">
      <c r="A405" s="22" t="str">
        <f t="shared" si="6"/>
        <v>1605</v>
      </c>
      <c r="B405" s="31">
        <v>42404</v>
      </c>
      <c r="C405" s="32" t="s">
        <v>59</v>
      </c>
      <c r="D405" s="32">
        <v>42400</v>
      </c>
      <c r="E405" s="33">
        <v>5</v>
      </c>
      <c r="F405" s="33">
        <v>2016</v>
      </c>
      <c r="G405" s="27">
        <v>201605</v>
      </c>
    </row>
    <row r="406" spans="1:7" x14ac:dyDescent="0.2">
      <c r="A406" s="22" t="str">
        <f t="shared" si="6"/>
        <v>1605</v>
      </c>
      <c r="B406" s="31">
        <v>42405</v>
      </c>
      <c r="C406" s="32" t="s">
        <v>60</v>
      </c>
      <c r="D406" s="32">
        <v>42400</v>
      </c>
      <c r="E406" s="33">
        <v>5</v>
      </c>
      <c r="F406" s="33">
        <v>2016</v>
      </c>
      <c r="G406" s="27">
        <v>201605</v>
      </c>
    </row>
    <row r="407" spans="1:7" x14ac:dyDescent="0.2">
      <c r="A407" s="22" t="str">
        <f t="shared" si="6"/>
        <v>1605</v>
      </c>
      <c r="B407" s="31">
        <v>42406</v>
      </c>
      <c r="C407" s="32" t="s">
        <v>61</v>
      </c>
      <c r="D407" s="32">
        <v>42400</v>
      </c>
      <c r="E407" s="33">
        <v>5</v>
      </c>
      <c r="F407" s="33">
        <v>2016</v>
      </c>
      <c r="G407" s="27">
        <v>201605</v>
      </c>
    </row>
    <row r="408" spans="1:7" x14ac:dyDescent="0.2">
      <c r="A408" s="22" t="str">
        <f t="shared" si="6"/>
        <v>1606</v>
      </c>
      <c r="B408" s="31">
        <v>42407</v>
      </c>
      <c r="C408" s="32" t="s">
        <v>55</v>
      </c>
      <c r="D408" s="32">
        <v>42407</v>
      </c>
      <c r="E408" s="33">
        <v>6</v>
      </c>
      <c r="F408" s="33">
        <v>2016</v>
      </c>
      <c r="G408" s="27">
        <v>201606</v>
      </c>
    </row>
    <row r="409" spans="1:7" x14ac:dyDescent="0.2">
      <c r="A409" s="22" t="str">
        <f t="shared" si="6"/>
        <v>1606</v>
      </c>
      <c r="B409" s="31">
        <v>42408</v>
      </c>
      <c r="C409" s="32" t="s">
        <v>56</v>
      </c>
      <c r="D409" s="32">
        <v>42407</v>
      </c>
      <c r="E409" s="33">
        <v>6</v>
      </c>
      <c r="F409" s="33">
        <v>2016</v>
      </c>
      <c r="G409" s="27">
        <v>201606</v>
      </c>
    </row>
    <row r="410" spans="1:7" x14ac:dyDescent="0.2">
      <c r="A410" s="22" t="str">
        <f t="shared" si="6"/>
        <v>1606</v>
      </c>
      <c r="B410" s="31">
        <v>42409</v>
      </c>
      <c r="C410" s="32" t="s">
        <v>57</v>
      </c>
      <c r="D410" s="32">
        <v>42407</v>
      </c>
      <c r="E410" s="33">
        <v>6</v>
      </c>
      <c r="F410" s="33">
        <v>2016</v>
      </c>
      <c r="G410" s="27">
        <v>201606</v>
      </c>
    </row>
    <row r="411" spans="1:7" x14ac:dyDescent="0.2">
      <c r="A411" s="22" t="str">
        <f t="shared" si="6"/>
        <v>1606</v>
      </c>
      <c r="B411" s="31">
        <v>42410</v>
      </c>
      <c r="C411" s="32" t="s">
        <v>58</v>
      </c>
      <c r="D411" s="32">
        <v>42407</v>
      </c>
      <c r="E411" s="33">
        <v>6</v>
      </c>
      <c r="F411" s="33">
        <v>2016</v>
      </c>
      <c r="G411" s="27">
        <v>201606</v>
      </c>
    </row>
    <row r="412" spans="1:7" x14ac:dyDescent="0.2">
      <c r="A412" s="22" t="str">
        <f t="shared" si="6"/>
        <v>1606</v>
      </c>
      <c r="B412" s="31">
        <v>42411</v>
      </c>
      <c r="C412" s="32" t="s">
        <v>59</v>
      </c>
      <c r="D412" s="32">
        <v>42407</v>
      </c>
      <c r="E412" s="33">
        <v>6</v>
      </c>
      <c r="F412" s="33">
        <v>2016</v>
      </c>
      <c r="G412" s="27">
        <v>201606</v>
      </c>
    </row>
    <row r="413" spans="1:7" x14ac:dyDescent="0.2">
      <c r="A413" s="22" t="str">
        <f t="shared" si="6"/>
        <v>1606</v>
      </c>
      <c r="B413" s="31">
        <v>42412</v>
      </c>
      <c r="C413" s="32" t="s">
        <v>60</v>
      </c>
      <c r="D413" s="32">
        <v>42407</v>
      </c>
      <c r="E413" s="33">
        <v>6</v>
      </c>
      <c r="F413" s="33">
        <v>2016</v>
      </c>
      <c r="G413" s="27">
        <v>201606</v>
      </c>
    </row>
    <row r="414" spans="1:7" x14ac:dyDescent="0.2">
      <c r="A414" s="22" t="str">
        <f t="shared" si="6"/>
        <v>1606</v>
      </c>
      <c r="B414" s="31">
        <v>42413</v>
      </c>
      <c r="C414" s="32" t="s">
        <v>61</v>
      </c>
      <c r="D414" s="32">
        <v>42407</v>
      </c>
      <c r="E414" s="33">
        <v>6</v>
      </c>
      <c r="F414" s="33">
        <v>2016</v>
      </c>
      <c r="G414" s="27">
        <v>201606</v>
      </c>
    </row>
    <row r="415" spans="1:7" x14ac:dyDescent="0.2">
      <c r="A415" s="22" t="str">
        <f t="shared" si="6"/>
        <v>1607</v>
      </c>
      <c r="B415" s="31">
        <v>42414</v>
      </c>
      <c r="C415" s="32" t="s">
        <v>55</v>
      </c>
      <c r="D415" s="32">
        <v>42414</v>
      </c>
      <c r="E415" s="33">
        <v>7</v>
      </c>
      <c r="F415" s="33">
        <v>2016</v>
      </c>
      <c r="G415" s="27">
        <v>201607</v>
      </c>
    </row>
    <row r="416" spans="1:7" x14ac:dyDescent="0.2">
      <c r="A416" s="22" t="str">
        <f t="shared" si="6"/>
        <v>1607</v>
      </c>
      <c r="B416" s="31">
        <v>42415</v>
      </c>
      <c r="C416" s="32" t="s">
        <v>56</v>
      </c>
      <c r="D416" s="32">
        <v>42414</v>
      </c>
      <c r="E416" s="33">
        <v>7</v>
      </c>
      <c r="F416" s="33">
        <v>2016</v>
      </c>
      <c r="G416" s="27">
        <v>201607</v>
      </c>
    </row>
    <row r="417" spans="1:7" x14ac:dyDescent="0.2">
      <c r="A417" s="22" t="str">
        <f t="shared" si="6"/>
        <v>1607</v>
      </c>
      <c r="B417" s="31">
        <v>42416</v>
      </c>
      <c r="C417" s="32" t="s">
        <v>57</v>
      </c>
      <c r="D417" s="32">
        <v>42414</v>
      </c>
      <c r="E417" s="33">
        <v>7</v>
      </c>
      <c r="F417" s="33">
        <v>2016</v>
      </c>
      <c r="G417" s="27">
        <v>201607</v>
      </c>
    </row>
    <row r="418" spans="1:7" x14ac:dyDescent="0.2">
      <c r="A418" s="22" t="str">
        <f t="shared" si="6"/>
        <v>1607</v>
      </c>
      <c r="B418" s="31">
        <v>42417</v>
      </c>
      <c r="C418" s="32" t="s">
        <v>58</v>
      </c>
      <c r="D418" s="32">
        <v>42414</v>
      </c>
      <c r="E418" s="33">
        <v>7</v>
      </c>
      <c r="F418" s="33">
        <v>2016</v>
      </c>
      <c r="G418" s="27">
        <v>201607</v>
      </c>
    </row>
    <row r="419" spans="1:7" x14ac:dyDescent="0.2">
      <c r="A419" s="22" t="str">
        <f t="shared" si="6"/>
        <v>1607</v>
      </c>
      <c r="B419" s="31">
        <v>42418</v>
      </c>
      <c r="C419" s="32" t="s">
        <v>59</v>
      </c>
      <c r="D419" s="32">
        <v>42414</v>
      </c>
      <c r="E419" s="33">
        <v>7</v>
      </c>
      <c r="F419" s="33">
        <v>2016</v>
      </c>
      <c r="G419" s="27">
        <v>201607</v>
      </c>
    </row>
    <row r="420" spans="1:7" x14ac:dyDescent="0.2">
      <c r="A420" s="22" t="str">
        <f t="shared" si="6"/>
        <v>1607</v>
      </c>
      <c r="B420" s="31">
        <v>42419</v>
      </c>
      <c r="C420" s="32" t="s">
        <v>60</v>
      </c>
      <c r="D420" s="32">
        <v>42414</v>
      </c>
      <c r="E420" s="33">
        <v>7</v>
      </c>
      <c r="F420" s="33">
        <v>2016</v>
      </c>
      <c r="G420" s="27">
        <v>201607</v>
      </c>
    </row>
    <row r="421" spans="1:7" x14ac:dyDescent="0.2">
      <c r="A421" s="22" t="str">
        <f t="shared" si="6"/>
        <v>1607</v>
      </c>
      <c r="B421" s="31">
        <v>42420</v>
      </c>
      <c r="C421" s="32" t="s">
        <v>61</v>
      </c>
      <c r="D421" s="32">
        <v>42414</v>
      </c>
      <c r="E421" s="33">
        <v>7</v>
      </c>
      <c r="F421" s="33">
        <v>2016</v>
      </c>
      <c r="G421" s="27">
        <v>201607</v>
      </c>
    </row>
    <row r="422" spans="1:7" x14ac:dyDescent="0.2">
      <c r="A422" s="22" t="str">
        <f t="shared" si="6"/>
        <v>1608</v>
      </c>
      <c r="B422" s="31">
        <v>42421</v>
      </c>
      <c r="C422" s="32" t="s">
        <v>55</v>
      </c>
      <c r="D422" s="32">
        <v>42421</v>
      </c>
      <c r="E422" s="33">
        <v>8</v>
      </c>
      <c r="F422" s="33">
        <v>2016</v>
      </c>
      <c r="G422" s="27">
        <v>201608</v>
      </c>
    </row>
    <row r="423" spans="1:7" x14ac:dyDescent="0.2">
      <c r="A423" s="22" t="str">
        <f t="shared" si="6"/>
        <v>1608</v>
      </c>
      <c r="B423" s="31">
        <v>42422</v>
      </c>
      <c r="C423" s="32" t="s">
        <v>56</v>
      </c>
      <c r="D423" s="32">
        <v>42421</v>
      </c>
      <c r="E423" s="33">
        <v>8</v>
      </c>
      <c r="F423" s="33">
        <v>2016</v>
      </c>
      <c r="G423" s="27">
        <v>201608</v>
      </c>
    </row>
    <row r="424" spans="1:7" x14ac:dyDescent="0.2">
      <c r="A424" s="22" t="str">
        <f t="shared" si="6"/>
        <v>1608</v>
      </c>
      <c r="B424" s="31">
        <v>42423</v>
      </c>
      <c r="C424" s="32" t="s">
        <v>57</v>
      </c>
      <c r="D424" s="32">
        <v>42421</v>
      </c>
      <c r="E424" s="33">
        <v>8</v>
      </c>
      <c r="F424" s="33">
        <v>2016</v>
      </c>
      <c r="G424" s="27">
        <v>201608</v>
      </c>
    </row>
    <row r="425" spans="1:7" x14ac:dyDescent="0.2">
      <c r="A425" s="22" t="str">
        <f t="shared" si="6"/>
        <v>1608</v>
      </c>
      <c r="B425" s="31">
        <v>42424</v>
      </c>
      <c r="C425" s="32" t="s">
        <v>58</v>
      </c>
      <c r="D425" s="32">
        <v>42421</v>
      </c>
      <c r="E425" s="33">
        <v>8</v>
      </c>
      <c r="F425" s="33">
        <v>2016</v>
      </c>
      <c r="G425" s="27">
        <v>201608</v>
      </c>
    </row>
    <row r="426" spans="1:7" x14ac:dyDescent="0.2">
      <c r="A426" s="22" t="str">
        <f t="shared" si="6"/>
        <v>1608</v>
      </c>
      <c r="B426" s="31">
        <v>42425</v>
      </c>
      <c r="C426" s="32" t="s">
        <v>59</v>
      </c>
      <c r="D426" s="32">
        <v>42421</v>
      </c>
      <c r="E426" s="33">
        <v>8</v>
      </c>
      <c r="F426" s="33">
        <v>2016</v>
      </c>
      <c r="G426" s="27">
        <v>201608</v>
      </c>
    </row>
    <row r="427" spans="1:7" x14ac:dyDescent="0.2">
      <c r="A427" s="22" t="str">
        <f t="shared" si="6"/>
        <v>1608</v>
      </c>
      <c r="B427" s="31">
        <v>42426</v>
      </c>
      <c r="C427" s="32" t="s">
        <v>60</v>
      </c>
      <c r="D427" s="32">
        <v>42421</v>
      </c>
      <c r="E427" s="33">
        <v>8</v>
      </c>
      <c r="F427" s="33">
        <v>2016</v>
      </c>
      <c r="G427" s="27">
        <v>201608</v>
      </c>
    </row>
    <row r="428" spans="1:7" x14ac:dyDescent="0.2">
      <c r="A428" s="22" t="str">
        <f t="shared" si="6"/>
        <v>1608</v>
      </c>
      <c r="B428" s="31">
        <v>42427</v>
      </c>
      <c r="C428" s="32" t="s">
        <v>61</v>
      </c>
      <c r="D428" s="32">
        <v>42421</v>
      </c>
      <c r="E428" s="33">
        <v>8</v>
      </c>
      <c r="F428" s="33">
        <v>2016</v>
      </c>
      <c r="G428" s="27">
        <v>201608</v>
      </c>
    </row>
    <row r="429" spans="1:7" x14ac:dyDescent="0.2">
      <c r="A429" s="22" t="str">
        <f t="shared" si="6"/>
        <v>1609</v>
      </c>
      <c r="B429" s="31">
        <v>42428</v>
      </c>
      <c r="C429" s="32" t="s">
        <v>55</v>
      </c>
      <c r="D429" s="32">
        <v>42428</v>
      </c>
      <c r="E429" s="33">
        <v>9</v>
      </c>
      <c r="F429" s="33">
        <v>2016</v>
      </c>
      <c r="G429" s="27">
        <v>201609</v>
      </c>
    </row>
    <row r="430" spans="1:7" x14ac:dyDescent="0.2">
      <c r="A430" s="22" t="str">
        <f t="shared" si="6"/>
        <v>1609</v>
      </c>
      <c r="B430" s="31">
        <v>42429</v>
      </c>
      <c r="C430" s="32" t="s">
        <v>56</v>
      </c>
      <c r="D430" s="32">
        <v>42428</v>
      </c>
      <c r="E430" s="33">
        <v>9</v>
      </c>
      <c r="F430" s="33">
        <v>2016</v>
      </c>
      <c r="G430" s="27">
        <v>201609</v>
      </c>
    </row>
    <row r="431" spans="1:7" x14ac:dyDescent="0.2">
      <c r="A431" s="22" t="str">
        <f t="shared" si="6"/>
        <v>1609</v>
      </c>
      <c r="B431" s="31">
        <v>42430</v>
      </c>
      <c r="C431" s="32" t="s">
        <v>57</v>
      </c>
      <c r="D431" s="32">
        <v>42428</v>
      </c>
      <c r="E431" s="33">
        <v>9</v>
      </c>
      <c r="F431" s="33">
        <v>2016</v>
      </c>
      <c r="G431" s="27">
        <v>201609</v>
      </c>
    </row>
    <row r="432" spans="1:7" x14ac:dyDescent="0.2">
      <c r="A432" s="22" t="str">
        <f t="shared" si="6"/>
        <v>1609</v>
      </c>
      <c r="B432" s="31">
        <v>42431</v>
      </c>
      <c r="C432" s="32" t="s">
        <v>58</v>
      </c>
      <c r="D432" s="32">
        <v>42428</v>
      </c>
      <c r="E432" s="33">
        <v>9</v>
      </c>
      <c r="F432" s="33">
        <v>2016</v>
      </c>
      <c r="G432" s="27">
        <v>201609</v>
      </c>
    </row>
    <row r="433" spans="1:7" x14ac:dyDescent="0.2">
      <c r="A433" s="22" t="str">
        <f t="shared" si="6"/>
        <v>1609</v>
      </c>
      <c r="B433" s="31">
        <v>42432</v>
      </c>
      <c r="C433" s="32" t="s">
        <v>59</v>
      </c>
      <c r="D433" s="32">
        <v>42428</v>
      </c>
      <c r="E433" s="33">
        <v>9</v>
      </c>
      <c r="F433" s="33">
        <v>2016</v>
      </c>
      <c r="G433" s="27">
        <v>201609</v>
      </c>
    </row>
    <row r="434" spans="1:7" x14ac:dyDescent="0.2">
      <c r="A434" s="22" t="str">
        <f t="shared" si="6"/>
        <v>1609</v>
      </c>
      <c r="B434" s="31">
        <v>42433</v>
      </c>
      <c r="C434" s="32" t="s">
        <v>60</v>
      </c>
      <c r="D434" s="32">
        <v>42428</v>
      </c>
      <c r="E434" s="33">
        <v>9</v>
      </c>
      <c r="F434" s="33">
        <v>2016</v>
      </c>
      <c r="G434" s="27">
        <v>201609</v>
      </c>
    </row>
    <row r="435" spans="1:7" x14ac:dyDescent="0.2">
      <c r="A435" s="22" t="str">
        <f t="shared" si="6"/>
        <v>1609</v>
      </c>
      <c r="B435" s="31">
        <v>42434</v>
      </c>
      <c r="C435" s="32" t="s">
        <v>61</v>
      </c>
      <c r="D435" s="32">
        <v>42428</v>
      </c>
      <c r="E435" s="33">
        <v>9</v>
      </c>
      <c r="F435" s="33">
        <v>2016</v>
      </c>
      <c r="G435" s="27">
        <v>201609</v>
      </c>
    </row>
    <row r="436" spans="1:7" x14ac:dyDescent="0.2">
      <c r="A436" s="22" t="str">
        <f t="shared" si="6"/>
        <v>1610</v>
      </c>
      <c r="B436" s="31">
        <v>42435</v>
      </c>
      <c r="C436" s="32" t="s">
        <v>55</v>
      </c>
      <c r="D436" s="32">
        <v>42435</v>
      </c>
      <c r="E436" s="33">
        <v>10</v>
      </c>
      <c r="F436" s="33">
        <v>2016</v>
      </c>
      <c r="G436" s="27">
        <v>201610</v>
      </c>
    </row>
    <row r="437" spans="1:7" x14ac:dyDescent="0.2">
      <c r="A437" s="22" t="str">
        <f t="shared" si="6"/>
        <v>1610</v>
      </c>
      <c r="B437" s="31">
        <v>42436</v>
      </c>
      <c r="C437" s="32" t="s">
        <v>56</v>
      </c>
      <c r="D437" s="32">
        <v>42435</v>
      </c>
      <c r="E437" s="33">
        <v>10</v>
      </c>
      <c r="F437" s="33">
        <v>2016</v>
      </c>
      <c r="G437" s="27">
        <v>201610</v>
      </c>
    </row>
    <row r="438" spans="1:7" x14ac:dyDescent="0.2">
      <c r="A438" s="22" t="str">
        <f t="shared" si="6"/>
        <v>1610</v>
      </c>
      <c r="B438" s="31">
        <v>42437</v>
      </c>
      <c r="C438" s="32" t="s">
        <v>57</v>
      </c>
      <c r="D438" s="32">
        <v>42435</v>
      </c>
      <c r="E438" s="33">
        <v>10</v>
      </c>
      <c r="F438" s="33">
        <v>2016</v>
      </c>
      <c r="G438" s="27">
        <v>201610</v>
      </c>
    </row>
    <row r="439" spans="1:7" x14ac:dyDescent="0.2">
      <c r="A439" s="22" t="str">
        <f t="shared" si="6"/>
        <v>1610</v>
      </c>
      <c r="B439" s="31">
        <v>42438</v>
      </c>
      <c r="C439" s="32" t="s">
        <v>58</v>
      </c>
      <c r="D439" s="32">
        <v>42435</v>
      </c>
      <c r="E439" s="33">
        <v>10</v>
      </c>
      <c r="F439" s="33">
        <v>2016</v>
      </c>
      <c r="G439" s="27">
        <v>201610</v>
      </c>
    </row>
    <row r="440" spans="1:7" x14ac:dyDescent="0.2">
      <c r="A440" s="22" t="str">
        <f t="shared" si="6"/>
        <v>1610</v>
      </c>
      <c r="B440" s="31">
        <v>42439</v>
      </c>
      <c r="C440" s="32" t="s">
        <v>59</v>
      </c>
      <c r="D440" s="32">
        <v>42435</v>
      </c>
      <c r="E440" s="33">
        <v>10</v>
      </c>
      <c r="F440" s="33">
        <v>2016</v>
      </c>
      <c r="G440" s="27">
        <v>201610</v>
      </c>
    </row>
    <row r="441" spans="1:7" x14ac:dyDescent="0.2">
      <c r="A441" s="22" t="str">
        <f t="shared" si="6"/>
        <v>1610</v>
      </c>
      <c r="B441" s="31">
        <v>42440</v>
      </c>
      <c r="C441" s="32" t="s">
        <v>60</v>
      </c>
      <c r="D441" s="32">
        <v>42435</v>
      </c>
      <c r="E441" s="33">
        <v>10</v>
      </c>
      <c r="F441" s="33">
        <v>2016</v>
      </c>
      <c r="G441" s="27">
        <v>201610</v>
      </c>
    </row>
    <row r="442" spans="1:7" x14ac:dyDescent="0.2">
      <c r="A442" s="22" t="str">
        <f t="shared" si="6"/>
        <v>1610</v>
      </c>
      <c r="B442" s="31">
        <v>42441</v>
      </c>
      <c r="C442" s="32" t="s">
        <v>61</v>
      </c>
      <c r="D442" s="32">
        <v>42435</v>
      </c>
      <c r="E442" s="33">
        <v>10</v>
      </c>
      <c r="F442" s="33">
        <v>2016</v>
      </c>
      <c r="G442" s="27">
        <v>201610</v>
      </c>
    </row>
    <row r="443" spans="1:7" x14ac:dyDescent="0.2">
      <c r="A443" s="22" t="str">
        <f t="shared" si="6"/>
        <v>1611</v>
      </c>
      <c r="B443" s="31">
        <v>42442</v>
      </c>
      <c r="C443" s="32" t="s">
        <v>55</v>
      </c>
      <c r="D443" s="32">
        <v>42442</v>
      </c>
      <c r="E443" s="33">
        <v>11</v>
      </c>
      <c r="F443" s="33">
        <v>2016</v>
      </c>
      <c r="G443" s="27">
        <v>201611</v>
      </c>
    </row>
    <row r="444" spans="1:7" x14ac:dyDescent="0.2">
      <c r="A444" s="22" t="str">
        <f t="shared" si="6"/>
        <v>1611</v>
      </c>
      <c r="B444" s="31">
        <v>42443</v>
      </c>
      <c r="C444" s="32" t="s">
        <v>56</v>
      </c>
      <c r="D444" s="32">
        <v>42442</v>
      </c>
      <c r="E444" s="33">
        <v>11</v>
      </c>
      <c r="F444" s="33">
        <v>2016</v>
      </c>
      <c r="G444" s="27">
        <v>201611</v>
      </c>
    </row>
    <row r="445" spans="1:7" x14ac:dyDescent="0.2">
      <c r="A445" s="22" t="str">
        <f t="shared" si="6"/>
        <v>1611</v>
      </c>
      <c r="B445" s="31">
        <v>42444</v>
      </c>
      <c r="C445" s="32" t="s">
        <v>57</v>
      </c>
      <c r="D445" s="32">
        <v>42442</v>
      </c>
      <c r="E445" s="33">
        <v>11</v>
      </c>
      <c r="F445" s="33">
        <v>2016</v>
      </c>
      <c r="G445" s="27">
        <v>201611</v>
      </c>
    </row>
    <row r="446" spans="1:7" x14ac:dyDescent="0.2">
      <c r="A446" s="22" t="str">
        <f t="shared" si="6"/>
        <v>1611</v>
      </c>
      <c r="B446" s="31">
        <v>42445</v>
      </c>
      <c r="C446" s="32" t="s">
        <v>58</v>
      </c>
      <c r="D446" s="32">
        <v>42442</v>
      </c>
      <c r="E446" s="33">
        <v>11</v>
      </c>
      <c r="F446" s="33">
        <v>2016</v>
      </c>
      <c r="G446" s="27">
        <v>201611</v>
      </c>
    </row>
    <row r="447" spans="1:7" x14ac:dyDescent="0.2">
      <c r="A447" s="22" t="str">
        <f t="shared" si="6"/>
        <v>1611</v>
      </c>
      <c r="B447" s="31">
        <v>42446</v>
      </c>
      <c r="C447" s="32" t="s">
        <v>59</v>
      </c>
      <c r="D447" s="32">
        <v>42442</v>
      </c>
      <c r="E447" s="33">
        <v>11</v>
      </c>
      <c r="F447" s="33">
        <v>2016</v>
      </c>
      <c r="G447" s="27">
        <v>201611</v>
      </c>
    </row>
    <row r="448" spans="1:7" x14ac:dyDescent="0.2">
      <c r="A448" s="22" t="str">
        <f t="shared" si="6"/>
        <v>1611</v>
      </c>
      <c r="B448" s="31">
        <v>42447</v>
      </c>
      <c r="C448" s="32" t="s">
        <v>60</v>
      </c>
      <c r="D448" s="32">
        <v>42442</v>
      </c>
      <c r="E448" s="33">
        <v>11</v>
      </c>
      <c r="F448" s="33">
        <v>2016</v>
      </c>
      <c r="G448" s="27">
        <v>201611</v>
      </c>
    </row>
    <row r="449" spans="1:7" x14ac:dyDescent="0.2">
      <c r="A449" s="22" t="str">
        <f t="shared" si="6"/>
        <v>1611</v>
      </c>
      <c r="B449" s="31">
        <v>42448</v>
      </c>
      <c r="C449" s="32" t="s">
        <v>61</v>
      </c>
      <c r="D449" s="32">
        <v>42442</v>
      </c>
      <c r="E449" s="33">
        <v>11</v>
      </c>
      <c r="F449" s="33">
        <v>2016</v>
      </c>
      <c r="G449" s="27">
        <v>201611</v>
      </c>
    </row>
    <row r="450" spans="1:7" x14ac:dyDescent="0.2">
      <c r="A450" s="22" t="str">
        <f t="shared" si="6"/>
        <v>1612</v>
      </c>
      <c r="B450" s="31">
        <v>42449</v>
      </c>
      <c r="C450" s="32" t="s">
        <v>55</v>
      </c>
      <c r="D450" s="32">
        <v>42449</v>
      </c>
      <c r="E450" s="33">
        <v>12</v>
      </c>
      <c r="F450" s="33">
        <v>2016</v>
      </c>
      <c r="G450" s="27">
        <v>201612</v>
      </c>
    </row>
    <row r="451" spans="1:7" x14ac:dyDescent="0.2">
      <c r="A451" s="22" t="str">
        <f t="shared" ref="A451:A514" si="7">RIGHT(G451,4)</f>
        <v>1612</v>
      </c>
      <c r="B451" s="31">
        <v>42450</v>
      </c>
      <c r="C451" s="32" t="s">
        <v>56</v>
      </c>
      <c r="D451" s="32">
        <v>42449</v>
      </c>
      <c r="E451" s="33">
        <v>12</v>
      </c>
      <c r="F451" s="33">
        <v>2016</v>
      </c>
      <c r="G451" s="27">
        <v>201612</v>
      </c>
    </row>
    <row r="452" spans="1:7" x14ac:dyDescent="0.2">
      <c r="A452" s="22" t="str">
        <f t="shared" si="7"/>
        <v>1612</v>
      </c>
      <c r="B452" s="31">
        <v>42451</v>
      </c>
      <c r="C452" s="32" t="s">
        <v>57</v>
      </c>
      <c r="D452" s="32">
        <v>42449</v>
      </c>
      <c r="E452" s="33">
        <v>12</v>
      </c>
      <c r="F452" s="33">
        <v>2016</v>
      </c>
      <c r="G452" s="27">
        <v>201612</v>
      </c>
    </row>
    <row r="453" spans="1:7" x14ac:dyDescent="0.2">
      <c r="A453" s="22" t="str">
        <f t="shared" si="7"/>
        <v>1612</v>
      </c>
      <c r="B453" s="31">
        <v>42452</v>
      </c>
      <c r="C453" s="32" t="s">
        <v>58</v>
      </c>
      <c r="D453" s="32">
        <v>42449</v>
      </c>
      <c r="E453" s="33">
        <v>12</v>
      </c>
      <c r="F453" s="33">
        <v>2016</v>
      </c>
      <c r="G453" s="27">
        <v>201612</v>
      </c>
    </row>
    <row r="454" spans="1:7" x14ac:dyDescent="0.2">
      <c r="A454" s="22" t="str">
        <f t="shared" si="7"/>
        <v>1612</v>
      </c>
      <c r="B454" s="31">
        <v>42453</v>
      </c>
      <c r="C454" s="32" t="s">
        <v>59</v>
      </c>
      <c r="D454" s="32">
        <v>42449</v>
      </c>
      <c r="E454" s="33">
        <v>12</v>
      </c>
      <c r="F454" s="33">
        <v>2016</v>
      </c>
      <c r="G454" s="27">
        <v>201612</v>
      </c>
    </row>
    <row r="455" spans="1:7" x14ac:dyDescent="0.2">
      <c r="A455" s="22" t="str">
        <f t="shared" si="7"/>
        <v>1612</v>
      </c>
      <c r="B455" s="31">
        <v>42454</v>
      </c>
      <c r="C455" s="32" t="s">
        <v>60</v>
      </c>
      <c r="D455" s="32">
        <v>42449</v>
      </c>
      <c r="E455" s="33">
        <v>12</v>
      </c>
      <c r="F455" s="33">
        <v>2016</v>
      </c>
      <c r="G455" s="27">
        <v>201612</v>
      </c>
    </row>
    <row r="456" spans="1:7" x14ac:dyDescent="0.2">
      <c r="A456" s="22" t="str">
        <f t="shared" si="7"/>
        <v>1612</v>
      </c>
      <c r="B456" s="31">
        <v>42455</v>
      </c>
      <c r="C456" s="32" t="s">
        <v>61</v>
      </c>
      <c r="D456" s="32">
        <v>42449</v>
      </c>
      <c r="E456" s="33">
        <v>12</v>
      </c>
      <c r="F456" s="33">
        <v>2016</v>
      </c>
      <c r="G456" s="27">
        <v>201612</v>
      </c>
    </row>
    <row r="457" spans="1:7" x14ac:dyDescent="0.2">
      <c r="A457" s="22" t="str">
        <f t="shared" si="7"/>
        <v>1613</v>
      </c>
      <c r="B457" s="31">
        <v>42456</v>
      </c>
      <c r="C457" s="32" t="s">
        <v>55</v>
      </c>
      <c r="D457" s="32">
        <v>42456</v>
      </c>
      <c r="E457" s="33">
        <v>13</v>
      </c>
      <c r="F457" s="33">
        <v>2016</v>
      </c>
      <c r="G457" s="27">
        <v>201613</v>
      </c>
    </row>
    <row r="458" spans="1:7" x14ac:dyDescent="0.2">
      <c r="A458" s="22" t="str">
        <f t="shared" si="7"/>
        <v>1613</v>
      </c>
      <c r="B458" s="31">
        <v>42457</v>
      </c>
      <c r="C458" s="32" t="s">
        <v>56</v>
      </c>
      <c r="D458" s="32">
        <v>42456</v>
      </c>
      <c r="E458" s="33">
        <v>13</v>
      </c>
      <c r="F458" s="33">
        <v>2016</v>
      </c>
      <c r="G458" s="27">
        <v>201613</v>
      </c>
    </row>
    <row r="459" spans="1:7" x14ac:dyDescent="0.2">
      <c r="A459" s="22" t="str">
        <f t="shared" si="7"/>
        <v>1613</v>
      </c>
      <c r="B459" s="31">
        <v>42458</v>
      </c>
      <c r="C459" s="32" t="s">
        <v>57</v>
      </c>
      <c r="D459" s="32">
        <v>42456</v>
      </c>
      <c r="E459" s="33">
        <v>13</v>
      </c>
      <c r="F459" s="33">
        <v>2016</v>
      </c>
      <c r="G459" s="27">
        <v>201613</v>
      </c>
    </row>
    <row r="460" spans="1:7" x14ac:dyDescent="0.2">
      <c r="A460" s="22" t="str">
        <f t="shared" si="7"/>
        <v>1613</v>
      </c>
      <c r="B460" s="31">
        <v>42459</v>
      </c>
      <c r="C460" s="32" t="s">
        <v>58</v>
      </c>
      <c r="D460" s="32">
        <v>42456</v>
      </c>
      <c r="E460" s="33">
        <v>13</v>
      </c>
      <c r="F460" s="33">
        <v>2016</v>
      </c>
      <c r="G460" s="27">
        <v>201613</v>
      </c>
    </row>
    <row r="461" spans="1:7" x14ac:dyDescent="0.2">
      <c r="A461" s="22" t="str">
        <f t="shared" si="7"/>
        <v>1613</v>
      </c>
      <c r="B461" s="31">
        <v>42460</v>
      </c>
      <c r="C461" s="32" t="s">
        <v>59</v>
      </c>
      <c r="D461" s="32">
        <v>42456</v>
      </c>
      <c r="E461" s="33">
        <v>13</v>
      </c>
      <c r="F461" s="33">
        <v>2016</v>
      </c>
      <c r="G461" s="27">
        <v>201613</v>
      </c>
    </row>
    <row r="462" spans="1:7" x14ac:dyDescent="0.2">
      <c r="A462" s="22" t="str">
        <f t="shared" si="7"/>
        <v>1613</v>
      </c>
      <c r="B462" s="31">
        <v>42461</v>
      </c>
      <c r="C462" s="32" t="s">
        <v>60</v>
      </c>
      <c r="D462" s="32">
        <v>42456</v>
      </c>
      <c r="E462" s="33">
        <v>13</v>
      </c>
      <c r="F462" s="33">
        <v>2016</v>
      </c>
      <c r="G462" s="27">
        <v>201613</v>
      </c>
    </row>
    <row r="463" spans="1:7" x14ac:dyDescent="0.2">
      <c r="A463" s="22" t="str">
        <f t="shared" si="7"/>
        <v>1613</v>
      </c>
      <c r="B463" s="31">
        <v>42462</v>
      </c>
      <c r="C463" s="32" t="s">
        <v>61</v>
      </c>
      <c r="D463" s="32">
        <v>42456</v>
      </c>
      <c r="E463" s="33">
        <v>13</v>
      </c>
      <c r="F463" s="33">
        <v>2016</v>
      </c>
      <c r="G463" s="27">
        <v>201613</v>
      </c>
    </row>
    <row r="464" spans="1:7" x14ac:dyDescent="0.2">
      <c r="A464" s="22" t="str">
        <f t="shared" si="7"/>
        <v>1614</v>
      </c>
      <c r="B464" s="31">
        <v>42463</v>
      </c>
      <c r="C464" s="32" t="s">
        <v>55</v>
      </c>
      <c r="D464" s="32">
        <v>42463</v>
      </c>
      <c r="E464" s="33">
        <v>14</v>
      </c>
      <c r="F464" s="33">
        <v>2016</v>
      </c>
      <c r="G464" s="27">
        <v>201614</v>
      </c>
    </row>
    <row r="465" spans="1:7" x14ac:dyDescent="0.2">
      <c r="A465" s="22" t="str">
        <f t="shared" si="7"/>
        <v>1614</v>
      </c>
      <c r="B465" s="31">
        <v>42464</v>
      </c>
      <c r="C465" s="32" t="s">
        <v>56</v>
      </c>
      <c r="D465" s="32">
        <v>42463</v>
      </c>
      <c r="E465" s="33">
        <v>14</v>
      </c>
      <c r="F465" s="33">
        <v>2016</v>
      </c>
      <c r="G465" s="27">
        <v>201614</v>
      </c>
    </row>
    <row r="466" spans="1:7" x14ac:dyDescent="0.2">
      <c r="A466" s="22" t="str">
        <f t="shared" si="7"/>
        <v>1614</v>
      </c>
      <c r="B466" s="31">
        <v>42465</v>
      </c>
      <c r="C466" s="32" t="s">
        <v>57</v>
      </c>
      <c r="D466" s="32">
        <v>42463</v>
      </c>
      <c r="E466" s="33">
        <v>14</v>
      </c>
      <c r="F466" s="33">
        <v>2016</v>
      </c>
      <c r="G466" s="27">
        <v>201614</v>
      </c>
    </row>
    <row r="467" spans="1:7" x14ac:dyDescent="0.2">
      <c r="A467" s="22" t="str">
        <f t="shared" si="7"/>
        <v>1614</v>
      </c>
      <c r="B467" s="31">
        <v>42466</v>
      </c>
      <c r="C467" s="32" t="s">
        <v>58</v>
      </c>
      <c r="D467" s="32">
        <v>42463</v>
      </c>
      <c r="E467" s="33">
        <v>14</v>
      </c>
      <c r="F467" s="33">
        <v>2016</v>
      </c>
      <c r="G467" s="27">
        <v>201614</v>
      </c>
    </row>
    <row r="468" spans="1:7" x14ac:dyDescent="0.2">
      <c r="A468" s="22" t="str">
        <f t="shared" si="7"/>
        <v>1614</v>
      </c>
      <c r="B468" s="31">
        <v>42467</v>
      </c>
      <c r="C468" s="32" t="s">
        <v>59</v>
      </c>
      <c r="D468" s="32">
        <v>42463</v>
      </c>
      <c r="E468" s="33">
        <v>14</v>
      </c>
      <c r="F468" s="33">
        <v>2016</v>
      </c>
      <c r="G468" s="27">
        <v>201614</v>
      </c>
    </row>
    <row r="469" spans="1:7" x14ac:dyDescent="0.2">
      <c r="A469" s="22" t="str">
        <f t="shared" si="7"/>
        <v>1614</v>
      </c>
      <c r="B469" s="31">
        <v>42468</v>
      </c>
      <c r="C469" s="32" t="s">
        <v>60</v>
      </c>
      <c r="D469" s="32">
        <v>42463</v>
      </c>
      <c r="E469" s="33">
        <v>14</v>
      </c>
      <c r="F469" s="33">
        <v>2016</v>
      </c>
      <c r="G469" s="27">
        <v>201614</v>
      </c>
    </row>
    <row r="470" spans="1:7" x14ac:dyDescent="0.2">
      <c r="A470" s="22" t="str">
        <f t="shared" si="7"/>
        <v>1614</v>
      </c>
      <c r="B470" s="31">
        <v>42469</v>
      </c>
      <c r="C470" s="32" t="s">
        <v>61</v>
      </c>
      <c r="D470" s="32">
        <v>42463</v>
      </c>
      <c r="E470" s="33">
        <v>14</v>
      </c>
      <c r="F470" s="33">
        <v>2016</v>
      </c>
      <c r="G470" s="27">
        <v>201614</v>
      </c>
    </row>
    <row r="471" spans="1:7" x14ac:dyDescent="0.2">
      <c r="A471" s="22" t="str">
        <f t="shared" si="7"/>
        <v>1615</v>
      </c>
      <c r="B471" s="31">
        <v>42470</v>
      </c>
      <c r="C471" s="32" t="s">
        <v>55</v>
      </c>
      <c r="D471" s="32">
        <v>42470</v>
      </c>
      <c r="E471" s="33">
        <v>15</v>
      </c>
      <c r="F471" s="33">
        <v>2016</v>
      </c>
      <c r="G471" s="27">
        <v>201615</v>
      </c>
    </row>
    <row r="472" spans="1:7" x14ac:dyDescent="0.2">
      <c r="A472" s="22" t="str">
        <f t="shared" si="7"/>
        <v>1615</v>
      </c>
      <c r="B472" s="31">
        <v>42471</v>
      </c>
      <c r="C472" s="32" t="s">
        <v>56</v>
      </c>
      <c r="D472" s="32">
        <v>42470</v>
      </c>
      <c r="E472" s="33">
        <v>15</v>
      </c>
      <c r="F472" s="33">
        <v>2016</v>
      </c>
      <c r="G472" s="27">
        <v>201615</v>
      </c>
    </row>
    <row r="473" spans="1:7" x14ac:dyDescent="0.2">
      <c r="A473" s="22" t="str">
        <f t="shared" si="7"/>
        <v>1615</v>
      </c>
      <c r="B473" s="31">
        <v>42472</v>
      </c>
      <c r="C473" s="32" t="s">
        <v>57</v>
      </c>
      <c r="D473" s="32">
        <v>42470</v>
      </c>
      <c r="E473" s="33">
        <v>15</v>
      </c>
      <c r="F473" s="33">
        <v>2016</v>
      </c>
      <c r="G473" s="27">
        <v>201615</v>
      </c>
    </row>
    <row r="474" spans="1:7" x14ac:dyDescent="0.2">
      <c r="A474" s="22" t="str">
        <f t="shared" si="7"/>
        <v>1615</v>
      </c>
      <c r="B474" s="31">
        <v>42473</v>
      </c>
      <c r="C474" s="32" t="s">
        <v>58</v>
      </c>
      <c r="D474" s="32">
        <v>42470</v>
      </c>
      <c r="E474" s="33">
        <v>15</v>
      </c>
      <c r="F474" s="33">
        <v>2016</v>
      </c>
      <c r="G474" s="27">
        <v>201615</v>
      </c>
    </row>
    <row r="475" spans="1:7" x14ac:dyDescent="0.2">
      <c r="A475" s="22" t="str">
        <f t="shared" si="7"/>
        <v>1615</v>
      </c>
      <c r="B475" s="31">
        <v>42474</v>
      </c>
      <c r="C475" s="32" t="s">
        <v>59</v>
      </c>
      <c r="D475" s="32">
        <v>42470</v>
      </c>
      <c r="E475" s="33">
        <v>15</v>
      </c>
      <c r="F475" s="33">
        <v>2016</v>
      </c>
      <c r="G475" s="27">
        <v>201615</v>
      </c>
    </row>
    <row r="476" spans="1:7" x14ac:dyDescent="0.2">
      <c r="A476" s="22" t="str">
        <f t="shared" si="7"/>
        <v>1615</v>
      </c>
      <c r="B476" s="31">
        <v>42475</v>
      </c>
      <c r="C476" s="32" t="s">
        <v>60</v>
      </c>
      <c r="D476" s="32">
        <v>42470</v>
      </c>
      <c r="E476" s="33">
        <v>15</v>
      </c>
      <c r="F476" s="33">
        <v>2016</v>
      </c>
      <c r="G476" s="27">
        <v>201615</v>
      </c>
    </row>
    <row r="477" spans="1:7" x14ac:dyDescent="0.2">
      <c r="A477" s="22" t="str">
        <f t="shared" si="7"/>
        <v>1615</v>
      </c>
      <c r="B477" s="31">
        <v>42476</v>
      </c>
      <c r="C477" s="32" t="s">
        <v>61</v>
      </c>
      <c r="D477" s="32">
        <v>42470</v>
      </c>
      <c r="E477" s="33">
        <v>15</v>
      </c>
      <c r="F477" s="33">
        <v>2016</v>
      </c>
      <c r="G477" s="27">
        <v>201615</v>
      </c>
    </row>
    <row r="478" spans="1:7" x14ac:dyDescent="0.2">
      <c r="A478" s="22" t="str">
        <f t="shared" si="7"/>
        <v>1616</v>
      </c>
      <c r="B478" s="31">
        <v>42477</v>
      </c>
      <c r="C478" s="32" t="s">
        <v>55</v>
      </c>
      <c r="D478" s="32">
        <v>42477</v>
      </c>
      <c r="E478" s="33">
        <v>16</v>
      </c>
      <c r="F478" s="33">
        <v>2016</v>
      </c>
      <c r="G478" s="27">
        <v>201616</v>
      </c>
    </row>
    <row r="479" spans="1:7" x14ac:dyDescent="0.2">
      <c r="A479" s="22" t="str">
        <f t="shared" si="7"/>
        <v>1616</v>
      </c>
      <c r="B479" s="31">
        <v>42478</v>
      </c>
      <c r="C479" s="32" t="s">
        <v>56</v>
      </c>
      <c r="D479" s="32">
        <v>42477</v>
      </c>
      <c r="E479" s="33">
        <v>16</v>
      </c>
      <c r="F479" s="33">
        <v>2016</v>
      </c>
      <c r="G479" s="27">
        <v>201616</v>
      </c>
    </row>
    <row r="480" spans="1:7" x14ac:dyDescent="0.2">
      <c r="A480" s="22" t="str">
        <f t="shared" si="7"/>
        <v>1616</v>
      </c>
      <c r="B480" s="31">
        <v>42479</v>
      </c>
      <c r="C480" s="32" t="s">
        <v>57</v>
      </c>
      <c r="D480" s="32">
        <v>42477</v>
      </c>
      <c r="E480" s="33">
        <v>16</v>
      </c>
      <c r="F480" s="33">
        <v>2016</v>
      </c>
      <c r="G480" s="27">
        <v>201616</v>
      </c>
    </row>
    <row r="481" spans="1:7" x14ac:dyDescent="0.2">
      <c r="A481" s="22" t="str">
        <f t="shared" si="7"/>
        <v>1616</v>
      </c>
      <c r="B481" s="31">
        <v>42480</v>
      </c>
      <c r="C481" s="32" t="s">
        <v>58</v>
      </c>
      <c r="D481" s="32">
        <v>42477</v>
      </c>
      <c r="E481" s="33">
        <v>16</v>
      </c>
      <c r="F481" s="33">
        <v>2016</v>
      </c>
      <c r="G481" s="27">
        <v>201616</v>
      </c>
    </row>
    <row r="482" spans="1:7" x14ac:dyDescent="0.2">
      <c r="A482" s="22" t="str">
        <f t="shared" si="7"/>
        <v>1616</v>
      </c>
      <c r="B482" s="31">
        <v>42481</v>
      </c>
      <c r="C482" s="32" t="s">
        <v>59</v>
      </c>
      <c r="D482" s="32">
        <v>42477</v>
      </c>
      <c r="E482" s="33">
        <v>16</v>
      </c>
      <c r="F482" s="33">
        <v>2016</v>
      </c>
      <c r="G482" s="27">
        <v>201616</v>
      </c>
    </row>
    <row r="483" spans="1:7" x14ac:dyDescent="0.2">
      <c r="A483" s="22" t="str">
        <f t="shared" si="7"/>
        <v>1616</v>
      </c>
      <c r="B483" s="31">
        <v>42482</v>
      </c>
      <c r="C483" s="32" t="s">
        <v>60</v>
      </c>
      <c r="D483" s="32">
        <v>42477</v>
      </c>
      <c r="E483" s="33">
        <v>16</v>
      </c>
      <c r="F483" s="33">
        <v>2016</v>
      </c>
      <c r="G483" s="27">
        <v>201616</v>
      </c>
    </row>
    <row r="484" spans="1:7" x14ac:dyDescent="0.2">
      <c r="A484" s="22" t="str">
        <f t="shared" si="7"/>
        <v>1616</v>
      </c>
      <c r="B484" s="31">
        <v>42483</v>
      </c>
      <c r="C484" s="32" t="s">
        <v>61</v>
      </c>
      <c r="D484" s="32">
        <v>42477</v>
      </c>
      <c r="E484" s="33">
        <v>16</v>
      </c>
      <c r="F484" s="33">
        <v>2016</v>
      </c>
      <c r="G484" s="27">
        <v>201616</v>
      </c>
    </row>
    <row r="485" spans="1:7" x14ac:dyDescent="0.2">
      <c r="A485" s="22" t="str">
        <f t="shared" si="7"/>
        <v>1617</v>
      </c>
      <c r="B485" s="31">
        <v>42484</v>
      </c>
      <c r="C485" s="32" t="s">
        <v>55</v>
      </c>
      <c r="D485" s="32">
        <v>42484</v>
      </c>
      <c r="E485" s="33">
        <v>17</v>
      </c>
      <c r="F485" s="33">
        <v>2016</v>
      </c>
      <c r="G485" s="27">
        <v>201617</v>
      </c>
    </row>
    <row r="486" spans="1:7" x14ac:dyDescent="0.2">
      <c r="A486" s="22" t="str">
        <f t="shared" si="7"/>
        <v>1617</v>
      </c>
      <c r="B486" s="31">
        <v>42485</v>
      </c>
      <c r="C486" s="32" t="s">
        <v>56</v>
      </c>
      <c r="D486" s="32">
        <v>42484</v>
      </c>
      <c r="E486" s="33">
        <v>17</v>
      </c>
      <c r="F486" s="33">
        <v>2016</v>
      </c>
      <c r="G486" s="27">
        <v>201617</v>
      </c>
    </row>
    <row r="487" spans="1:7" x14ac:dyDescent="0.2">
      <c r="A487" s="22" t="str">
        <f t="shared" si="7"/>
        <v>1617</v>
      </c>
      <c r="B487" s="31">
        <v>42486</v>
      </c>
      <c r="C487" s="32" t="s">
        <v>57</v>
      </c>
      <c r="D487" s="32">
        <v>42484</v>
      </c>
      <c r="E487" s="33">
        <v>17</v>
      </c>
      <c r="F487" s="33">
        <v>2016</v>
      </c>
      <c r="G487" s="27">
        <v>201617</v>
      </c>
    </row>
    <row r="488" spans="1:7" x14ac:dyDescent="0.2">
      <c r="A488" s="22" t="str">
        <f t="shared" si="7"/>
        <v>1617</v>
      </c>
      <c r="B488" s="31">
        <v>42487</v>
      </c>
      <c r="C488" s="32" t="s">
        <v>58</v>
      </c>
      <c r="D488" s="32">
        <v>42484</v>
      </c>
      <c r="E488" s="33">
        <v>17</v>
      </c>
      <c r="F488" s="33">
        <v>2016</v>
      </c>
      <c r="G488" s="27">
        <v>201617</v>
      </c>
    </row>
    <row r="489" spans="1:7" x14ac:dyDescent="0.2">
      <c r="A489" s="22" t="str">
        <f t="shared" si="7"/>
        <v>1617</v>
      </c>
      <c r="B489" s="31">
        <v>42488</v>
      </c>
      <c r="C489" s="32" t="s">
        <v>59</v>
      </c>
      <c r="D489" s="32">
        <v>42484</v>
      </c>
      <c r="E489" s="33">
        <v>17</v>
      </c>
      <c r="F489" s="33">
        <v>2016</v>
      </c>
      <c r="G489" s="27">
        <v>201617</v>
      </c>
    </row>
    <row r="490" spans="1:7" x14ac:dyDescent="0.2">
      <c r="A490" s="22" t="str">
        <f t="shared" si="7"/>
        <v>1617</v>
      </c>
      <c r="B490" s="31">
        <v>42489</v>
      </c>
      <c r="C490" s="32" t="s">
        <v>60</v>
      </c>
      <c r="D490" s="32">
        <v>42484</v>
      </c>
      <c r="E490" s="33">
        <v>17</v>
      </c>
      <c r="F490" s="33">
        <v>2016</v>
      </c>
      <c r="G490" s="27">
        <v>201617</v>
      </c>
    </row>
    <row r="491" spans="1:7" x14ac:dyDescent="0.2">
      <c r="A491" s="22" t="str">
        <f t="shared" si="7"/>
        <v>1617</v>
      </c>
      <c r="B491" s="31">
        <v>42490</v>
      </c>
      <c r="C491" s="32" t="s">
        <v>61</v>
      </c>
      <c r="D491" s="32">
        <v>42484</v>
      </c>
      <c r="E491" s="33">
        <v>17</v>
      </c>
      <c r="F491" s="33">
        <v>2016</v>
      </c>
      <c r="G491" s="27">
        <v>201617</v>
      </c>
    </row>
    <row r="492" spans="1:7" x14ac:dyDescent="0.2">
      <c r="A492" s="22" t="str">
        <f t="shared" si="7"/>
        <v>1618</v>
      </c>
      <c r="B492" s="31">
        <v>42491</v>
      </c>
      <c r="C492" s="32" t="s">
        <v>55</v>
      </c>
      <c r="D492" s="32">
        <v>42491</v>
      </c>
      <c r="E492" s="33">
        <v>18</v>
      </c>
      <c r="F492" s="33">
        <v>2016</v>
      </c>
      <c r="G492" s="27">
        <v>201618</v>
      </c>
    </row>
    <row r="493" spans="1:7" x14ac:dyDescent="0.2">
      <c r="A493" s="22" t="str">
        <f t="shared" si="7"/>
        <v>1618</v>
      </c>
      <c r="B493" s="31">
        <v>42492</v>
      </c>
      <c r="C493" s="32" t="s">
        <v>56</v>
      </c>
      <c r="D493" s="32">
        <v>42491</v>
      </c>
      <c r="E493" s="33">
        <v>18</v>
      </c>
      <c r="F493" s="33">
        <v>2016</v>
      </c>
      <c r="G493" s="27">
        <v>201618</v>
      </c>
    </row>
    <row r="494" spans="1:7" x14ac:dyDescent="0.2">
      <c r="A494" s="22" t="str">
        <f t="shared" si="7"/>
        <v>1618</v>
      </c>
      <c r="B494" s="31">
        <v>42493</v>
      </c>
      <c r="C494" s="32" t="s">
        <v>57</v>
      </c>
      <c r="D494" s="32">
        <v>42491</v>
      </c>
      <c r="E494" s="33">
        <v>18</v>
      </c>
      <c r="F494" s="33">
        <v>2016</v>
      </c>
      <c r="G494" s="27">
        <v>201618</v>
      </c>
    </row>
    <row r="495" spans="1:7" x14ac:dyDescent="0.2">
      <c r="A495" s="22" t="str">
        <f t="shared" si="7"/>
        <v>1618</v>
      </c>
      <c r="B495" s="31">
        <v>42494</v>
      </c>
      <c r="C495" s="32" t="s">
        <v>58</v>
      </c>
      <c r="D495" s="32">
        <v>42491</v>
      </c>
      <c r="E495" s="33">
        <v>18</v>
      </c>
      <c r="F495" s="33">
        <v>2016</v>
      </c>
      <c r="G495" s="27">
        <v>201618</v>
      </c>
    </row>
    <row r="496" spans="1:7" x14ac:dyDescent="0.2">
      <c r="A496" s="22" t="str">
        <f t="shared" si="7"/>
        <v>1618</v>
      </c>
      <c r="B496" s="31">
        <v>42495</v>
      </c>
      <c r="C496" s="32" t="s">
        <v>59</v>
      </c>
      <c r="D496" s="32">
        <v>42491</v>
      </c>
      <c r="E496" s="33">
        <v>18</v>
      </c>
      <c r="F496" s="33">
        <v>2016</v>
      </c>
      <c r="G496" s="27">
        <v>201618</v>
      </c>
    </row>
    <row r="497" spans="1:7" x14ac:dyDescent="0.2">
      <c r="A497" s="22" t="str">
        <f t="shared" si="7"/>
        <v>1618</v>
      </c>
      <c r="B497" s="31">
        <v>42496</v>
      </c>
      <c r="C497" s="32" t="s">
        <v>60</v>
      </c>
      <c r="D497" s="32">
        <v>42491</v>
      </c>
      <c r="E497" s="33">
        <v>18</v>
      </c>
      <c r="F497" s="33">
        <v>2016</v>
      </c>
      <c r="G497" s="27">
        <v>201618</v>
      </c>
    </row>
    <row r="498" spans="1:7" x14ac:dyDescent="0.2">
      <c r="A498" s="22" t="str">
        <f t="shared" si="7"/>
        <v>1618</v>
      </c>
      <c r="B498" s="31">
        <v>42497</v>
      </c>
      <c r="C498" s="32" t="s">
        <v>61</v>
      </c>
      <c r="D498" s="32">
        <v>42491</v>
      </c>
      <c r="E498" s="33">
        <v>18</v>
      </c>
      <c r="F498" s="33">
        <v>2016</v>
      </c>
      <c r="G498" s="27">
        <v>201618</v>
      </c>
    </row>
    <row r="499" spans="1:7" x14ac:dyDescent="0.2">
      <c r="A499" s="22" t="str">
        <f t="shared" si="7"/>
        <v>1619</v>
      </c>
      <c r="B499" s="31">
        <v>42498</v>
      </c>
      <c r="C499" s="32" t="s">
        <v>55</v>
      </c>
      <c r="D499" s="32">
        <v>42498</v>
      </c>
      <c r="E499" s="33">
        <v>19</v>
      </c>
      <c r="F499" s="33">
        <v>2016</v>
      </c>
      <c r="G499" s="27">
        <v>201619</v>
      </c>
    </row>
    <row r="500" spans="1:7" x14ac:dyDescent="0.2">
      <c r="A500" s="22" t="str">
        <f t="shared" si="7"/>
        <v>1619</v>
      </c>
      <c r="B500" s="31">
        <v>42499</v>
      </c>
      <c r="C500" s="32" t="s">
        <v>56</v>
      </c>
      <c r="D500" s="32">
        <v>42498</v>
      </c>
      <c r="E500" s="33">
        <v>19</v>
      </c>
      <c r="F500" s="33">
        <v>2016</v>
      </c>
      <c r="G500" s="27">
        <v>201619</v>
      </c>
    </row>
    <row r="501" spans="1:7" x14ac:dyDescent="0.2">
      <c r="A501" s="22" t="str">
        <f t="shared" si="7"/>
        <v>1619</v>
      </c>
      <c r="B501" s="31">
        <v>42500</v>
      </c>
      <c r="C501" s="32" t="s">
        <v>57</v>
      </c>
      <c r="D501" s="32">
        <v>42498</v>
      </c>
      <c r="E501" s="33">
        <v>19</v>
      </c>
      <c r="F501" s="33">
        <v>2016</v>
      </c>
      <c r="G501" s="27">
        <v>201619</v>
      </c>
    </row>
    <row r="502" spans="1:7" x14ac:dyDescent="0.2">
      <c r="A502" s="22" t="str">
        <f t="shared" si="7"/>
        <v>1619</v>
      </c>
      <c r="B502" s="31">
        <v>42501</v>
      </c>
      <c r="C502" s="32" t="s">
        <v>58</v>
      </c>
      <c r="D502" s="32">
        <v>42498</v>
      </c>
      <c r="E502" s="33">
        <v>19</v>
      </c>
      <c r="F502" s="33">
        <v>2016</v>
      </c>
      <c r="G502" s="27">
        <v>201619</v>
      </c>
    </row>
    <row r="503" spans="1:7" x14ac:dyDescent="0.2">
      <c r="A503" s="22" t="str">
        <f t="shared" si="7"/>
        <v>1619</v>
      </c>
      <c r="B503" s="31">
        <v>42502</v>
      </c>
      <c r="C503" s="32" t="s">
        <v>59</v>
      </c>
      <c r="D503" s="32">
        <v>42498</v>
      </c>
      <c r="E503" s="33">
        <v>19</v>
      </c>
      <c r="F503" s="33">
        <v>2016</v>
      </c>
      <c r="G503" s="27">
        <v>201619</v>
      </c>
    </row>
    <row r="504" spans="1:7" x14ac:dyDescent="0.2">
      <c r="A504" s="22" t="str">
        <f t="shared" si="7"/>
        <v>1619</v>
      </c>
      <c r="B504" s="31">
        <v>42503</v>
      </c>
      <c r="C504" s="32" t="s">
        <v>60</v>
      </c>
      <c r="D504" s="32">
        <v>42498</v>
      </c>
      <c r="E504" s="33">
        <v>19</v>
      </c>
      <c r="F504" s="33">
        <v>2016</v>
      </c>
      <c r="G504" s="27">
        <v>201619</v>
      </c>
    </row>
    <row r="505" spans="1:7" x14ac:dyDescent="0.2">
      <c r="A505" s="22" t="str">
        <f t="shared" si="7"/>
        <v>1619</v>
      </c>
      <c r="B505" s="31">
        <v>42504</v>
      </c>
      <c r="C505" s="32" t="s">
        <v>61</v>
      </c>
      <c r="D505" s="32">
        <v>42498</v>
      </c>
      <c r="E505" s="33">
        <v>19</v>
      </c>
      <c r="F505" s="33">
        <v>2016</v>
      </c>
      <c r="G505" s="27">
        <v>201619</v>
      </c>
    </row>
    <row r="506" spans="1:7" x14ac:dyDescent="0.2">
      <c r="A506" s="22" t="str">
        <f t="shared" si="7"/>
        <v>1620</v>
      </c>
      <c r="B506" s="31">
        <v>42505</v>
      </c>
      <c r="C506" s="32" t="s">
        <v>55</v>
      </c>
      <c r="D506" s="32">
        <v>42505</v>
      </c>
      <c r="E506" s="33">
        <v>20</v>
      </c>
      <c r="F506" s="33">
        <v>2016</v>
      </c>
      <c r="G506" s="27">
        <v>201620</v>
      </c>
    </row>
    <row r="507" spans="1:7" x14ac:dyDescent="0.2">
      <c r="A507" s="22" t="str">
        <f t="shared" si="7"/>
        <v>1620</v>
      </c>
      <c r="B507" s="31">
        <v>42506</v>
      </c>
      <c r="C507" s="32" t="s">
        <v>56</v>
      </c>
      <c r="D507" s="32">
        <v>42505</v>
      </c>
      <c r="E507" s="33">
        <v>20</v>
      </c>
      <c r="F507" s="33">
        <v>2016</v>
      </c>
      <c r="G507" s="27">
        <v>201620</v>
      </c>
    </row>
    <row r="508" spans="1:7" x14ac:dyDescent="0.2">
      <c r="A508" s="22" t="str">
        <f t="shared" si="7"/>
        <v>1620</v>
      </c>
      <c r="B508" s="31">
        <v>42507</v>
      </c>
      <c r="C508" s="32" t="s">
        <v>57</v>
      </c>
      <c r="D508" s="32">
        <v>42505</v>
      </c>
      <c r="E508" s="33">
        <v>20</v>
      </c>
      <c r="F508" s="33">
        <v>2016</v>
      </c>
      <c r="G508" s="27">
        <v>201620</v>
      </c>
    </row>
    <row r="509" spans="1:7" x14ac:dyDescent="0.2">
      <c r="A509" s="22" t="str">
        <f t="shared" si="7"/>
        <v>1620</v>
      </c>
      <c r="B509" s="31">
        <v>42508</v>
      </c>
      <c r="C509" s="32" t="s">
        <v>58</v>
      </c>
      <c r="D509" s="32">
        <v>42505</v>
      </c>
      <c r="E509" s="33">
        <v>20</v>
      </c>
      <c r="F509" s="33">
        <v>2016</v>
      </c>
      <c r="G509" s="27">
        <v>201620</v>
      </c>
    </row>
    <row r="510" spans="1:7" x14ac:dyDescent="0.2">
      <c r="A510" s="22" t="str">
        <f t="shared" si="7"/>
        <v>1620</v>
      </c>
      <c r="B510" s="31">
        <v>42509</v>
      </c>
      <c r="C510" s="32" t="s">
        <v>59</v>
      </c>
      <c r="D510" s="32">
        <v>42505</v>
      </c>
      <c r="E510" s="33">
        <v>20</v>
      </c>
      <c r="F510" s="33">
        <v>2016</v>
      </c>
      <c r="G510" s="27">
        <v>201620</v>
      </c>
    </row>
    <row r="511" spans="1:7" x14ac:dyDescent="0.2">
      <c r="A511" s="22" t="str">
        <f t="shared" si="7"/>
        <v>1620</v>
      </c>
      <c r="B511" s="31">
        <v>42510</v>
      </c>
      <c r="C511" s="32" t="s">
        <v>60</v>
      </c>
      <c r="D511" s="32">
        <v>42505</v>
      </c>
      <c r="E511" s="33">
        <v>20</v>
      </c>
      <c r="F511" s="33">
        <v>2016</v>
      </c>
      <c r="G511" s="27">
        <v>201620</v>
      </c>
    </row>
    <row r="512" spans="1:7" x14ac:dyDescent="0.2">
      <c r="A512" s="22" t="str">
        <f t="shared" si="7"/>
        <v>1620</v>
      </c>
      <c r="B512" s="31">
        <v>42511</v>
      </c>
      <c r="C512" s="32" t="s">
        <v>61</v>
      </c>
      <c r="D512" s="32">
        <v>42505</v>
      </c>
      <c r="E512" s="33">
        <v>20</v>
      </c>
      <c r="F512" s="33">
        <v>2016</v>
      </c>
      <c r="G512" s="27">
        <v>201620</v>
      </c>
    </row>
    <row r="513" spans="1:7" x14ac:dyDescent="0.2">
      <c r="A513" s="22" t="str">
        <f t="shared" si="7"/>
        <v>1621</v>
      </c>
      <c r="B513" s="31">
        <v>42512</v>
      </c>
      <c r="C513" s="32" t="s">
        <v>55</v>
      </c>
      <c r="D513" s="32">
        <v>42512</v>
      </c>
      <c r="E513" s="33">
        <v>21</v>
      </c>
      <c r="F513" s="33">
        <v>2016</v>
      </c>
      <c r="G513" s="27">
        <v>201621</v>
      </c>
    </row>
    <row r="514" spans="1:7" x14ac:dyDescent="0.2">
      <c r="A514" s="22" t="str">
        <f t="shared" si="7"/>
        <v>1621</v>
      </c>
      <c r="B514" s="31">
        <v>42513</v>
      </c>
      <c r="C514" s="32" t="s">
        <v>56</v>
      </c>
      <c r="D514" s="32">
        <v>42512</v>
      </c>
      <c r="E514" s="33">
        <v>21</v>
      </c>
      <c r="F514" s="33">
        <v>2016</v>
      </c>
      <c r="G514" s="27">
        <v>201621</v>
      </c>
    </row>
    <row r="515" spans="1:7" x14ac:dyDescent="0.2">
      <c r="A515" s="22" t="str">
        <f t="shared" ref="A515:A578" si="8">RIGHT(G515,4)</f>
        <v>1621</v>
      </c>
      <c r="B515" s="31">
        <v>42514</v>
      </c>
      <c r="C515" s="32" t="s">
        <v>57</v>
      </c>
      <c r="D515" s="32">
        <v>42512</v>
      </c>
      <c r="E515" s="33">
        <v>21</v>
      </c>
      <c r="F515" s="33">
        <v>2016</v>
      </c>
      <c r="G515" s="27">
        <v>201621</v>
      </c>
    </row>
    <row r="516" spans="1:7" x14ac:dyDescent="0.2">
      <c r="A516" s="22" t="str">
        <f t="shared" si="8"/>
        <v>1621</v>
      </c>
      <c r="B516" s="31">
        <v>42515</v>
      </c>
      <c r="C516" s="32" t="s">
        <v>58</v>
      </c>
      <c r="D516" s="32">
        <v>42512</v>
      </c>
      <c r="E516" s="33">
        <v>21</v>
      </c>
      <c r="F516" s="33">
        <v>2016</v>
      </c>
      <c r="G516" s="27">
        <v>201621</v>
      </c>
    </row>
    <row r="517" spans="1:7" x14ac:dyDescent="0.2">
      <c r="A517" s="22" t="str">
        <f t="shared" si="8"/>
        <v>1621</v>
      </c>
      <c r="B517" s="31">
        <v>42516</v>
      </c>
      <c r="C517" s="32" t="s">
        <v>59</v>
      </c>
      <c r="D517" s="32">
        <v>42512</v>
      </c>
      <c r="E517" s="33">
        <v>21</v>
      </c>
      <c r="F517" s="33">
        <v>2016</v>
      </c>
      <c r="G517" s="27">
        <v>201621</v>
      </c>
    </row>
    <row r="518" spans="1:7" x14ac:dyDescent="0.2">
      <c r="A518" s="22" t="str">
        <f t="shared" si="8"/>
        <v>1621</v>
      </c>
      <c r="B518" s="31">
        <v>42517</v>
      </c>
      <c r="C518" s="32" t="s">
        <v>60</v>
      </c>
      <c r="D518" s="32">
        <v>42512</v>
      </c>
      <c r="E518" s="33">
        <v>21</v>
      </c>
      <c r="F518" s="33">
        <v>2016</v>
      </c>
      <c r="G518" s="27">
        <v>201621</v>
      </c>
    </row>
    <row r="519" spans="1:7" x14ac:dyDescent="0.2">
      <c r="A519" s="22" t="str">
        <f t="shared" si="8"/>
        <v>1621</v>
      </c>
      <c r="B519" s="31">
        <v>42518</v>
      </c>
      <c r="C519" s="32" t="s">
        <v>61</v>
      </c>
      <c r="D519" s="32">
        <v>42512</v>
      </c>
      <c r="E519" s="33">
        <v>21</v>
      </c>
      <c r="F519" s="33">
        <v>2016</v>
      </c>
      <c r="G519" s="27">
        <v>201621</v>
      </c>
    </row>
    <row r="520" spans="1:7" x14ac:dyDescent="0.2">
      <c r="A520" s="22" t="str">
        <f t="shared" si="8"/>
        <v>1622</v>
      </c>
      <c r="B520" s="31">
        <v>42519</v>
      </c>
      <c r="C520" s="32" t="s">
        <v>55</v>
      </c>
      <c r="D520" s="32">
        <v>42519</v>
      </c>
      <c r="E520" s="33">
        <v>22</v>
      </c>
      <c r="F520" s="33">
        <v>2016</v>
      </c>
      <c r="G520" s="27">
        <v>201622</v>
      </c>
    </row>
    <row r="521" spans="1:7" x14ac:dyDescent="0.2">
      <c r="A521" s="22" t="str">
        <f t="shared" si="8"/>
        <v>1622</v>
      </c>
      <c r="B521" s="31">
        <v>42520</v>
      </c>
      <c r="C521" s="32" t="s">
        <v>56</v>
      </c>
      <c r="D521" s="32">
        <v>42519</v>
      </c>
      <c r="E521" s="33">
        <v>22</v>
      </c>
      <c r="F521" s="33">
        <v>2016</v>
      </c>
      <c r="G521" s="27">
        <v>201622</v>
      </c>
    </row>
    <row r="522" spans="1:7" x14ac:dyDescent="0.2">
      <c r="A522" s="22" t="str">
        <f t="shared" si="8"/>
        <v>1622</v>
      </c>
      <c r="B522" s="31">
        <v>42521</v>
      </c>
      <c r="C522" s="32" t="s">
        <v>57</v>
      </c>
      <c r="D522" s="32">
        <v>42519</v>
      </c>
      <c r="E522" s="33">
        <v>22</v>
      </c>
      <c r="F522" s="33">
        <v>2016</v>
      </c>
      <c r="G522" s="27">
        <v>201622</v>
      </c>
    </row>
    <row r="523" spans="1:7" x14ac:dyDescent="0.2">
      <c r="A523" s="22" t="str">
        <f t="shared" si="8"/>
        <v>1622</v>
      </c>
      <c r="B523" s="31">
        <v>42522</v>
      </c>
      <c r="C523" s="32" t="s">
        <v>58</v>
      </c>
      <c r="D523" s="32">
        <v>42519</v>
      </c>
      <c r="E523" s="33">
        <v>22</v>
      </c>
      <c r="F523" s="33">
        <v>2016</v>
      </c>
      <c r="G523" s="27">
        <v>201622</v>
      </c>
    </row>
    <row r="524" spans="1:7" x14ac:dyDescent="0.2">
      <c r="A524" s="22" t="str">
        <f t="shared" si="8"/>
        <v>1622</v>
      </c>
      <c r="B524" s="31">
        <v>42523</v>
      </c>
      <c r="C524" s="32" t="s">
        <v>59</v>
      </c>
      <c r="D524" s="32">
        <v>42519</v>
      </c>
      <c r="E524" s="33">
        <v>22</v>
      </c>
      <c r="F524" s="33">
        <v>2016</v>
      </c>
      <c r="G524" s="27">
        <v>201622</v>
      </c>
    </row>
    <row r="525" spans="1:7" x14ac:dyDescent="0.2">
      <c r="A525" s="22" t="str">
        <f t="shared" si="8"/>
        <v>1622</v>
      </c>
      <c r="B525" s="31">
        <v>42524</v>
      </c>
      <c r="C525" s="32" t="s">
        <v>60</v>
      </c>
      <c r="D525" s="32">
        <v>42519</v>
      </c>
      <c r="E525" s="33">
        <v>22</v>
      </c>
      <c r="F525" s="33">
        <v>2016</v>
      </c>
      <c r="G525" s="27">
        <v>201622</v>
      </c>
    </row>
    <row r="526" spans="1:7" x14ac:dyDescent="0.2">
      <c r="A526" s="22" t="str">
        <f t="shared" si="8"/>
        <v>1622</v>
      </c>
      <c r="B526" s="31">
        <v>42525</v>
      </c>
      <c r="C526" s="32" t="s">
        <v>61</v>
      </c>
      <c r="D526" s="32">
        <v>42519</v>
      </c>
      <c r="E526" s="33">
        <v>22</v>
      </c>
      <c r="F526" s="33">
        <v>2016</v>
      </c>
      <c r="G526" s="27">
        <v>201622</v>
      </c>
    </row>
    <row r="527" spans="1:7" x14ac:dyDescent="0.2">
      <c r="A527" s="22" t="str">
        <f t="shared" si="8"/>
        <v>1623</v>
      </c>
      <c r="B527" s="31">
        <v>42526</v>
      </c>
      <c r="C527" s="32" t="s">
        <v>55</v>
      </c>
      <c r="D527" s="32">
        <v>42526</v>
      </c>
      <c r="E527" s="33">
        <v>23</v>
      </c>
      <c r="F527" s="33">
        <v>2016</v>
      </c>
      <c r="G527" s="27">
        <v>201623</v>
      </c>
    </row>
    <row r="528" spans="1:7" x14ac:dyDescent="0.2">
      <c r="A528" s="22" t="str">
        <f t="shared" si="8"/>
        <v>1623</v>
      </c>
      <c r="B528" s="31">
        <v>42527</v>
      </c>
      <c r="C528" s="32" t="s">
        <v>56</v>
      </c>
      <c r="D528" s="32">
        <v>42526</v>
      </c>
      <c r="E528" s="33">
        <v>23</v>
      </c>
      <c r="F528" s="33">
        <v>2016</v>
      </c>
      <c r="G528" s="27">
        <v>201623</v>
      </c>
    </row>
    <row r="529" spans="1:7" x14ac:dyDescent="0.2">
      <c r="A529" s="22" t="str">
        <f t="shared" si="8"/>
        <v>1623</v>
      </c>
      <c r="B529" s="31">
        <v>42528</v>
      </c>
      <c r="C529" s="32" t="s">
        <v>57</v>
      </c>
      <c r="D529" s="32">
        <v>42526</v>
      </c>
      <c r="E529" s="33">
        <v>23</v>
      </c>
      <c r="F529" s="33">
        <v>2016</v>
      </c>
      <c r="G529" s="27">
        <v>201623</v>
      </c>
    </row>
    <row r="530" spans="1:7" x14ac:dyDescent="0.2">
      <c r="A530" s="22" t="str">
        <f t="shared" si="8"/>
        <v>1623</v>
      </c>
      <c r="B530" s="31">
        <v>42529</v>
      </c>
      <c r="C530" s="32" t="s">
        <v>58</v>
      </c>
      <c r="D530" s="32">
        <v>42526</v>
      </c>
      <c r="E530" s="33">
        <v>23</v>
      </c>
      <c r="F530" s="33">
        <v>2016</v>
      </c>
      <c r="G530" s="27">
        <v>201623</v>
      </c>
    </row>
    <row r="531" spans="1:7" x14ac:dyDescent="0.2">
      <c r="A531" s="22" t="str">
        <f t="shared" si="8"/>
        <v>1623</v>
      </c>
      <c r="B531" s="31">
        <v>42530</v>
      </c>
      <c r="C531" s="32" t="s">
        <v>59</v>
      </c>
      <c r="D531" s="32">
        <v>42526</v>
      </c>
      <c r="E531" s="33">
        <v>23</v>
      </c>
      <c r="F531" s="33">
        <v>2016</v>
      </c>
      <c r="G531" s="27">
        <v>201623</v>
      </c>
    </row>
    <row r="532" spans="1:7" x14ac:dyDescent="0.2">
      <c r="A532" s="22" t="str">
        <f t="shared" si="8"/>
        <v>1623</v>
      </c>
      <c r="B532" s="31">
        <v>42531</v>
      </c>
      <c r="C532" s="32" t="s">
        <v>60</v>
      </c>
      <c r="D532" s="32">
        <v>42526</v>
      </c>
      <c r="E532" s="33">
        <v>23</v>
      </c>
      <c r="F532" s="33">
        <v>2016</v>
      </c>
      <c r="G532" s="27">
        <v>201623</v>
      </c>
    </row>
    <row r="533" spans="1:7" x14ac:dyDescent="0.2">
      <c r="A533" s="22" t="str">
        <f t="shared" si="8"/>
        <v>1623</v>
      </c>
      <c r="B533" s="31">
        <v>42532</v>
      </c>
      <c r="C533" s="32" t="s">
        <v>61</v>
      </c>
      <c r="D533" s="32">
        <v>42526</v>
      </c>
      <c r="E533" s="33">
        <v>23</v>
      </c>
      <c r="F533" s="33">
        <v>2016</v>
      </c>
      <c r="G533" s="27">
        <v>201623</v>
      </c>
    </row>
    <row r="534" spans="1:7" x14ac:dyDescent="0.2">
      <c r="A534" s="22" t="str">
        <f t="shared" si="8"/>
        <v>1624</v>
      </c>
      <c r="B534" s="31">
        <v>42533</v>
      </c>
      <c r="C534" s="32" t="s">
        <v>55</v>
      </c>
      <c r="D534" s="32">
        <v>42533</v>
      </c>
      <c r="E534" s="33">
        <v>24</v>
      </c>
      <c r="F534" s="33">
        <v>2016</v>
      </c>
      <c r="G534" s="27">
        <v>201624</v>
      </c>
    </row>
    <row r="535" spans="1:7" x14ac:dyDescent="0.2">
      <c r="A535" s="22" t="str">
        <f t="shared" si="8"/>
        <v>1624</v>
      </c>
      <c r="B535" s="31">
        <v>42534</v>
      </c>
      <c r="C535" s="32" t="s">
        <v>56</v>
      </c>
      <c r="D535" s="32">
        <v>42533</v>
      </c>
      <c r="E535" s="33">
        <v>24</v>
      </c>
      <c r="F535" s="33">
        <v>2016</v>
      </c>
      <c r="G535" s="27">
        <v>201624</v>
      </c>
    </row>
    <row r="536" spans="1:7" x14ac:dyDescent="0.2">
      <c r="A536" s="22" t="str">
        <f t="shared" si="8"/>
        <v>1624</v>
      </c>
      <c r="B536" s="31">
        <v>42535</v>
      </c>
      <c r="C536" s="32" t="s">
        <v>57</v>
      </c>
      <c r="D536" s="32">
        <v>42533</v>
      </c>
      <c r="E536" s="33">
        <v>24</v>
      </c>
      <c r="F536" s="33">
        <v>2016</v>
      </c>
      <c r="G536" s="27">
        <v>201624</v>
      </c>
    </row>
    <row r="537" spans="1:7" x14ac:dyDescent="0.2">
      <c r="A537" s="22" t="str">
        <f t="shared" si="8"/>
        <v>1624</v>
      </c>
      <c r="B537" s="31">
        <v>42536</v>
      </c>
      <c r="C537" s="32" t="s">
        <v>58</v>
      </c>
      <c r="D537" s="32">
        <v>42533</v>
      </c>
      <c r="E537" s="33">
        <v>24</v>
      </c>
      <c r="F537" s="33">
        <v>2016</v>
      </c>
      <c r="G537" s="27">
        <v>201624</v>
      </c>
    </row>
    <row r="538" spans="1:7" x14ac:dyDescent="0.2">
      <c r="A538" s="22" t="str">
        <f t="shared" si="8"/>
        <v>1624</v>
      </c>
      <c r="B538" s="31">
        <v>42537</v>
      </c>
      <c r="C538" s="32" t="s">
        <v>59</v>
      </c>
      <c r="D538" s="32">
        <v>42533</v>
      </c>
      <c r="E538" s="33">
        <v>24</v>
      </c>
      <c r="F538" s="33">
        <v>2016</v>
      </c>
      <c r="G538" s="27">
        <v>201624</v>
      </c>
    </row>
    <row r="539" spans="1:7" x14ac:dyDescent="0.2">
      <c r="A539" s="22" t="str">
        <f t="shared" si="8"/>
        <v>1624</v>
      </c>
      <c r="B539" s="31">
        <v>42538</v>
      </c>
      <c r="C539" s="32" t="s">
        <v>60</v>
      </c>
      <c r="D539" s="32">
        <v>42533</v>
      </c>
      <c r="E539" s="33">
        <v>24</v>
      </c>
      <c r="F539" s="33">
        <v>2016</v>
      </c>
      <c r="G539" s="27">
        <v>201624</v>
      </c>
    </row>
    <row r="540" spans="1:7" x14ac:dyDescent="0.2">
      <c r="A540" s="22" t="str">
        <f t="shared" si="8"/>
        <v>1624</v>
      </c>
      <c r="B540" s="31">
        <v>42539</v>
      </c>
      <c r="C540" s="32" t="s">
        <v>61</v>
      </c>
      <c r="D540" s="32">
        <v>42533</v>
      </c>
      <c r="E540" s="33">
        <v>24</v>
      </c>
      <c r="F540" s="33">
        <v>2016</v>
      </c>
      <c r="G540" s="27">
        <v>201624</v>
      </c>
    </row>
    <row r="541" spans="1:7" x14ac:dyDescent="0.2">
      <c r="A541" s="22" t="str">
        <f t="shared" si="8"/>
        <v>1625</v>
      </c>
      <c r="B541" s="31">
        <v>42540</v>
      </c>
      <c r="C541" s="32" t="s">
        <v>55</v>
      </c>
      <c r="D541" s="32">
        <v>42540</v>
      </c>
      <c r="E541" s="33">
        <v>25</v>
      </c>
      <c r="F541" s="33">
        <v>2016</v>
      </c>
      <c r="G541" s="27">
        <v>201625</v>
      </c>
    </row>
    <row r="542" spans="1:7" x14ac:dyDescent="0.2">
      <c r="A542" s="22" t="str">
        <f t="shared" si="8"/>
        <v>1625</v>
      </c>
      <c r="B542" s="31">
        <v>42541</v>
      </c>
      <c r="C542" s="32" t="s">
        <v>56</v>
      </c>
      <c r="D542" s="32">
        <v>42540</v>
      </c>
      <c r="E542" s="33">
        <v>25</v>
      </c>
      <c r="F542" s="33">
        <v>2016</v>
      </c>
      <c r="G542" s="27">
        <v>201625</v>
      </c>
    </row>
    <row r="543" spans="1:7" x14ac:dyDescent="0.2">
      <c r="A543" s="22" t="str">
        <f t="shared" si="8"/>
        <v>1625</v>
      </c>
      <c r="B543" s="31">
        <v>42542</v>
      </c>
      <c r="C543" s="32" t="s">
        <v>57</v>
      </c>
      <c r="D543" s="32">
        <v>42540</v>
      </c>
      <c r="E543" s="33">
        <v>25</v>
      </c>
      <c r="F543" s="33">
        <v>2016</v>
      </c>
      <c r="G543" s="27">
        <v>201625</v>
      </c>
    </row>
    <row r="544" spans="1:7" x14ac:dyDescent="0.2">
      <c r="A544" s="22" t="str">
        <f t="shared" si="8"/>
        <v>1625</v>
      </c>
      <c r="B544" s="31">
        <v>42543</v>
      </c>
      <c r="C544" s="32" t="s">
        <v>58</v>
      </c>
      <c r="D544" s="32">
        <v>42540</v>
      </c>
      <c r="E544" s="33">
        <v>25</v>
      </c>
      <c r="F544" s="33">
        <v>2016</v>
      </c>
      <c r="G544" s="27">
        <v>201625</v>
      </c>
    </row>
    <row r="545" spans="1:7" x14ac:dyDescent="0.2">
      <c r="A545" s="22" t="str">
        <f t="shared" si="8"/>
        <v>1625</v>
      </c>
      <c r="B545" s="31">
        <v>42544</v>
      </c>
      <c r="C545" s="32" t="s">
        <v>59</v>
      </c>
      <c r="D545" s="32">
        <v>42540</v>
      </c>
      <c r="E545" s="33">
        <v>25</v>
      </c>
      <c r="F545" s="33">
        <v>2016</v>
      </c>
      <c r="G545" s="27">
        <v>201625</v>
      </c>
    </row>
    <row r="546" spans="1:7" x14ac:dyDescent="0.2">
      <c r="A546" s="22" t="str">
        <f t="shared" si="8"/>
        <v>1625</v>
      </c>
      <c r="B546" s="31">
        <v>42545</v>
      </c>
      <c r="C546" s="32" t="s">
        <v>60</v>
      </c>
      <c r="D546" s="32">
        <v>42540</v>
      </c>
      <c r="E546" s="33">
        <v>25</v>
      </c>
      <c r="F546" s="33">
        <v>2016</v>
      </c>
      <c r="G546" s="27">
        <v>201625</v>
      </c>
    </row>
    <row r="547" spans="1:7" x14ac:dyDescent="0.2">
      <c r="A547" s="22" t="str">
        <f t="shared" si="8"/>
        <v>1625</v>
      </c>
      <c r="B547" s="31">
        <v>42546</v>
      </c>
      <c r="C547" s="32" t="s">
        <v>61</v>
      </c>
      <c r="D547" s="32">
        <v>42540</v>
      </c>
      <c r="E547" s="33">
        <v>25</v>
      </c>
      <c r="F547" s="33">
        <v>2016</v>
      </c>
      <c r="G547" s="27">
        <v>201625</v>
      </c>
    </row>
    <row r="548" spans="1:7" x14ac:dyDescent="0.2">
      <c r="A548" s="22" t="str">
        <f t="shared" si="8"/>
        <v>1626</v>
      </c>
      <c r="B548" s="31">
        <v>42547</v>
      </c>
      <c r="C548" s="32" t="s">
        <v>55</v>
      </c>
      <c r="D548" s="32">
        <v>42547</v>
      </c>
      <c r="E548" s="33">
        <v>26</v>
      </c>
      <c r="F548" s="33">
        <v>2016</v>
      </c>
      <c r="G548" s="27">
        <v>201626</v>
      </c>
    </row>
    <row r="549" spans="1:7" x14ac:dyDescent="0.2">
      <c r="A549" s="22" t="str">
        <f t="shared" si="8"/>
        <v>1626</v>
      </c>
      <c r="B549" s="31">
        <v>42548</v>
      </c>
      <c r="C549" s="32" t="s">
        <v>56</v>
      </c>
      <c r="D549" s="32">
        <v>42547</v>
      </c>
      <c r="E549" s="33">
        <v>26</v>
      </c>
      <c r="F549" s="33">
        <v>2016</v>
      </c>
      <c r="G549" s="27">
        <v>201626</v>
      </c>
    </row>
    <row r="550" spans="1:7" x14ac:dyDescent="0.2">
      <c r="A550" s="22" t="str">
        <f t="shared" si="8"/>
        <v>1626</v>
      </c>
      <c r="B550" s="31">
        <v>42549</v>
      </c>
      <c r="C550" s="32" t="s">
        <v>57</v>
      </c>
      <c r="D550" s="32">
        <v>42547</v>
      </c>
      <c r="E550" s="33">
        <v>26</v>
      </c>
      <c r="F550" s="33">
        <v>2016</v>
      </c>
      <c r="G550" s="27">
        <v>201626</v>
      </c>
    </row>
    <row r="551" spans="1:7" x14ac:dyDescent="0.2">
      <c r="A551" s="22" t="str">
        <f t="shared" si="8"/>
        <v>1626</v>
      </c>
      <c r="B551" s="31">
        <v>42550</v>
      </c>
      <c r="C551" s="32" t="s">
        <v>58</v>
      </c>
      <c r="D551" s="32">
        <v>42547</v>
      </c>
      <c r="E551" s="33">
        <v>26</v>
      </c>
      <c r="F551" s="33">
        <v>2016</v>
      </c>
      <c r="G551" s="27">
        <v>201626</v>
      </c>
    </row>
    <row r="552" spans="1:7" x14ac:dyDescent="0.2">
      <c r="A552" s="22" t="str">
        <f t="shared" si="8"/>
        <v>1626</v>
      </c>
      <c r="B552" s="31">
        <v>42551</v>
      </c>
      <c r="C552" s="32" t="s">
        <v>59</v>
      </c>
      <c r="D552" s="32">
        <v>42547</v>
      </c>
      <c r="E552" s="33">
        <v>26</v>
      </c>
      <c r="F552" s="33">
        <v>2016</v>
      </c>
      <c r="G552" s="27">
        <v>201626</v>
      </c>
    </row>
    <row r="553" spans="1:7" x14ac:dyDescent="0.2">
      <c r="A553" s="22" t="str">
        <f t="shared" si="8"/>
        <v>1626</v>
      </c>
      <c r="B553" s="31">
        <v>42552</v>
      </c>
      <c r="C553" s="32" t="s">
        <v>60</v>
      </c>
      <c r="D553" s="32">
        <v>42547</v>
      </c>
      <c r="E553" s="33">
        <v>26</v>
      </c>
      <c r="F553" s="33">
        <v>2016</v>
      </c>
      <c r="G553" s="27">
        <v>201626</v>
      </c>
    </row>
    <row r="554" spans="1:7" x14ac:dyDescent="0.2">
      <c r="A554" s="22" t="str">
        <f t="shared" si="8"/>
        <v>1626</v>
      </c>
      <c r="B554" s="31">
        <v>42553</v>
      </c>
      <c r="C554" s="32" t="s">
        <v>61</v>
      </c>
      <c r="D554" s="32">
        <v>42547</v>
      </c>
      <c r="E554" s="33">
        <v>26</v>
      </c>
      <c r="F554" s="33">
        <v>2016</v>
      </c>
      <c r="G554" s="27">
        <v>201626</v>
      </c>
    </row>
    <row r="555" spans="1:7" x14ac:dyDescent="0.2">
      <c r="A555" s="22" t="str">
        <f t="shared" si="8"/>
        <v>1627</v>
      </c>
      <c r="B555" s="31">
        <v>42554</v>
      </c>
      <c r="C555" s="32" t="s">
        <v>55</v>
      </c>
      <c r="D555" s="32">
        <v>42554</v>
      </c>
      <c r="E555" s="33">
        <v>27</v>
      </c>
      <c r="F555" s="33">
        <v>2016</v>
      </c>
      <c r="G555" s="27">
        <v>201627</v>
      </c>
    </row>
    <row r="556" spans="1:7" x14ac:dyDescent="0.2">
      <c r="A556" s="22" t="str">
        <f t="shared" si="8"/>
        <v>1627</v>
      </c>
      <c r="B556" s="31">
        <v>42555</v>
      </c>
      <c r="C556" s="32" t="s">
        <v>56</v>
      </c>
      <c r="D556" s="32">
        <v>42554</v>
      </c>
      <c r="E556" s="33">
        <v>27</v>
      </c>
      <c r="F556" s="33">
        <v>2016</v>
      </c>
      <c r="G556" s="27">
        <v>201627</v>
      </c>
    </row>
    <row r="557" spans="1:7" x14ac:dyDescent="0.2">
      <c r="A557" s="22" t="str">
        <f t="shared" si="8"/>
        <v>1627</v>
      </c>
      <c r="B557" s="31">
        <v>42556</v>
      </c>
      <c r="C557" s="32" t="s">
        <v>57</v>
      </c>
      <c r="D557" s="32">
        <v>42554</v>
      </c>
      <c r="E557" s="33">
        <v>27</v>
      </c>
      <c r="F557" s="33">
        <v>2016</v>
      </c>
      <c r="G557" s="27">
        <v>201627</v>
      </c>
    </row>
    <row r="558" spans="1:7" x14ac:dyDescent="0.2">
      <c r="A558" s="22" t="str">
        <f t="shared" si="8"/>
        <v>1627</v>
      </c>
      <c r="B558" s="31">
        <v>42557</v>
      </c>
      <c r="C558" s="32" t="s">
        <v>58</v>
      </c>
      <c r="D558" s="32">
        <v>42554</v>
      </c>
      <c r="E558" s="33">
        <v>27</v>
      </c>
      <c r="F558" s="33">
        <v>2016</v>
      </c>
      <c r="G558" s="27">
        <v>201627</v>
      </c>
    </row>
    <row r="559" spans="1:7" x14ac:dyDescent="0.2">
      <c r="A559" s="22" t="str">
        <f t="shared" si="8"/>
        <v>1627</v>
      </c>
      <c r="B559" s="31">
        <v>42558</v>
      </c>
      <c r="C559" s="32" t="s">
        <v>59</v>
      </c>
      <c r="D559" s="32">
        <v>42554</v>
      </c>
      <c r="E559" s="33">
        <v>27</v>
      </c>
      <c r="F559" s="33">
        <v>2016</v>
      </c>
      <c r="G559" s="27">
        <v>201627</v>
      </c>
    </row>
    <row r="560" spans="1:7" x14ac:dyDescent="0.2">
      <c r="A560" s="22" t="str">
        <f t="shared" si="8"/>
        <v>1627</v>
      </c>
      <c r="B560" s="31">
        <v>42559</v>
      </c>
      <c r="C560" s="32" t="s">
        <v>60</v>
      </c>
      <c r="D560" s="32">
        <v>42554</v>
      </c>
      <c r="E560" s="33">
        <v>27</v>
      </c>
      <c r="F560" s="33">
        <v>2016</v>
      </c>
      <c r="G560" s="27">
        <v>201627</v>
      </c>
    </row>
    <row r="561" spans="1:7" x14ac:dyDescent="0.2">
      <c r="A561" s="22" t="str">
        <f t="shared" si="8"/>
        <v>1627</v>
      </c>
      <c r="B561" s="31">
        <v>42560</v>
      </c>
      <c r="C561" s="32" t="s">
        <v>61</v>
      </c>
      <c r="D561" s="32">
        <v>42554</v>
      </c>
      <c r="E561" s="33">
        <v>27</v>
      </c>
      <c r="F561" s="33">
        <v>2016</v>
      </c>
      <c r="G561" s="27">
        <v>201627</v>
      </c>
    </row>
    <row r="562" spans="1:7" x14ac:dyDescent="0.2">
      <c r="A562" s="22" t="str">
        <f t="shared" si="8"/>
        <v>1628</v>
      </c>
      <c r="B562" s="31">
        <v>42561</v>
      </c>
      <c r="C562" s="32" t="s">
        <v>55</v>
      </c>
      <c r="D562" s="32">
        <v>42561</v>
      </c>
      <c r="E562" s="33">
        <v>28</v>
      </c>
      <c r="F562" s="33">
        <v>2016</v>
      </c>
      <c r="G562" s="27">
        <v>201628</v>
      </c>
    </row>
    <row r="563" spans="1:7" x14ac:dyDescent="0.2">
      <c r="A563" s="22" t="str">
        <f t="shared" si="8"/>
        <v>1628</v>
      </c>
      <c r="B563" s="31">
        <v>42562</v>
      </c>
      <c r="C563" s="32" t="s">
        <v>56</v>
      </c>
      <c r="D563" s="32">
        <v>42561</v>
      </c>
      <c r="E563" s="33">
        <v>28</v>
      </c>
      <c r="F563" s="33">
        <v>2016</v>
      </c>
      <c r="G563" s="27">
        <v>201628</v>
      </c>
    </row>
    <row r="564" spans="1:7" x14ac:dyDescent="0.2">
      <c r="A564" s="22" t="str">
        <f t="shared" si="8"/>
        <v>1628</v>
      </c>
      <c r="B564" s="31">
        <v>42563</v>
      </c>
      <c r="C564" s="32" t="s">
        <v>57</v>
      </c>
      <c r="D564" s="32">
        <v>42561</v>
      </c>
      <c r="E564" s="33">
        <v>28</v>
      </c>
      <c r="F564" s="33">
        <v>2016</v>
      </c>
      <c r="G564" s="27">
        <v>201628</v>
      </c>
    </row>
    <row r="565" spans="1:7" x14ac:dyDescent="0.2">
      <c r="A565" s="22" t="str">
        <f t="shared" si="8"/>
        <v>1628</v>
      </c>
      <c r="B565" s="31">
        <v>42564</v>
      </c>
      <c r="C565" s="32" t="s">
        <v>58</v>
      </c>
      <c r="D565" s="32">
        <v>42561</v>
      </c>
      <c r="E565" s="33">
        <v>28</v>
      </c>
      <c r="F565" s="33">
        <v>2016</v>
      </c>
      <c r="G565" s="27">
        <v>201628</v>
      </c>
    </row>
    <row r="566" spans="1:7" x14ac:dyDescent="0.2">
      <c r="A566" s="22" t="str">
        <f t="shared" si="8"/>
        <v>1628</v>
      </c>
      <c r="B566" s="31">
        <v>42565</v>
      </c>
      <c r="C566" s="32" t="s">
        <v>59</v>
      </c>
      <c r="D566" s="32">
        <v>42561</v>
      </c>
      <c r="E566" s="33">
        <v>28</v>
      </c>
      <c r="F566" s="33">
        <v>2016</v>
      </c>
      <c r="G566" s="27">
        <v>201628</v>
      </c>
    </row>
    <row r="567" spans="1:7" x14ac:dyDescent="0.2">
      <c r="A567" s="22" t="str">
        <f t="shared" si="8"/>
        <v>1628</v>
      </c>
      <c r="B567" s="31">
        <v>42566</v>
      </c>
      <c r="C567" s="32" t="s">
        <v>60</v>
      </c>
      <c r="D567" s="32">
        <v>42561</v>
      </c>
      <c r="E567" s="33">
        <v>28</v>
      </c>
      <c r="F567" s="33">
        <v>2016</v>
      </c>
      <c r="G567" s="27">
        <v>201628</v>
      </c>
    </row>
    <row r="568" spans="1:7" x14ac:dyDescent="0.2">
      <c r="A568" s="22" t="str">
        <f t="shared" si="8"/>
        <v>1628</v>
      </c>
      <c r="B568" s="31">
        <v>42567</v>
      </c>
      <c r="C568" s="32" t="s">
        <v>61</v>
      </c>
      <c r="D568" s="32">
        <v>42561</v>
      </c>
      <c r="E568" s="33">
        <v>28</v>
      </c>
      <c r="F568" s="33">
        <v>2016</v>
      </c>
      <c r="G568" s="27">
        <v>201628</v>
      </c>
    </row>
    <row r="569" spans="1:7" x14ac:dyDescent="0.2">
      <c r="A569" s="22" t="str">
        <f t="shared" si="8"/>
        <v>1629</v>
      </c>
      <c r="B569" s="31">
        <v>42568</v>
      </c>
      <c r="C569" s="32" t="s">
        <v>55</v>
      </c>
      <c r="D569" s="32">
        <v>42568</v>
      </c>
      <c r="E569" s="33">
        <v>29</v>
      </c>
      <c r="F569" s="33">
        <v>2016</v>
      </c>
      <c r="G569" s="27">
        <v>201629</v>
      </c>
    </row>
    <row r="570" spans="1:7" x14ac:dyDescent="0.2">
      <c r="A570" s="22" t="str">
        <f t="shared" si="8"/>
        <v>1629</v>
      </c>
      <c r="B570" s="31">
        <v>42569</v>
      </c>
      <c r="C570" s="32" t="s">
        <v>56</v>
      </c>
      <c r="D570" s="32">
        <v>42568</v>
      </c>
      <c r="E570" s="33">
        <v>29</v>
      </c>
      <c r="F570" s="33">
        <v>2016</v>
      </c>
      <c r="G570" s="27">
        <v>201629</v>
      </c>
    </row>
    <row r="571" spans="1:7" x14ac:dyDescent="0.2">
      <c r="A571" s="22" t="str">
        <f t="shared" si="8"/>
        <v>1629</v>
      </c>
      <c r="B571" s="31">
        <v>42570</v>
      </c>
      <c r="C571" s="32" t="s">
        <v>57</v>
      </c>
      <c r="D571" s="32">
        <v>42568</v>
      </c>
      <c r="E571" s="33">
        <v>29</v>
      </c>
      <c r="F571" s="33">
        <v>2016</v>
      </c>
      <c r="G571" s="27">
        <v>201629</v>
      </c>
    </row>
    <row r="572" spans="1:7" x14ac:dyDescent="0.2">
      <c r="A572" s="22" t="str">
        <f t="shared" si="8"/>
        <v>1629</v>
      </c>
      <c r="B572" s="31">
        <v>42571</v>
      </c>
      <c r="C572" s="32" t="s">
        <v>58</v>
      </c>
      <c r="D572" s="32">
        <v>42568</v>
      </c>
      <c r="E572" s="33">
        <v>29</v>
      </c>
      <c r="F572" s="33">
        <v>2016</v>
      </c>
      <c r="G572" s="27">
        <v>201629</v>
      </c>
    </row>
    <row r="573" spans="1:7" x14ac:dyDescent="0.2">
      <c r="A573" s="22" t="str">
        <f t="shared" si="8"/>
        <v>1629</v>
      </c>
      <c r="B573" s="31">
        <v>42572</v>
      </c>
      <c r="C573" s="32" t="s">
        <v>59</v>
      </c>
      <c r="D573" s="32">
        <v>42568</v>
      </c>
      <c r="E573" s="33">
        <v>29</v>
      </c>
      <c r="F573" s="33">
        <v>2016</v>
      </c>
      <c r="G573" s="27">
        <v>201629</v>
      </c>
    </row>
    <row r="574" spans="1:7" x14ac:dyDescent="0.2">
      <c r="A574" s="22" t="str">
        <f t="shared" si="8"/>
        <v>1629</v>
      </c>
      <c r="B574" s="31">
        <v>42573</v>
      </c>
      <c r="C574" s="32" t="s">
        <v>60</v>
      </c>
      <c r="D574" s="32">
        <v>42568</v>
      </c>
      <c r="E574" s="33">
        <v>29</v>
      </c>
      <c r="F574" s="33">
        <v>2016</v>
      </c>
      <c r="G574" s="27">
        <v>201629</v>
      </c>
    </row>
    <row r="575" spans="1:7" x14ac:dyDescent="0.2">
      <c r="A575" s="22" t="str">
        <f t="shared" si="8"/>
        <v>1629</v>
      </c>
      <c r="B575" s="31">
        <v>42574</v>
      </c>
      <c r="C575" s="32" t="s">
        <v>61</v>
      </c>
      <c r="D575" s="32">
        <v>42568</v>
      </c>
      <c r="E575" s="33">
        <v>29</v>
      </c>
      <c r="F575" s="33">
        <v>2016</v>
      </c>
      <c r="G575" s="27">
        <v>201629</v>
      </c>
    </row>
    <row r="576" spans="1:7" x14ac:dyDescent="0.2">
      <c r="A576" s="22" t="str">
        <f t="shared" si="8"/>
        <v>1630</v>
      </c>
      <c r="B576" s="31">
        <v>42575</v>
      </c>
      <c r="C576" s="32" t="s">
        <v>55</v>
      </c>
      <c r="D576" s="32">
        <v>42575</v>
      </c>
      <c r="E576" s="33">
        <v>30</v>
      </c>
      <c r="F576" s="33">
        <v>2016</v>
      </c>
      <c r="G576" s="27">
        <v>201630</v>
      </c>
    </row>
    <row r="577" spans="1:7" x14ac:dyDescent="0.2">
      <c r="A577" s="22" t="str">
        <f t="shared" si="8"/>
        <v>1630</v>
      </c>
      <c r="B577" s="31">
        <v>42576</v>
      </c>
      <c r="C577" s="32" t="s">
        <v>56</v>
      </c>
      <c r="D577" s="32">
        <v>42575</v>
      </c>
      <c r="E577" s="33">
        <v>30</v>
      </c>
      <c r="F577" s="33">
        <v>2016</v>
      </c>
      <c r="G577" s="27">
        <v>201630</v>
      </c>
    </row>
    <row r="578" spans="1:7" x14ac:dyDescent="0.2">
      <c r="A578" s="22" t="str">
        <f t="shared" si="8"/>
        <v>1630</v>
      </c>
      <c r="B578" s="31">
        <v>42577</v>
      </c>
      <c r="C578" s="32" t="s">
        <v>57</v>
      </c>
      <c r="D578" s="32">
        <v>42575</v>
      </c>
      <c r="E578" s="33">
        <v>30</v>
      </c>
      <c r="F578" s="33">
        <v>2016</v>
      </c>
      <c r="G578" s="27">
        <v>201630</v>
      </c>
    </row>
    <row r="579" spans="1:7" x14ac:dyDescent="0.2">
      <c r="A579" s="22" t="str">
        <f t="shared" ref="A579:A642" si="9">RIGHT(G579,4)</f>
        <v>1630</v>
      </c>
      <c r="B579" s="31">
        <v>42578</v>
      </c>
      <c r="C579" s="32" t="s">
        <v>58</v>
      </c>
      <c r="D579" s="32">
        <v>42575</v>
      </c>
      <c r="E579" s="33">
        <v>30</v>
      </c>
      <c r="F579" s="33">
        <v>2016</v>
      </c>
      <c r="G579" s="27">
        <v>201630</v>
      </c>
    </row>
    <row r="580" spans="1:7" x14ac:dyDescent="0.2">
      <c r="A580" s="22" t="str">
        <f t="shared" si="9"/>
        <v>1630</v>
      </c>
      <c r="B580" s="31">
        <v>42579</v>
      </c>
      <c r="C580" s="32" t="s">
        <v>59</v>
      </c>
      <c r="D580" s="32">
        <v>42575</v>
      </c>
      <c r="E580" s="33">
        <v>30</v>
      </c>
      <c r="F580" s="33">
        <v>2016</v>
      </c>
      <c r="G580" s="27">
        <v>201630</v>
      </c>
    </row>
    <row r="581" spans="1:7" x14ac:dyDescent="0.2">
      <c r="A581" s="22" t="str">
        <f t="shared" si="9"/>
        <v>1630</v>
      </c>
      <c r="B581" s="31">
        <v>42580</v>
      </c>
      <c r="C581" s="32" t="s">
        <v>60</v>
      </c>
      <c r="D581" s="32">
        <v>42575</v>
      </c>
      <c r="E581" s="33">
        <v>30</v>
      </c>
      <c r="F581" s="33">
        <v>2016</v>
      </c>
      <c r="G581" s="27">
        <v>201630</v>
      </c>
    </row>
    <row r="582" spans="1:7" x14ac:dyDescent="0.2">
      <c r="A582" s="22" t="str">
        <f t="shared" si="9"/>
        <v>1630</v>
      </c>
      <c r="B582" s="31">
        <v>42581</v>
      </c>
      <c r="C582" s="32" t="s">
        <v>61</v>
      </c>
      <c r="D582" s="32">
        <v>42575</v>
      </c>
      <c r="E582" s="33">
        <v>30</v>
      </c>
      <c r="F582" s="33">
        <v>2016</v>
      </c>
      <c r="G582" s="27">
        <v>201630</v>
      </c>
    </row>
    <row r="583" spans="1:7" x14ac:dyDescent="0.2">
      <c r="A583" s="22" t="str">
        <f t="shared" si="9"/>
        <v>1631</v>
      </c>
      <c r="B583" s="31">
        <v>42582</v>
      </c>
      <c r="C583" s="32" t="s">
        <v>55</v>
      </c>
      <c r="D583" s="32">
        <v>42582</v>
      </c>
      <c r="E583" s="33">
        <v>31</v>
      </c>
      <c r="F583" s="33">
        <v>2016</v>
      </c>
      <c r="G583" s="27">
        <v>201631</v>
      </c>
    </row>
    <row r="584" spans="1:7" x14ac:dyDescent="0.2">
      <c r="A584" s="22" t="str">
        <f t="shared" si="9"/>
        <v>1631</v>
      </c>
      <c r="B584" s="31">
        <v>42583</v>
      </c>
      <c r="C584" s="32" t="s">
        <v>56</v>
      </c>
      <c r="D584" s="32">
        <v>42582</v>
      </c>
      <c r="E584" s="33">
        <v>31</v>
      </c>
      <c r="F584" s="33">
        <v>2016</v>
      </c>
      <c r="G584" s="27">
        <v>201631</v>
      </c>
    </row>
    <row r="585" spans="1:7" x14ac:dyDescent="0.2">
      <c r="A585" s="22" t="str">
        <f t="shared" si="9"/>
        <v>1631</v>
      </c>
      <c r="B585" s="31">
        <v>42584</v>
      </c>
      <c r="C585" s="32" t="s">
        <v>57</v>
      </c>
      <c r="D585" s="32">
        <v>42582</v>
      </c>
      <c r="E585" s="33">
        <v>31</v>
      </c>
      <c r="F585" s="33">
        <v>2016</v>
      </c>
      <c r="G585" s="27">
        <v>201631</v>
      </c>
    </row>
    <row r="586" spans="1:7" x14ac:dyDescent="0.2">
      <c r="A586" s="22" t="str">
        <f t="shared" si="9"/>
        <v>1631</v>
      </c>
      <c r="B586" s="31">
        <v>42585</v>
      </c>
      <c r="C586" s="32" t="s">
        <v>58</v>
      </c>
      <c r="D586" s="32">
        <v>42582</v>
      </c>
      <c r="E586" s="33">
        <v>31</v>
      </c>
      <c r="F586" s="33">
        <v>2016</v>
      </c>
      <c r="G586" s="27">
        <v>201631</v>
      </c>
    </row>
    <row r="587" spans="1:7" x14ac:dyDescent="0.2">
      <c r="A587" s="22" t="str">
        <f t="shared" si="9"/>
        <v>1631</v>
      </c>
      <c r="B587" s="31">
        <v>42586</v>
      </c>
      <c r="C587" s="32" t="s">
        <v>59</v>
      </c>
      <c r="D587" s="32">
        <v>42582</v>
      </c>
      <c r="E587" s="33">
        <v>31</v>
      </c>
      <c r="F587" s="33">
        <v>2016</v>
      </c>
      <c r="G587" s="27">
        <v>201631</v>
      </c>
    </row>
    <row r="588" spans="1:7" x14ac:dyDescent="0.2">
      <c r="A588" s="22" t="str">
        <f t="shared" si="9"/>
        <v>1631</v>
      </c>
      <c r="B588" s="31">
        <v>42587</v>
      </c>
      <c r="C588" s="32" t="s">
        <v>60</v>
      </c>
      <c r="D588" s="32">
        <v>42582</v>
      </c>
      <c r="E588" s="33">
        <v>31</v>
      </c>
      <c r="F588" s="33">
        <v>2016</v>
      </c>
      <c r="G588" s="27">
        <v>201631</v>
      </c>
    </row>
    <row r="589" spans="1:7" x14ac:dyDescent="0.2">
      <c r="A589" s="22" t="str">
        <f t="shared" si="9"/>
        <v>1631</v>
      </c>
      <c r="B589" s="31">
        <v>42588</v>
      </c>
      <c r="C589" s="32" t="s">
        <v>61</v>
      </c>
      <c r="D589" s="32">
        <v>42582</v>
      </c>
      <c r="E589" s="33">
        <v>31</v>
      </c>
      <c r="F589" s="33">
        <v>2016</v>
      </c>
      <c r="G589" s="27">
        <v>201631</v>
      </c>
    </row>
    <row r="590" spans="1:7" x14ac:dyDescent="0.2">
      <c r="A590" s="22" t="str">
        <f t="shared" si="9"/>
        <v>1632</v>
      </c>
      <c r="B590" s="31">
        <v>42589</v>
      </c>
      <c r="C590" s="32" t="s">
        <v>55</v>
      </c>
      <c r="D590" s="32">
        <v>42589</v>
      </c>
      <c r="E590" s="33">
        <v>32</v>
      </c>
      <c r="F590" s="33">
        <v>2016</v>
      </c>
      <c r="G590" s="27">
        <v>201632</v>
      </c>
    </row>
    <row r="591" spans="1:7" x14ac:dyDescent="0.2">
      <c r="A591" s="22" t="str">
        <f t="shared" si="9"/>
        <v>1632</v>
      </c>
      <c r="B591" s="31">
        <v>42590</v>
      </c>
      <c r="C591" s="32" t="s">
        <v>56</v>
      </c>
      <c r="D591" s="32">
        <v>42589</v>
      </c>
      <c r="E591" s="33">
        <v>32</v>
      </c>
      <c r="F591" s="33">
        <v>2016</v>
      </c>
      <c r="G591" s="27">
        <v>201632</v>
      </c>
    </row>
    <row r="592" spans="1:7" x14ac:dyDescent="0.2">
      <c r="A592" s="22" t="str">
        <f t="shared" si="9"/>
        <v>1632</v>
      </c>
      <c r="B592" s="31">
        <v>42591</v>
      </c>
      <c r="C592" s="32" t="s">
        <v>57</v>
      </c>
      <c r="D592" s="32">
        <v>42589</v>
      </c>
      <c r="E592" s="33">
        <v>32</v>
      </c>
      <c r="F592" s="33">
        <v>2016</v>
      </c>
      <c r="G592" s="27">
        <v>201632</v>
      </c>
    </row>
    <row r="593" spans="1:7" x14ac:dyDescent="0.2">
      <c r="A593" s="22" t="str">
        <f t="shared" si="9"/>
        <v>1632</v>
      </c>
      <c r="B593" s="31">
        <v>42592</v>
      </c>
      <c r="C593" s="32" t="s">
        <v>58</v>
      </c>
      <c r="D593" s="32">
        <v>42589</v>
      </c>
      <c r="E593" s="33">
        <v>32</v>
      </c>
      <c r="F593" s="33">
        <v>2016</v>
      </c>
      <c r="G593" s="27">
        <v>201632</v>
      </c>
    </row>
    <row r="594" spans="1:7" x14ac:dyDescent="0.2">
      <c r="A594" s="22" t="str">
        <f t="shared" si="9"/>
        <v>1632</v>
      </c>
      <c r="B594" s="31">
        <v>42593</v>
      </c>
      <c r="C594" s="32" t="s">
        <v>59</v>
      </c>
      <c r="D594" s="32">
        <v>42589</v>
      </c>
      <c r="E594" s="33">
        <v>32</v>
      </c>
      <c r="F594" s="33">
        <v>2016</v>
      </c>
      <c r="G594" s="27">
        <v>201632</v>
      </c>
    </row>
    <row r="595" spans="1:7" x14ac:dyDescent="0.2">
      <c r="A595" s="22" t="str">
        <f t="shared" si="9"/>
        <v>1632</v>
      </c>
      <c r="B595" s="31">
        <v>42594</v>
      </c>
      <c r="C595" s="32" t="s">
        <v>60</v>
      </c>
      <c r="D595" s="32">
        <v>42589</v>
      </c>
      <c r="E595" s="33">
        <v>32</v>
      </c>
      <c r="F595" s="33">
        <v>2016</v>
      </c>
      <c r="G595" s="27">
        <v>201632</v>
      </c>
    </row>
    <row r="596" spans="1:7" x14ac:dyDescent="0.2">
      <c r="A596" s="22" t="str">
        <f t="shared" si="9"/>
        <v>1632</v>
      </c>
      <c r="B596" s="31">
        <v>42595</v>
      </c>
      <c r="C596" s="32" t="s">
        <v>61</v>
      </c>
      <c r="D596" s="32">
        <v>42589</v>
      </c>
      <c r="E596" s="33">
        <v>32</v>
      </c>
      <c r="F596" s="33">
        <v>2016</v>
      </c>
      <c r="G596" s="27">
        <v>201632</v>
      </c>
    </row>
    <row r="597" spans="1:7" x14ac:dyDescent="0.2">
      <c r="A597" s="22" t="str">
        <f t="shared" si="9"/>
        <v>1633</v>
      </c>
      <c r="B597" s="31">
        <v>42596</v>
      </c>
      <c r="C597" s="32" t="s">
        <v>55</v>
      </c>
      <c r="D597" s="32">
        <v>42596</v>
      </c>
      <c r="E597" s="33">
        <v>33</v>
      </c>
      <c r="F597" s="33">
        <v>2016</v>
      </c>
      <c r="G597" s="27">
        <v>201633</v>
      </c>
    </row>
    <row r="598" spans="1:7" x14ac:dyDescent="0.2">
      <c r="A598" s="22" t="str">
        <f t="shared" si="9"/>
        <v>1633</v>
      </c>
      <c r="B598" s="31">
        <v>42597</v>
      </c>
      <c r="C598" s="32" t="s">
        <v>56</v>
      </c>
      <c r="D598" s="32">
        <v>42596</v>
      </c>
      <c r="E598" s="33">
        <v>33</v>
      </c>
      <c r="F598" s="33">
        <v>2016</v>
      </c>
      <c r="G598" s="27">
        <v>201633</v>
      </c>
    </row>
    <row r="599" spans="1:7" x14ac:dyDescent="0.2">
      <c r="A599" s="22" t="str">
        <f t="shared" si="9"/>
        <v>1633</v>
      </c>
      <c r="B599" s="31">
        <v>42598</v>
      </c>
      <c r="C599" s="32" t="s">
        <v>57</v>
      </c>
      <c r="D599" s="32">
        <v>42596</v>
      </c>
      <c r="E599" s="33">
        <v>33</v>
      </c>
      <c r="F599" s="33">
        <v>2016</v>
      </c>
      <c r="G599" s="27">
        <v>201633</v>
      </c>
    </row>
    <row r="600" spans="1:7" x14ac:dyDescent="0.2">
      <c r="A600" s="22" t="str">
        <f t="shared" si="9"/>
        <v>1633</v>
      </c>
      <c r="B600" s="31">
        <v>42599</v>
      </c>
      <c r="C600" s="32" t="s">
        <v>58</v>
      </c>
      <c r="D600" s="32">
        <v>42596</v>
      </c>
      <c r="E600" s="33">
        <v>33</v>
      </c>
      <c r="F600" s="33">
        <v>2016</v>
      </c>
      <c r="G600" s="27">
        <v>201633</v>
      </c>
    </row>
    <row r="601" spans="1:7" x14ac:dyDescent="0.2">
      <c r="A601" s="22" t="str">
        <f t="shared" si="9"/>
        <v>1633</v>
      </c>
      <c r="B601" s="31">
        <v>42600</v>
      </c>
      <c r="C601" s="32" t="s">
        <v>59</v>
      </c>
      <c r="D601" s="32">
        <v>42596</v>
      </c>
      <c r="E601" s="33">
        <v>33</v>
      </c>
      <c r="F601" s="33">
        <v>2016</v>
      </c>
      <c r="G601" s="27">
        <v>201633</v>
      </c>
    </row>
    <row r="602" spans="1:7" x14ac:dyDescent="0.2">
      <c r="A602" s="22" t="str">
        <f t="shared" si="9"/>
        <v>1633</v>
      </c>
      <c r="B602" s="31">
        <v>42601</v>
      </c>
      <c r="C602" s="32" t="s">
        <v>60</v>
      </c>
      <c r="D602" s="32">
        <v>42596</v>
      </c>
      <c r="E602" s="33">
        <v>33</v>
      </c>
      <c r="F602" s="33">
        <v>2016</v>
      </c>
      <c r="G602" s="27">
        <v>201633</v>
      </c>
    </row>
    <row r="603" spans="1:7" x14ac:dyDescent="0.2">
      <c r="A603" s="22" t="str">
        <f t="shared" si="9"/>
        <v>1633</v>
      </c>
      <c r="B603" s="31">
        <v>42602</v>
      </c>
      <c r="C603" s="32" t="s">
        <v>61</v>
      </c>
      <c r="D603" s="32">
        <v>42596</v>
      </c>
      <c r="E603" s="33">
        <v>33</v>
      </c>
      <c r="F603" s="33">
        <v>2016</v>
      </c>
      <c r="G603" s="27">
        <v>201633</v>
      </c>
    </row>
    <row r="604" spans="1:7" x14ac:dyDescent="0.2">
      <c r="A604" s="22" t="str">
        <f t="shared" si="9"/>
        <v>1634</v>
      </c>
      <c r="B604" s="31">
        <v>42603</v>
      </c>
      <c r="C604" s="32" t="s">
        <v>55</v>
      </c>
      <c r="D604" s="32">
        <v>42603</v>
      </c>
      <c r="E604" s="33">
        <v>34</v>
      </c>
      <c r="F604" s="33">
        <v>2016</v>
      </c>
      <c r="G604" s="27">
        <v>201634</v>
      </c>
    </row>
    <row r="605" spans="1:7" x14ac:dyDescent="0.2">
      <c r="A605" s="22" t="str">
        <f t="shared" si="9"/>
        <v>1634</v>
      </c>
      <c r="B605" s="31">
        <v>42604</v>
      </c>
      <c r="C605" s="32" t="s">
        <v>56</v>
      </c>
      <c r="D605" s="32">
        <v>42603</v>
      </c>
      <c r="E605" s="33">
        <v>34</v>
      </c>
      <c r="F605" s="33">
        <v>2016</v>
      </c>
      <c r="G605" s="27">
        <v>201634</v>
      </c>
    </row>
    <row r="606" spans="1:7" x14ac:dyDescent="0.2">
      <c r="A606" s="22" t="str">
        <f t="shared" si="9"/>
        <v>1634</v>
      </c>
      <c r="B606" s="31">
        <v>42605</v>
      </c>
      <c r="C606" s="32" t="s">
        <v>57</v>
      </c>
      <c r="D606" s="32">
        <v>42603</v>
      </c>
      <c r="E606" s="33">
        <v>34</v>
      </c>
      <c r="F606" s="33">
        <v>2016</v>
      </c>
      <c r="G606" s="27">
        <v>201634</v>
      </c>
    </row>
    <row r="607" spans="1:7" x14ac:dyDescent="0.2">
      <c r="A607" s="22" t="str">
        <f t="shared" si="9"/>
        <v>1634</v>
      </c>
      <c r="B607" s="31">
        <v>42606</v>
      </c>
      <c r="C607" s="32" t="s">
        <v>58</v>
      </c>
      <c r="D607" s="32">
        <v>42603</v>
      </c>
      <c r="E607" s="33">
        <v>34</v>
      </c>
      <c r="F607" s="33">
        <v>2016</v>
      </c>
      <c r="G607" s="27">
        <v>201634</v>
      </c>
    </row>
    <row r="608" spans="1:7" x14ac:dyDescent="0.2">
      <c r="A608" s="22" t="str">
        <f t="shared" si="9"/>
        <v>1634</v>
      </c>
      <c r="B608" s="31">
        <v>42607</v>
      </c>
      <c r="C608" s="32" t="s">
        <v>59</v>
      </c>
      <c r="D608" s="32">
        <v>42603</v>
      </c>
      <c r="E608" s="33">
        <v>34</v>
      </c>
      <c r="F608" s="33">
        <v>2016</v>
      </c>
      <c r="G608" s="27">
        <v>201634</v>
      </c>
    </row>
    <row r="609" spans="1:7" x14ac:dyDescent="0.2">
      <c r="A609" s="22" t="str">
        <f t="shared" si="9"/>
        <v>1634</v>
      </c>
      <c r="B609" s="31">
        <v>42608</v>
      </c>
      <c r="C609" s="32" t="s">
        <v>60</v>
      </c>
      <c r="D609" s="32">
        <v>42603</v>
      </c>
      <c r="E609" s="33">
        <v>34</v>
      </c>
      <c r="F609" s="33">
        <v>2016</v>
      </c>
      <c r="G609" s="27">
        <v>201634</v>
      </c>
    </row>
    <row r="610" spans="1:7" x14ac:dyDescent="0.2">
      <c r="A610" s="22" t="str">
        <f t="shared" si="9"/>
        <v>1634</v>
      </c>
      <c r="B610" s="31">
        <v>42609</v>
      </c>
      <c r="C610" s="32" t="s">
        <v>61</v>
      </c>
      <c r="D610" s="32">
        <v>42603</v>
      </c>
      <c r="E610" s="33">
        <v>34</v>
      </c>
      <c r="F610" s="33">
        <v>2016</v>
      </c>
      <c r="G610" s="27">
        <v>201634</v>
      </c>
    </row>
    <row r="611" spans="1:7" x14ac:dyDescent="0.2">
      <c r="A611" s="22" t="str">
        <f t="shared" si="9"/>
        <v>1635</v>
      </c>
      <c r="B611" s="31">
        <v>42610</v>
      </c>
      <c r="C611" s="32" t="s">
        <v>55</v>
      </c>
      <c r="D611" s="32">
        <v>42610</v>
      </c>
      <c r="E611" s="33">
        <v>35</v>
      </c>
      <c r="F611" s="33">
        <v>2016</v>
      </c>
      <c r="G611" s="27">
        <v>201635</v>
      </c>
    </row>
    <row r="612" spans="1:7" x14ac:dyDescent="0.2">
      <c r="A612" s="22" t="str">
        <f t="shared" si="9"/>
        <v>1635</v>
      </c>
      <c r="B612" s="31">
        <v>42611</v>
      </c>
      <c r="C612" s="32" t="s">
        <v>56</v>
      </c>
      <c r="D612" s="32">
        <v>42610</v>
      </c>
      <c r="E612" s="33">
        <v>35</v>
      </c>
      <c r="F612" s="33">
        <v>2016</v>
      </c>
      <c r="G612" s="27">
        <v>201635</v>
      </c>
    </row>
    <row r="613" spans="1:7" x14ac:dyDescent="0.2">
      <c r="A613" s="22" t="str">
        <f t="shared" si="9"/>
        <v>1635</v>
      </c>
      <c r="B613" s="31">
        <v>42612</v>
      </c>
      <c r="C613" s="32" t="s">
        <v>57</v>
      </c>
      <c r="D613" s="32">
        <v>42610</v>
      </c>
      <c r="E613" s="33">
        <v>35</v>
      </c>
      <c r="F613" s="33">
        <v>2016</v>
      </c>
      <c r="G613" s="27">
        <v>201635</v>
      </c>
    </row>
    <row r="614" spans="1:7" x14ac:dyDescent="0.2">
      <c r="A614" s="22" t="str">
        <f t="shared" si="9"/>
        <v>1635</v>
      </c>
      <c r="B614" s="31">
        <v>42613</v>
      </c>
      <c r="C614" s="32" t="s">
        <v>58</v>
      </c>
      <c r="D614" s="32">
        <v>42610</v>
      </c>
      <c r="E614" s="33">
        <v>35</v>
      </c>
      <c r="F614" s="33">
        <v>2016</v>
      </c>
      <c r="G614" s="27">
        <v>201635</v>
      </c>
    </row>
    <row r="615" spans="1:7" x14ac:dyDescent="0.2">
      <c r="A615" s="22" t="str">
        <f t="shared" si="9"/>
        <v>1635</v>
      </c>
      <c r="B615" s="31">
        <v>42614</v>
      </c>
      <c r="C615" s="32" t="s">
        <v>59</v>
      </c>
      <c r="D615" s="32">
        <v>42610</v>
      </c>
      <c r="E615" s="33">
        <v>35</v>
      </c>
      <c r="F615" s="33">
        <v>2016</v>
      </c>
      <c r="G615" s="27">
        <v>201635</v>
      </c>
    </row>
    <row r="616" spans="1:7" x14ac:dyDescent="0.2">
      <c r="A616" s="22" t="str">
        <f t="shared" si="9"/>
        <v>1635</v>
      </c>
      <c r="B616" s="31">
        <v>42615</v>
      </c>
      <c r="C616" s="32" t="s">
        <v>60</v>
      </c>
      <c r="D616" s="32">
        <v>42610</v>
      </c>
      <c r="E616" s="33">
        <v>35</v>
      </c>
      <c r="F616" s="33">
        <v>2016</v>
      </c>
      <c r="G616" s="27">
        <v>201635</v>
      </c>
    </row>
    <row r="617" spans="1:7" x14ac:dyDescent="0.2">
      <c r="A617" s="22" t="str">
        <f t="shared" si="9"/>
        <v>1635</v>
      </c>
      <c r="B617" s="31">
        <v>42616</v>
      </c>
      <c r="C617" s="32" t="s">
        <v>61</v>
      </c>
      <c r="D617" s="32">
        <v>42610</v>
      </c>
      <c r="E617" s="33">
        <v>35</v>
      </c>
      <c r="F617" s="33">
        <v>2016</v>
      </c>
      <c r="G617" s="27">
        <v>201635</v>
      </c>
    </row>
    <row r="618" spans="1:7" x14ac:dyDescent="0.2">
      <c r="A618" s="22" t="str">
        <f t="shared" si="9"/>
        <v>1636</v>
      </c>
      <c r="B618" s="31">
        <v>42617</v>
      </c>
      <c r="C618" s="32" t="s">
        <v>55</v>
      </c>
      <c r="D618" s="32">
        <v>42617</v>
      </c>
      <c r="E618" s="33">
        <v>36</v>
      </c>
      <c r="F618" s="33">
        <v>2016</v>
      </c>
      <c r="G618" s="27">
        <v>201636</v>
      </c>
    </row>
    <row r="619" spans="1:7" x14ac:dyDescent="0.2">
      <c r="A619" s="22" t="str">
        <f t="shared" si="9"/>
        <v>1636</v>
      </c>
      <c r="B619" s="31">
        <v>42618</v>
      </c>
      <c r="C619" s="32" t="s">
        <v>56</v>
      </c>
      <c r="D619" s="32">
        <v>42617</v>
      </c>
      <c r="E619" s="33">
        <v>36</v>
      </c>
      <c r="F619" s="33">
        <v>2016</v>
      </c>
      <c r="G619" s="27">
        <v>201636</v>
      </c>
    </row>
    <row r="620" spans="1:7" x14ac:dyDescent="0.2">
      <c r="A620" s="22" t="str">
        <f t="shared" si="9"/>
        <v>1636</v>
      </c>
      <c r="B620" s="31">
        <v>42619</v>
      </c>
      <c r="C620" s="32" t="s">
        <v>57</v>
      </c>
      <c r="D620" s="32">
        <v>42617</v>
      </c>
      <c r="E620" s="33">
        <v>36</v>
      </c>
      <c r="F620" s="33">
        <v>2016</v>
      </c>
      <c r="G620" s="27">
        <v>201636</v>
      </c>
    </row>
    <row r="621" spans="1:7" x14ac:dyDescent="0.2">
      <c r="A621" s="22" t="str">
        <f t="shared" si="9"/>
        <v>1636</v>
      </c>
      <c r="B621" s="31">
        <v>42620</v>
      </c>
      <c r="C621" s="32" t="s">
        <v>58</v>
      </c>
      <c r="D621" s="32">
        <v>42617</v>
      </c>
      <c r="E621" s="33">
        <v>36</v>
      </c>
      <c r="F621" s="33">
        <v>2016</v>
      </c>
      <c r="G621" s="27">
        <v>201636</v>
      </c>
    </row>
    <row r="622" spans="1:7" x14ac:dyDescent="0.2">
      <c r="A622" s="22" t="str">
        <f t="shared" si="9"/>
        <v>1636</v>
      </c>
      <c r="B622" s="31">
        <v>42621</v>
      </c>
      <c r="C622" s="32" t="s">
        <v>59</v>
      </c>
      <c r="D622" s="32">
        <v>42617</v>
      </c>
      <c r="E622" s="33">
        <v>36</v>
      </c>
      <c r="F622" s="33">
        <v>2016</v>
      </c>
      <c r="G622" s="27">
        <v>201636</v>
      </c>
    </row>
    <row r="623" spans="1:7" x14ac:dyDescent="0.2">
      <c r="A623" s="22" t="str">
        <f t="shared" si="9"/>
        <v>1636</v>
      </c>
      <c r="B623" s="31">
        <v>42622</v>
      </c>
      <c r="C623" s="32" t="s">
        <v>60</v>
      </c>
      <c r="D623" s="32">
        <v>42617</v>
      </c>
      <c r="E623" s="33">
        <v>36</v>
      </c>
      <c r="F623" s="33">
        <v>2016</v>
      </c>
      <c r="G623" s="27">
        <v>201636</v>
      </c>
    </row>
    <row r="624" spans="1:7" x14ac:dyDescent="0.2">
      <c r="A624" s="22" t="str">
        <f t="shared" si="9"/>
        <v>1636</v>
      </c>
      <c r="B624" s="31">
        <v>42623</v>
      </c>
      <c r="C624" s="32" t="s">
        <v>61</v>
      </c>
      <c r="D624" s="32">
        <v>42617</v>
      </c>
      <c r="E624" s="33">
        <v>36</v>
      </c>
      <c r="F624" s="33">
        <v>2016</v>
      </c>
      <c r="G624" s="27">
        <v>201636</v>
      </c>
    </row>
    <row r="625" spans="1:7" x14ac:dyDescent="0.2">
      <c r="A625" s="22" t="str">
        <f t="shared" si="9"/>
        <v>1637</v>
      </c>
      <c r="B625" s="31">
        <v>42624</v>
      </c>
      <c r="C625" s="32" t="s">
        <v>55</v>
      </c>
      <c r="D625" s="32">
        <v>42624</v>
      </c>
      <c r="E625" s="33">
        <v>37</v>
      </c>
      <c r="F625" s="33">
        <v>2016</v>
      </c>
      <c r="G625" s="27">
        <v>201637</v>
      </c>
    </row>
    <row r="626" spans="1:7" x14ac:dyDescent="0.2">
      <c r="A626" s="22" t="str">
        <f t="shared" si="9"/>
        <v>1637</v>
      </c>
      <c r="B626" s="31">
        <v>42625</v>
      </c>
      <c r="C626" s="32" t="s">
        <v>56</v>
      </c>
      <c r="D626" s="32">
        <v>42624</v>
      </c>
      <c r="E626" s="33">
        <v>37</v>
      </c>
      <c r="F626" s="33">
        <v>2016</v>
      </c>
      <c r="G626" s="27">
        <v>201637</v>
      </c>
    </row>
    <row r="627" spans="1:7" x14ac:dyDescent="0.2">
      <c r="A627" s="22" t="str">
        <f t="shared" si="9"/>
        <v>1637</v>
      </c>
      <c r="B627" s="31">
        <v>42626</v>
      </c>
      <c r="C627" s="32" t="s">
        <v>57</v>
      </c>
      <c r="D627" s="32">
        <v>42624</v>
      </c>
      <c r="E627" s="33">
        <v>37</v>
      </c>
      <c r="F627" s="33">
        <v>2016</v>
      </c>
      <c r="G627" s="27">
        <v>201637</v>
      </c>
    </row>
    <row r="628" spans="1:7" x14ac:dyDescent="0.2">
      <c r="A628" s="22" t="str">
        <f t="shared" si="9"/>
        <v>1637</v>
      </c>
      <c r="B628" s="31">
        <v>42627</v>
      </c>
      <c r="C628" s="32" t="s">
        <v>58</v>
      </c>
      <c r="D628" s="32">
        <v>42624</v>
      </c>
      <c r="E628" s="33">
        <v>37</v>
      </c>
      <c r="F628" s="33">
        <v>2016</v>
      </c>
      <c r="G628" s="27">
        <v>201637</v>
      </c>
    </row>
    <row r="629" spans="1:7" x14ac:dyDescent="0.2">
      <c r="A629" s="22" t="str">
        <f t="shared" si="9"/>
        <v>1637</v>
      </c>
      <c r="B629" s="31">
        <v>42628</v>
      </c>
      <c r="C629" s="32" t="s">
        <v>59</v>
      </c>
      <c r="D629" s="32">
        <v>42624</v>
      </c>
      <c r="E629" s="33">
        <v>37</v>
      </c>
      <c r="F629" s="33">
        <v>2016</v>
      </c>
      <c r="G629" s="27">
        <v>201637</v>
      </c>
    </row>
    <row r="630" spans="1:7" x14ac:dyDescent="0.2">
      <c r="A630" s="22" t="str">
        <f t="shared" si="9"/>
        <v>1637</v>
      </c>
      <c r="B630" s="31">
        <v>42629</v>
      </c>
      <c r="C630" s="32" t="s">
        <v>60</v>
      </c>
      <c r="D630" s="32">
        <v>42624</v>
      </c>
      <c r="E630" s="33">
        <v>37</v>
      </c>
      <c r="F630" s="33">
        <v>2016</v>
      </c>
      <c r="G630" s="27">
        <v>201637</v>
      </c>
    </row>
    <row r="631" spans="1:7" x14ac:dyDescent="0.2">
      <c r="A631" s="22" t="str">
        <f t="shared" si="9"/>
        <v>1637</v>
      </c>
      <c r="B631" s="31">
        <v>42630</v>
      </c>
      <c r="C631" s="32" t="s">
        <v>61</v>
      </c>
      <c r="D631" s="32">
        <v>42624</v>
      </c>
      <c r="E631" s="33">
        <v>37</v>
      </c>
      <c r="F631" s="33">
        <v>2016</v>
      </c>
      <c r="G631" s="27">
        <v>201637</v>
      </c>
    </row>
    <row r="632" spans="1:7" x14ac:dyDescent="0.2">
      <c r="A632" s="22" t="str">
        <f t="shared" si="9"/>
        <v>1638</v>
      </c>
      <c r="B632" s="31">
        <v>42631</v>
      </c>
      <c r="C632" s="32" t="s">
        <v>55</v>
      </c>
      <c r="D632" s="32">
        <v>42631</v>
      </c>
      <c r="E632" s="33">
        <v>38</v>
      </c>
      <c r="F632" s="33">
        <v>2016</v>
      </c>
      <c r="G632" s="27">
        <v>201638</v>
      </c>
    </row>
    <row r="633" spans="1:7" x14ac:dyDescent="0.2">
      <c r="A633" s="22" t="str">
        <f t="shared" si="9"/>
        <v>1638</v>
      </c>
      <c r="B633" s="31">
        <v>42632</v>
      </c>
      <c r="C633" s="32" t="s">
        <v>56</v>
      </c>
      <c r="D633" s="32">
        <v>42631</v>
      </c>
      <c r="E633" s="33">
        <v>38</v>
      </c>
      <c r="F633" s="33">
        <v>2016</v>
      </c>
      <c r="G633" s="27">
        <v>201638</v>
      </c>
    </row>
    <row r="634" spans="1:7" x14ac:dyDescent="0.2">
      <c r="A634" s="22" t="str">
        <f t="shared" si="9"/>
        <v>1638</v>
      </c>
      <c r="B634" s="31">
        <v>42633</v>
      </c>
      <c r="C634" s="32" t="s">
        <v>57</v>
      </c>
      <c r="D634" s="32">
        <v>42631</v>
      </c>
      <c r="E634" s="33">
        <v>38</v>
      </c>
      <c r="F634" s="33">
        <v>2016</v>
      </c>
      <c r="G634" s="27">
        <v>201638</v>
      </c>
    </row>
    <row r="635" spans="1:7" x14ac:dyDescent="0.2">
      <c r="A635" s="22" t="str">
        <f t="shared" si="9"/>
        <v>1638</v>
      </c>
      <c r="B635" s="31">
        <v>42634</v>
      </c>
      <c r="C635" s="32" t="s">
        <v>58</v>
      </c>
      <c r="D635" s="32">
        <v>42631</v>
      </c>
      <c r="E635" s="33">
        <v>38</v>
      </c>
      <c r="F635" s="33">
        <v>2016</v>
      </c>
      <c r="G635" s="27">
        <v>201638</v>
      </c>
    </row>
    <row r="636" spans="1:7" x14ac:dyDescent="0.2">
      <c r="A636" s="22" t="str">
        <f t="shared" si="9"/>
        <v>1638</v>
      </c>
      <c r="B636" s="31">
        <v>42635</v>
      </c>
      <c r="C636" s="32" t="s">
        <v>59</v>
      </c>
      <c r="D636" s="32">
        <v>42631</v>
      </c>
      <c r="E636" s="33">
        <v>38</v>
      </c>
      <c r="F636" s="33">
        <v>2016</v>
      </c>
      <c r="G636" s="27">
        <v>201638</v>
      </c>
    </row>
    <row r="637" spans="1:7" x14ac:dyDescent="0.2">
      <c r="A637" s="22" t="str">
        <f t="shared" si="9"/>
        <v>1638</v>
      </c>
      <c r="B637" s="31">
        <v>42636</v>
      </c>
      <c r="C637" s="32" t="s">
        <v>60</v>
      </c>
      <c r="D637" s="32">
        <v>42631</v>
      </c>
      <c r="E637" s="33">
        <v>38</v>
      </c>
      <c r="F637" s="33">
        <v>2016</v>
      </c>
      <c r="G637" s="27">
        <v>201638</v>
      </c>
    </row>
    <row r="638" spans="1:7" x14ac:dyDescent="0.2">
      <c r="A638" s="22" t="str">
        <f t="shared" si="9"/>
        <v>1638</v>
      </c>
      <c r="B638" s="31">
        <v>42637</v>
      </c>
      <c r="C638" s="32" t="s">
        <v>61</v>
      </c>
      <c r="D638" s="32">
        <v>42631</v>
      </c>
      <c r="E638" s="33">
        <v>38</v>
      </c>
      <c r="F638" s="33">
        <v>2016</v>
      </c>
      <c r="G638" s="27">
        <v>201638</v>
      </c>
    </row>
    <row r="639" spans="1:7" x14ac:dyDescent="0.2">
      <c r="A639" s="22" t="str">
        <f t="shared" si="9"/>
        <v>1639</v>
      </c>
      <c r="B639" s="31">
        <v>42638</v>
      </c>
      <c r="C639" s="32" t="s">
        <v>55</v>
      </c>
      <c r="D639" s="32">
        <v>42638</v>
      </c>
      <c r="E639" s="33">
        <v>39</v>
      </c>
      <c r="F639" s="33">
        <v>2016</v>
      </c>
      <c r="G639" s="27">
        <v>201639</v>
      </c>
    </row>
    <row r="640" spans="1:7" x14ac:dyDescent="0.2">
      <c r="A640" s="22" t="str">
        <f t="shared" si="9"/>
        <v>1639</v>
      </c>
      <c r="B640" s="31">
        <v>42639</v>
      </c>
      <c r="C640" s="32" t="s">
        <v>56</v>
      </c>
      <c r="D640" s="32">
        <v>42638</v>
      </c>
      <c r="E640" s="33">
        <v>39</v>
      </c>
      <c r="F640" s="33">
        <v>2016</v>
      </c>
      <c r="G640" s="27">
        <v>201639</v>
      </c>
    </row>
    <row r="641" spans="1:7" x14ac:dyDescent="0.2">
      <c r="A641" s="22" t="str">
        <f t="shared" si="9"/>
        <v>1639</v>
      </c>
      <c r="B641" s="31">
        <v>42640</v>
      </c>
      <c r="C641" s="32" t="s">
        <v>57</v>
      </c>
      <c r="D641" s="32">
        <v>42638</v>
      </c>
      <c r="E641" s="33">
        <v>39</v>
      </c>
      <c r="F641" s="33">
        <v>2016</v>
      </c>
      <c r="G641" s="27">
        <v>201639</v>
      </c>
    </row>
    <row r="642" spans="1:7" x14ac:dyDescent="0.2">
      <c r="A642" s="22" t="str">
        <f t="shared" si="9"/>
        <v>1639</v>
      </c>
      <c r="B642" s="31">
        <v>42641</v>
      </c>
      <c r="C642" s="32" t="s">
        <v>58</v>
      </c>
      <c r="D642" s="32">
        <v>42638</v>
      </c>
      <c r="E642" s="33">
        <v>39</v>
      </c>
      <c r="F642" s="33">
        <v>2016</v>
      </c>
      <c r="G642" s="27">
        <v>201639</v>
      </c>
    </row>
    <row r="643" spans="1:7" x14ac:dyDescent="0.2">
      <c r="A643" s="22" t="str">
        <f t="shared" ref="A643:A706" si="10">RIGHT(G643,4)</f>
        <v>1639</v>
      </c>
      <c r="B643" s="31">
        <v>42642</v>
      </c>
      <c r="C643" s="32" t="s">
        <v>59</v>
      </c>
      <c r="D643" s="32">
        <v>42638</v>
      </c>
      <c r="E643" s="33">
        <v>39</v>
      </c>
      <c r="F643" s="33">
        <v>2016</v>
      </c>
      <c r="G643" s="27">
        <v>201639</v>
      </c>
    </row>
    <row r="644" spans="1:7" x14ac:dyDescent="0.2">
      <c r="A644" s="22" t="str">
        <f t="shared" si="10"/>
        <v>1639</v>
      </c>
      <c r="B644" s="31">
        <v>42643</v>
      </c>
      <c r="C644" s="32" t="s">
        <v>60</v>
      </c>
      <c r="D644" s="32">
        <v>42638</v>
      </c>
      <c r="E644" s="33">
        <v>39</v>
      </c>
      <c r="F644" s="33">
        <v>2016</v>
      </c>
      <c r="G644" s="27">
        <v>201639</v>
      </c>
    </row>
    <row r="645" spans="1:7" x14ac:dyDescent="0.2">
      <c r="A645" s="22" t="str">
        <f t="shared" si="10"/>
        <v>1639</v>
      </c>
      <c r="B645" s="31">
        <v>42644</v>
      </c>
      <c r="C645" s="32" t="s">
        <v>61</v>
      </c>
      <c r="D645" s="32">
        <v>42638</v>
      </c>
      <c r="E645" s="33">
        <v>39</v>
      </c>
      <c r="F645" s="33">
        <v>2016</v>
      </c>
      <c r="G645" s="27">
        <v>201639</v>
      </c>
    </row>
    <row r="646" spans="1:7" x14ac:dyDescent="0.2">
      <c r="A646" s="22" t="str">
        <f t="shared" si="10"/>
        <v>1640</v>
      </c>
      <c r="B646" s="31">
        <v>42645</v>
      </c>
      <c r="C646" s="32" t="s">
        <v>55</v>
      </c>
      <c r="D646" s="32">
        <v>42645</v>
      </c>
      <c r="E646" s="33">
        <v>40</v>
      </c>
      <c r="F646" s="33">
        <v>2016</v>
      </c>
      <c r="G646" s="27">
        <v>201640</v>
      </c>
    </row>
    <row r="647" spans="1:7" x14ac:dyDescent="0.2">
      <c r="A647" s="22" t="str">
        <f t="shared" si="10"/>
        <v>1640</v>
      </c>
      <c r="B647" s="31">
        <v>42646</v>
      </c>
      <c r="C647" s="32" t="s">
        <v>56</v>
      </c>
      <c r="D647" s="32">
        <v>42645</v>
      </c>
      <c r="E647" s="33">
        <v>40</v>
      </c>
      <c r="F647" s="33">
        <v>2016</v>
      </c>
      <c r="G647" s="27">
        <v>201640</v>
      </c>
    </row>
    <row r="648" spans="1:7" x14ac:dyDescent="0.2">
      <c r="A648" s="22" t="str">
        <f t="shared" si="10"/>
        <v>1640</v>
      </c>
      <c r="B648" s="31">
        <v>42647</v>
      </c>
      <c r="C648" s="32" t="s">
        <v>57</v>
      </c>
      <c r="D648" s="32">
        <v>42645</v>
      </c>
      <c r="E648" s="33">
        <v>40</v>
      </c>
      <c r="F648" s="33">
        <v>2016</v>
      </c>
      <c r="G648" s="27">
        <v>201640</v>
      </c>
    </row>
    <row r="649" spans="1:7" x14ac:dyDescent="0.2">
      <c r="A649" s="22" t="str">
        <f t="shared" si="10"/>
        <v>1640</v>
      </c>
      <c r="B649" s="31">
        <v>42648</v>
      </c>
      <c r="C649" s="32" t="s">
        <v>58</v>
      </c>
      <c r="D649" s="32">
        <v>42645</v>
      </c>
      <c r="E649" s="33">
        <v>40</v>
      </c>
      <c r="F649" s="33">
        <v>2016</v>
      </c>
      <c r="G649" s="27">
        <v>201640</v>
      </c>
    </row>
    <row r="650" spans="1:7" x14ac:dyDescent="0.2">
      <c r="A650" s="22" t="str">
        <f t="shared" si="10"/>
        <v>1640</v>
      </c>
      <c r="B650" s="31">
        <v>42649</v>
      </c>
      <c r="C650" s="32" t="s">
        <v>59</v>
      </c>
      <c r="D650" s="32">
        <v>42645</v>
      </c>
      <c r="E650" s="33">
        <v>40</v>
      </c>
      <c r="F650" s="33">
        <v>2016</v>
      </c>
      <c r="G650" s="27">
        <v>201640</v>
      </c>
    </row>
    <row r="651" spans="1:7" x14ac:dyDescent="0.2">
      <c r="A651" s="22" t="str">
        <f t="shared" si="10"/>
        <v>1640</v>
      </c>
      <c r="B651" s="31">
        <v>42650</v>
      </c>
      <c r="C651" s="32" t="s">
        <v>60</v>
      </c>
      <c r="D651" s="32">
        <v>42645</v>
      </c>
      <c r="E651" s="33">
        <v>40</v>
      </c>
      <c r="F651" s="33">
        <v>2016</v>
      </c>
      <c r="G651" s="27">
        <v>201640</v>
      </c>
    </row>
    <row r="652" spans="1:7" x14ac:dyDescent="0.2">
      <c r="A652" s="22" t="str">
        <f t="shared" si="10"/>
        <v>1640</v>
      </c>
      <c r="B652" s="31">
        <v>42651</v>
      </c>
      <c r="C652" s="32" t="s">
        <v>61</v>
      </c>
      <c r="D652" s="32">
        <v>42645</v>
      </c>
      <c r="E652" s="33">
        <v>40</v>
      </c>
      <c r="F652" s="33">
        <v>2016</v>
      </c>
      <c r="G652" s="27">
        <v>201640</v>
      </c>
    </row>
    <row r="653" spans="1:7" x14ac:dyDescent="0.2">
      <c r="A653" s="22" t="str">
        <f t="shared" si="10"/>
        <v>1641</v>
      </c>
      <c r="B653" s="31">
        <v>42652</v>
      </c>
      <c r="C653" s="32" t="s">
        <v>55</v>
      </c>
      <c r="D653" s="32">
        <v>42652</v>
      </c>
      <c r="E653" s="33">
        <v>41</v>
      </c>
      <c r="F653" s="33">
        <v>2016</v>
      </c>
      <c r="G653" s="27">
        <v>201641</v>
      </c>
    </row>
    <row r="654" spans="1:7" x14ac:dyDescent="0.2">
      <c r="A654" s="22" t="str">
        <f t="shared" si="10"/>
        <v>1641</v>
      </c>
      <c r="B654" s="31">
        <v>42653</v>
      </c>
      <c r="C654" s="32" t="s">
        <v>56</v>
      </c>
      <c r="D654" s="32">
        <v>42652</v>
      </c>
      <c r="E654" s="33">
        <v>41</v>
      </c>
      <c r="F654" s="33">
        <v>2016</v>
      </c>
      <c r="G654" s="27">
        <v>201641</v>
      </c>
    </row>
    <row r="655" spans="1:7" x14ac:dyDescent="0.2">
      <c r="A655" s="22" t="str">
        <f t="shared" si="10"/>
        <v>1641</v>
      </c>
      <c r="B655" s="31">
        <v>42654</v>
      </c>
      <c r="C655" s="32" t="s">
        <v>57</v>
      </c>
      <c r="D655" s="32">
        <v>42652</v>
      </c>
      <c r="E655" s="33">
        <v>41</v>
      </c>
      <c r="F655" s="33">
        <v>2016</v>
      </c>
      <c r="G655" s="27">
        <v>201641</v>
      </c>
    </row>
    <row r="656" spans="1:7" x14ac:dyDescent="0.2">
      <c r="A656" s="22" t="str">
        <f t="shared" si="10"/>
        <v>1641</v>
      </c>
      <c r="B656" s="31">
        <v>42655</v>
      </c>
      <c r="C656" s="32" t="s">
        <v>58</v>
      </c>
      <c r="D656" s="32">
        <v>42652</v>
      </c>
      <c r="E656" s="33">
        <v>41</v>
      </c>
      <c r="F656" s="33">
        <v>2016</v>
      </c>
      <c r="G656" s="27">
        <v>201641</v>
      </c>
    </row>
    <row r="657" spans="1:7" x14ac:dyDescent="0.2">
      <c r="A657" s="22" t="str">
        <f t="shared" si="10"/>
        <v>1641</v>
      </c>
      <c r="B657" s="31">
        <v>42656</v>
      </c>
      <c r="C657" s="32" t="s">
        <v>59</v>
      </c>
      <c r="D657" s="32">
        <v>42652</v>
      </c>
      <c r="E657" s="33">
        <v>41</v>
      </c>
      <c r="F657" s="33">
        <v>2016</v>
      </c>
      <c r="G657" s="27">
        <v>201641</v>
      </c>
    </row>
    <row r="658" spans="1:7" x14ac:dyDescent="0.2">
      <c r="A658" s="22" t="str">
        <f t="shared" si="10"/>
        <v>1641</v>
      </c>
      <c r="B658" s="31">
        <v>42657</v>
      </c>
      <c r="C658" s="32" t="s">
        <v>60</v>
      </c>
      <c r="D658" s="32">
        <v>42652</v>
      </c>
      <c r="E658" s="33">
        <v>41</v>
      </c>
      <c r="F658" s="33">
        <v>2016</v>
      </c>
      <c r="G658" s="27">
        <v>201641</v>
      </c>
    </row>
    <row r="659" spans="1:7" x14ac:dyDescent="0.2">
      <c r="A659" s="22" t="str">
        <f t="shared" si="10"/>
        <v>1641</v>
      </c>
      <c r="B659" s="31">
        <v>42658</v>
      </c>
      <c r="C659" s="32" t="s">
        <v>61</v>
      </c>
      <c r="D659" s="32">
        <v>42652</v>
      </c>
      <c r="E659" s="33">
        <v>41</v>
      </c>
      <c r="F659" s="33">
        <v>2016</v>
      </c>
      <c r="G659" s="27">
        <v>201641</v>
      </c>
    </row>
    <row r="660" spans="1:7" x14ac:dyDescent="0.2">
      <c r="A660" s="22" t="str">
        <f t="shared" si="10"/>
        <v>1642</v>
      </c>
      <c r="B660" s="31">
        <v>42659</v>
      </c>
      <c r="C660" s="32" t="s">
        <v>55</v>
      </c>
      <c r="D660" s="32">
        <v>42659</v>
      </c>
      <c r="E660" s="33">
        <v>42</v>
      </c>
      <c r="F660" s="33">
        <v>2016</v>
      </c>
      <c r="G660" s="27">
        <v>201642</v>
      </c>
    </row>
    <row r="661" spans="1:7" x14ac:dyDescent="0.2">
      <c r="A661" s="22" t="str">
        <f t="shared" si="10"/>
        <v>1642</v>
      </c>
      <c r="B661" s="31">
        <v>42660</v>
      </c>
      <c r="C661" s="32" t="s">
        <v>56</v>
      </c>
      <c r="D661" s="32">
        <v>42659</v>
      </c>
      <c r="E661" s="33">
        <v>42</v>
      </c>
      <c r="F661" s="33">
        <v>2016</v>
      </c>
      <c r="G661" s="27">
        <v>201642</v>
      </c>
    </row>
    <row r="662" spans="1:7" x14ac:dyDescent="0.2">
      <c r="A662" s="22" t="str">
        <f t="shared" si="10"/>
        <v>1642</v>
      </c>
      <c r="B662" s="31">
        <v>42661</v>
      </c>
      <c r="C662" s="32" t="s">
        <v>57</v>
      </c>
      <c r="D662" s="32">
        <v>42659</v>
      </c>
      <c r="E662" s="33">
        <v>42</v>
      </c>
      <c r="F662" s="33">
        <v>2016</v>
      </c>
      <c r="G662" s="27">
        <v>201642</v>
      </c>
    </row>
    <row r="663" spans="1:7" x14ac:dyDescent="0.2">
      <c r="A663" s="22" t="str">
        <f t="shared" si="10"/>
        <v>1642</v>
      </c>
      <c r="B663" s="31">
        <v>42662</v>
      </c>
      <c r="C663" s="32" t="s">
        <v>58</v>
      </c>
      <c r="D663" s="32">
        <v>42659</v>
      </c>
      <c r="E663" s="33">
        <v>42</v>
      </c>
      <c r="F663" s="33">
        <v>2016</v>
      </c>
      <c r="G663" s="27">
        <v>201642</v>
      </c>
    </row>
    <row r="664" spans="1:7" x14ac:dyDescent="0.2">
      <c r="A664" s="22" t="str">
        <f t="shared" si="10"/>
        <v>1642</v>
      </c>
      <c r="B664" s="31">
        <v>42663</v>
      </c>
      <c r="C664" s="32" t="s">
        <v>59</v>
      </c>
      <c r="D664" s="32">
        <v>42659</v>
      </c>
      <c r="E664" s="33">
        <v>42</v>
      </c>
      <c r="F664" s="33">
        <v>2016</v>
      </c>
      <c r="G664" s="27">
        <v>201642</v>
      </c>
    </row>
    <row r="665" spans="1:7" x14ac:dyDescent="0.2">
      <c r="A665" s="22" t="str">
        <f t="shared" si="10"/>
        <v>1642</v>
      </c>
      <c r="B665" s="31">
        <v>42664</v>
      </c>
      <c r="C665" s="32" t="s">
        <v>60</v>
      </c>
      <c r="D665" s="32">
        <v>42659</v>
      </c>
      <c r="E665" s="33">
        <v>42</v>
      </c>
      <c r="F665" s="33">
        <v>2016</v>
      </c>
      <c r="G665" s="27">
        <v>201642</v>
      </c>
    </row>
    <row r="666" spans="1:7" x14ac:dyDescent="0.2">
      <c r="A666" s="22" t="str">
        <f t="shared" si="10"/>
        <v>1642</v>
      </c>
      <c r="B666" s="31">
        <v>42665</v>
      </c>
      <c r="C666" s="32" t="s">
        <v>61</v>
      </c>
      <c r="D666" s="32">
        <v>42659</v>
      </c>
      <c r="E666" s="33">
        <v>42</v>
      </c>
      <c r="F666" s="33">
        <v>2016</v>
      </c>
      <c r="G666" s="27">
        <v>201642</v>
      </c>
    </row>
    <row r="667" spans="1:7" x14ac:dyDescent="0.2">
      <c r="A667" s="22" t="str">
        <f t="shared" si="10"/>
        <v>1643</v>
      </c>
      <c r="B667" s="31">
        <v>42666</v>
      </c>
      <c r="C667" s="32" t="s">
        <v>55</v>
      </c>
      <c r="D667" s="32">
        <v>42666</v>
      </c>
      <c r="E667" s="33">
        <v>43</v>
      </c>
      <c r="F667" s="33">
        <v>2016</v>
      </c>
      <c r="G667" s="27">
        <v>201643</v>
      </c>
    </row>
    <row r="668" spans="1:7" x14ac:dyDescent="0.2">
      <c r="A668" s="22" t="str">
        <f t="shared" si="10"/>
        <v>1643</v>
      </c>
      <c r="B668" s="31">
        <v>42667</v>
      </c>
      <c r="C668" s="32" t="s">
        <v>56</v>
      </c>
      <c r="D668" s="32">
        <v>42666</v>
      </c>
      <c r="E668" s="33">
        <v>43</v>
      </c>
      <c r="F668" s="33">
        <v>2016</v>
      </c>
      <c r="G668" s="27">
        <v>201643</v>
      </c>
    </row>
    <row r="669" spans="1:7" x14ac:dyDescent="0.2">
      <c r="A669" s="22" t="str">
        <f t="shared" si="10"/>
        <v>1643</v>
      </c>
      <c r="B669" s="31">
        <v>42668</v>
      </c>
      <c r="C669" s="32" t="s">
        <v>57</v>
      </c>
      <c r="D669" s="32">
        <v>42666</v>
      </c>
      <c r="E669" s="33">
        <v>43</v>
      </c>
      <c r="F669" s="33">
        <v>2016</v>
      </c>
      <c r="G669" s="27">
        <v>201643</v>
      </c>
    </row>
    <row r="670" spans="1:7" x14ac:dyDescent="0.2">
      <c r="A670" s="22" t="str">
        <f t="shared" si="10"/>
        <v>1643</v>
      </c>
      <c r="B670" s="31">
        <v>42669</v>
      </c>
      <c r="C670" s="32" t="s">
        <v>58</v>
      </c>
      <c r="D670" s="32">
        <v>42666</v>
      </c>
      <c r="E670" s="33">
        <v>43</v>
      </c>
      <c r="F670" s="33">
        <v>2016</v>
      </c>
      <c r="G670" s="27">
        <v>201643</v>
      </c>
    </row>
    <row r="671" spans="1:7" x14ac:dyDescent="0.2">
      <c r="A671" s="22" t="str">
        <f t="shared" si="10"/>
        <v>1643</v>
      </c>
      <c r="B671" s="31">
        <v>42670</v>
      </c>
      <c r="C671" s="32" t="s">
        <v>59</v>
      </c>
      <c r="D671" s="32">
        <v>42666</v>
      </c>
      <c r="E671" s="33">
        <v>43</v>
      </c>
      <c r="F671" s="33">
        <v>2016</v>
      </c>
      <c r="G671" s="27">
        <v>201643</v>
      </c>
    </row>
    <row r="672" spans="1:7" x14ac:dyDescent="0.2">
      <c r="A672" s="22" t="str">
        <f t="shared" si="10"/>
        <v>1643</v>
      </c>
      <c r="B672" s="31">
        <v>42671</v>
      </c>
      <c r="C672" s="32" t="s">
        <v>60</v>
      </c>
      <c r="D672" s="32">
        <v>42666</v>
      </c>
      <c r="E672" s="33">
        <v>43</v>
      </c>
      <c r="F672" s="33">
        <v>2016</v>
      </c>
      <c r="G672" s="27">
        <v>201643</v>
      </c>
    </row>
    <row r="673" spans="1:7" x14ac:dyDescent="0.2">
      <c r="A673" s="22" t="str">
        <f t="shared" si="10"/>
        <v>1643</v>
      </c>
      <c r="B673" s="31">
        <v>42672</v>
      </c>
      <c r="C673" s="32" t="s">
        <v>61</v>
      </c>
      <c r="D673" s="32">
        <v>42666</v>
      </c>
      <c r="E673" s="33">
        <v>43</v>
      </c>
      <c r="F673" s="33">
        <v>2016</v>
      </c>
      <c r="G673" s="27">
        <v>201643</v>
      </c>
    </row>
    <row r="674" spans="1:7" x14ac:dyDescent="0.2">
      <c r="A674" s="22" t="str">
        <f t="shared" si="10"/>
        <v>1644</v>
      </c>
      <c r="B674" s="31">
        <v>42673</v>
      </c>
      <c r="C674" s="32" t="s">
        <v>55</v>
      </c>
      <c r="D674" s="32">
        <v>42673</v>
      </c>
      <c r="E674" s="33">
        <v>44</v>
      </c>
      <c r="F674" s="33">
        <v>2016</v>
      </c>
      <c r="G674" s="27">
        <v>201644</v>
      </c>
    </row>
    <row r="675" spans="1:7" x14ac:dyDescent="0.2">
      <c r="A675" s="22" t="str">
        <f t="shared" si="10"/>
        <v>1644</v>
      </c>
      <c r="B675" s="31">
        <v>42674</v>
      </c>
      <c r="C675" s="32" t="s">
        <v>56</v>
      </c>
      <c r="D675" s="32">
        <v>42673</v>
      </c>
      <c r="E675" s="33">
        <v>44</v>
      </c>
      <c r="F675" s="33">
        <v>2016</v>
      </c>
      <c r="G675" s="27">
        <v>201644</v>
      </c>
    </row>
    <row r="676" spans="1:7" x14ac:dyDescent="0.2">
      <c r="A676" s="22" t="str">
        <f t="shared" si="10"/>
        <v>1644</v>
      </c>
      <c r="B676" s="31">
        <v>42675</v>
      </c>
      <c r="C676" s="32" t="s">
        <v>57</v>
      </c>
      <c r="D676" s="32">
        <v>42673</v>
      </c>
      <c r="E676" s="33">
        <v>44</v>
      </c>
      <c r="F676" s="33">
        <v>2016</v>
      </c>
      <c r="G676" s="27">
        <v>201644</v>
      </c>
    </row>
    <row r="677" spans="1:7" x14ac:dyDescent="0.2">
      <c r="A677" s="22" t="str">
        <f t="shared" si="10"/>
        <v>1644</v>
      </c>
      <c r="B677" s="31">
        <v>42676</v>
      </c>
      <c r="C677" s="32" t="s">
        <v>58</v>
      </c>
      <c r="D677" s="32">
        <v>42673</v>
      </c>
      <c r="E677" s="33">
        <v>44</v>
      </c>
      <c r="F677" s="33">
        <v>2016</v>
      </c>
      <c r="G677" s="27">
        <v>201644</v>
      </c>
    </row>
    <row r="678" spans="1:7" x14ac:dyDescent="0.2">
      <c r="A678" s="22" t="str">
        <f t="shared" si="10"/>
        <v>1644</v>
      </c>
      <c r="B678" s="31">
        <v>42677</v>
      </c>
      <c r="C678" s="32" t="s">
        <v>59</v>
      </c>
      <c r="D678" s="32">
        <v>42673</v>
      </c>
      <c r="E678" s="33">
        <v>44</v>
      </c>
      <c r="F678" s="33">
        <v>2016</v>
      </c>
      <c r="G678" s="27">
        <v>201644</v>
      </c>
    </row>
    <row r="679" spans="1:7" x14ac:dyDescent="0.2">
      <c r="A679" s="22" t="str">
        <f t="shared" si="10"/>
        <v>1644</v>
      </c>
      <c r="B679" s="31">
        <v>42678</v>
      </c>
      <c r="C679" s="32" t="s">
        <v>60</v>
      </c>
      <c r="D679" s="32">
        <v>42673</v>
      </c>
      <c r="E679" s="33">
        <v>44</v>
      </c>
      <c r="F679" s="33">
        <v>2016</v>
      </c>
      <c r="G679" s="27">
        <v>201644</v>
      </c>
    </row>
    <row r="680" spans="1:7" x14ac:dyDescent="0.2">
      <c r="A680" s="22" t="str">
        <f t="shared" si="10"/>
        <v>1644</v>
      </c>
      <c r="B680" s="31">
        <v>42679</v>
      </c>
      <c r="C680" s="32" t="s">
        <v>61</v>
      </c>
      <c r="D680" s="32">
        <v>42673</v>
      </c>
      <c r="E680" s="33">
        <v>44</v>
      </c>
      <c r="F680" s="33">
        <v>2016</v>
      </c>
      <c r="G680" s="27">
        <v>201644</v>
      </c>
    </row>
    <row r="681" spans="1:7" x14ac:dyDescent="0.2">
      <c r="A681" s="22" t="str">
        <f t="shared" si="10"/>
        <v>1645</v>
      </c>
      <c r="B681" s="31">
        <v>42680</v>
      </c>
      <c r="C681" s="32" t="s">
        <v>55</v>
      </c>
      <c r="D681" s="32">
        <v>42680</v>
      </c>
      <c r="E681" s="33">
        <v>45</v>
      </c>
      <c r="F681" s="33">
        <v>2016</v>
      </c>
      <c r="G681" s="27">
        <v>201645</v>
      </c>
    </row>
    <row r="682" spans="1:7" x14ac:dyDescent="0.2">
      <c r="A682" s="22" t="str">
        <f t="shared" si="10"/>
        <v>1645</v>
      </c>
      <c r="B682" s="31">
        <v>42681</v>
      </c>
      <c r="C682" s="32" t="s">
        <v>56</v>
      </c>
      <c r="D682" s="32">
        <v>42680</v>
      </c>
      <c r="E682" s="33">
        <v>45</v>
      </c>
      <c r="F682" s="33">
        <v>2016</v>
      </c>
      <c r="G682" s="27">
        <v>201645</v>
      </c>
    </row>
    <row r="683" spans="1:7" x14ac:dyDescent="0.2">
      <c r="A683" s="22" t="str">
        <f t="shared" si="10"/>
        <v>1645</v>
      </c>
      <c r="B683" s="31">
        <v>42682</v>
      </c>
      <c r="C683" s="32" t="s">
        <v>57</v>
      </c>
      <c r="D683" s="32">
        <v>42680</v>
      </c>
      <c r="E683" s="33">
        <v>45</v>
      </c>
      <c r="F683" s="33">
        <v>2016</v>
      </c>
      <c r="G683" s="27">
        <v>201645</v>
      </c>
    </row>
    <row r="684" spans="1:7" x14ac:dyDescent="0.2">
      <c r="A684" s="22" t="str">
        <f t="shared" si="10"/>
        <v>1645</v>
      </c>
      <c r="B684" s="31">
        <v>42683</v>
      </c>
      <c r="C684" s="32" t="s">
        <v>58</v>
      </c>
      <c r="D684" s="32">
        <v>42680</v>
      </c>
      <c r="E684" s="33">
        <v>45</v>
      </c>
      <c r="F684" s="33">
        <v>2016</v>
      </c>
      <c r="G684" s="27">
        <v>201645</v>
      </c>
    </row>
    <row r="685" spans="1:7" x14ac:dyDescent="0.2">
      <c r="A685" s="22" t="str">
        <f t="shared" si="10"/>
        <v>1645</v>
      </c>
      <c r="B685" s="31">
        <v>42684</v>
      </c>
      <c r="C685" s="32" t="s">
        <v>59</v>
      </c>
      <c r="D685" s="32">
        <v>42680</v>
      </c>
      <c r="E685" s="33">
        <v>45</v>
      </c>
      <c r="F685" s="33">
        <v>2016</v>
      </c>
      <c r="G685" s="27">
        <v>201645</v>
      </c>
    </row>
    <row r="686" spans="1:7" x14ac:dyDescent="0.2">
      <c r="A686" s="22" t="str">
        <f t="shared" si="10"/>
        <v>1645</v>
      </c>
      <c r="B686" s="31">
        <v>42685</v>
      </c>
      <c r="C686" s="32" t="s">
        <v>60</v>
      </c>
      <c r="D686" s="32">
        <v>42680</v>
      </c>
      <c r="E686" s="33">
        <v>45</v>
      </c>
      <c r="F686" s="33">
        <v>2016</v>
      </c>
      <c r="G686" s="27">
        <v>201645</v>
      </c>
    </row>
    <row r="687" spans="1:7" x14ac:dyDescent="0.2">
      <c r="A687" s="22" t="str">
        <f t="shared" si="10"/>
        <v>1645</v>
      </c>
      <c r="B687" s="31">
        <v>42686</v>
      </c>
      <c r="C687" s="32" t="s">
        <v>61</v>
      </c>
      <c r="D687" s="32">
        <v>42680</v>
      </c>
      <c r="E687" s="33">
        <v>45</v>
      </c>
      <c r="F687" s="33">
        <v>2016</v>
      </c>
      <c r="G687" s="27">
        <v>201645</v>
      </c>
    </row>
    <row r="688" spans="1:7" x14ac:dyDescent="0.2">
      <c r="A688" s="22" t="str">
        <f t="shared" si="10"/>
        <v>1646</v>
      </c>
      <c r="B688" s="31">
        <v>42687</v>
      </c>
      <c r="C688" s="32" t="s">
        <v>55</v>
      </c>
      <c r="D688" s="32">
        <v>42687</v>
      </c>
      <c r="E688" s="33">
        <v>46</v>
      </c>
      <c r="F688" s="33">
        <v>2016</v>
      </c>
      <c r="G688" s="27">
        <v>201646</v>
      </c>
    </row>
    <row r="689" spans="1:7" x14ac:dyDescent="0.2">
      <c r="A689" s="22" t="str">
        <f t="shared" si="10"/>
        <v>1646</v>
      </c>
      <c r="B689" s="31">
        <v>42688</v>
      </c>
      <c r="C689" s="32" t="s">
        <v>56</v>
      </c>
      <c r="D689" s="32">
        <v>42687</v>
      </c>
      <c r="E689" s="33">
        <v>46</v>
      </c>
      <c r="F689" s="33">
        <v>2016</v>
      </c>
      <c r="G689" s="27">
        <v>201646</v>
      </c>
    </row>
    <row r="690" spans="1:7" x14ac:dyDescent="0.2">
      <c r="A690" s="22" t="str">
        <f t="shared" si="10"/>
        <v>1646</v>
      </c>
      <c r="B690" s="31">
        <v>42689</v>
      </c>
      <c r="C690" s="32" t="s">
        <v>57</v>
      </c>
      <c r="D690" s="32">
        <v>42687</v>
      </c>
      <c r="E690" s="33">
        <v>46</v>
      </c>
      <c r="F690" s="33">
        <v>2016</v>
      </c>
      <c r="G690" s="27">
        <v>201646</v>
      </c>
    </row>
    <row r="691" spans="1:7" x14ac:dyDescent="0.2">
      <c r="A691" s="22" t="str">
        <f t="shared" si="10"/>
        <v>1646</v>
      </c>
      <c r="B691" s="31">
        <v>42690</v>
      </c>
      <c r="C691" s="32" t="s">
        <v>58</v>
      </c>
      <c r="D691" s="32">
        <v>42687</v>
      </c>
      <c r="E691" s="33">
        <v>46</v>
      </c>
      <c r="F691" s="33">
        <v>2016</v>
      </c>
      <c r="G691" s="27">
        <v>201646</v>
      </c>
    </row>
    <row r="692" spans="1:7" x14ac:dyDescent="0.2">
      <c r="A692" s="22" t="str">
        <f t="shared" si="10"/>
        <v>1646</v>
      </c>
      <c r="B692" s="31">
        <v>42691</v>
      </c>
      <c r="C692" s="32" t="s">
        <v>59</v>
      </c>
      <c r="D692" s="32">
        <v>42687</v>
      </c>
      <c r="E692" s="33">
        <v>46</v>
      </c>
      <c r="F692" s="33">
        <v>2016</v>
      </c>
      <c r="G692" s="27">
        <v>201646</v>
      </c>
    </row>
    <row r="693" spans="1:7" x14ac:dyDescent="0.2">
      <c r="A693" s="22" t="str">
        <f t="shared" si="10"/>
        <v>1646</v>
      </c>
      <c r="B693" s="31">
        <v>42692</v>
      </c>
      <c r="C693" s="32" t="s">
        <v>60</v>
      </c>
      <c r="D693" s="32">
        <v>42687</v>
      </c>
      <c r="E693" s="33">
        <v>46</v>
      </c>
      <c r="F693" s="33">
        <v>2016</v>
      </c>
      <c r="G693" s="27">
        <v>201646</v>
      </c>
    </row>
    <row r="694" spans="1:7" x14ac:dyDescent="0.2">
      <c r="A694" s="22" t="str">
        <f t="shared" si="10"/>
        <v>1646</v>
      </c>
      <c r="B694" s="31">
        <v>42693</v>
      </c>
      <c r="C694" s="32" t="s">
        <v>61</v>
      </c>
      <c r="D694" s="32">
        <v>42687</v>
      </c>
      <c r="E694" s="33">
        <v>46</v>
      </c>
      <c r="F694" s="33">
        <v>2016</v>
      </c>
      <c r="G694" s="27">
        <v>201646</v>
      </c>
    </row>
    <row r="695" spans="1:7" x14ac:dyDescent="0.2">
      <c r="A695" s="22" t="str">
        <f t="shared" si="10"/>
        <v>1647</v>
      </c>
      <c r="B695" s="31">
        <v>42694</v>
      </c>
      <c r="C695" s="32" t="s">
        <v>55</v>
      </c>
      <c r="D695" s="32">
        <v>42694</v>
      </c>
      <c r="E695" s="33">
        <v>47</v>
      </c>
      <c r="F695" s="33">
        <v>2016</v>
      </c>
      <c r="G695" s="27">
        <v>201647</v>
      </c>
    </row>
    <row r="696" spans="1:7" x14ac:dyDescent="0.2">
      <c r="A696" s="22" t="str">
        <f t="shared" si="10"/>
        <v>1647</v>
      </c>
      <c r="B696" s="31">
        <v>42695</v>
      </c>
      <c r="C696" s="32" t="s">
        <v>56</v>
      </c>
      <c r="D696" s="32">
        <v>42694</v>
      </c>
      <c r="E696" s="33">
        <v>47</v>
      </c>
      <c r="F696" s="33">
        <v>2016</v>
      </c>
      <c r="G696" s="27">
        <v>201647</v>
      </c>
    </row>
    <row r="697" spans="1:7" x14ac:dyDescent="0.2">
      <c r="A697" s="22" t="str">
        <f t="shared" si="10"/>
        <v>1647</v>
      </c>
      <c r="B697" s="31">
        <v>42696</v>
      </c>
      <c r="C697" s="32" t="s">
        <v>57</v>
      </c>
      <c r="D697" s="32">
        <v>42694</v>
      </c>
      <c r="E697" s="33">
        <v>47</v>
      </c>
      <c r="F697" s="33">
        <v>2016</v>
      </c>
      <c r="G697" s="27">
        <v>201647</v>
      </c>
    </row>
    <row r="698" spans="1:7" x14ac:dyDescent="0.2">
      <c r="A698" s="22" t="str">
        <f t="shared" si="10"/>
        <v>1647</v>
      </c>
      <c r="B698" s="31">
        <v>42697</v>
      </c>
      <c r="C698" s="32" t="s">
        <v>58</v>
      </c>
      <c r="D698" s="32">
        <v>42694</v>
      </c>
      <c r="E698" s="33">
        <v>47</v>
      </c>
      <c r="F698" s="33">
        <v>2016</v>
      </c>
      <c r="G698" s="27">
        <v>201647</v>
      </c>
    </row>
    <row r="699" spans="1:7" x14ac:dyDescent="0.2">
      <c r="A699" s="22" t="str">
        <f t="shared" si="10"/>
        <v>1647</v>
      </c>
      <c r="B699" s="31">
        <v>42698</v>
      </c>
      <c r="C699" s="32" t="s">
        <v>59</v>
      </c>
      <c r="D699" s="32">
        <v>42694</v>
      </c>
      <c r="E699" s="33">
        <v>47</v>
      </c>
      <c r="F699" s="33">
        <v>2016</v>
      </c>
      <c r="G699" s="27">
        <v>201647</v>
      </c>
    </row>
    <row r="700" spans="1:7" x14ac:dyDescent="0.2">
      <c r="A700" s="22" t="str">
        <f t="shared" si="10"/>
        <v>1647</v>
      </c>
      <c r="B700" s="31">
        <v>42699</v>
      </c>
      <c r="C700" s="32" t="s">
        <v>60</v>
      </c>
      <c r="D700" s="32">
        <v>42694</v>
      </c>
      <c r="E700" s="33">
        <v>47</v>
      </c>
      <c r="F700" s="33">
        <v>2016</v>
      </c>
      <c r="G700" s="27">
        <v>201647</v>
      </c>
    </row>
    <row r="701" spans="1:7" x14ac:dyDescent="0.2">
      <c r="A701" s="22" t="str">
        <f t="shared" si="10"/>
        <v>1647</v>
      </c>
      <c r="B701" s="31">
        <v>42700</v>
      </c>
      <c r="C701" s="32" t="s">
        <v>61</v>
      </c>
      <c r="D701" s="32">
        <v>42694</v>
      </c>
      <c r="E701" s="33">
        <v>47</v>
      </c>
      <c r="F701" s="33">
        <v>2016</v>
      </c>
      <c r="G701" s="27">
        <v>201647</v>
      </c>
    </row>
    <row r="702" spans="1:7" x14ac:dyDescent="0.2">
      <c r="A702" s="22" t="str">
        <f t="shared" si="10"/>
        <v>1648</v>
      </c>
      <c r="B702" s="31">
        <v>42701</v>
      </c>
      <c r="C702" s="32" t="s">
        <v>55</v>
      </c>
      <c r="D702" s="32">
        <v>42701</v>
      </c>
      <c r="E702" s="33">
        <v>48</v>
      </c>
      <c r="F702" s="33">
        <v>2016</v>
      </c>
      <c r="G702" s="27">
        <v>201648</v>
      </c>
    </row>
    <row r="703" spans="1:7" x14ac:dyDescent="0.2">
      <c r="A703" s="22" t="str">
        <f t="shared" si="10"/>
        <v>1648</v>
      </c>
      <c r="B703" s="31">
        <v>42702</v>
      </c>
      <c r="C703" s="32" t="s">
        <v>56</v>
      </c>
      <c r="D703" s="32">
        <v>42701</v>
      </c>
      <c r="E703" s="33">
        <v>48</v>
      </c>
      <c r="F703" s="33">
        <v>2016</v>
      </c>
      <c r="G703" s="27">
        <v>201648</v>
      </c>
    </row>
    <row r="704" spans="1:7" x14ac:dyDescent="0.2">
      <c r="A704" s="22" t="str">
        <f t="shared" si="10"/>
        <v>1648</v>
      </c>
      <c r="B704" s="31">
        <v>42703</v>
      </c>
      <c r="C704" s="32" t="s">
        <v>57</v>
      </c>
      <c r="D704" s="32">
        <v>42701</v>
      </c>
      <c r="E704" s="33">
        <v>48</v>
      </c>
      <c r="F704" s="33">
        <v>2016</v>
      </c>
      <c r="G704" s="27">
        <v>201648</v>
      </c>
    </row>
    <row r="705" spans="1:7" x14ac:dyDescent="0.2">
      <c r="A705" s="22" t="str">
        <f t="shared" si="10"/>
        <v>1648</v>
      </c>
      <c r="B705" s="31">
        <v>42704</v>
      </c>
      <c r="C705" s="32" t="s">
        <v>58</v>
      </c>
      <c r="D705" s="32">
        <v>42701</v>
      </c>
      <c r="E705" s="33">
        <v>48</v>
      </c>
      <c r="F705" s="33">
        <v>2016</v>
      </c>
      <c r="G705" s="27">
        <v>201648</v>
      </c>
    </row>
    <row r="706" spans="1:7" x14ac:dyDescent="0.2">
      <c r="A706" s="22" t="str">
        <f t="shared" si="10"/>
        <v>1648</v>
      </c>
      <c r="B706" s="31">
        <v>42705</v>
      </c>
      <c r="C706" s="32" t="s">
        <v>59</v>
      </c>
      <c r="D706" s="32">
        <v>42701</v>
      </c>
      <c r="E706" s="33">
        <v>48</v>
      </c>
      <c r="F706" s="33">
        <v>2016</v>
      </c>
      <c r="G706" s="27">
        <v>201648</v>
      </c>
    </row>
    <row r="707" spans="1:7" x14ac:dyDescent="0.2">
      <c r="A707" s="22" t="str">
        <f t="shared" ref="A707:A770" si="11">RIGHT(G707,4)</f>
        <v>1648</v>
      </c>
      <c r="B707" s="31">
        <v>42706</v>
      </c>
      <c r="C707" s="32" t="s">
        <v>60</v>
      </c>
      <c r="D707" s="32">
        <v>42701</v>
      </c>
      <c r="E707" s="33">
        <v>48</v>
      </c>
      <c r="F707" s="33">
        <v>2016</v>
      </c>
      <c r="G707" s="27">
        <v>201648</v>
      </c>
    </row>
    <row r="708" spans="1:7" x14ac:dyDescent="0.2">
      <c r="A708" s="22" t="str">
        <f t="shared" si="11"/>
        <v>1648</v>
      </c>
      <c r="B708" s="31">
        <v>42707</v>
      </c>
      <c r="C708" s="32" t="s">
        <v>61</v>
      </c>
      <c r="D708" s="32">
        <v>42701</v>
      </c>
      <c r="E708" s="33">
        <v>48</v>
      </c>
      <c r="F708" s="33">
        <v>2016</v>
      </c>
      <c r="G708" s="27">
        <v>201648</v>
      </c>
    </row>
    <row r="709" spans="1:7" x14ac:dyDescent="0.2">
      <c r="A709" s="22" t="str">
        <f t="shared" si="11"/>
        <v>1649</v>
      </c>
      <c r="B709" s="31">
        <v>42708</v>
      </c>
      <c r="C709" s="32" t="s">
        <v>55</v>
      </c>
      <c r="D709" s="32">
        <v>42708</v>
      </c>
      <c r="E709" s="33">
        <v>49</v>
      </c>
      <c r="F709" s="33">
        <v>2016</v>
      </c>
      <c r="G709" s="27">
        <v>201649</v>
      </c>
    </row>
    <row r="710" spans="1:7" x14ac:dyDescent="0.2">
      <c r="A710" s="22" t="str">
        <f t="shared" si="11"/>
        <v>1649</v>
      </c>
      <c r="B710" s="31">
        <v>42709</v>
      </c>
      <c r="C710" s="32" t="s">
        <v>56</v>
      </c>
      <c r="D710" s="32">
        <v>42708</v>
      </c>
      <c r="E710" s="33">
        <v>49</v>
      </c>
      <c r="F710" s="33">
        <v>2016</v>
      </c>
      <c r="G710" s="27">
        <v>201649</v>
      </c>
    </row>
    <row r="711" spans="1:7" x14ac:dyDescent="0.2">
      <c r="A711" s="22" t="str">
        <f t="shared" si="11"/>
        <v>1649</v>
      </c>
      <c r="B711" s="31">
        <v>42710</v>
      </c>
      <c r="C711" s="32" t="s">
        <v>57</v>
      </c>
      <c r="D711" s="32">
        <v>42708</v>
      </c>
      <c r="E711" s="33">
        <v>49</v>
      </c>
      <c r="F711" s="33">
        <v>2016</v>
      </c>
      <c r="G711" s="27">
        <v>201649</v>
      </c>
    </row>
    <row r="712" spans="1:7" x14ac:dyDescent="0.2">
      <c r="A712" s="22" t="str">
        <f t="shared" si="11"/>
        <v>1649</v>
      </c>
      <c r="B712" s="31">
        <v>42711</v>
      </c>
      <c r="C712" s="32" t="s">
        <v>58</v>
      </c>
      <c r="D712" s="32">
        <v>42708</v>
      </c>
      <c r="E712" s="33">
        <v>49</v>
      </c>
      <c r="F712" s="33">
        <v>2016</v>
      </c>
      <c r="G712" s="27">
        <v>201649</v>
      </c>
    </row>
    <row r="713" spans="1:7" x14ac:dyDescent="0.2">
      <c r="A713" s="22" t="str">
        <f t="shared" si="11"/>
        <v>1649</v>
      </c>
      <c r="B713" s="31">
        <v>42712</v>
      </c>
      <c r="C713" s="32" t="s">
        <v>59</v>
      </c>
      <c r="D713" s="32">
        <v>42708</v>
      </c>
      <c r="E713" s="33">
        <v>49</v>
      </c>
      <c r="F713" s="33">
        <v>2016</v>
      </c>
      <c r="G713" s="27">
        <v>201649</v>
      </c>
    </row>
    <row r="714" spans="1:7" x14ac:dyDescent="0.2">
      <c r="A714" s="22" t="str">
        <f t="shared" si="11"/>
        <v>1649</v>
      </c>
      <c r="B714" s="31">
        <v>42713</v>
      </c>
      <c r="C714" s="32" t="s">
        <v>60</v>
      </c>
      <c r="D714" s="32">
        <v>42708</v>
      </c>
      <c r="E714" s="33">
        <v>49</v>
      </c>
      <c r="F714" s="33">
        <v>2016</v>
      </c>
      <c r="G714" s="27">
        <v>201649</v>
      </c>
    </row>
    <row r="715" spans="1:7" x14ac:dyDescent="0.2">
      <c r="A715" s="22" t="str">
        <f t="shared" si="11"/>
        <v>1649</v>
      </c>
      <c r="B715" s="31">
        <v>42714</v>
      </c>
      <c r="C715" s="32" t="s">
        <v>61</v>
      </c>
      <c r="D715" s="32">
        <v>42708</v>
      </c>
      <c r="E715" s="33">
        <v>49</v>
      </c>
      <c r="F715" s="33">
        <v>2016</v>
      </c>
      <c r="G715" s="27">
        <v>201649</v>
      </c>
    </row>
    <row r="716" spans="1:7" x14ac:dyDescent="0.2">
      <c r="A716" s="22" t="str">
        <f t="shared" si="11"/>
        <v>1650</v>
      </c>
      <c r="B716" s="31">
        <v>42715</v>
      </c>
      <c r="C716" s="32" t="s">
        <v>55</v>
      </c>
      <c r="D716" s="32">
        <v>42715</v>
      </c>
      <c r="E716" s="33">
        <v>50</v>
      </c>
      <c r="F716" s="33">
        <v>2016</v>
      </c>
      <c r="G716" s="27">
        <v>201650</v>
      </c>
    </row>
    <row r="717" spans="1:7" x14ac:dyDescent="0.2">
      <c r="A717" s="22" t="str">
        <f t="shared" si="11"/>
        <v>1650</v>
      </c>
      <c r="B717" s="31">
        <v>42716</v>
      </c>
      <c r="C717" s="32" t="s">
        <v>56</v>
      </c>
      <c r="D717" s="32">
        <v>42715</v>
      </c>
      <c r="E717" s="33">
        <v>50</v>
      </c>
      <c r="F717" s="33">
        <v>2016</v>
      </c>
      <c r="G717" s="27">
        <v>201650</v>
      </c>
    </row>
    <row r="718" spans="1:7" x14ac:dyDescent="0.2">
      <c r="A718" s="22" t="str">
        <f t="shared" si="11"/>
        <v>1650</v>
      </c>
      <c r="B718" s="31">
        <v>42717</v>
      </c>
      <c r="C718" s="32" t="s">
        <v>57</v>
      </c>
      <c r="D718" s="32">
        <v>42715</v>
      </c>
      <c r="E718" s="33">
        <v>50</v>
      </c>
      <c r="F718" s="33">
        <v>2016</v>
      </c>
      <c r="G718" s="27">
        <v>201650</v>
      </c>
    </row>
    <row r="719" spans="1:7" x14ac:dyDescent="0.2">
      <c r="A719" s="22" t="str">
        <f t="shared" si="11"/>
        <v>1650</v>
      </c>
      <c r="B719" s="31">
        <v>42718</v>
      </c>
      <c r="C719" s="32" t="s">
        <v>58</v>
      </c>
      <c r="D719" s="32">
        <v>42715</v>
      </c>
      <c r="E719" s="33">
        <v>50</v>
      </c>
      <c r="F719" s="33">
        <v>2016</v>
      </c>
      <c r="G719" s="27">
        <v>201650</v>
      </c>
    </row>
    <row r="720" spans="1:7" x14ac:dyDescent="0.2">
      <c r="A720" s="22" t="str">
        <f t="shared" si="11"/>
        <v>1650</v>
      </c>
      <c r="B720" s="31">
        <v>42719</v>
      </c>
      <c r="C720" s="32" t="s">
        <v>59</v>
      </c>
      <c r="D720" s="32">
        <v>42715</v>
      </c>
      <c r="E720" s="33">
        <v>50</v>
      </c>
      <c r="F720" s="33">
        <v>2016</v>
      </c>
      <c r="G720" s="27">
        <v>201650</v>
      </c>
    </row>
    <row r="721" spans="1:7" x14ac:dyDescent="0.2">
      <c r="A721" s="22" t="str">
        <f t="shared" si="11"/>
        <v>1650</v>
      </c>
      <c r="B721" s="31">
        <v>42720</v>
      </c>
      <c r="C721" s="32" t="s">
        <v>60</v>
      </c>
      <c r="D721" s="32">
        <v>42715</v>
      </c>
      <c r="E721" s="33">
        <v>50</v>
      </c>
      <c r="F721" s="33">
        <v>2016</v>
      </c>
      <c r="G721" s="27">
        <v>201650</v>
      </c>
    </row>
    <row r="722" spans="1:7" x14ac:dyDescent="0.2">
      <c r="A722" s="22" t="str">
        <f t="shared" si="11"/>
        <v>1650</v>
      </c>
      <c r="B722" s="31">
        <v>42721</v>
      </c>
      <c r="C722" s="32" t="s">
        <v>61</v>
      </c>
      <c r="D722" s="32">
        <v>42715</v>
      </c>
      <c r="E722" s="33">
        <v>50</v>
      </c>
      <c r="F722" s="33">
        <v>2016</v>
      </c>
      <c r="G722" s="27">
        <v>201650</v>
      </c>
    </row>
    <row r="723" spans="1:7" x14ac:dyDescent="0.2">
      <c r="A723" s="22" t="str">
        <f t="shared" si="11"/>
        <v>1651</v>
      </c>
      <c r="B723" s="31">
        <v>42722</v>
      </c>
      <c r="C723" s="32" t="s">
        <v>55</v>
      </c>
      <c r="D723" s="32">
        <v>42722</v>
      </c>
      <c r="E723" s="33">
        <v>51</v>
      </c>
      <c r="F723" s="33">
        <v>2016</v>
      </c>
      <c r="G723" s="27">
        <v>201651</v>
      </c>
    </row>
    <row r="724" spans="1:7" x14ac:dyDescent="0.2">
      <c r="A724" s="22" t="str">
        <f t="shared" si="11"/>
        <v>1651</v>
      </c>
      <c r="B724" s="31">
        <v>42723</v>
      </c>
      <c r="C724" s="32" t="s">
        <v>56</v>
      </c>
      <c r="D724" s="32">
        <v>42722</v>
      </c>
      <c r="E724" s="33">
        <v>51</v>
      </c>
      <c r="F724" s="33">
        <v>2016</v>
      </c>
      <c r="G724" s="27">
        <v>201651</v>
      </c>
    </row>
    <row r="725" spans="1:7" x14ac:dyDescent="0.2">
      <c r="A725" s="22" t="str">
        <f t="shared" si="11"/>
        <v>1651</v>
      </c>
      <c r="B725" s="31">
        <v>42724</v>
      </c>
      <c r="C725" s="32" t="s">
        <v>57</v>
      </c>
      <c r="D725" s="32">
        <v>42722</v>
      </c>
      <c r="E725" s="33">
        <v>51</v>
      </c>
      <c r="F725" s="33">
        <v>2016</v>
      </c>
      <c r="G725" s="27">
        <v>201651</v>
      </c>
    </row>
    <row r="726" spans="1:7" x14ac:dyDescent="0.2">
      <c r="A726" s="22" t="str">
        <f t="shared" si="11"/>
        <v>1651</v>
      </c>
      <c r="B726" s="31">
        <v>42725</v>
      </c>
      <c r="C726" s="32" t="s">
        <v>58</v>
      </c>
      <c r="D726" s="32">
        <v>42722</v>
      </c>
      <c r="E726" s="33">
        <v>51</v>
      </c>
      <c r="F726" s="33">
        <v>2016</v>
      </c>
      <c r="G726" s="27">
        <v>201651</v>
      </c>
    </row>
    <row r="727" spans="1:7" x14ac:dyDescent="0.2">
      <c r="A727" s="22" t="str">
        <f t="shared" si="11"/>
        <v>1651</v>
      </c>
      <c r="B727" s="31">
        <v>42726</v>
      </c>
      <c r="C727" s="32" t="s">
        <v>59</v>
      </c>
      <c r="D727" s="32">
        <v>42722</v>
      </c>
      <c r="E727" s="33">
        <v>51</v>
      </c>
      <c r="F727" s="33">
        <v>2016</v>
      </c>
      <c r="G727" s="27">
        <v>201651</v>
      </c>
    </row>
    <row r="728" spans="1:7" x14ac:dyDescent="0.2">
      <c r="A728" s="22" t="str">
        <f t="shared" si="11"/>
        <v>1651</v>
      </c>
      <c r="B728" s="31">
        <v>42727</v>
      </c>
      <c r="C728" s="32" t="s">
        <v>60</v>
      </c>
      <c r="D728" s="32">
        <v>42722</v>
      </c>
      <c r="E728" s="33">
        <v>51</v>
      </c>
      <c r="F728" s="33">
        <v>2016</v>
      </c>
      <c r="G728" s="27">
        <v>201651</v>
      </c>
    </row>
    <row r="729" spans="1:7" x14ac:dyDescent="0.2">
      <c r="A729" s="22" t="str">
        <f t="shared" si="11"/>
        <v>1651</v>
      </c>
      <c r="B729" s="31">
        <v>42728</v>
      </c>
      <c r="C729" s="32" t="s">
        <v>61</v>
      </c>
      <c r="D729" s="32">
        <v>42722</v>
      </c>
      <c r="E729" s="33">
        <v>51</v>
      </c>
      <c r="F729" s="33">
        <v>2016</v>
      </c>
      <c r="G729" s="27">
        <v>201651</v>
      </c>
    </row>
    <row r="730" spans="1:7" x14ac:dyDescent="0.2">
      <c r="A730" s="22" t="str">
        <f t="shared" si="11"/>
        <v>1652</v>
      </c>
      <c r="B730" s="31">
        <v>42729</v>
      </c>
      <c r="C730" s="32" t="s">
        <v>55</v>
      </c>
      <c r="D730" s="32">
        <v>42729</v>
      </c>
      <c r="E730" s="33">
        <v>52</v>
      </c>
      <c r="F730" s="33">
        <v>2016</v>
      </c>
      <c r="G730" s="27">
        <v>201652</v>
      </c>
    </row>
    <row r="731" spans="1:7" x14ac:dyDescent="0.2">
      <c r="A731" s="22" t="str">
        <f t="shared" si="11"/>
        <v>1652</v>
      </c>
      <c r="B731" s="31">
        <v>42730</v>
      </c>
      <c r="C731" s="32" t="s">
        <v>56</v>
      </c>
      <c r="D731" s="32">
        <v>42729</v>
      </c>
      <c r="E731" s="33">
        <v>52</v>
      </c>
      <c r="F731" s="33">
        <v>2016</v>
      </c>
      <c r="G731" s="27">
        <v>201652</v>
      </c>
    </row>
    <row r="732" spans="1:7" x14ac:dyDescent="0.2">
      <c r="A732" s="22" t="str">
        <f t="shared" si="11"/>
        <v>1652</v>
      </c>
      <c r="B732" s="31">
        <v>42731</v>
      </c>
      <c r="C732" s="32" t="s">
        <v>57</v>
      </c>
      <c r="D732" s="32">
        <v>42729</v>
      </c>
      <c r="E732" s="33">
        <v>52</v>
      </c>
      <c r="F732" s="33">
        <v>2016</v>
      </c>
      <c r="G732" s="27">
        <v>201652</v>
      </c>
    </row>
    <row r="733" spans="1:7" x14ac:dyDescent="0.2">
      <c r="A733" s="22" t="str">
        <f t="shared" si="11"/>
        <v>1652</v>
      </c>
      <c r="B733" s="31">
        <v>42732</v>
      </c>
      <c r="C733" s="32" t="s">
        <v>58</v>
      </c>
      <c r="D733" s="32">
        <v>42729</v>
      </c>
      <c r="E733" s="33">
        <v>52</v>
      </c>
      <c r="F733" s="33">
        <v>2016</v>
      </c>
      <c r="G733" s="27">
        <v>201652</v>
      </c>
    </row>
    <row r="734" spans="1:7" x14ac:dyDescent="0.2">
      <c r="A734" s="22" t="str">
        <f t="shared" si="11"/>
        <v>1652</v>
      </c>
      <c r="B734" s="31">
        <v>42733</v>
      </c>
      <c r="C734" s="32" t="s">
        <v>59</v>
      </c>
      <c r="D734" s="32">
        <v>42729</v>
      </c>
      <c r="E734" s="33">
        <v>52</v>
      </c>
      <c r="F734" s="33">
        <v>2016</v>
      </c>
      <c r="G734" s="27">
        <v>201652</v>
      </c>
    </row>
    <row r="735" spans="1:7" x14ac:dyDescent="0.2">
      <c r="A735" s="22" t="str">
        <f t="shared" si="11"/>
        <v>1652</v>
      </c>
      <c r="B735" s="31">
        <v>42734</v>
      </c>
      <c r="C735" s="32" t="s">
        <v>60</v>
      </c>
      <c r="D735" s="32">
        <v>42729</v>
      </c>
      <c r="E735" s="33">
        <v>52</v>
      </c>
      <c r="F735" s="33">
        <v>2016</v>
      </c>
      <c r="G735" s="27">
        <v>201652</v>
      </c>
    </row>
    <row r="736" spans="1:7" x14ac:dyDescent="0.2">
      <c r="A736" s="22" t="str">
        <f t="shared" si="11"/>
        <v>1652</v>
      </c>
      <c r="B736" s="31">
        <v>42735</v>
      </c>
      <c r="C736" s="32" t="s">
        <v>61</v>
      </c>
      <c r="D736" s="32">
        <v>42729</v>
      </c>
      <c r="E736" s="33">
        <v>52</v>
      </c>
      <c r="F736" s="33">
        <v>2016</v>
      </c>
      <c r="G736" s="27">
        <v>201652</v>
      </c>
    </row>
    <row r="737" spans="1:7" x14ac:dyDescent="0.2">
      <c r="A737" s="22" t="str">
        <f t="shared" si="11"/>
        <v>1701</v>
      </c>
      <c r="B737" s="31">
        <v>42736</v>
      </c>
      <c r="C737" s="32" t="s">
        <v>55</v>
      </c>
      <c r="D737" s="32">
        <v>42736</v>
      </c>
      <c r="E737" s="33">
        <v>1</v>
      </c>
      <c r="F737" s="33">
        <v>2017</v>
      </c>
      <c r="G737" s="27">
        <v>201701</v>
      </c>
    </row>
    <row r="738" spans="1:7" x14ac:dyDescent="0.2">
      <c r="A738" s="22" t="str">
        <f t="shared" si="11"/>
        <v>1701</v>
      </c>
      <c r="B738" s="31">
        <v>42737</v>
      </c>
      <c r="C738" s="32" t="s">
        <v>56</v>
      </c>
      <c r="D738" s="32">
        <v>42736</v>
      </c>
      <c r="E738" s="33">
        <v>1</v>
      </c>
      <c r="F738" s="33">
        <v>2017</v>
      </c>
      <c r="G738" s="27">
        <v>201701</v>
      </c>
    </row>
    <row r="739" spans="1:7" x14ac:dyDescent="0.2">
      <c r="A739" s="22" t="str">
        <f t="shared" si="11"/>
        <v>1701</v>
      </c>
      <c r="B739" s="31">
        <v>42738</v>
      </c>
      <c r="C739" s="32" t="s">
        <v>57</v>
      </c>
      <c r="D739" s="32">
        <v>42736</v>
      </c>
      <c r="E739" s="33">
        <v>1</v>
      </c>
      <c r="F739" s="33">
        <v>2017</v>
      </c>
      <c r="G739" s="27">
        <v>201701</v>
      </c>
    </row>
    <row r="740" spans="1:7" x14ac:dyDescent="0.2">
      <c r="A740" s="22" t="str">
        <f t="shared" si="11"/>
        <v>1701</v>
      </c>
      <c r="B740" s="31">
        <v>42739</v>
      </c>
      <c r="C740" s="32" t="s">
        <v>58</v>
      </c>
      <c r="D740" s="32">
        <v>42736</v>
      </c>
      <c r="E740" s="33">
        <v>1</v>
      </c>
      <c r="F740" s="33">
        <v>2017</v>
      </c>
      <c r="G740" s="27">
        <v>201701</v>
      </c>
    </row>
    <row r="741" spans="1:7" x14ac:dyDescent="0.2">
      <c r="A741" s="22" t="str">
        <f t="shared" si="11"/>
        <v>1701</v>
      </c>
      <c r="B741" s="31">
        <v>42740</v>
      </c>
      <c r="C741" s="32" t="s">
        <v>59</v>
      </c>
      <c r="D741" s="32">
        <v>42736</v>
      </c>
      <c r="E741" s="33">
        <v>1</v>
      </c>
      <c r="F741" s="33">
        <v>2017</v>
      </c>
      <c r="G741" s="27">
        <v>201701</v>
      </c>
    </row>
    <row r="742" spans="1:7" x14ac:dyDescent="0.2">
      <c r="A742" s="22" t="str">
        <f t="shared" si="11"/>
        <v>1701</v>
      </c>
      <c r="B742" s="31">
        <v>42741</v>
      </c>
      <c r="C742" s="32" t="s">
        <v>60</v>
      </c>
      <c r="D742" s="32">
        <v>42736</v>
      </c>
      <c r="E742" s="33">
        <v>1</v>
      </c>
      <c r="F742" s="33">
        <v>2017</v>
      </c>
      <c r="G742" s="27">
        <v>201701</v>
      </c>
    </row>
    <row r="743" spans="1:7" x14ac:dyDescent="0.2">
      <c r="A743" s="22" t="str">
        <f t="shared" si="11"/>
        <v>1701</v>
      </c>
      <c r="B743" s="31">
        <v>42742</v>
      </c>
      <c r="C743" s="32" t="s">
        <v>61</v>
      </c>
      <c r="D743" s="32">
        <v>42736</v>
      </c>
      <c r="E743" s="33">
        <v>1</v>
      </c>
      <c r="F743" s="33">
        <v>2017</v>
      </c>
      <c r="G743" s="27">
        <v>201701</v>
      </c>
    </row>
    <row r="744" spans="1:7" x14ac:dyDescent="0.2">
      <c r="A744" s="22" t="str">
        <f t="shared" si="11"/>
        <v>1702</v>
      </c>
      <c r="B744" s="31">
        <v>42743</v>
      </c>
      <c r="C744" s="32" t="s">
        <v>55</v>
      </c>
      <c r="D744" s="32">
        <v>42743</v>
      </c>
      <c r="E744" s="33">
        <v>2</v>
      </c>
      <c r="F744" s="33">
        <v>2017</v>
      </c>
      <c r="G744" s="27">
        <v>201702</v>
      </c>
    </row>
    <row r="745" spans="1:7" x14ac:dyDescent="0.2">
      <c r="A745" s="22" t="str">
        <f t="shared" si="11"/>
        <v>1702</v>
      </c>
      <c r="B745" s="31">
        <v>42744</v>
      </c>
      <c r="C745" s="32" t="s">
        <v>56</v>
      </c>
      <c r="D745" s="32">
        <v>42743</v>
      </c>
      <c r="E745" s="33">
        <v>2</v>
      </c>
      <c r="F745" s="33">
        <v>2017</v>
      </c>
      <c r="G745" s="27">
        <v>201702</v>
      </c>
    </row>
    <row r="746" spans="1:7" x14ac:dyDescent="0.2">
      <c r="A746" s="22" t="str">
        <f t="shared" si="11"/>
        <v>1702</v>
      </c>
      <c r="B746" s="31">
        <v>42745</v>
      </c>
      <c r="C746" s="32" t="s">
        <v>57</v>
      </c>
      <c r="D746" s="32">
        <v>42743</v>
      </c>
      <c r="E746" s="33">
        <v>2</v>
      </c>
      <c r="F746" s="33">
        <v>2017</v>
      </c>
      <c r="G746" s="27">
        <v>201702</v>
      </c>
    </row>
    <row r="747" spans="1:7" x14ac:dyDescent="0.2">
      <c r="A747" s="22" t="str">
        <f t="shared" si="11"/>
        <v>1702</v>
      </c>
      <c r="B747" s="31">
        <v>42746</v>
      </c>
      <c r="C747" s="32" t="s">
        <v>58</v>
      </c>
      <c r="D747" s="32">
        <v>42743</v>
      </c>
      <c r="E747" s="33">
        <v>2</v>
      </c>
      <c r="F747" s="33">
        <v>2017</v>
      </c>
      <c r="G747" s="27">
        <v>201702</v>
      </c>
    </row>
    <row r="748" spans="1:7" x14ac:dyDescent="0.2">
      <c r="A748" s="22" t="str">
        <f t="shared" si="11"/>
        <v>1702</v>
      </c>
      <c r="B748" s="31">
        <v>42747</v>
      </c>
      <c r="C748" s="32" t="s">
        <v>59</v>
      </c>
      <c r="D748" s="32">
        <v>42743</v>
      </c>
      <c r="E748" s="33">
        <v>2</v>
      </c>
      <c r="F748" s="33">
        <v>2017</v>
      </c>
      <c r="G748" s="27">
        <v>201702</v>
      </c>
    </row>
    <row r="749" spans="1:7" x14ac:dyDescent="0.2">
      <c r="A749" s="22" t="str">
        <f t="shared" si="11"/>
        <v>1702</v>
      </c>
      <c r="B749" s="31">
        <v>42748</v>
      </c>
      <c r="C749" s="32" t="s">
        <v>60</v>
      </c>
      <c r="D749" s="32">
        <v>42743</v>
      </c>
      <c r="E749" s="33">
        <v>2</v>
      </c>
      <c r="F749" s="33">
        <v>2017</v>
      </c>
      <c r="G749" s="27">
        <v>201702</v>
      </c>
    </row>
    <row r="750" spans="1:7" x14ac:dyDescent="0.2">
      <c r="A750" s="22" t="str">
        <f t="shared" si="11"/>
        <v>1702</v>
      </c>
      <c r="B750" s="31">
        <v>42749</v>
      </c>
      <c r="C750" s="32" t="s">
        <v>61</v>
      </c>
      <c r="D750" s="32">
        <v>42743</v>
      </c>
      <c r="E750" s="33">
        <v>2</v>
      </c>
      <c r="F750" s="33">
        <v>2017</v>
      </c>
      <c r="G750" s="27">
        <v>201702</v>
      </c>
    </row>
    <row r="751" spans="1:7" x14ac:dyDescent="0.2">
      <c r="A751" s="22" t="str">
        <f t="shared" si="11"/>
        <v>1703</v>
      </c>
      <c r="B751" s="31">
        <v>42750</v>
      </c>
      <c r="C751" s="32" t="s">
        <v>55</v>
      </c>
      <c r="D751" s="32">
        <v>42750</v>
      </c>
      <c r="E751" s="33">
        <v>3</v>
      </c>
      <c r="F751" s="33">
        <v>2017</v>
      </c>
      <c r="G751" s="27">
        <v>201703</v>
      </c>
    </row>
    <row r="752" spans="1:7" x14ac:dyDescent="0.2">
      <c r="A752" s="22" t="str">
        <f t="shared" si="11"/>
        <v>1703</v>
      </c>
      <c r="B752" s="31">
        <v>42751</v>
      </c>
      <c r="C752" s="32" t="s">
        <v>56</v>
      </c>
      <c r="D752" s="32">
        <v>42750</v>
      </c>
      <c r="E752" s="33">
        <v>3</v>
      </c>
      <c r="F752" s="33">
        <v>2017</v>
      </c>
      <c r="G752" s="27">
        <v>201703</v>
      </c>
    </row>
    <row r="753" spans="1:7" x14ac:dyDescent="0.2">
      <c r="A753" s="22" t="str">
        <f t="shared" si="11"/>
        <v>1703</v>
      </c>
      <c r="B753" s="31">
        <v>42752</v>
      </c>
      <c r="C753" s="32" t="s">
        <v>57</v>
      </c>
      <c r="D753" s="32">
        <v>42750</v>
      </c>
      <c r="E753" s="33">
        <v>3</v>
      </c>
      <c r="F753" s="33">
        <v>2017</v>
      </c>
      <c r="G753" s="27">
        <v>201703</v>
      </c>
    </row>
    <row r="754" spans="1:7" x14ac:dyDescent="0.2">
      <c r="A754" s="22" t="str">
        <f t="shared" si="11"/>
        <v>1703</v>
      </c>
      <c r="B754" s="31">
        <v>42753</v>
      </c>
      <c r="C754" s="32" t="s">
        <v>58</v>
      </c>
      <c r="D754" s="32">
        <v>42750</v>
      </c>
      <c r="E754" s="33">
        <v>3</v>
      </c>
      <c r="F754" s="33">
        <v>2017</v>
      </c>
      <c r="G754" s="27">
        <v>201703</v>
      </c>
    </row>
    <row r="755" spans="1:7" x14ac:dyDescent="0.2">
      <c r="A755" s="22" t="str">
        <f t="shared" si="11"/>
        <v>1703</v>
      </c>
      <c r="B755" s="31">
        <v>42754</v>
      </c>
      <c r="C755" s="32" t="s">
        <v>59</v>
      </c>
      <c r="D755" s="32">
        <v>42750</v>
      </c>
      <c r="E755" s="33">
        <v>3</v>
      </c>
      <c r="F755" s="33">
        <v>2017</v>
      </c>
      <c r="G755" s="27">
        <v>201703</v>
      </c>
    </row>
    <row r="756" spans="1:7" x14ac:dyDescent="0.2">
      <c r="A756" s="22" t="str">
        <f t="shared" si="11"/>
        <v>1703</v>
      </c>
      <c r="B756" s="31">
        <v>42755</v>
      </c>
      <c r="C756" s="32" t="s">
        <v>60</v>
      </c>
      <c r="D756" s="32">
        <v>42750</v>
      </c>
      <c r="E756" s="33">
        <v>3</v>
      </c>
      <c r="F756" s="33">
        <v>2017</v>
      </c>
      <c r="G756" s="27">
        <v>201703</v>
      </c>
    </row>
    <row r="757" spans="1:7" x14ac:dyDescent="0.2">
      <c r="A757" s="22" t="str">
        <f t="shared" si="11"/>
        <v>1703</v>
      </c>
      <c r="B757" s="31">
        <v>42756</v>
      </c>
      <c r="C757" s="32" t="s">
        <v>61</v>
      </c>
      <c r="D757" s="32">
        <v>42750</v>
      </c>
      <c r="E757" s="33">
        <v>3</v>
      </c>
      <c r="F757" s="33">
        <v>2017</v>
      </c>
      <c r="G757" s="27">
        <v>201703</v>
      </c>
    </row>
    <row r="758" spans="1:7" x14ac:dyDescent="0.2">
      <c r="A758" s="22" t="str">
        <f t="shared" si="11"/>
        <v>1704</v>
      </c>
      <c r="B758" s="31">
        <v>42757</v>
      </c>
      <c r="C758" s="32" t="s">
        <v>55</v>
      </c>
      <c r="D758" s="32">
        <v>42757</v>
      </c>
      <c r="E758" s="33">
        <v>4</v>
      </c>
      <c r="F758" s="33">
        <v>2017</v>
      </c>
      <c r="G758" s="27">
        <v>201704</v>
      </c>
    </row>
    <row r="759" spans="1:7" x14ac:dyDescent="0.2">
      <c r="A759" s="22" t="str">
        <f t="shared" si="11"/>
        <v>1704</v>
      </c>
      <c r="B759" s="31">
        <v>42758</v>
      </c>
      <c r="C759" s="32" t="s">
        <v>56</v>
      </c>
      <c r="D759" s="32">
        <v>42757</v>
      </c>
      <c r="E759" s="33">
        <v>4</v>
      </c>
      <c r="F759" s="33">
        <v>2017</v>
      </c>
      <c r="G759" s="27">
        <v>201704</v>
      </c>
    </row>
    <row r="760" spans="1:7" x14ac:dyDescent="0.2">
      <c r="A760" s="22" t="str">
        <f t="shared" si="11"/>
        <v>1704</v>
      </c>
      <c r="B760" s="31">
        <v>42759</v>
      </c>
      <c r="C760" s="32" t="s">
        <v>57</v>
      </c>
      <c r="D760" s="32">
        <v>42757</v>
      </c>
      <c r="E760" s="33">
        <v>4</v>
      </c>
      <c r="F760" s="33">
        <v>2017</v>
      </c>
      <c r="G760" s="27">
        <v>201704</v>
      </c>
    </row>
    <row r="761" spans="1:7" x14ac:dyDescent="0.2">
      <c r="A761" s="22" t="str">
        <f t="shared" si="11"/>
        <v>1704</v>
      </c>
      <c r="B761" s="31">
        <v>42760</v>
      </c>
      <c r="C761" s="32" t="s">
        <v>58</v>
      </c>
      <c r="D761" s="32">
        <v>42757</v>
      </c>
      <c r="E761" s="33">
        <v>4</v>
      </c>
      <c r="F761" s="33">
        <v>2017</v>
      </c>
      <c r="G761" s="27">
        <v>201704</v>
      </c>
    </row>
    <row r="762" spans="1:7" x14ac:dyDescent="0.2">
      <c r="A762" s="22" t="str">
        <f t="shared" si="11"/>
        <v>1704</v>
      </c>
      <c r="B762" s="31">
        <v>42761</v>
      </c>
      <c r="C762" s="32" t="s">
        <v>59</v>
      </c>
      <c r="D762" s="32">
        <v>42757</v>
      </c>
      <c r="E762" s="33">
        <v>4</v>
      </c>
      <c r="F762" s="33">
        <v>2017</v>
      </c>
      <c r="G762" s="27">
        <v>201704</v>
      </c>
    </row>
    <row r="763" spans="1:7" x14ac:dyDescent="0.2">
      <c r="A763" s="22" t="str">
        <f t="shared" si="11"/>
        <v>1704</v>
      </c>
      <c r="B763" s="31">
        <v>42762</v>
      </c>
      <c r="C763" s="32" t="s">
        <v>60</v>
      </c>
      <c r="D763" s="32">
        <v>42757</v>
      </c>
      <c r="E763" s="33">
        <v>4</v>
      </c>
      <c r="F763" s="33">
        <v>2017</v>
      </c>
      <c r="G763" s="27">
        <v>201704</v>
      </c>
    </row>
    <row r="764" spans="1:7" x14ac:dyDescent="0.2">
      <c r="A764" s="22" t="str">
        <f t="shared" si="11"/>
        <v>1704</v>
      </c>
      <c r="B764" s="31">
        <v>42763</v>
      </c>
      <c r="C764" s="32" t="s">
        <v>61</v>
      </c>
      <c r="D764" s="32">
        <v>42757</v>
      </c>
      <c r="E764" s="33">
        <v>4</v>
      </c>
      <c r="F764" s="33">
        <v>2017</v>
      </c>
      <c r="G764" s="27">
        <v>201704</v>
      </c>
    </row>
    <row r="765" spans="1:7" x14ac:dyDescent="0.2">
      <c r="A765" s="22" t="str">
        <f t="shared" si="11"/>
        <v>1705</v>
      </c>
      <c r="B765" s="31">
        <v>42764</v>
      </c>
      <c r="C765" s="32" t="s">
        <v>55</v>
      </c>
      <c r="D765" s="32">
        <v>42764</v>
      </c>
      <c r="E765" s="33">
        <v>5</v>
      </c>
      <c r="F765" s="33">
        <v>2017</v>
      </c>
      <c r="G765" s="27">
        <v>201705</v>
      </c>
    </row>
    <row r="766" spans="1:7" x14ac:dyDescent="0.2">
      <c r="A766" s="22" t="str">
        <f t="shared" si="11"/>
        <v>1705</v>
      </c>
      <c r="B766" s="31">
        <v>42765</v>
      </c>
      <c r="C766" s="32" t="s">
        <v>56</v>
      </c>
      <c r="D766" s="32">
        <v>42764</v>
      </c>
      <c r="E766" s="33">
        <v>5</v>
      </c>
      <c r="F766" s="33">
        <v>2017</v>
      </c>
      <c r="G766" s="27">
        <v>201705</v>
      </c>
    </row>
    <row r="767" spans="1:7" x14ac:dyDescent="0.2">
      <c r="A767" s="22" t="str">
        <f t="shared" si="11"/>
        <v>1705</v>
      </c>
      <c r="B767" s="31">
        <v>42766</v>
      </c>
      <c r="C767" s="32" t="s">
        <v>57</v>
      </c>
      <c r="D767" s="32">
        <v>42764</v>
      </c>
      <c r="E767" s="33">
        <v>5</v>
      </c>
      <c r="F767" s="33">
        <v>2017</v>
      </c>
      <c r="G767" s="27">
        <v>201705</v>
      </c>
    </row>
    <row r="768" spans="1:7" x14ac:dyDescent="0.2">
      <c r="A768" s="22" t="str">
        <f t="shared" si="11"/>
        <v>1705</v>
      </c>
      <c r="B768" s="31">
        <v>42767</v>
      </c>
      <c r="C768" s="32" t="s">
        <v>58</v>
      </c>
      <c r="D768" s="32">
        <v>42764</v>
      </c>
      <c r="E768" s="33">
        <v>5</v>
      </c>
      <c r="F768" s="33">
        <v>2017</v>
      </c>
      <c r="G768" s="27">
        <v>201705</v>
      </c>
    </row>
    <row r="769" spans="1:7" x14ac:dyDescent="0.2">
      <c r="A769" s="22" t="str">
        <f t="shared" si="11"/>
        <v>1705</v>
      </c>
      <c r="B769" s="31">
        <v>42768</v>
      </c>
      <c r="C769" s="32" t="s">
        <v>59</v>
      </c>
      <c r="D769" s="32">
        <v>42764</v>
      </c>
      <c r="E769" s="33">
        <v>5</v>
      </c>
      <c r="F769" s="33">
        <v>2017</v>
      </c>
      <c r="G769" s="27">
        <v>201705</v>
      </c>
    </row>
    <row r="770" spans="1:7" x14ac:dyDescent="0.2">
      <c r="A770" s="22" t="str">
        <f t="shared" si="11"/>
        <v>1705</v>
      </c>
      <c r="B770" s="31">
        <v>42769</v>
      </c>
      <c r="C770" s="32" t="s">
        <v>60</v>
      </c>
      <c r="D770" s="32">
        <v>42764</v>
      </c>
      <c r="E770" s="33">
        <v>5</v>
      </c>
      <c r="F770" s="33">
        <v>2017</v>
      </c>
      <c r="G770" s="27">
        <v>201705</v>
      </c>
    </row>
    <row r="771" spans="1:7" x14ac:dyDescent="0.2">
      <c r="A771" s="22" t="str">
        <f t="shared" ref="A771:A834" si="12">RIGHT(G771,4)</f>
        <v>1705</v>
      </c>
      <c r="B771" s="31">
        <v>42770</v>
      </c>
      <c r="C771" s="32" t="s">
        <v>61</v>
      </c>
      <c r="D771" s="32">
        <v>42764</v>
      </c>
      <c r="E771" s="33">
        <v>5</v>
      </c>
      <c r="F771" s="33">
        <v>2017</v>
      </c>
      <c r="G771" s="27">
        <v>201705</v>
      </c>
    </row>
    <row r="772" spans="1:7" x14ac:dyDescent="0.2">
      <c r="A772" s="22" t="str">
        <f t="shared" si="12"/>
        <v>1706</v>
      </c>
      <c r="B772" s="31">
        <v>42771</v>
      </c>
      <c r="C772" s="32" t="s">
        <v>55</v>
      </c>
      <c r="D772" s="32">
        <v>42771</v>
      </c>
      <c r="E772" s="33">
        <v>6</v>
      </c>
      <c r="F772" s="33">
        <v>2017</v>
      </c>
      <c r="G772" s="27">
        <v>201706</v>
      </c>
    </row>
    <row r="773" spans="1:7" x14ac:dyDescent="0.2">
      <c r="A773" s="22" t="str">
        <f t="shared" si="12"/>
        <v>1706</v>
      </c>
      <c r="B773" s="31">
        <v>42772</v>
      </c>
      <c r="C773" s="32" t="s">
        <v>56</v>
      </c>
      <c r="D773" s="32">
        <v>42771</v>
      </c>
      <c r="E773" s="33">
        <v>6</v>
      </c>
      <c r="F773" s="33">
        <v>2017</v>
      </c>
      <c r="G773" s="27">
        <v>201706</v>
      </c>
    </row>
    <row r="774" spans="1:7" x14ac:dyDescent="0.2">
      <c r="A774" s="22" t="str">
        <f t="shared" si="12"/>
        <v>1706</v>
      </c>
      <c r="B774" s="31">
        <v>42773</v>
      </c>
      <c r="C774" s="32" t="s">
        <v>57</v>
      </c>
      <c r="D774" s="32">
        <v>42771</v>
      </c>
      <c r="E774" s="33">
        <v>6</v>
      </c>
      <c r="F774" s="33">
        <v>2017</v>
      </c>
      <c r="G774" s="27">
        <v>201706</v>
      </c>
    </row>
    <row r="775" spans="1:7" x14ac:dyDescent="0.2">
      <c r="A775" s="22" t="str">
        <f t="shared" si="12"/>
        <v>1706</v>
      </c>
      <c r="B775" s="31">
        <v>42774</v>
      </c>
      <c r="C775" s="32" t="s">
        <v>58</v>
      </c>
      <c r="D775" s="32">
        <v>42771</v>
      </c>
      <c r="E775" s="33">
        <v>6</v>
      </c>
      <c r="F775" s="33">
        <v>2017</v>
      </c>
      <c r="G775" s="27">
        <v>201706</v>
      </c>
    </row>
    <row r="776" spans="1:7" x14ac:dyDescent="0.2">
      <c r="A776" s="22" t="str">
        <f t="shared" si="12"/>
        <v>1706</v>
      </c>
      <c r="B776" s="31">
        <v>42775</v>
      </c>
      <c r="C776" s="32" t="s">
        <v>59</v>
      </c>
      <c r="D776" s="32">
        <v>42771</v>
      </c>
      <c r="E776" s="33">
        <v>6</v>
      </c>
      <c r="F776" s="33">
        <v>2017</v>
      </c>
      <c r="G776" s="27">
        <v>201706</v>
      </c>
    </row>
    <row r="777" spans="1:7" x14ac:dyDescent="0.2">
      <c r="A777" s="22" t="str">
        <f t="shared" si="12"/>
        <v>1706</v>
      </c>
      <c r="B777" s="31">
        <v>42776</v>
      </c>
      <c r="C777" s="32" t="s">
        <v>60</v>
      </c>
      <c r="D777" s="32">
        <v>42771</v>
      </c>
      <c r="E777" s="33">
        <v>6</v>
      </c>
      <c r="F777" s="33">
        <v>2017</v>
      </c>
      <c r="G777" s="27">
        <v>201706</v>
      </c>
    </row>
    <row r="778" spans="1:7" x14ac:dyDescent="0.2">
      <c r="A778" s="22" t="str">
        <f t="shared" si="12"/>
        <v>1706</v>
      </c>
      <c r="B778" s="31">
        <v>42777</v>
      </c>
      <c r="C778" s="32" t="s">
        <v>61</v>
      </c>
      <c r="D778" s="32">
        <v>42771</v>
      </c>
      <c r="E778" s="33">
        <v>6</v>
      </c>
      <c r="F778" s="33">
        <v>2017</v>
      </c>
      <c r="G778" s="27">
        <v>201706</v>
      </c>
    </row>
    <row r="779" spans="1:7" x14ac:dyDescent="0.2">
      <c r="A779" s="22" t="str">
        <f t="shared" si="12"/>
        <v>1707</v>
      </c>
      <c r="B779" s="31">
        <v>42778</v>
      </c>
      <c r="C779" s="32" t="s">
        <v>55</v>
      </c>
      <c r="D779" s="32">
        <v>42778</v>
      </c>
      <c r="E779" s="33">
        <v>7</v>
      </c>
      <c r="F779" s="33">
        <v>2017</v>
      </c>
      <c r="G779" s="27">
        <v>201707</v>
      </c>
    </row>
    <row r="780" spans="1:7" x14ac:dyDescent="0.2">
      <c r="A780" s="22" t="str">
        <f t="shared" si="12"/>
        <v>1707</v>
      </c>
      <c r="B780" s="31">
        <v>42779</v>
      </c>
      <c r="C780" s="32" t="s">
        <v>56</v>
      </c>
      <c r="D780" s="32">
        <v>42778</v>
      </c>
      <c r="E780" s="33">
        <v>7</v>
      </c>
      <c r="F780" s="33">
        <v>2017</v>
      </c>
      <c r="G780" s="27">
        <v>201707</v>
      </c>
    </row>
    <row r="781" spans="1:7" x14ac:dyDescent="0.2">
      <c r="A781" s="22" t="str">
        <f t="shared" si="12"/>
        <v>1707</v>
      </c>
      <c r="B781" s="31">
        <v>42780</v>
      </c>
      <c r="C781" s="32" t="s">
        <v>57</v>
      </c>
      <c r="D781" s="32">
        <v>42778</v>
      </c>
      <c r="E781" s="33">
        <v>7</v>
      </c>
      <c r="F781" s="33">
        <v>2017</v>
      </c>
      <c r="G781" s="27">
        <v>201707</v>
      </c>
    </row>
    <row r="782" spans="1:7" x14ac:dyDescent="0.2">
      <c r="A782" s="22" t="str">
        <f t="shared" si="12"/>
        <v>1707</v>
      </c>
      <c r="B782" s="31">
        <v>42781</v>
      </c>
      <c r="C782" s="32" t="s">
        <v>58</v>
      </c>
      <c r="D782" s="32">
        <v>42778</v>
      </c>
      <c r="E782" s="33">
        <v>7</v>
      </c>
      <c r="F782" s="33">
        <v>2017</v>
      </c>
      <c r="G782" s="27">
        <v>201707</v>
      </c>
    </row>
    <row r="783" spans="1:7" x14ac:dyDescent="0.2">
      <c r="A783" s="22" t="str">
        <f t="shared" si="12"/>
        <v>1707</v>
      </c>
      <c r="B783" s="31">
        <v>42782</v>
      </c>
      <c r="C783" s="32" t="s">
        <v>59</v>
      </c>
      <c r="D783" s="32">
        <v>42778</v>
      </c>
      <c r="E783" s="33">
        <v>7</v>
      </c>
      <c r="F783" s="33">
        <v>2017</v>
      </c>
      <c r="G783" s="27">
        <v>201707</v>
      </c>
    </row>
    <row r="784" spans="1:7" x14ac:dyDescent="0.2">
      <c r="A784" s="22" t="str">
        <f t="shared" si="12"/>
        <v>1707</v>
      </c>
      <c r="B784" s="31">
        <v>42783</v>
      </c>
      <c r="C784" s="32" t="s">
        <v>60</v>
      </c>
      <c r="D784" s="32">
        <v>42778</v>
      </c>
      <c r="E784" s="33">
        <v>7</v>
      </c>
      <c r="F784" s="33">
        <v>2017</v>
      </c>
      <c r="G784" s="27">
        <v>201707</v>
      </c>
    </row>
    <row r="785" spans="1:7" x14ac:dyDescent="0.2">
      <c r="A785" s="22" t="str">
        <f t="shared" si="12"/>
        <v>1707</v>
      </c>
      <c r="B785" s="31">
        <v>42784</v>
      </c>
      <c r="C785" s="32" t="s">
        <v>61</v>
      </c>
      <c r="D785" s="32">
        <v>42778</v>
      </c>
      <c r="E785" s="33">
        <v>7</v>
      </c>
      <c r="F785" s="33">
        <v>2017</v>
      </c>
      <c r="G785" s="27">
        <v>201707</v>
      </c>
    </row>
    <row r="786" spans="1:7" x14ac:dyDescent="0.2">
      <c r="A786" s="22" t="str">
        <f t="shared" si="12"/>
        <v>1708</v>
      </c>
      <c r="B786" s="31">
        <v>42785</v>
      </c>
      <c r="C786" s="32" t="s">
        <v>55</v>
      </c>
      <c r="D786" s="32">
        <v>42785</v>
      </c>
      <c r="E786" s="33">
        <v>8</v>
      </c>
      <c r="F786" s="33">
        <v>2017</v>
      </c>
      <c r="G786" s="27">
        <v>201708</v>
      </c>
    </row>
    <row r="787" spans="1:7" x14ac:dyDescent="0.2">
      <c r="A787" s="22" t="str">
        <f t="shared" si="12"/>
        <v>1708</v>
      </c>
      <c r="B787" s="31">
        <v>42786</v>
      </c>
      <c r="C787" s="32" t="s">
        <v>56</v>
      </c>
      <c r="D787" s="32">
        <v>42785</v>
      </c>
      <c r="E787" s="33">
        <v>8</v>
      </c>
      <c r="F787" s="33">
        <v>2017</v>
      </c>
      <c r="G787" s="27">
        <v>201708</v>
      </c>
    </row>
    <row r="788" spans="1:7" x14ac:dyDescent="0.2">
      <c r="A788" s="22" t="str">
        <f t="shared" si="12"/>
        <v>1708</v>
      </c>
      <c r="B788" s="31">
        <v>42787</v>
      </c>
      <c r="C788" s="32" t="s">
        <v>57</v>
      </c>
      <c r="D788" s="32">
        <v>42785</v>
      </c>
      <c r="E788" s="33">
        <v>8</v>
      </c>
      <c r="F788" s="33">
        <v>2017</v>
      </c>
      <c r="G788" s="27">
        <v>201708</v>
      </c>
    </row>
    <row r="789" spans="1:7" x14ac:dyDescent="0.2">
      <c r="A789" s="22" t="str">
        <f t="shared" si="12"/>
        <v>1708</v>
      </c>
      <c r="B789" s="31">
        <v>42788</v>
      </c>
      <c r="C789" s="32" t="s">
        <v>58</v>
      </c>
      <c r="D789" s="32">
        <v>42785</v>
      </c>
      <c r="E789" s="33">
        <v>8</v>
      </c>
      <c r="F789" s="33">
        <v>2017</v>
      </c>
      <c r="G789" s="27">
        <v>201708</v>
      </c>
    </row>
    <row r="790" spans="1:7" x14ac:dyDescent="0.2">
      <c r="A790" s="22" t="str">
        <f t="shared" si="12"/>
        <v>1708</v>
      </c>
      <c r="B790" s="31">
        <v>42789</v>
      </c>
      <c r="C790" s="32" t="s">
        <v>59</v>
      </c>
      <c r="D790" s="32">
        <v>42785</v>
      </c>
      <c r="E790" s="33">
        <v>8</v>
      </c>
      <c r="F790" s="33">
        <v>2017</v>
      </c>
      <c r="G790" s="27">
        <v>201708</v>
      </c>
    </row>
    <row r="791" spans="1:7" x14ac:dyDescent="0.2">
      <c r="A791" s="22" t="str">
        <f t="shared" si="12"/>
        <v>1708</v>
      </c>
      <c r="B791" s="31">
        <v>42790</v>
      </c>
      <c r="C791" s="32" t="s">
        <v>60</v>
      </c>
      <c r="D791" s="32">
        <v>42785</v>
      </c>
      <c r="E791" s="33">
        <v>8</v>
      </c>
      <c r="F791" s="33">
        <v>2017</v>
      </c>
      <c r="G791" s="27">
        <v>201708</v>
      </c>
    </row>
    <row r="792" spans="1:7" x14ac:dyDescent="0.2">
      <c r="A792" s="22" t="str">
        <f t="shared" si="12"/>
        <v>1708</v>
      </c>
      <c r="B792" s="31">
        <v>42791</v>
      </c>
      <c r="C792" s="32" t="s">
        <v>61</v>
      </c>
      <c r="D792" s="32">
        <v>42785</v>
      </c>
      <c r="E792" s="33">
        <v>8</v>
      </c>
      <c r="F792" s="33">
        <v>2017</v>
      </c>
      <c r="G792" s="27">
        <v>201708</v>
      </c>
    </row>
    <row r="793" spans="1:7" x14ac:dyDescent="0.2">
      <c r="A793" s="22" t="str">
        <f t="shared" si="12"/>
        <v>1709</v>
      </c>
      <c r="B793" s="31">
        <v>42792</v>
      </c>
      <c r="C793" s="32" t="s">
        <v>55</v>
      </c>
      <c r="D793" s="32">
        <v>42792</v>
      </c>
      <c r="E793" s="33">
        <v>9</v>
      </c>
      <c r="F793" s="33">
        <v>2017</v>
      </c>
      <c r="G793" s="27">
        <v>201709</v>
      </c>
    </row>
    <row r="794" spans="1:7" x14ac:dyDescent="0.2">
      <c r="A794" s="22" t="str">
        <f t="shared" si="12"/>
        <v>1709</v>
      </c>
      <c r="B794" s="31">
        <v>42793</v>
      </c>
      <c r="C794" s="32" t="s">
        <v>56</v>
      </c>
      <c r="D794" s="32">
        <v>42792</v>
      </c>
      <c r="E794" s="33">
        <v>9</v>
      </c>
      <c r="F794" s="33">
        <v>2017</v>
      </c>
      <c r="G794" s="27">
        <v>201709</v>
      </c>
    </row>
    <row r="795" spans="1:7" x14ac:dyDescent="0.2">
      <c r="A795" s="22" t="str">
        <f t="shared" si="12"/>
        <v>1709</v>
      </c>
      <c r="B795" s="31">
        <v>42794</v>
      </c>
      <c r="C795" s="32" t="s">
        <v>57</v>
      </c>
      <c r="D795" s="32">
        <v>42792</v>
      </c>
      <c r="E795" s="33">
        <v>9</v>
      </c>
      <c r="F795" s="33">
        <v>2017</v>
      </c>
      <c r="G795" s="27">
        <v>201709</v>
      </c>
    </row>
    <row r="796" spans="1:7" x14ac:dyDescent="0.2">
      <c r="A796" s="22" t="str">
        <f t="shared" si="12"/>
        <v>1709</v>
      </c>
      <c r="B796" s="31">
        <v>42795</v>
      </c>
      <c r="C796" s="32" t="s">
        <v>58</v>
      </c>
      <c r="D796" s="32">
        <v>42792</v>
      </c>
      <c r="E796" s="33">
        <v>9</v>
      </c>
      <c r="F796" s="33">
        <v>2017</v>
      </c>
      <c r="G796" s="27">
        <v>201709</v>
      </c>
    </row>
    <row r="797" spans="1:7" x14ac:dyDescent="0.2">
      <c r="A797" s="22" t="str">
        <f t="shared" si="12"/>
        <v>1709</v>
      </c>
      <c r="B797" s="31">
        <v>42796</v>
      </c>
      <c r="C797" s="32" t="s">
        <v>59</v>
      </c>
      <c r="D797" s="32">
        <v>42792</v>
      </c>
      <c r="E797" s="33">
        <v>9</v>
      </c>
      <c r="F797" s="33">
        <v>2017</v>
      </c>
      <c r="G797" s="27">
        <v>201709</v>
      </c>
    </row>
    <row r="798" spans="1:7" x14ac:dyDescent="0.2">
      <c r="A798" s="22" t="str">
        <f t="shared" si="12"/>
        <v>1709</v>
      </c>
      <c r="B798" s="31">
        <v>42797</v>
      </c>
      <c r="C798" s="32" t="s">
        <v>60</v>
      </c>
      <c r="D798" s="32">
        <v>42792</v>
      </c>
      <c r="E798" s="33">
        <v>9</v>
      </c>
      <c r="F798" s="33">
        <v>2017</v>
      </c>
      <c r="G798" s="27">
        <v>201709</v>
      </c>
    </row>
    <row r="799" spans="1:7" x14ac:dyDescent="0.2">
      <c r="A799" s="22" t="str">
        <f t="shared" si="12"/>
        <v>1709</v>
      </c>
      <c r="B799" s="31">
        <v>42798</v>
      </c>
      <c r="C799" s="32" t="s">
        <v>61</v>
      </c>
      <c r="D799" s="32">
        <v>42792</v>
      </c>
      <c r="E799" s="33">
        <v>9</v>
      </c>
      <c r="F799" s="33">
        <v>2017</v>
      </c>
      <c r="G799" s="27">
        <v>201709</v>
      </c>
    </row>
    <row r="800" spans="1:7" x14ac:dyDescent="0.2">
      <c r="A800" s="22" t="str">
        <f t="shared" si="12"/>
        <v>1710</v>
      </c>
      <c r="B800" s="31">
        <v>42799</v>
      </c>
      <c r="C800" s="32" t="s">
        <v>55</v>
      </c>
      <c r="D800" s="32">
        <v>42799</v>
      </c>
      <c r="E800" s="33">
        <v>10</v>
      </c>
      <c r="F800" s="33">
        <v>2017</v>
      </c>
      <c r="G800" s="27">
        <v>201710</v>
      </c>
    </row>
    <row r="801" spans="1:7" x14ac:dyDescent="0.2">
      <c r="A801" s="22" t="str">
        <f t="shared" si="12"/>
        <v>1710</v>
      </c>
      <c r="B801" s="31">
        <v>42800</v>
      </c>
      <c r="C801" s="32" t="s">
        <v>56</v>
      </c>
      <c r="D801" s="32">
        <v>42799</v>
      </c>
      <c r="E801" s="33">
        <v>10</v>
      </c>
      <c r="F801" s="33">
        <v>2017</v>
      </c>
      <c r="G801" s="27">
        <v>201710</v>
      </c>
    </row>
    <row r="802" spans="1:7" x14ac:dyDescent="0.2">
      <c r="A802" s="22" t="str">
        <f t="shared" si="12"/>
        <v>1710</v>
      </c>
      <c r="B802" s="31">
        <v>42801</v>
      </c>
      <c r="C802" s="32" t="s">
        <v>57</v>
      </c>
      <c r="D802" s="32">
        <v>42799</v>
      </c>
      <c r="E802" s="33">
        <v>10</v>
      </c>
      <c r="F802" s="33">
        <v>2017</v>
      </c>
      <c r="G802" s="27">
        <v>201710</v>
      </c>
    </row>
    <row r="803" spans="1:7" x14ac:dyDescent="0.2">
      <c r="A803" s="22" t="str">
        <f t="shared" si="12"/>
        <v>1710</v>
      </c>
      <c r="B803" s="31">
        <v>42802</v>
      </c>
      <c r="C803" s="32" t="s">
        <v>58</v>
      </c>
      <c r="D803" s="32">
        <v>42799</v>
      </c>
      <c r="E803" s="33">
        <v>10</v>
      </c>
      <c r="F803" s="33">
        <v>2017</v>
      </c>
      <c r="G803" s="27">
        <v>201710</v>
      </c>
    </row>
    <row r="804" spans="1:7" x14ac:dyDescent="0.2">
      <c r="A804" s="22" t="str">
        <f t="shared" si="12"/>
        <v>1710</v>
      </c>
      <c r="B804" s="31">
        <v>42803</v>
      </c>
      <c r="C804" s="32" t="s">
        <v>59</v>
      </c>
      <c r="D804" s="32">
        <v>42799</v>
      </c>
      <c r="E804" s="33">
        <v>10</v>
      </c>
      <c r="F804" s="33">
        <v>2017</v>
      </c>
      <c r="G804" s="27">
        <v>201710</v>
      </c>
    </row>
    <row r="805" spans="1:7" x14ac:dyDescent="0.2">
      <c r="A805" s="22" t="str">
        <f t="shared" si="12"/>
        <v>1710</v>
      </c>
      <c r="B805" s="31">
        <v>42804</v>
      </c>
      <c r="C805" s="32" t="s">
        <v>60</v>
      </c>
      <c r="D805" s="32">
        <v>42799</v>
      </c>
      <c r="E805" s="33">
        <v>10</v>
      </c>
      <c r="F805" s="33">
        <v>2017</v>
      </c>
      <c r="G805" s="27">
        <v>201710</v>
      </c>
    </row>
    <row r="806" spans="1:7" x14ac:dyDescent="0.2">
      <c r="A806" s="22" t="str">
        <f t="shared" si="12"/>
        <v>1710</v>
      </c>
      <c r="B806" s="31">
        <v>42805</v>
      </c>
      <c r="C806" s="32" t="s">
        <v>61</v>
      </c>
      <c r="D806" s="32">
        <v>42799</v>
      </c>
      <c r="E806" s="33">
        <v>10</v>
      </c>
      <c r="F806" s="33">
        <v>2017</v>
      </c>
      <c r="G806" s="27">
        <v>201710</v>
      </c>
    </row>
    <row r="807" spans="1:7" x14ac:dyDescent="0.2">
      <c r="A807" s="22" t="str">
        <f t="shared" si="12"/>
        <v>1711</v>
      </c>
      <c r="B807" s="31">
        <v>42806</v>
      </c>
      <c r="C807" s="32" t="s">
        <v>55</v>
      </c>
      <c r="D807" s="32">
        <v>42806</v>
      </c>
      <c r="E807" s="33">
        <v>11</v>
      </c>
      <c r="F807" s="33">
        <v>2017</v>
      </c>
      <c r="G807" s="27">
        <v>201711</v>
      </c>
    </row>
    <row r="808" spans="1:7" x14ac:dyDescent="0.2">
      <c r="A808" s="22" t="str">
        <f t="shared" si="12"/>
        <v>1711</v>
      </c>
      <c r="B808" s="31">
        <v>42807</v>
      </c>
      <c r="C808" s="32" t="s">
        <v>56</v>
      </c>
      <c r="D808" s="32">
        <v>42806</v>
      </c>
      <c r="E808" s="33">
        <v>11</v>
      </c>
      <c r="F808" s="33">
        <v>2017</v>
      </c>
      <c r="G808" s="27">
        <v>201711</v>
      </c>
    </row>
    <row r="809" spans="1:7" x14ac:dyDescent="0.2">
      <c r="A809" s="22" t="str">
        <f t="shared" si="12"/>
        <v>1711</v>
      </c>
      <c r="B809" s="31">
        <v>42808</v>
      </c>
      <c r="C809" s="32" t="s">
        <v>57</v>
      </c>
      <c r="D809" s="32">
        <v>42806</v>
      </c>
      <c r="E809" s="33">
        <v>11</v>
      </c>
      <c r="F809" s="33">
        <v>2017</v>
      </c>
      <c r="G809" s="27">
        <v>201711</v>
      </c>
    </row>
    <row r="810" spans="1:7" x14ac:dyDescent="0.2">
      <c r="A810" s="22" t="str">
        <f t="shared" si="12"/>
        <v>1711</v>
      </c>
      <c r="B810" s="31">
        <v>42809</v>
      </c>
      <c r="C810" s="32" t="s">
        <v>58</v>
      </c>
      <c r="D810" s="32">
        <v>42806</v>
      </c>
      <c r="E810" s="33">
        <v>11</v>
      </c>
      <c r="F810" s="33">
        <v>2017</v>
      </c>
      <c r="G810" s="27">
        <v>201711</v>
      </c>
    </row>
    <row r="811" spans="1:7" x14ac:dyDescent="0.2">
      <c r="A811" s="22" t="str">
        <f t="shared" si="12"/>
        <v>1711</v>
      </c>
      <c r="B811" s="31">
        <v>42810</v>
      </c>
      <c r="C811" s="32" t="s">
        <v>59</v>
      </c>
      <c r="D811" s="32">
        <v>42806</v>
      </c>
      <c r="E811" s="33">
        <v>11</v>
      </c>
      <c r="F811" s="33">
        <v>2017</v>
      </c>
      <c r="G811" s="27">
        <v>201711</v>
      </c>
    </row>
    <row r="812" spans="1:7" x14ac:dyDescent="0.2">
      <c r="A812" s="22" t="str">
        <f t="shared" si="12"/>
        <v>1711</v>
      </c>
      <c r="B812" s="31">
        <v>42811</v>
      </c>
      <c r="C812" s="32" t="s">
        <v>60</v>
      </c>
      <c r="D812" s="32">
        <v>42806</v>
      </c>
      <c r="E812" s="33">
        <v>11</v>
      </c>
      <c r="F812" s="33">
        <v>2017</v>
      </c>
      <c r="G812" s="27">
        <v>201711</v>
      </c>
    </row>
    <row r="813" spans="1:7" x14ac:dyDescent="0.2">
      <c r="A813" s="22" t="str">
        <f t="shared" si="12"/>
        <v>1711</v>
      </c>
      <c r="B813" s="31">
        <v>42812</v>
      </c>
      <c r="C813" s="32" t="s">
        <v>61</v>
      </c>
      <c r="D813" s="32">
        <v>42806</v>
      </c>
      <c r="E813" s="33">
        <v>11</v>
      </c>
      <c r="F813" s="33">
        <v>2017</v>
      </c>
      <c r="G813" s="27">
        <v>201711</v>
      </c>
    </row>
    <row r="814" spans="1:7" x14ac:dyDescent="0.2">
      <c r="A814" s="22" t="str">
        <f t="shared" si="12"/>
        <v>1712</v>
      </c>
      <c r="B814" s="31">
        <v>42813</v>
      </c>
      <c r="C814" s="32" t="s">
        <v>55</v>
      </c>
      <c r="D814" s="32">
        <v>42813</v>
      </c>
      <c r="E814" s="33">
        <v>12</v>
      </c>
      <c r="F814" s="33">
        <v>2017</v>
      </c>
      <c r="G814" s="27">
        <v>201712</v>
      </c>
    </row>
    <row r="815" spans="1:7" x14ac:dyDescent="0.2">
      <c r="A815" s="22" t="str">
        <f t="shared" si="12"/>
        <v>1712</v>
      </c>
      <c r="B815" s="31">
        <v>42814</v>
      </c>
      <c r="C815" s="32" t="s">
        <v>56</v>
      </c>
      <c r="D815" s="32">
        <v>42813</v>
      </c>
      <c r="E815" s="33">
        <v>12</v>
      </c>
      <c r="F815" s="33">
        <v>2017</v>
      </c>
      <c r="G815" s="27">
        <v>201712</v>
      </c>
    </row>
    <row r="816" spans="1:7" x14ac:dyDescent="0.2">
      <c r="A816" s="22" t="str">
        <f t="shared" si="12"/>
        <v>1712</v>
      </c>
      <c r="B816" s="31">
        <v>42815</v>
      </c>
      <c r="C816" s="32" t="s">
        <v>57</v>
      </c>
      <c r="D816" s="32">
        <v>42813</v>
      </c>
      <c r="E816" s="33">
        <v>12</v>
      </c>
      <c r="F816" s="33">
        <v>2017</v>
      </c>
      <c r="G816" s="27">
        <v>201712</v>
      </c>
    </row>
    <row r="817" spans="1:7" x14ac:dyDescent="0.2">
      <c r="A817" s="22" t="str">
        <f t="shared" si="12"/>
        <v>1712</v>
      </c>
      <c r="B817" s="31">
        <v>42816</v>
      </c>
      <c r="C817" s="32" t="s">
        <v>58</v>
      </c>
      <c r="D817" s="32">
        <v>42813</v>
      </c>
      <c r="E817" s="33">
        <v>12</v>
      </c>
      <c r="F817" s="33">
        <v>2017</v>
      </c>
      <c r="G817" s="27">
        <v>201712</v>
      </c>
    </row>
    <row r="818" spans="1:7" x14ac:dyDescent="0.2">
      <c r="A818" s="22" t="str">
        <f t="shared" si="12"/>
        <v>1712</v>
      </c>
      <c r="B818" s="31">
        <v>42817</v>
      </c>
      <c r="C818" s="32" t="s">
        <v>59</v>
      </c>
      <c r="D818" s="32">
        <v>42813</v>
      </c>
      <c r="E818" s="33">
        <v>12</v>
      </c>
      <c r="F818" s="33">
        <v>2017</v>
      </c>
      <c r="G818" s="27">
        <v>201712</v>
      </c>
    </row>
    <row r="819" spans="1:7" x14ac:dyDescent="0.2">
      <c r="A819" s="22" t="str">
        <f t="shared" si="12"/>
        <v>1712</v>
      </c>
      <c r="B819" s="31">
        <v>42818</v>
      </c>
      <c r="C819" s="32" t="s">
        <v>60</v>
      </c>
      <c r="D819" s="32">
        <v>42813</v>
      </c>
      <c r="E819" s="33">
        <v>12</v>
      </c>
      <c r="F819" s="33">
        <v>2017</v>
      </c>
      <c r="G819" s="27">
        <v>201712</v>
      </c>
    </row>
    <row r="820" spans="1:7" x14ac:dyDescent="0.2">
      <c r="A820" s="22" t="str">
        <f t="shared" si="12"/>
        <v>1712</v>
      </c>
      <c r="B820" s="31">
        <v>42819</v>
      </c>
      <c r="C820" s="32" t="s">
        <v>61</v>
      </c>
      <c r="D820" s="32">
        <v>42813</v>
      </c>
      <c r="E820" s="33">
        <v>12</v>
      </c>
      <c r="F820" s="33">
        <v>2017</v>
      </c>
      <c r="G820" s="27">
        <v>201712</v>
      </c>
    </row>
    <row r="821" spans="1:7" x14ac:dyDescent="0.2">
      <c r="A821" s="22" t="str">
        <f t="shared" si="12"/>
        <v>1713</v>
      </c>
      <c r="B821" s="31">
        <v>42820</v>
      </c>
      <c r="C821" s="32" t="s">
        <v>55</v>
      </c>
      <c r="D821" s="32">
        <v>42820</v>
      </c>
      <c r="E821" s="33">
        <v>13</v>
      </c>
      <c r="F821" s="33">
        <v>2017</v>
      </c>
      <c r="G821" s="27">
        <v>201713</v>
      </c>
    </row>
    <row r="822" spans="1:7" x14ac:dyDescent="0.2">
      <c r="A822" s="22" t="str">
        <f t="shared" si="12"/>
        <v>1713</v>
      </c>
      <c r="B822" s="31">
        <v>42821</v>
      </c>
      <c r="C822" s="32" t="s">
        <v>56</v>
      </c>
      <c r="D822" s="32">
        <v>42820</v>
      </c>
      <c r="E822" s="33">
        <v>13</v>
      </c>
      <c r="F822" s="33">
        <v>2017</v>
      </c>
      <c r="G822" s="27">
        <v>201713</v>
      </c>
    </row>
    <row r="823" spans="1:7" x14ac:dyDescent="0.2">
      <c r="A823" s="22" t="str">
        <f t="shared" si="12"/>
        <v>1713</v>
      </c>
      <c r="B823" s="31">
        <v>42822</v>
      </c>
      <c r="C823" s="32" t="s">
        <v>57</v>
      </c>
      <c r="D823" s="32">
        <v>42820</v>
      </c>
      <c r="E823" s="33">
        <v>13</v>
      </c>
      <c r="F823" s="33">
        <v>2017</v>
      </c>
      <c r="G823" s="27">
        <v>201713</v>
      </c>
    </row>
    <row r="824" spans="1:7" x14ac:dyDescent="0.2">
      <c r="A824" s="22" t="str">
        <f t="shared" si="12"/>
        <v>1713</v>
      </c>
      <c r="B824" s="31">
        <v>42823</v>
      </c>
      <c r="C824" s="32" t="s">
        <v>58</v>
      </c>
      <c r="D824" s="32">
        <v>42820</v>
      </c>
      <c r="E824" s="33">
        <v>13</v>
      </c>
      <c r="F824" s="33">
        <v>2017</v>
      </c>
      <c r="G824" s="27">
        <v>201713</v>
      </c>
    </row>
    <row r="825" spans="1:7" x14ac:dyDescent="0.2">
      <c r="A825" s="22" t="str">
        <f t="shared" si="12"/>
        <v>1713</v>
      </c>
      <c r="B825" s="31">
        <v>42824</v>
      </c>
      <c r="C825" s="32" t="s">
        <v>59</v>
      </c>
      <c r="D825" s="32">
        <v>42820</v>
      </c>
      <c r="E825" s="33">
        <v>13</v>
      </c>
      <c r="F825" s="33">
        <v>2017</v>
      </c>
      <c r="G825" s="27">
        <v>201713</v>
      </c>
    </row>
    <row r="826" spans="1:7" x14ac:dyDescent="0.2">
      <c r="A826" s="22" t="str">
        <f t="shared" si="12"/>
        <v>1713</v>
      </c>
      <c r="B826" s="31">
        <v>42825</v>
      </c>
      <c r="C826" s="32" t="s">
        <v>60</v>
      </c>
      <c r="D826" s="32">
        <v>42820</v>
      </c>
      <c r="E826" s="33">
        <v>13</v>
      </c>
      <c r="F826" s="33">
        <v>2017</v>
      </c>
      <c r="G826" s="27">
        <v>201713</v>
      </c>
    </row>
    <row r="827" spans="1:7" x14ac:dyDescent="0.2">
      <c r="A827" s="22" t="str">
        <f t="shared" si="12"/>
        <v>1713</v>
      </c>
      <c r="B827" s="31">
        <v>42826</v>
      </c>
      <c r="C827" s="32" t="s">
        <v>61</v>
      </c>
      <c r="D827" s="32">
        <v>42820</v>
      </c>
      <c r="E827" s="33">
        <v>13</v>
      </c>
      <c r="F827" s="33">
        <v>2017</v>
      </c>
      <c r="G827" s="27">
        <v>201713</v>
      </c>
    </row>
    <row r="828" spans="1:7" x14ac:dyDescent="0.2">
      <c r="A828" s="22" t="str">
        <f t="shared" si="12"/>
        <v>1714</v>
      </c>
      <c r="B828" s="31">
        <v>42827</v>
      </c>
      <c r="C828" s="32" t="s">
        <v>55</v>
      </c>
      <c r="D828" s="32">
        <v>42827</v>
      </c>
      <c r="E828" s="33">
        <v>14</v>
      </c>
      <c r="F828" s="33">
        <v>2017</v>
      </c>
      <c r="G828" s="27">
        <v>201714</v>
      </c>
    </row>
    <row r="829" spans="1:7" x14ac:dyDescent="0.2">
      <c r="A829" s="22" t="str">
        <f t="shared" si="12"/>
        <v>1714</v>
      </c>
      <c r="B829" s="31">
        <v>42828</v>
      </c>
      <c r="C829" s="32" t="s">
        <v>56</v>
      </c>
      <c r="D829" s="32">
        <v>42827</v>
      </c>
      <c r="E829" s="33">
        <v>14</v>
      </c>
      <c r="F829" s="33">
        <v>2017</v>
      </c>
      <c r="G829" s="27">
        <v>201714</v>
      </c>
    </row>
    <row r="830" spans="1:7" x14ac:dyDescent="0.2">
      <c r="A830" s="22" t="str">
        <f t="shared" si="12"/>
        <v>1714</v>
      </c>
      <c r="B830" s="31">
        <v>42829</v>
      </c>
      <c r="C830" s="32" t="s">
        <v>57</v>
      </c>
      <c r="D830" s="32">
        <v>42827</v>
      </c>
      <c r="E830" s="33">
        <v>14</v>
      </c>
      <c r="F830" s="33">
        <v>2017</v>
      </c>
      <c r="G830" s="27">
        <v>201714</v>
      </c>
    </row>
    <row r="831" spans="1:7" x14ac:dyDescent="0.2">
      <c r="A831" s="22" t="str">
        <f t="shared" si="12"/>
        <v>1714</v>
      </c>
      <c r="B831" s="31">
        <v>42830</v>
      </c>
      <c r="C831" s="32" t="s">
        <v>58</v>
      </c>
      <c r="D831" s="32">
        <v>42827</v>
      </c>
      <c r="E831" s="33">
        <v>14</v>
      </c>
      <c r="F831" s="33">
        <v>2017</v>
      </c>
      <c r="G831" s="27">
        <v>201714</v>
      </c>
    </row>
    <row r="832" spans="1:7" x14ac:dyDescent="0.2">
      <c r="A832" s="22" t="str">
        <f t="shared" si="12"/>
        <v>1714</v>
      </c>
      <c r="B832" s="31">
        <v>42831</v>
      </c>
      <c r="C832" s="32" t="s">
        <v>59</v>
      </c>
      <c r="D832" s="32">
        <v>42827</v>
      </c>
      <c r="E832" s="33">
        <v>14</v>
      </c>
      <c r="F832" s="33">
        <v>2017</v>
      </c>
      <c r="G832" s="27">
        <v>201714</v>
      </c>
    </row>
    <row r="833" spans="1:7" x14ac:dyDescent="0.2">
      <c r="A833" s="22" t="str">
        <f t="shared" si="12"/>
        <v>1714</v>
      </c>
      <c r="B833" s="31">
        <v>42832</v>
      </c>
      <c r="C833" s="32" t="s">
        <v>60</v>
      </c>
      <c r="D833" s="32">
        <v>42827</v>
      </c>
      <c r="E833" s="33">
        <v>14</v>
      </c>
      <c r="F833" s="33">
        <v>2017</v>
      </c>
      <c r="G833" s="27">
        <v>201714</v>
      </c>
    </row>
    <row r="834" spans="1:7" x14ac:dyDescent="0.2">
      <c r="A834" s="22" t="str">
        <f t="shared" si="12"/>
        <v>1714</v>
      </c>
      <c r="B834" s="31">
        <v>42833</v>
      </c>
      <c r="C834" s="32" t="s">
        <v>61</v>
      </c>
      <c r="D834" s="32">
        <v>42827</v>
      </c>
      <c r="E834" s="33">
        <v>14</v>
      </c>
      <c r="F834" s="33">
        <v>2017</v>
      </c>
      <c r="G834" s="27">
        <v>201714</v>
      </c>
    </row>
    <row r="835" spans="1:7" x14ac:dyDescent="0.2">
      <c r="A835" s="22" t="str">
        <f t="shared" ref="A835:A898" si="13">RIGHT(G835,4)</f>
        <v>1715</v>
      </c>
      <c r="B835" s="31">
        <v>42834</v>
      </c>
      <c r="C835" s="32" t="s">
        <v>55</v>
      </c>
      <c r="D835" s="32">
        <v>42834</v>
      </c>
      <c r="E835" s="33">
        <v>15</v>
      </c>
      <c r="F835" s="33">
        <v>2017</v>
      </c>
      <c r="G835" s="27">
        <v>201715</v>
      </c>
    </row>
    <row r="836" spans="1:7" x14ac:dyDescent="0.2">
      <c r="A836" s="22" t="str">
        <f t="shared" si="13"/>
        <v>1715</v>
      </c>
      <c r="B836" s="31">
        <v>42835</v>
      </c>
      <c r="C836" s="32" t="s">
        <v>56</v>
      </c>
      <c r="D836" s="32">
        <v>42834</v>
      </c>
      <c r="E836" s="33">
        <v>15</v>
      </c>
      <c r="F836" s="33">
        <v>2017</v>
      </c>
      <c r="G836" s="27">
        <v>201715</v>
      </c>
    </row>
    <row r="837" spans="1:7" x14ac:dyDescent="0.2">
      <c r="A837" s="22" t="str">
        <f t="shared" si="13"/>
        <v>1715</v>
      </c>
      <c r="B837" s="31">
        <v>42836</v>
      </c>
      <c r="C837" s="32" t="s">
        <v>57</v>
      </c>
      <c r="D837" s="32">
        <v>42834</v>
      </c>
      <c r="E837" s="33">
        <v>15</v>
      </c>
      <c r="F837" s="33">
        <v>2017</v>
      </c>
      <c r="G837" s="27">
        <v>201715</v>
      </c>
    </row>
    <row r="838" spans="1:7" x14ac:dyDescent="0.2">
      <c r="A838" s="22" t="str">
        <f t="shared" si="13"/>
        <v>1715</v>
      </c>
      <c r="B838" s="31">
        <v>42837</v>
      </c>
      <c r="C838" s="32" t="s">
        <v>58</v>
      </c>
      <c r="D838" s="32">
        <v>42834</v>
      </c>
      <c r="E838" s="33">
        <v>15</v>
      </c>
      <c r="F838" s="33">
        <v>2017</v>
      </c>
      <c r="G838" s="27">
        <v>201715</v>
      </c>
    </row>
    <row r="839" spans="1:7" x14ac:dyDescent="0.2">
      <c r="A839" s="22" t="str">
        <f t="shared" si="13"/>
        <v>1715</v>
      </c>
      <c r="B839" s="31">
        <v>42838</v>
      </c>
      <c r="C839" s="32" t="s">
        <v>59</v>
      </c>
      <c r="D839" s="32">
        <v>42834</v>
      </c>
      <c r="E839" s="33">
        <v>15</v>
      </c>
      <c r="F839" s="33">
        <v>2017</v>
      </c>
      <c r="G839" s="27">
        <v>201715</v>
      </c>
    </row>
    <row r="840" spans="1:7" x14ac:dyDescent="0.2">
      <c r="A840" s="22" t="str">
        <f t="shared" si="13"/>
        <v>1715</v>
      </c>
      <c r="B840" s="31">
        <v>42839</v>
      </c>
      <c r="C840" s="32" t="s">
        <v>60</v>
      </c>
      <c r="D840" s="32">
        <v>42834</v>
      </c>
      <c r="E840" s="33">
        <v>15</v>
      </c>
      <c r="F840" s="33">
        <v>2017</v>
      </c>
      <c r="G840" s="27">
        <v>201715</v>
      </c>
    </row>
    <row r="841" spans="1:7" x14ac:dyDescent="0.2">
      <c r="A841" s="22" t="str">
        <f t="shared" si="13"/>
        <v>1715</v>
      </c>
      <c r="B841" s="31">
        <v>42840</v>
      </c>
      <c r="C841" s="32" t="s">
        <v>61</v>
      </c>
      <c r="D841" s="32">
        <v>42834</v>
      </c>
      <c r="E841" s="33">
        <v>15</v>
      </c>
      <c r="F841" s="33">
        <v>2017</v>
      </c>
      <c r="G841" s="27">
        <v>201715</v>
      </c>
    </row>
    <row r="842" spans="1:7" x14ac:dyDescent="0.2">
      <c r="A842" s="22" t="str">
        <f t="shared" si="13"/>
        <v>1716</v>
      </c>
      <c r="B842" s="31">
        <v>42841</v>
      </c>
      <c r="C842" s="32" t="s">
        <v>55</v>
      </c>
      <c r="D842" s="32">
        <v>42841</v>
      </c>
      <c r="E842" s="33">
        <v>16</v>
      </c>
      <c r="F842" s="33">
        <v>2017</v>
      </c>
      <c r="G842" s="27">
        <v>201716</v>
      </c>
    </row>
    <row r="843" spans="1:7" x14ac:dyDescent="0.2">
      <c r="A843" s="22" t="str">
        <f t="shared" si="13"/>
        <v>1716</v>
      </c>
      <c r="B843" s="31">
        <v>42842</v>
      </c>
      <c r="C843" s="32" t="s">
        <v>56</v>
      </c>
      <c r="D843" s="32">
        <v>42841</v>
      </c>
      <c r="E843" s="33">
        <v>16</v>
      </c>
      <c r="F843" s="33">
        <v>2017</v>
      </c>
      <c r="G843" s="27">
        <v>201716</v>
      </c>
    </row>
    <row r="844" spans="1:7" x14ac:dyDescent="0.2">
      <c r="A844" s="22" t="str">
        <f t="shared" si="13"/>
        <v>1716</v>
      </c>
      <c r="B844" s="31">
        <v>42843</v>
      </c>
      <c r="C844" s="32" t="s">
        <v>57</v>
      </c>
      <c r="D844" s="32">
        <v>42841</v>
      </c>
      <c r="E844" s="33">
        <v>16</v>
      </c>
      <c r="F844" s="33">
        <v>2017</v>
      </c>
      <c r="G844" s="27">
        <v>201716</v>
      </c>
    </row>
    <row r="845" spans="1:7" x14ac:dyDescent="0.2">
      <c r="A845" s="22" t="str">
        <f t="shared" si="13"/>
        <v>1716</v>
      </c>
      <c r="B845" s="31">
        <v>42844</v>
      </c>
      <c r="C845" s="32" t="s">
        <v>58</v>
      </c>
      <c r="D845" s="32">
        <v>42841</v>
      </c>
      <c r="E845" s="33">
        <v>16</v>
      </c>
      <c r="F845" s="33">
        <v>2017</v>
      </c>
      <c r="G845" s="27">
        <v>201716</v>
      </c>
    </row>
    <row r="846" spans="1:7" x14ac:dyDescent="0.2">
      <c r="A846" s="22" t="str">
        <f t="shared" si="13"/>
        <v>1716</v>
      </c>
      <c r="B846" s="31">
        <v>42845</v>
      </c>
      <c r="C846" s="32" t="s">
        <v>59</v>
      </c>
      <c r="D846" s="32">
        <v>42841</v>
      </c>
      <c r="E846" s="33">
        <v>16</v>
      </c>
      <c r="F846" s="33">
        <v>2017</v>
      </c>
      <c r="G846" s="27">
        <v>201716</v>
      </c>
    </row>
    <row r="847" spans="1:7" x14ac:dyDescent="0.2">
      <c r="A847" s="22" t="str">
        <f t="shared" si="13"/>
        <v>1716</v>
      </c>
      <c r="B847" s="31">
        <v>42846</v>
      </c>
      <c r="C847" s="32" t="s">
        <v>60</v>
      </c>
      <c r="D847" s="32">
        <v>42841</v>
      </c>
      <c r="E847" s="33">
        <v>16</v>
      </c>
      <c r="F847" s="33">
        <v>2017</v>
      </c>
      <c r="G847" s="27">
        <v>201716</v>
      </c>
    </row>
    <row r="848" spans="1:7" x14ac:dyDescent="0.2">
      <c r="A848" s="22" t="str">
        <f t="shared" si="13"/>
        <v>1716</v>
      </c>
      <c r="B848" s="31">
        <v>42847</v>
      </c>
      <c r="C848" s="32" t="s">
        <v>61</v>
      </c>
      <c r="D848" s="32">
        <v>42841</v>
      </c>
      <c r="E848" s="33">
        <v>16</v>
      </c>
      <c r="F848" s="33">
        <v>2017</v>
      </c>
      <c r="G848" s="27">
        <v>201716</v>
      </c>
    </row>
    <row r="849" spans="1:7" x14ac:dyDescent="0.2">
      <c r="A849" s="22" t="str">
        <f t="shared" si="13"/>
        <v>1717</v>
      </c>
      <c r="B849" s="31">
        <v>42848</v>
      </c>
      <c r="C849" s="32" t="s">
        <v>55</v>
      </c>
      <c r="D849" s="32">
        <v>42848</v>
      </c>
      <c r="E849" s="33">
        <v>17</v>
      </c>
      <c r="F849" s="33">
        <v>2017</v>
      </c>
      <c r="G849" s="27">
        <v>201717</v>
      </c>
    </row>
    <row r="850" spans="1:7" x14ac:dyDescent="0.2">
      <c r="A850" s="22" t="str">
        <f t="shared" si="13"/>
        <v>1717</v>
      </c>
      <c r="B850" s="31">
        <v>42849</v>
      </c>
      <c r="C850" s="32" t="s">
        <v>56</v>
      </c>
      <c r="D850" s="32">
        <v>42848</v>
      </c>
      <c r="E850" s="33">
        <v>17</v>
      </c>
      <c r="F850" s="33">
        <v>2017</v>
      </c>
      <c r="G850" s="27">
        <v>201717</v>
      </c>
    </row>
    <row r="851" spans="1:7" x14ac:dyDescent="0.2">
      <c r="A851" s="22" t="str">
        <f t="shared" si="13"/>
        <v>1717</v>
      </c>
      <c r="B851" s="31">
        <v>42850</v>
      </c>
      <c r="C851" s="32" t="s">
        <v>57</v>
      </c>
      <c r="D851" s="32">
        <v>42848</v>
      </c>
      <c r="E851" s="33">
        <v>17</v>
      </c>
      <c r="F851" s="33">
        <v>2017</v>
      </c>
      <c r="G851" s="27">
        <v>201717</v>
      </c>
    </row>
    <row r="852" spans="1:7" x14ac:dyDescent="0.2">
      <c r="A852" s="22" t="str">
        <f t="shared" si="13"/>
        <v>1717</v>
      </c>
      <c r="B852" s="31">
        <v>42851</v>
      </c>
      <c r="C852" s="32" t="s">
        <v>58</v>
      </c>
      <c r="D852" s="32">
        <v>42848</v>
      </c>
      <c r="E852" s="33">
        <v>17</v>
      </c>
      <c r="F852" s="33">
        <v>2017</v>
      </c>
      <c r="G852" s="27">
        <v>201717</v>
      </c>
    </row>
    <row r="853" spans="1:7" x14ac:dyDescent="0.2">
      <c r="A853" s="22" t="str">
        <f t="shared" si="13"/>
        <v>1717</v>
      </c>
      <c r="B853" s="31">
        <v>42852</v>
      </c>
      <c r="C853" s="32" t="s">
        <v>59</v>
      </c>
      <c r="D853" s="32">
        <v>42848</v>
      </c>
      <c r="E853" s="33">
        <v>17</v>
      </c>
      <c r="F853" s="33">
        <v>2017</v>
      </c>
      <c r="G853" s="27">
        <v>201717</v>
      </c>
    </row>
    <row r="854" spans="1:7" x14ac:dyDescent="0.2">
      <c r="A854" s="22" t="str">
        <f t="shared" si="13"/>
        <v>1717</v>
      </c>
      <c r="B854" s="31">
        <v>42853</v>
      </c>
      <c r="C854" s="32" t="s">
        <v>60</v>
      </c>
      <c r="D854" s="32">
        <v>42848</v>
      </c>
      <c r="E854" s="33">
        <v>17</v>
      </c>
      <c r="F854" s="33">
        <v>2017</v>
      </c>
      <c r="G854" s="27">
        <v>201717</v>
      </c>
    </row>
    <row r="855" spans="1:7" x14ac:dyDescent="0.2">
      <c r="A855" s="22" t="str">
        <f t="shared" si="13"/>
        <v>1717</v>
      </c>
      <c r="B855" s="31">
        <v>42854</v>
      </c>
      <c r="C855" s="32" t="s">
        <v>61</v>
      </c>
      <c r="D855" s="32">
        <v>42848</v>
      </c>
      <c r="E855" s="33">
        <v>17</v>
      </c>
      <c r="F855" s="33">
        <v>2017</v>
      </c>
      <c r="G855" s="27">
        <v>201717</v>
      </c>
    </row>
    <row r="856" spans="1:7" x14ac:dyDescent="0.2">
      <c r="A856" s="22" t="str">
        <f t="shared" si="13"/>
        <v>1718</v>
      </c>
      <c r="B856" s="31">
        <v>42855</v>
      </c>
      <c r="C856" s="32" t="s">
        <v>55</v>
      </c>
      <c r="D856" s="32">
        <v>42855</v>
      </c>
      <c r="E856" s="33">
        <v>18</v>
      </c>
      <c r="F856" s="33">
        <v>2017</v>
      </c>
      <c r="G856" s="27">
        <v>201718</v>
      </c>
    </row>
    <row r="857" spans="1:7" x14ac:dyDescent="0.2">
      <c r="A857" s="22" t="str">
        <f t="shared" si="13"/>
        <v>1718</v>
      </c>
      <c r="B857" s="31">
        <v>42856</v>
      </c>
      <c r="C857" s="32" t="s">
        <v>56</v>
      </c>
      <c r="D857" s="32">
        <v>42855</v>
      </c>
      <c r="E857" s="33">
        <v>18</v>
      </c>
      <c r="F857" s="33">
        <v>2017</v>
      </c>
      <c r="G857" s="27">
        <v>201718</v>
      </c>
    </row>
    <row r="858" spans="1:7" x14ac:dyDescent="0.2">
      <c r="A858" s="22" t="str">
        <f t="shared" si="13"/>
        <v>1718</v>
      </c>
      <c r="B858" s="31">
        <v>42857</v>
      </c>
      <c r="C858" s="32" t="s">
        <v>57</v>
      </c>
      <c r="D858" s="32">
        <v>42855</v>
      </c>
      <c r="E858" s="33">
        <v>18</v>
      </c>
      <c r="F858" s="33">
        <v>2017</v>
      </c>
      <c r="G858" s="27">
        <v>201718</v>
      </c>
    </row>
    <row r="859" spans="1:7" x14ac:dyDescent="0.2">
      <c r="A859" s="22" t="str">
        <f t="shared" si="13"/>
        <v>1718</v>
      </c>
      <c r="B859" s="31">
        <v>42858</v>
      </c>
      <c r="C859" s="32" t="s">
        <v>58</v>
      </c>
      <c r="D859" s="32">
        <v>42855</v>
      </c>
      <c r="E859" s="33">
        <v>18</v>
      </c>
      <c r="F859" s="33">
        <v>2017</v>
      </c>
      <c r="G859" s="27">
        <v>201718</v>
      </c>
    </row>
    <row r="860" spans="1:7" x14ac:dyDescent="0.2">
      <c r="A860" s="22" t="str">
        <f t="shared" si="13"/>
        <v>1718</v>
      </c>
      <c r="B860" s="31">
        <v>42859</v>
      </c>
      <c r="C860" s="32" t="s">
        <v>59</v>
      </c>
      <c r="D860" s="32">
        <v>42855</v>
      </c>
      <c r="E860" s="33">
        <v>18</v>
      </c>
      <c r="F860" s="33">
        <v>2017</v>
      </c>
      <c r="G860" s="27">
        <v>201718</v>
      </c>
    </row>
    <row r="861" spans="1:7" x14ac:dyDescent="0.2">
      <c r="A861" s="22" t="str">
        <f t="shared" si="13"/>
        <v>1718</v>
      </c>
      <c r="B861" s="31">
        <v>42860</v>
      </c>
      <c r="C861" s="32" t="s">
        <v>60</v>
      </c>
      <c r="D861" s="32">
        <v>42855</v>
      </c>
      <c r="E861" s="33">
        <v>18</v>
      </c>
      <c r="F861" s="33">
        <v>2017</v>
      </c>
      <c r="G861" s="27">
        <v>201718</v>
      </c>
    </row>
    <row r="862" spans="1:7" x14ac:dyDescent="0.2">
      <c r="A862" s="22" t="str">
        <f t="shared" si="13"/>
        <v>1718</v>
      </c>
      <c r="B862" s="31">
        <v>42861</v>
      </c>
      <c r="C862" s="32" t="s">
        <v>61</v>
      </c>
      <c r="D862" s="32">
        <v>42855</v>
      </c>
      <c r="E862" s="33">
        <v>18</v>
      </c>
      <c r="F862" s="33">
        <v>2017</v>
      </c>
      <c r="G862" s="27">
        <v>201718</v>
      </c>
    </row>
    <row r="863" spans="1:7" x14ac:dyDescent="0.2">
      <c r="A863" s="22" t="str">
        <f t="shared" si="13"/>
        <v>1719</v>
      </c>
      <c r="B863" s="31">
        <v>42862</v>
      </c>
      <c r="C863" s="32" t="s">
        <v>55</v>
      </c>
      <c r="D863" s="32">
        <v>42862</v>
      </c>
      <c r="E863" s="33">
        <v>19</v>
      </c>
      <c r="F863" s="33">
        <v>2017</v>
      </c>
      <c r="G863" s="27">
        <v>201719</v>
      </c>
    </row>
    <row r="864" spans="1:7" x14ac:dyDescent="0.2">
      <c r="A864" s="22" t="str">
        <f t="shared" si="13"/>
        <v>1719</v>
      </c>
      <c r="B864" s="31">
        <v>42863</v>
      </c>
      <c r="C864" s="32" t="s">
        <v>56</v>
      </c>
      <c r="D864" s="32">
        <v>42862</v>
      </c>
      <c r="E864" s="33">
        <v>19</v>
      </c>
      <c r="F864" s="33">
        <v>2017</v>
      </c>
      <c r="G864" s="27">
        <v>201719</v>
      </c>
    </row>
    <row r="865" spans="1:7" x14ac:dyDescent="0.2">
      <c r="A865" s="22" t="str">
        <f t="shared" si="13"/>
        <v>1719</v>
      </c>
      <c r="B865" s="31">
        <v>42864</v>
      </c>
      <c r="C865" s="32" t="s">
        <v>57</v>
      </c>
      <c r="D865" s="32">
        <v>42862</v>
      </c>
      <c r="E865" s="33">
        <v>19</v>
      </c>
      <c r="F865" s="33">
        <v>2017</v>
      </c>
      <c r="G865" s="27">
        <v>201719</v>
      </c>
    </row>
    <row r="866" spans="1:7" x14ac:dyDescent="0.2">
      <c r="A866" s="22" t="str">
        <f t="shared" si="13"/>
        <v>1719</v>
      </c>
      <c r="B866" s="31">
        <v>42865</v>
      </c>
      <c r="C866" s="32" t="s">
        <v>58</v>
      </c>
      <c r="D866" s="32">
        <v>42862</v>
      </c>
      <c r="E866" s="33">
        <v>19</v>
      </c>
      <c r="F866" s="33">
        <v>2017</v>
      </c>
      <c r="G866" s="27">
        <v>201719</v>
      </c>
    </row>
    <row r="867" spans="1:7" x14ac:dyDescent="0.2">
      <c r="A867" s="22" t="str">
        <f t="shared" si="13"/>
        <v>1719</v>
      </c>
      <c r="B867" s="31">
        <v>42866</v>
      </c>
      <c r="C867" s="32" t="s">
        <v>59</v>
      </c>
      <c r="D867" s="32">
        <v>42862</v>
      </c>
      <c r="E867" s="33">
        <v>19</v>
      </c>
      <c r="F867" s="33">
        <v>2017</v>
      </c>
      <c r="G867" s="27">
        <v>201719</v>
      </c>
    </row>
    <row r="868" spans="1:7" x14ac:dyDescent="0.2">
      <c r="A868" s="22" t="str">
        <f t="shared" si="13"/>
        <v>1719</v>
      </c>
      <c r="B868" s="31">
        <v>42867</v>
      </c>
      <c r="C868" s="32" t="s">
        <v>60</v>
      </c>
      <c r="D868" s="32">
        <v>42862</v>
      </c>
      <c r="E868" s="33">
        <v>19</v>
      </c>
      <c r="F868" s="33">
        <v>2017</v>
      </c>
      <c r="G868" s="27">
        <v>201719</v>
      </c>
    </row>
    <row r="869" spans="1:7" x14ac:dyDescent="0.2">
      <c r="A869" s="22" t="str">
        <f t="shared" si="13"/>
        <v>1719</v>
      </c>
      <c r="B869" s="31">
        <v>42868</v>
      </c>
      <c r="C869" s="32" t="s">
        <v>61</v>
      </c>
      <c r="D869" s="32">
        <v>42862</v>
      </c>
      <c r="E869" s="33">
        <v>19</v>
      </c>
      <c r="F869" s="33">
        <v>2017</v>
      </c>
      <c r="G869" s="27">
        <v>201719</v>
      </c>
    </row>
    <row r="870" spans="1:7" x14ac:dyDescent="0.2">
      <c r="A870" s="22" t="str">
        <f t="shared" si="13"/>
        <v>1720</v>
      </c>
      <c r="B870" s="31">
        <v>42869</v>
      </c>
      <c r="C870" s="32" t="s">
        <v>55</v>
      </c>
      <c r="D870" s="32">
        <v>42869</v>
      </c>
      <c r="E870" s="33">
        <v>20</v>
      </c>
      <c r="F870" s="33">
        <v>2017</v>
      </c>
      <c r="G870" s="27">
        <v>201720</v>
      </c>
    </row>
    <row r="871" spans="1:7" x14ac:dyDescent="0.2">
      <c r="A871" s="22" t="str">
        <f t="shared" si="13"/>
        <v>1720</v>
      </c>
      <c r="B871" s="31">
        <v>42870</v>
      </c>
      <c r="C871" s="32" t="s">
        <v>56</v>
      </c>
      <c r="D871" s="32">
        <v>42869</v>
      </c>
      <c r="E871" s="33">
        <v>20</v>
      </c>
      <c r="F871" s="33">
        <v>2017</v>
      </c>
      <c r="G871" s="27">
        <v>201720</v>
      </c>
    </row>
    <row r="872" spans="1:7" x14ac:dyDescent="0.2">
      <c r="A872" s="22" t="str">
        <f t="shared" si="13"/>
        <v>1720</v>
      </c>
      <c r="B872" s="31">
        <v>42871</v>
      </c>
      <c r="C872" s="32" t="s">
        <v>57</v>
      </c>
      <c r="D872" s="32">
        <v>42869</v>
      </c>
      <c r="E872" s="33">
        <v>20</v>
      </c>
      <c r="F872" s="33">
        <v>2017</v>
      </c>
      <c r="G872" s="27">
        <v>201720</v>
      </c>
    </row>
    <row r="873" spans="1:7" x14ac:dyDescent="0.2">
      <c r="A873" s="22" t="str">
        <f t="shared" si="13"/>
        <v>1720</v>
      </c>
      <c r="B873" s="31">
        <v>42872</v>
      </c>
      <c r="C873" s="32" t="s">
        <v>58</v>
      </c>
      <c r="D873" s="32">
        <v>42869</v>
      </c>
      <c r="E873" s="33">
        <v>20</v>
      </c>
      <c r="F873" s="33">
        <v>2017</v>
      </c>
      <c r="G873" s="27">
        <v>201720</v>
      </c>
    </row>
    <row r="874" spans="1:7" x14ac:dyDescent="0.2">
      <c r="A874" s="22" t="str">
        <f t="shared" si="13"/>
        <v>1720</v>
      </c>
      <c r="B874" s="31">
        <v>42873</v>
      </c>
      <c r="C874" s="32" t="s">
        <v>59</v>
      </c>
      <c r="D874" s="32">
        <v>42869</v>
      </c>
      <c r="E874" s="33">
        <v>20</v>
      </c>
      <c r="F874" s="33">
        <v>2017</v>
      </c>
      <c r="G874" s="27">
        <v>201720</v>
      </c>
    </row>
    <row r="875" spans="1:7" x14ac:dyDescent="0.2">
      <c r="A875" s="22" t="str">
        <f t="shared" si="13"/>
        <v>1720</v>
      </c>
      <c r="B875" s="31">
        <v>42874</v>
      </c>
      <c r="C875" s="32" t="s">
        <v>60</v>
      </c>
      <c r="D875" s="32">
        <v>42869</v>
      </c>
      <c r="E875" s="33">
        <v>20</v>
      </c>
      <c r="F875" s="33">
        <v>2017</v>
      </c>
      <c r="G875" s="27">
        <v>201720</v>
      </c>
    </row>
    <row r="876" spans="1:7" x14ac:dyDescent="0.2">
      <c r="A876" s="22" t="str">
        <f t="shared" si="13"/>
        <v>1720</v>
      </c>
      <c r="B876" s="31">
        <v>42875</v>
      </c>
      <c r="C876" s="32" t="s">
        <v>61</v>
      </c>
      <c r="D876" s="32">
        <v>42869</v>
      </c>
      <c r="E876" s="33">
        <v>20</v>
      </c>
      <c r="F876" s="33">
        <v>2017</v>
      </c>
      <c r="G876" s="27">
        <v>201720</v>
      </c>
    </row>
    <row r="877" spans="1:7" x14ac:dyDescent="0.2">
      <c r="A877" s="22" t="str">
        <f t="shared" si="13"/>
        <v>1721</v>
      </c>
      <c r="B877" s="31">
        <v>42876</v>
      </c>
      <c r="C877" s="32" t="s">
        <v>55</v>
      </c>
      <c r="D877" s="32">
        <v>42876</v>
      </c>
      <c r="E877" s="33">
        <v>21</v>
      </c>
      <c r="F877" s="33">
        <v>2017</v>
      </c>
      <c r="G877" s="27">
        <v>201721</v>
      </c>
    </row>
    <row r="878" spans="1:7" x14ac:dyDescent="0.2">
      <c r="A878" s="22" t="str">
        <f t="shared" si="13"/>
        <v>1721</v>
      </c>
      <c r="B878" s="31">
        <v>42877</v>
      </c>
      <c r="C878" s="32" t="s">
        <v>56</v>
      </c>
      <c r="D878" s="32">
        <v>42876</v>
      </c>
      <c r="E878" s="33">
        <v>21</v>
      </c>
      <c r="F878" s="33">
        <v>2017</v>
      </c>
      <c r="G878" s="27">
        <v>201721</v>
      </c>
    </row>
    <row r="879" spans="1:7" x14ac:dyDescent="0.2">
      <c r="A879" s="22" t="str">
        <f t="shared" si="13"/>
        <v>1721</v>
      </c>
      <c r="B879" s="31">
        <v>42878</v>
      </c>
      <c r="C879" s="32" t="s">
        <v>57</v>
      </c>
      <c r="D879" s="32">
        <v>42876</v>
      </c>
      <c r="E879" s="33">
        <v>21</v>
      </c>
      <c r="F879" s="33">
        <v>2017</v>
      </c>
      <c r="G879" s="27">
        <v>201721</v>
      </c>
    </row>
    <row r="880" spans="1:7" x14ac:dyDescent="0.2">
      <c r="A880" s="22" t="str">
        <f t="shared" si="13"/>
        <v>1721</v>
      </c>
      <c r="B880" s="31">
        <v>42879</v>
      </c>
      <c r="C880" s="32" t="s">
        <v>58</v>
      </c>
      <c r="D880" s="32">
        <v>42876</v>
      </c>
      <c r="E880" s="33">
        <v>21</v>
      </c>
      <c r="F880" s="33">
        <v>2017</v>
      </c>
      <c r="G880" s="27">
        <v>201721</v>
      </c>
    </row>
    <row r="881" spans="1:7" x14ac:dyDescent="0.2">
      <c r="A881" s="22" t="str">
        <f t="shared" si="13"/>
        <v>1721</v>
      </c>
      <c r="B881" s="31">
        <v>42880</v>
      </c>
      <c r="C881" s="32" t="s">
        <v>59</v>
      </c>
      <c r="D881" s="32">
        <v>42876</v>
      </c>
      <c r="E881" s="33">
        <v>21</v>
      </c>
      <c r="F881" s="33">
        <v>2017</v>
      </c>
      <c r="G881" s="27">
        <v>201721</v>
      </c>
    </row>
    <row r="882" spans="1:7" x14ac:dyDescent="0.2">
      <c r="A882" s="22" t="str">
        <f t="shared" si="13"/>
        <v>1721</v>
      </c>
      <c r="B882" s="31">
        <v>42881</v>
      </c>
      <c r="C882" s="32" t="s">
        <v>60</v>
      </c>
      <c r="D882" s="32">
        <v>42876</v>
      </c>
      <c r="E882" s="33">
        <v>21</v>
      </c>
      <c r="F882" s="33">
        <v>2017</v>
      </c>
      <c r="G882" s="27">
        <v>201721</v>
      </c>
    </row>
    <row r="883" spans="1:7" x14ac:dyDescent="0.2">
      <c r="A883" s="22" t="str">
        <f t="shared" si="13"/>
        <v>1721</v>
      </c>
      <c r="B883" s="31">
        <v>42882</v>
      </c>
      <c r="C883" s="32" t="s">
        <v>61</v>
      </c>
      <c r="D883" s="32">
        <v>42876</v>
      </c>
      <c r="E883" s="33">
        <v>21</v>
      </c>
      <c r="F883" s="33">
        <v>2017</v>
      </c>
      <c r="G883" s="27">
        <v>201721</v>
      </c>
    </row>
    <row r="884" spans="1:7" x14ac:dyDescent="0.2">
      <c r="A884" s="22" t="str">
        <f t="shared" si="13"/>
        <v>1722</v>
      </c>
      <c r="B884" s="31">
        <v>42883</v>
      </c>
      <c r="C884" s="32" t="s">
        <v>55</v>
      </c>
      <c r="D884" s="32">
        <v>42883</v>
      </c>
      <c r="E884" s="33">
        <v>22</v>
      </c>
      <c r="F884" s="33">
        <v>2017</v>
      </c>
      <c r="G884" s="27">
        <v>201722</v>
      </c>
    </row>
    <row r="885" spans="1:7" x14ac:dyDescent="0.2">
      <c r="A885" s="22" t="str">
        <f t="shared" si="13"/>
        <v>1722</v>
      </c>
      <c r="B885" s="31">
        <v>42884</v>
      </c>
      <c r="C885" s="32" t="s">
        <v>56</v>
      </c>
      <c r="D885" s="32">
        <v>42883</v>
      </c>
      <c r="E885" s="33">
        <v>22</v>
      </c>
      <c r="F885" s="33">
        <v>2017</v>
      </c>
      <c r="G885" s="27">
        <v>201722</v>
      </c>
    </row>
    <row r="886" spans="1:7" x14ac:dyDescent="0.2">
      <c r="A886" s="22" t="str">
        <f t="shared" si="13"/>
        <v>1722</v>
      </c>
      <c r="B886" s="31">
        <v>42885</v>
      </c>
      <c r="C886" s="32" t="s">
        <v>57</v>
      </c>
      <c r="D886" s="32">
        <v>42883</v>
      </c>
      <c r="E886" s="33">
        <v>22</v>
      </c>
      <c r="F886" s="33">
        <v>2017</v>
      </c>
      <c r="G886" s="27">
        <v>201722</v>
      </c>
    </row>
    <row r="887" spans="1:7" x14ac:dyDescent="0.2">
      <c r="A887" s="22" t="str">
        <f t="shared" si="13"/>
        <v>1722</v>
      </c>
      <c r="B887" s="31">
        <v>42886</v>
      </c>
      <c r="C887" s="32" t="s">
        <v>58</v>
      </c>
      <c r="D887" s="32">
        <v>42883</v>
      </c>
      <c r="E887" s="33">
        <v>22</v>
      </c>
      <c r="F887" s="33">
        <v>2017</v>
      </c>
      <c r="G887" s="27">
        <v>201722</v>
      </c>
    </row>
    <row r="888" spans="1:7" x14ac:dyDescent="0.2">
      <c r="A888" s="22" t="str">
        <f t="shared" si="13"/>
        <v>1722</v>
      </c>
      <c r="B888" s="31">
        <v>42887</v>
      </c>
      <c r="C888" s="32" t="s">
        <v>59</v>
      </c>
      <c r="D888" s="32">
        <v>42883</v>
      </c>
      <c r="E888" s="33">
        <v>22</v>
      </c>
      <c r="F888" s="33">
        <v>2017</v>
      </c>
      <c r="G888" s="27">
        <v>201722</v>
      </c>
    </row>
    <row r="889" spans="1:7" x14ac:dyDescent="0.2">
      <c r="A889" s="22" t="str">
        <f t="shared" si="13"/>
        <v>1722</v>
      </c>
      <c r="B889" s="31">
        <v>42888</v>
      </c>
      <c r="C889" s="32" t="s">
        <v>60</v>
      </c>
      <c r="D889" s="32">
        <v>42883</v>
      </c>
      <c r="E889" s="33">
        <v>22</v>
      </c>
      <c r="F889" s="33">
        <v>2017</v>
      </c>
      <c r="G889" s="27">
        <v>201722</v>
      </c>
    </row>
    <row r="890" spans="1:7" x14ac:dyDescent="0.2">
      <c r="A890" s="22" t="str">
        <f t="shared" si="13"/>
        <v>1722</v>
      </c>
      <c r="B890" s="31">
        <v>42889</v>
      </c>
      <c r="C890" s="32" t="s">
        <v>61</v>
      </c>
      <c r="D890" s="32">
        <v>42883</v>
      </c>
      <c r="E890" s="33">
        <v>22</v>
      </c>
      <c r="F890" s="33">
        <v>2017</v>
      </c>
      <c r="G890" s="27">
        <v>201722</v>
      </c>
    </row>
    <row r="891" spans="1:7" x14ac:dyDescent="0.2">
      <c r="A891" s="22" t="str">
        <f t="shared" si="13"/>
        <v>1723</v>
      </c>
      <c r="B891" s="31">
        <v>42890</v>
      </c>
      <c r="C891" s="32" t="s">
        <v>55</v>
      </c>
      <c r="D891" s="32">
        <v>42890</v>
      </c>
      <c r="E891" s="33">
        <v>23</v>
      </c>
      <c r="F891" s="33">
        <v>2017</v>
      </c>
      <c r="G891" s="27">
        <v>201723</v>
      </c>
    </row>
    <row r="892" spans="1:7" x14ac:dyDescent="0.2">
      <c r="A892" s="22" t="str">
        <f t="shared" si="13"/>
        <v>1723</v>
      </c>
      <c r="B892" s="31">
        <v>42891</v>
      </c>
      <c r="C892" s="32" t="s">
        <v>56</v>
      </c>
      <c r="D892" s="32">
        <v>42890</v>
      </c>
      <c r="E892" s="33">
        <v>23</v>
      </c>
      <c r="F892" s="33">
        <v>2017</v>
      </c>
      <c r="G892" s="27">
        <v>201723</v>
      </c>
    </row>
    <row r="893" spans="1:7" x14ac:dyDescent="0.2">
      <c r="A893" s="22" t="str">
        <f t="shared" si="13"/>
        <v>1723</v>
      </c>
      <c r="B893" s="31">
        <v>42892</v>
      </c>
      <c r="C893" s="32" t="s">
        <v>57</v>
      </c>
      <c r="D893" s="32">
        <v>42890</v>
      </c>
      <c r="E893" s="33">
        <v>23</v>
      </c>
      <c r="F893" s="33">
        <v>2017</v>
      </c>
      <c r="G893" s="27">
        <v>201723</v>
      </c>
    </row>
    <row r="894" spans="1:7" x14ac:dyDescent="0.2">
      <c r="A894" s="22" t="str">
        <f t="shared" si="13"/>
        <v>1723</v>
      </c>
      <c r="B894" s="31">
        <v>42893</v>
      </c>
      <c r="C894" s="32" t="s">
        <v>58</v>
      </c>
      <c r="D894" s="32">
        <v>42890</v>
      </c>
      <c r="E894" s="33">
        <v>23</v>
      </c>
      <c r="F894" s="33">
        <v>2017</v>
      </c>
      <c r="G894" s="27">
        <v>201723</v>
      </c>
    </row>
    <row r="895" spans="1:7" x14ac:dyDescent="0.2">
      <c r="A895" s="22" t="str">
        <f t="shared" si="13"/>
        <v>1723</v>
      </c>
      <c r="B895" s="31">
        <v>42894</v>
      </c>
      <c r="C895" s="32" t="s">
        <v>59</v>
      </c>
      <c r="D895" s="32">
        <v>42890</v>
      </c>
      <c r="E895" s="33">
        <v>23</v>
      </c>
      <c r="F895" s="33">
        <v>2017</v>
      </c>
      <c r="G895" s="27">
        <v>201723</v>
      </c>
    </row>
    <row r="896" spans="1:7" x14ac:dyDescent="0.2">
      <c r="A896" s="22" t="str">
        <f t="shared" si="13"/>
        <v>1723</v>
      </c>
      <c r="B896" s="31">
        <v>42895</v>
      </c>
      <c r="C896" s="32" t="s">
        <v>60</v>
      </c>
      <c r="D896" s="32">
        <v>42890</v>
      </c>
      <c r="E896" s="33">
        <v>23</v>
      </c>
      <c r="F896" s="33">
        <v>2017</v>
      </c>
      <c r="G896" s="27">
        <v>201723</v>
      </c>
    </row>
    <row r="897" spans="1:7" x14ac:dyDescent="0.2">
      <c r="A897" s="22" t="str">
        <f t="shared" si="13"/>
        <v>1723</v>
      </c>
      <c r="B897" s="31">
        <v>42896</v>
      </c>
      <c r="C897" s="32" t="s">
        <v>61</v>
      </c>
      <c r="D897" s="32">
        <v>42890</v>
      </c>
      <c r="E897" s="33">
        <v>23</v>
      </c>
      <c r="F897" s="33">
        <v>2017</v>
      </c>
      <c r="G897" s="27">
        <v>201723</v>
      </c>
    </row>
    <row r="898" spans="1:7" x14ac:dyDescent="0.2">
      <c r="A898" s="22" t="str">
        <f t="shared" si="13"/>
        <v>1724</v>
      </c>
      <c r="B898" s="31">
        <v>42897</v>
      </c>
      <c r="C898" s="32" t="s">
        <v>55</v>
      </c>
      <c r="D898" s="32">
        <v>42897</v>
      </c>
      <c r="E898" s="33">
        <v>24</v>
      </c>
      <c r="F898" s="33">
        <v>2017</v>
      </c>
      <c r="G898" s="27">
        <v>201724</v>
      </c>
    </row>
    <row r="899" spans="1:7" x14ac:dyDescent="0.2">
      <c r="A899" s="22" t="str">
        <f t="shared" ref="A899:A962" si="14">RIGHT(G899,4)</f>
        <v>1724</v>
      </c>
      <c r="B899" s="31">
        <v>42898</v>
      </c>
      <c r="C899" s="32" t="s">
        <v>56</v>
      </c>
      <c r="D899" s="32">
        <v>42897</v>
      </c>
      <c r="E899" s="33">
        <v>24</v>
      </c>
      <c r="F899" s="33">
        <v>2017</v>
      </c>
      <c r="G899" s="27">
        <v>201724</v>
      </c>
    </row>
    <row r="900" spans="1:7" x14ac:dyDescent="0.2">
      <c r="A900" s="22" t="str">
        <f t="shared" si="14"/>
        <v>1724</v>
      </c>
      <c r="B900" s="31">
        <v>42899</v>
      </c>
      <c r="C900" s="32" t="s">
        <v>57</v>
      </c>
      <c r="D900" s="32">
        <v>42897</v>
      </c>
      <c r="E900" s="33">
        <v>24</v>
      </c>
      <c r="F900" s="33">
        <v>2017</v>
      </c>
      <c r="G900" s="27">
        <v>201724</v>
      </c>
    </row>
    <row r="901" spans="1:7" x14ac:dyDescent="0.2">
      <c r="A901" s="22" t="str">
        <f t="shared" si="14"/>
        <v>1724</v>
      </c>
      <c r="B901" s="31">
        <v>42900</v>
      </c>
      <c r="C901" s="32" t="s">
        <v>58</v>
      </c>
      <c r="D901" s="32">
        <v>42897</v>
      </c>
      <c r="E901" s="33">
        <v>24</v>
      </c>
      <c r="F901" s="33">
        <v>2017</v>
      </c>
      <c r="G901" s="27">
        <v>201724</v>
      </c>
    </row>
    <row r="902" spans="1:7" x14ac:dyDescent="0.2">
      <c r="A902" s="22" t="str">
        <f t="shared" si="14"/>
        <v>1724</v>
      </c>
      <c r="B902" s="31">
        <v>42901</v>
      </c>
      <c r="C902" s="32" t="s">
        <v>59</v>
      </c>
      <c r="D902" s="32">
        <v>42897</v>
      </c>
      <c r="E902" s="33">
        <v>24</v>
      </c>
      <c r="F902" s="33">
        <v>2017</v>
      </c>
      <c r="G902" s="27">
        <v>201724</v>
      </c>
    </row>
    <row r="903" spans="1:7" x14ac:dyDescent="0.2">
      <c r="A903" s="22" t="str">
        <f t="shared" si="14"/>
        <v>1724</v>
      </c>
      <c r="B903" s="31">
        <v>42902</v>
      </c>
      <c r="C903" s="32" t="s">
        <v>60</v>
      </c>
      <c r="D903" s="32">
        <v>42897</v>
      </c>
      <c r="E903" s="33">
        <v>24</v>
      </c>
      <c r="F903" s="33">
        <v>2017</v>
      </c>
      <c r="G903" s="27">
        <v>201724</v>
      </c>
    </row>
    <row r="904" spans="1:7" x14ac:dyDescent="0.2">
      <c r="A904" s="22" t="str">
        <f t="shared" si="14"/>
        <v>1724</v>
      </c>
      <c r="B904" s="31">
        <v>42903</v>
      </c>
      <c r="C904" s="32" t="s">
        <v>61</v>
      </c>
      <c r="D904" s="32">
        <v>42897</v>
      </c>
      <c r="E904" s="33">
        <v>24</v>
      </c>
      <c r="F904" s="33">
        <v>2017</v>
      </c>
      <c r="G904" s="27">
        <v>201724</v>
      </c>
    </row>
    <row r="905" spans="1:7" x14ac:dyDescent="0.2">
      <c r="A905" s="22" t="str">
        <f t="shared" si="14"/>
        <v>1725</v>
      </c>
      <c r="B905" s="31">
        <v>42904</v>
      </c>
      <c r="C905" s="32" t="s">
        <v>55</v>
      </c>
      <c r="D905" s="32">
        <v>42904</v>
      </c>
      <c r="E905" s="33">
        <v>25</v>
      </c>
      <c r="F905" s="33">
        <v>2017</v>
      </c>
      <c r="G905" s="27">
        <v>201725</v>
      </c>
    </row>
    <row r="906" spans="1:7" x14ac:dyDescent="0.2">
      <c r="A906" s="22" t="str">
        <f t="shared" si="14"/>
        <v>1725</v>
      </c>
      <c r="B906" s="31">
        <v>42905</v>
      </c>
      <c r="C906" s="32" t="s">
        <v>56</v>
      </c>
      <c r="D906" s="32">
        <v>42904</v>
      </c>
      <c r="E906" s="33">
        <v>25</v>
      </c>
      <c r="F906" s="33">
        <v>2017</v>
      </c>
      <c r="G906" s="27">
        <v>201725</v>
      </c>
    </row>
    <row r="907" spans="1:7" x14ac:dyDescent="0.2">
      <c r="A907" s="22" t="str">
        <f t="shared" si="14"/>
        <v>1725</v>
      </c>
      <c r="B907" s="31">
        <v>42906</v>
      </c>
      <c r="C907" s="32" t="s">
        <v>57</v>
      </c>
      <c r="D907" s="32">
        <v>42904</v>
      </c>
      <c r="E907" s="33">
        <v>25</v>
      </c>
      <c r="F907" s="33">
        <v>2017</v>
      </c>
      <c r="G907" s="27">
        <v>201725</v>
      </c>
    </row>
    <row r="908" spans="1:7" x14ac:dyDescent="0.2">
      <c r="A908" s="22" t="str">
        <f t="shared" si="14"/>
        <v>1725</v>
      </c>
      <c r="B908" s="31">
        <v>42907</v>
      </c>
      <c r="C908" s="32" t="s">
        <v>58</v>
      </c>
      <c r="D908" s="32">
        <v>42904</v>
      </c>
      <c r="E908" s="33">
        <v>25</v>
      </c>
      <c r="F908" s="33">
        <v>2017</v>
      </c>
      <c r="G908" s="27">
        <v>201725</v>
      </c>
    </row>
    <row r="909" spans="1:7" x14ac:dyDescent="0.2">
      <c r="A909" s="22" t="str">
        <f t="shared" si="14"/>
        <v>1725</v>
      </c>
      <c r="B909" s="31">
        <v>42908</v>
      </c>
      <c r="C909" s="32" t="s">
        <v>59</v>
      </c>
      <c r="D909" s="32">
        <v>42904</v>
      </c>
      <c r="E909" s="33">
        <v>25</v>
      </c>
      <c r="F909" s="33">
        <v>2017</v>
      </c>
      <c r="G909" s="27">
        <v>201725</v>
      </c>
    </row>
    <row r="910" spans="1:7" x14ac:dyDescent="0.2">
      <c r="A910" s="22" t="str">
        <f t="shared" si="14"/>
        <v>1725</v>
      </c>
      <c r="B910" s="31">
        <v>42909</v>
      </c>
      <c r="C910" s="32" t="s">
        <v>60</v>
      </c>
      <c r="D910" s="32">
        <v>42904</v>
      </c>
      <c r="E910" s="33">
        <v>25</v>
      </c>
      <c r="F910" s="33">
        <v>2017</v>
      </c>
      <c r="G910" s="27">
        <v>201725</v>
      </c>
    </row>
    <row r="911" spans="1:7" x14ac:dyDescent="0.2">
      <c r="A911" s="22" t="str">
        <f t="shared" si="14"/>
        <v>1725</v>
      </c>
      <c r="B911" s="31">
        <v>42910</v>
      </c>
      <c r="C911" s="32" t="s">
        <v>61</v>
      </c>
      <c r="D911" s="32">
        <v>42904</v>
      </c>
      <c r="E911" s="33">
        <v>25</v>
      </c>
      <c r="F911" s="33">
        <v>2017</v>
      </c>
      <c r="G911" s="27">
        <v>201725</v>
      </c>
    </row>
    <row r="912" spans="1:7" x14ac:dyDescent="0.2">
      <c r="A912" s="22" t="str">
        <f t="shared" si="14"/>
        <v>1726</v>
      </c>
      <c r="B912" s="31">
        <v>42911</v>
      </c>
      <c r="C912" s="32" t="s">
        <v>55</v>
      </c>
      <c r="D912" s="32">
        <v>42911</v>
      </c>
      <c r="E912" s="33">
        <v>26</v>
      </c>
      <c r="F912" s="33">
        <v>2017</v>
      </c>
      <c r="G912" s="27">
        <v>201726</v>
      </c>
    </row>
    <row r="913" spans="1:7" x14ac:dyDescent="0.2">
      <c r="A913" s="22" t="str">
        <f t="shared" si="14"/>
        <v>1726</v>
      </c>
      <c r="B913" s="31">
        <v>42912</v>
      </c>
      <c r="C913" s="32" t="s">
        <v>56</v>
      </c>
      <c r="D913" s="32">
        <v>42911</v>
      </c>
      <c r="E913" s="33">
        <v>26</v>
      </c>
      <c r="F913" s="33">
        <v>2017</v>
      </c>
      <c r="G913" s="27">
        <v>201726</v>
      </c>
    </row>
    <row r="914" spans="1:7" x14ac:dyDescent="0.2">
      <c r="A914" s="22" t="str">
        <f t="shared" si="14"/>
        <v>1726</v>
      </c>
      <c r="B914" s="31">
        <v>42913</v>
      </c>
      <c r="C914" s="32" t="s">
        <v>57</v>
      </c>
      <c r="D914" s="32">
        <v>42911</v>
      </c>
      <c r="E914" s="33">
        <v>26</v>
      </c>
      <c r="F914" s="33">
        <v>2017</v>
      </c>
      <c r="G914" s="27">
        <v>201726</v>
      </c>
    </row>
    <row r="915" spans="1:7" x14ac:dyDescent="0.2">
      <c r="A915" s="22" t="str">
        <f t="shared" si="14"/>
        <v>1726</v>
      </c>
      <c r="B915" s="31">
        <v>42914</v>
      </c>
      <c r="C915" s="32" t="s">
        <v>58</v>
      </c>
      <c r="D915" s="32">
        <v>42911</v>
      </c>
      <c r="E915" s="33">
        <v>26</v>
      </c>
      <c r="F915" s="33">
        <v>2017</v>
      </c>
      <c r="G915" s="27">
        <v>201726</v>
      </c>
    </row>
    <row r="916" spans="1:7" x14ac:dyDescent="0.2">
      <c r="A916" s="22" t="str">
        <f t="shared" si="14"/>
        <v>1726</v>
      </c>
      <c r="B916" s="31">
        <v>42915</v>
      </c>
      <c r="C916" s="32" t="s">
        <v>59</v>
      </c>
      <c r="D916" s="32">
        <v>42911</v>
      </c>
      <c r="E916" s="33">
        <v>26</v>
      </c>
      <c r="F916" s="33">
        <v>2017</v>
      </c>
      <c r="G916" s="27">
        <v>201726</v>
      </c>
    </row>
    <row r="917" spans="1:7" x14ac:dyDescent="0.2">
      <c r="A917" s="22" t="str">
        <f t="shared" si="14"/>
        <v>1726</v>
      </c>
      <c r="B917" s="31">
        <v>42916</v>
      </c>
      <c r="C917" s="32" t="s">
        <v>60</v>
      </c>
      <c r="D917" s="32">
        <v>42911</v>
      </c>
      <c r="E917" s="33">
        <v>26</v>
      </c>
      <c r="F917" s="33">
        <v>2017</v>
      </c>
      <c r="G917" s="27">
        <v>201726</v>
      </c>
    </row>
    <row r="918" spans="1:7" x14ac:dyDescent="0.2">
      <c r="A918" s="22" t="str">
        <f t="shared" si="14"/>
        <v>1726</v>
      </c>
      <c r="B918" s="31">
        <v>42917</v>
      </c>
      <c r="C918" s="32" t="s">
        <v>61</v>
      </c>
      <c r="D918" s="32">
        <v>42911</v>
      </c>
      <c r="E918" s="33">
        <v>26</v>
      </c>
      <c r="F918" s="33">
        <v>2017</v>
      </c>
      <c r="G918" s="27">
        <v>201726</v>
      </c>
    </row>
    <row r="919" spans="1:7" x14ac:dyDescent="0.2">
      <c r="A919" s="22" t="str">
        <f t="shared" si="14"/>
        <v>1727</v>
      </c>
      <c r="B919" s="31">
        <v>42918</v>
      </c>
      <c r="C919" s="32" t="s">
        <v>55</v>
      </c>
      <c r="D919" s="32">
        <v>42918</v>
      </c>
      <c r="E919" s="33">
        <v>27</v>
      </c>
      <c r="F919" s="33">
        <v>2017</v>
      </c>
      <c r="G919" s="27">
        <v>201727</v>
      </c>
    </row>
    <row r="920" spans="1:7" x14ac:dyDescent="0.2">
      <c r="A920" s="22" t="str">
        <f t="shared" si="14"/>
        <v>1727</v>
      </c>
      <c r="B920" s="31">
        <v>42919</v>
      </c>
      <c r="C920" s="32" t="s">
        <v>56</v>
      </c>
      <c r="D920" s="32">
        <v>42918</v>
      </c>
      <c r="E920" s="33">
        <v>27</v>
      </c>
      <c r="F920" s="33">
        <v>2017</v>
      </c>
      <c r="G920" s="27">
        <v>201727</v>
      </c>
    </row>
    <row r="921" spans="1:7" x14ac:dyDescent="0.2">
      <c r="A921" s="22" t="str">
        <f t="shared" si="14"/>
        <v>1727</v>
      </c>
      <c r="B921" s="31">
        <v>42920</v>
      </c>
      <c r="C921" s="32" t="s">
        <v>57</v>
      </c>
      <c r="D921" s="32">
        <v>42918</v>
      </c>
      <c r="E921" s="33">
        <v>27</v>
      </c>
      <c r="F921" s="33">
        <v>2017</v>
      </c>
      <c r="G921" s="27">
        <v>201727</v>
      </c>
    </row>
    <row r="922" spans="1:7" x14ac:dyDescent="0.2">
      <c r="A922" s="22" t="str">
        <f t="shared" si="14"/>
        <v>1727</v>
      </c>
      <c r="B922" s="31">
        <v>42921</v>
      </c>
      <c r="C922" s="32" t="s">
        <v>58</v>
      </c>
      <c r="D922" s="32">
        <v>42918</v>
      </c>
      <c r="E922" s="33">
        <v>27</v>
      </c>
      <c r="F922" s="33">
        <v>2017</v>
      </c>
      <c r="G922" s="27">
        <v>201727</v>
      </c>
    </row>
    <row r="923" spans="1:7" x14ac:dyDescent="0.2">
      <c r="A923" s="22" t="str">
        <f t="shared" si="14"/>
        <v>1727</v>
      </c>
      <c r="B923" s="31">
        <v>42922</v>
      </c>
      <c r="C923" s="32" t="s">
        <v>59</v>
      </c>
      <c r="D923" s="32">
        <v>42918</v>
      </c>
      <c r="E923" s="33">
        <v>27</v>
      </c>
      <c r="F923" s="33">
        <v>2017</v>
      </c>
      <c r="G923" s="27">
        <v>201727</v>
      </c>
    </row>
    <row r="924" spans="1:7" x14ac:dyDescent="0.2">
      <c r="A924" s="22" t="str">
        <f t="shared" si="14"/>
        <v>1727</v>
      </c>
      <c r="B924" s="31">
        <v>42923</v>
      </c>
      <c r="C924" s="32" t="s">
        <v>60</v>
      </c>
      <c r="D924" s="32">
        <v>42918</v>
      </c>
      <c r="E924" s="33">
        <v>27</v>
      </c>
      <c r="F924" s="33">
        <v>2017</v>
      </c>
      <c r="G924" s="27">
        <v>201727</v>
      </c>
    </row>
    <row r="925" spans="1:7" x14ac:dyDescent="0.2">
      <c r="A925" s="22" t="str">
        <f t="shared" si="14"/>
        <v>1727</v>
      </c>
      <c r="B925" s="31">
        <v>42924</v>
      </c>
      <c r="C925" s="32" t="s">
        <v>61</v>
      </c>
      <c r="D925" s="32">
        <v>42918</v>
      </c>
      <c r="E925" s="33">
        <v>27</v>
      </c>
      <c r="F925" s="33">
        <v>2017</v>
      </c>
      <c r="G925" s="27">
        <v>201727</v>
      </c>
    </row>
    <row r="926" spans="1:7" x14ac:dyDescent="0.2">
      <c r="A926" s="22" t="str">
        <f t="shared" si="14"/>
        <v>1728</v>
      </c>
      <c r="B926" s="31">
        <v>42925</v>
      </c>
      <c r="C926" s="32" t="s">
        <v>55</v>
      </c>
      <c r="D926" s="32">
        <v>42925</v>
      </c>
      <c r="E926" s="33">
        <v>28</v>
      </c>
      <c r="F926" s="33">
        <v>2017</v>
      </c>
      <c r="G926" s="27">
        <v>201728</v>
      </c>
    </row>
    <row r="927" spans="1:7" x14ac:dyDescent="0.2">
      <c r="A927" s="22" t="str">
        <f t="shared" si="14"/>
        <v>1728</v>
      </c>
      <c r="B927" s="31">
        <v>42926</v>
      </c>
      <c r="C927" s="32" t="s">
        <v>56</v>
      </c>
      <c r="D927" s="32">
        <v>42925</v>
      </c>
      <c r="E927" s="33">
        <v>28</v>
      </c>
      <c r="F927" s="33">
        <v>2017</v>
      </c>
      <c r="G927" s="27">
        <v>201728</v>
      </c>
    </row>
    <row r="928" spans="1:7" x14ac:dyDescent="0.2">
      <c r="A928" s="22" t="str">
        <f t="shared" si="14"/>
        <v>1728</v>
      </c>
      <c r="B928" s="31">
        <v>42927</v>
      </c>
      <c r="C928" s="32" t="s">
        <v>57</v>
      </c>
      <c r="D928" s="32">
        <v>42925</v>
      </c>
      <c r="E928" s="33">
        <v>28</v>
      </c>
      <c r="F928" s="33">
        <v>2017</v>
      </c>
      <c r="G928" s="27">
        <v>201728</v>
      </c>
    </row>
    <row r="929" spans="1:7" x14ac:dyDescent="0.2">
      <c r="A929" s="22" t="str">
        <f t="shared" si="14"/>
        <v>1728</v>
      </c>
      <c r="B929" s="31">
        <v>42928</v>
      </c>
      <c r="C929" s="32" t="s">
        <v>58</v>
      </c>
      <c r="D929" s="32">
        <v>42925</v>
      </c>
      <c r="E929" s="33">
        <v>28</v>
      </c>
      <c r="F929" s="33">
        <v>2017</v>
      </c>
      <c r="G929" s="27">
        <v>201728</v>
      </c>
    </row>
    <row r="930" spans="1:7" x14ac:dyDescent="0.2">
      <c r="A930" s="22" t="str">
        <f t="shared" si="14"/>
        <v>1728</v>
      </c>
      <c r="B930" s="31">
        <v>42929</v>
      </c>
      <c r="C930" s="32" t="s">
        <v>59</v>
      </c>
      <c r="D930" s="32">
        <v>42925</v>
      </c>
      <c r="E930" s="33">
        <v>28</v>
      </c>
      <c r="F930" s="33">
        <v>2017</v>
      </c>
      <c r="G930" s="27">
        <v>201728</v>
      </c>
    </row>
    <row r="931" spans="1:7" x14ac:dyDescent="0.2">
      <c r="A931" s="22" t="str">
        <f t="shared" si="14"/>
        <v>1728</v>
      </c>
      <c r="B931" s="31">
        <v>42930</v>
      </c>
      <c r="C931" s="32" t="s">
        <v>60</v>
      </c>
      <c r="D931" s="32">
        <v>42925</v>
      </c>
      <c r="E931" s="33">
        <v>28</v>
      </c>
      <c r="F931" s="33">
        <v>2017</v>
      </c>
      <c r="G931" s="27">
        <v>201728</v>
      </c>
    </row>
    <row r="932" spans="1:7" x14ac:dyDescent="0.2">
      <c r="A932" s="22" t="str">
        <f t="shared" si="14"/>
        <v>1728</v>
      </c>
      <c r="B932" s="31">
        <v>42931</v>
      </c>
      <c r="C932" s="32" t="s">
        <v>61</v>
      </c>
      <c r="D932" s="32">
        <v>42925</v>
      </c>
      <c r="E932" s="33">
        <v>28</v>
      </c>
      <c r="F932" s="33">
        <v>2017</v>
      </c>
      <c r="G932" s="27">
        <v>201728</v>
      </c>
    </row>
    <row r="933" spans="1:7" x14ac:dyDescent="0.2">
      <c r="A933" s="22" t="str">
        <f t="shared" si="14"/>
        <v>1729</v>
      </c>
      <c r="B933" s="31">
        <v>42932</v>
      </c>
      <c r="C933" s="32" t="s">
        <v>55</v>
      </c>
      <c r="D933" s="32">
        <v>42932</v>
      </c>
      <c r="E933" s="33">
        <v>29</v>
      </c>
      <c r="F933" s="33">
        <v>2017</v>
      </c>
      <c r="G933" s="27">
        <v>201729</v>
      </c>
    </row>
    <row r="934" spans="1:7" x14ac:dyDescent="0.2">
      <c r="A934" s="22" t="str">
        <f t="shared" si="14"/>
        <v>1729</v>
      </c>
      <c r="B934" s="31">
        <v>42933</v>
      </c>
      <c r="C934" s="32" t="s">
        <v>56</v>
      </c>
      <c r="D934" s="32">
        <v>42932</v>
      </c>
      <c r="E934" s="33">
        <v>29</v>
      </c>
      <c r="F934" s="33">
        <v>2017</v>
      </c>
      <c r="G934" s="27">
        <v>201729</v>
      </c>
    </row>
    <row r="935" spans="1:7" x14ac:dyDescent="0.2">
      <c r="A935" s="22" t="str">
        <f t="shared" si="14"/>
        <v>1729</v>
      </c>
      <c r="B935" s="31">
        <v>42934</v>
      </c>
      <c r="C935" s="32" t="s">
        <v>57</v>
      </c>
      <c r="D935" s="32">
        <v>42932</v>
      </c>
      <c r="E935" s="33">
        <v>29</v>
      </c>
      <c r="F935" s="33">
        <v>2017</v>
      </c>
      <c r="G935" s="27">
        <v>201729</v>
      </c>
    </row>
    <row r="936" spans="1:7" x14ac:dyDescent="0.2">
      <c r="A936" s="22" t="str">
        <f t="shared" si="14"/>
        <v>1729</v>
      </c>
      <c r="B936" s="31">
        <v>42935</v>
      </c>
      <c r="C936" s="32" t="s">
        <v>58</v>
      </c>
      <c r="D936" s="32">
        <v>42932</v>
      </c>
      <c r="E936" s="33">
        <v>29</v>
      </c>
      <c r="F936" s="33">
        <v>2017</v>
      </c>
      <c r="G936" s="27">
        <v>201729</v>
      </c>
    </row>
    <row r="937" spans="1:7" x14ac:dyDescent="0.2">
      <c r="A937" s="22" t="str">
        <f t="shared" si="14"/>
        <v>1729</v>
      </c>
      <c r="B937" s="31">
        <v>42936</v>
      </c>
      <c r="C937" s="32" t="s">
        <v>59</v>
      </c>
      <c r="D937" s="32">
        <v>42932</v>
      </c>
      <c r="E937" s="33">
        <v>29</v>
      </c>
      <c r="F937" s="33">
        <v>2017</v>
      </c>
      <c r="G937" s="27">
        <v>201729</v>
      </c>
    </row>
    <row r="938" spans="1:7" x14ac:dyDescent="0.2">
      <c r="A938" s="22" t="str">
        <f t="shared" si="14"/>
        <v>1729</v>
      </c>
      <c r="B938" s="31">
        <v>42937</v>
      </c>
      <c r="C938" s="32" t="s">
        <v>60</v>
      </c>
      <c r="D938" s="32">
        <v>42932</v>
      </c>
      <c r="E938" s="33">
        <v>29</v>
      </c>
      <c r="F938" s="33">
        <v>2017</v>
      </c>
      <c r="G938" s="27">
        <v>201729</v>
      </c>
    </row>
    <row r="939" spans="1:7" x14ac:dyDescent="0.2">
      <c r="A939" s="22" t="str">
        <f t="shared" si="14"/>
        <v>1729</v>
      </c>
      <c r="B939" s="31">
        <v>42938</v>
      </c>
      <c r="C939" s="32" t="s">
        <v>61</v>
      </c>
      <c r="D939" s="32">
        <v>42932</v>
      </c>
      <c r="E939" s="33">
        <v>29</v>
      </c>
      <c r="F939" s="33">
        <v>2017</v>
      </c>
      <c r="G939" s="27">
        <v>201729</v>
      </c>
    </row>
    <row r="940" spans="1:7" x14ac:dyDescent="0.2">
      <c r="A940" s="22" t="str">
        <f t="shared" si="14"/>
        <v>1730</v>
      </c>
      <c r="B940" s="31">
        <v>42939</v>
      </c>
      <c r="C940" s="32" t="s">
        <v>55</v>
      </c>
      <c r="D940" s="32">
        <v>42939</v>
      </c>
      <c r="E940" s="33">
        <v>30</v>
      </c>
      <c r="F940" s="33">
        <v>2017</v>
      </c>
      <c r="G940" s="27">
        <v>201730</v>
      </c>
    </row>
    <row r="941" spans="1:7" x14ac:dyDescent="0.2">
      <c r="A941" s="22" t="str">
        <f t="shared" si="14"/>
        <v>1730</v>
      </c>
      <c r="B941" s="31">
        <v>42940</v>
      </c>
      <c r="C941" s="32" t="s">
        <v>56</v>
      </c>
      <c r="D941" s="32">
        <v>42939</v>
      </c>
      <c r="E941" s="33">
        <v>30</v>
      </c>
      <c r="F941" s="33">
        <v>2017</v>
      </c>
      <c r="G941" s="27">
        <v>201730</v>
      </c>
    </row>
    <row r="942" spans="1:7" x14ac:dyDescent="0.2">
      <c r="A942" s="22" t="str">
        <f t="shared" si="14"/>
        <v>1730</v>
      </c>
      <c r="B942" s="31">
        <v>42941</v>
      </c>
      <c r="C942" s="32" t="s">
        <v>57</v>
      </c>
      <c r="D942" s="32">
        <v>42939</v>
      </c>
      <c r="E942" s="33">
        <v>30</v>
      </c>
      <c r="F942" s="33">
        <v>2017</v>
      </c>
      <c r="G942" s="27">
        <v>201730</v>
      </c>
    </row>
    <row r="943" spans="1:7" x14ac:dyDescent="0.2">
      <c r="A943" s="22" t="str">
        <f t="shared" si="14"/>
        <v>1730</v>
      </c>
      <c r="B943" s="31">
        <v>42942</v>
      </c>
      <c r="C943" s="32" t="s">
        <v>58</v>
      </c>
      <c r="D943" s="32">
        <v>42939</v>
      </c>
      <c r="E943" s="33">
        <v>30</v>
      </c>
      <c r="F943" s="33">
        <v>2017</v>
      </c>
      <c r="G943" s="27">
        <v>201730</v>
      </c>
    </row>
    <row r="944" spans="1:7" x14ac:dyDescent="0.2">
      <c r="A944" s="22" t="str">
        <f t="shared" si="14"/>
        <v>1730</v>
      </c>
      <c r="B944" s="31">
        <v>42943</v>
      </c>
      <c r="C944" s="32" t="s">
        <v>59</v>
      </c>
      <c r="D944" s="32">
        <v>42939</v>
      </c>
      <c r="E944" s="33">
        <v>30</v>
      </c>
      <c r="F944" s="33">
        <v>2017</v>
      </c>
      <c r="G944" s="27">
        <v>201730</v>
      </c>
    </row>
    <row r="945" spans="1:7" x14ac:dyDescent="0.2">
      <c r="A945" s="22" t="str">
        <f t="shared" si="14"/>
        <v>1730</v>
      </c>
      <c r="B945" s="31">
        <v>42944</v>
      </c>
      <c r="C945" s="32" t="s">
        <v>60</v>
      </c>
      <c r="D945" s="32">
        <v>42939</v>
      </c>
      <c r="E945" s="33">
        <v>30</v>
      </c>
      <c r="F945" s="33">
        <v>2017</v>
      </c>
      <c r="G945" s="27">
        <v>201730</v>
      </c>
    </row>
    <row r="946" spans="1:7" x14ac:dyDescent="0.2">
      <c r="A946" s="22" t="str">
        <f t="shared" si="14"/>
        <v>1730</v>
      </c>
      <c r="B946" s="31">
        <v>42945</v>
      </c>
      <c r="C946" s="32" t="s">
        <v>61</v>
      </c>
      <c r="D946" s="32">
        <v>42939</v>
      </c>
      <c r="E946" s="33">
        <v>30</v>
      </c>
      <c r="F946" s="33">
        <v>2017</v>
      </c>
      <c r="G946" s="27">
        <v>201730</v>
      </c>
    </row>
    <row r="947" spans="1:7" x14ac:dyDescent="0.2">
      <c r="A947" s="22" t="str">
        <f t="shared" si="14"/>
        <v>1731</v>
      </c>
      <c r="B947" s="31">
        <v>42946</v>
      </c>
      <c r="C947" s="32" t="s">
        <v>55</v>
      </c>
      <c r="D947" s="32">
        <v>42946</v>
      </c>
      <c r="E947" s="33">
        <v>31</v>
      </c>
      <c r="F947" s="33">
        <v>2017</v>
      </c>
      <c r="G947" s="27">
        <v>201731</v>
      </c>
    </row>
    <row r="948" spans="1:7" x14ac:dyDescent="0.2">
      <c r="A948" s="22" t="str">
        <f t="shared" si="14"/>
        <v>1731</v>
      </c>
      <c r="B948" s="31">
        <v>42947</v>
      </c>
      <c r="C948" s="32" t="s">
        <v>56</v>
      </c>
      <c r="D948" s="32">
        <v>42946</v>
      </c>
      <c r="E948" s="33">
        <v>31</v>
      </c>
      <c r="F948" s="33">
        <v>2017</v>
      </c>
      <c r="G948" s="27">
        <v>201731</v>
      </c>
    </row>
    <row r="949" spans="1:7" x14ac:dyDescent="0.2">
      <c r="A949" s="22" t="str">
        <f t="shared" si="14"/>
        <v>1731</v>
      </c>
      <c r="B949" s="31">
        <v>42948</v>
      </c>
      <c r="C949" s="32" t="s">
        <v>57</v>
      </c>
      <c r="D949" s="32">
        <v>42946</v>
      </c>
      <c r="E949" s="33">
        <v>31</v>
      </c>
      <c r="F949" s="33">
        <v>2017</v>
      </c>
      <c r="G949" s="27">
        <v>201731</v>
      </c>
    </row>
    <row r="950" spans="1:7" x14ac:dyDescent="0.2">
      <c r="A950" s="22" t="str">
        <f t="shared" si="14"/>
        <v>1731</v>
      </c>
      <c r="B950" s="31">
        <v>42949</v>
      </c>
      <c r="C950" s="32" t="s">
        <v>58</v>
      </c>
      <c r="D950" s="32">
        <v>42946</v>
      </c>
      <c r="E950" s="33">
        <v>31</v>
      </c>
      <c r="F950" s="33">
        <v>2017</v>
      </c>
      <c r="G950" s="27">
        <v>201731</v>
      </c>
    </row>
    <row r="951" spans="1:7" x14ac:dyDescent="0.2">
      <c r="A951" s="22" t="str">
        <f t="shared" si="14"/>
        <v>1731</v>
      </c>
      <c r="B951" s="31">
        <v>42950</v>
      </c>
      <c r="C951" s="32" t="s">
        <v>59</v>
      </c>
      <c r="D951" s="32">
        <v>42946</v>
      </c>
      <c r="E951" s="33">
        <v>31</v>
      </c>
      <c r="F951" s="33">
        <v>2017</v>
      </c>
      <c r="G951" s="27">
        <v>201731</v>
      </c>
    </row>
    <row r="952" spans="1:7" x14ac:dyDescent="0.2">
      <c r="A952" s="22" t="str">
        <f t="shared" si="14"/>
        <v>1731</v>
      </c>
      <c r="B952" s="31">
        <v>42951</v>
      </c>
      <c r="C952" s="32" t="s">
        <v>60</v>
      </c>
      <c r="D952" s="32">
        <v>42946</v>
      </c>
      <c r="E952" s="33">
        <v>31</v>
      </c>
      <c r="F952" s="33">
        <v>2017</v>
      </c>
      <c r="G952" s="27">
        <v>201731</v>
      </c>
    </row>
    <row r="953" spans="1:7" x14ac:dyDescent="0.2">
      <c r="A953" s="22" t="str">
        <f t="shared" si="14"/>
        <v>1731</v>
      </c>
      <c r="B953" s="31">
        <v>42952</v>
      </c>
      <c r="C953" s="32" t="s">
        <v>61</v>
      </c>
      <c r="D953" s="32">
        <v>42946</v>
      </c>
      <c r="E953" s="33">
        <v>31</v>
      </c>
      <c r="F953" s="33">
        <v>2017</v>
      </c>
      <c r="G953" s="27">
        <v>201731</v>
      </c>
    </row>
    <row r="954" spans="1:7" x14ac:dyDescent="0.2">
      <c r="A954" s="22" t="str">
        <f t="shared" si="14"/>
        <v>1732</v>
      </c>
      <c r="B954" s="31">
        <v>42953</v>
      </c>
      <c r="C954" s="32" t="s">
        <v>55</v>
      </c>
      <c r="D954" s="32">
        <v>42953</v>
      </c>
      <c r="E954" s="33">
        <v>32</v>
      </c>
      <c r="F954" s="33">
        <v>2017</v>
      </c>
      <c r="G954" s="27">
        <v>201732</v>
      </c>
    </row>
    <row r="955" spans="1:7" x14ac:dyDescent="0.2">
      <c r="A955" s="22" t="str">
        <f t="shared" si="14"/>
        <v>1732</v>
      </c>
      <c r="B955" s="31">
        <v>42954</v>
      </c>
      <c r="C955" s="32" t="s">
        <v>56</v>
      </c>
      <c r="D955" s="32">
        <v>42953</v>
      </c>
      <c r="E955" s="33">
        <v>32</v>
      </c>
      <c r="F955" s="33">
        <v>2017</v>
      </c>
      <c r="G955" s="27">
        <v>201732</v>
      </c>
    </row>
    <row r="956" spans="1:7" x14ac:dyDescent="0.2">
      <c r="A956" s="22" t="str">
        <f t="shared" si="14"/>
        <v>1732</v>
      </c>
      <c r="B956" s="31">
        <v>42955</v>
      </c>
      <c r="C956" s="32" t="s">
        <v>57</v>
      </c>
      <c r="D956" s="32">
        <v>42953</v>
      </c>
      <c r="E956" s="33">
        <v>32</v>
      </c>
      <c r="F956" s="33">
        <v>2017</v>
      </c>
      <c r="G956" s="27">
        <v>201732</v>
      </c>
    </row>
    <row r="957" spans="1:7" x14ac:dyDescent="0.2">
      <c r="A957" s="22" t="str">
        <f t="shared" si="14"/>
        <v>1732</v>
      </c>
      <c r="B957" s="31">
        <v>42956</v>
      </c>
      <c r="C957" s="32" t="s">
        <v>58</v>
      </c>
      <c r="D957" s="32">
        <v>42953</v>
      </c>
      <c r="E957" s="33">
        <v>32</v>
      </c>
      <c r="F957" s="33">
        <v>2017</v>
      </c>
      <c r="G957" s="27">
        <v>201732</v>
      </c>
    </row>
    <row r="958" spans="1:7" x14ac:dyDescent="0.2">
      <c r="A958" s="22" t="str">
        <f t="shared" si="14"/>
        <v>1732</v>
      </c>
      <c r="B958" s="31">
        <v>42957</v>
      </c>
      <c r="C958" s="32" t="s">
        <v>59</v>
      </c>
      <c r="D958" s="32">
        <v>42953</v>
      </c>
      <c r="E958" s="33">
        <v>32</v>
      </c>
      <c r="F958" s="33">
        <v>2017</v>
      </c>
      <c r="G958" s="27">
        <v>201732</v>
      </c>
    </row>
    <row r="959" spans="1:7" x14ac:dyDescent="0.2">
      <c r="A959" s="22" t="str">
        <f t="shared" si="14"/>
        <v>1732</v>
      </c>
      <c r="B959" s="31">
        <v>42958</v>
      </c>
      <c r="C959" s="32" t="s">
        <v>60</v>
      </c>
      <c r="D959" s="32">
        <v>42953</v>
      </c>
      <c r="E959" s="33">
        <v>32</v>
      </c>
      <c r="F959" s="33">
        <v>2017</v>
      </c>
      <c r="G959" s="27">
        <v>201732</v>
      </c>
    </row>
    <row r="960" spans="1:7" x14ac:dyDescent="0.2">
      <c r="A960" s="22" t="str">
        <f t="shared" si="14"/>
        <v>1732</v>
      </c>
      <c r="B960" s="31">
        <v>42959</v>
      </c>
      <c r="C960" s="32" t="s">
        <v>61</v>
      </c>
      <c r="D960" s="32">
        <v>42953</v>
      </c>
      <c r="E960" s="33">
        <v>32</v>
      </c>
      <c r="F960" s="33">
        <v>2017</v>
      </c>
      <c r="G960" s="27">
        <v>201732</v>
      </c>
    </row>
    <row r="961" spans="1:7" x14ac:dyDescent="0.2">
      <c r="A961" s="22" t="str">
        <f t="shared" si="14"/>
        <v>1733</v>
      </c>
      <c r="B961" s="31">
        <v>42960</v>
      </c>
      <c r="C961" s="32" t="s">
        <v>55</v>
      </c>
      <c r="D961" s="32">
        <v>42960</v>
      </c>
      <c r="E961" s="33">
        <v>33</v>
      </c>
      <c r="F961" s="33">
        <v>2017</v>
      </c>
      <c r="G961" s="27">
        <v>201733</v>
      </c>
    </row>
    <row r="962" spans="1:7" x14ac:dyDescent="0.2">
      <c r="A962" s="22" t="str">
        <f t="shared" si="14"/>
        <v>1733</v>
      </c>
      <c r="B962" s="31">
        <v>42961</v>
      </c>
      <c r="C962" s="32" t="s">
        <v>56</v>
      </c>
      <c r="D962" s="32">
        <v>42960</v>
      </c>
      <c r="E962" s="33">
        <v>33</v>
      </c>
      <c r="F962" s="33">
        <v>2017</v>
      </c>
      <c r="G962" s="27">
        <v>201733</v>
      </c>
    </row>
    <row r="963" spans="1:7" x14ac:dyDescent="0.2">
      <c r="A963" s="22" t="str">
        <f t="shared" ref="A963:A1026" si="15">RIGHT(G963,4)</f>
        <v>1733</v>
      </c>
      <c r="B963" s="31">
        <v>42962</v>
      </c>
      <c r="C963" s="32" t="s">
        <v>57</v>
      </c>
      <c r="D963" s="32">
        <v>42960</v>
      </c>
      <c r="E963" s="33">
        <v>33</v>
      </c>
      <c r="F963" s="33">
        <v>2017</v>
      </c>
      <c r="G963" s="27">
        <v>201733</v>
      </c>
    </row>
    <row r="964" spans="1:7" x14ac:dyDescent="0.2">
      <c r="A964" s="22" t="str">
        <f t="shared" si="15"/>
        <v>1733</v>
      </c>
      <c r="B964" s="31">
        <v>42963</v>
      </c>
      <c r="C964" s="32" t="s">
        <v>58</v>
      </c>
      <c r="D964" s="32">
        <v>42960</v>
      </c>
      <c r="E964" s="33">
        <v>33</v>
      </c>
      <c r="F964" s="33">
        <v>2017</v>
      </c>
      <c r="G964" s="27">
        <v>201733</v>
      </c>
    </row>
    <row r="965" spans="1:7" x14ac:dyDescent="0.2">
      <c r="A965" s="22" t="str">
        <f t="shared" si="15"/>
        <v>1733</v>
      </c>
      <c r="B965" s="31">
        <v>42964</v>
      </c>
      <c r="C965" s="32" t="s">
        <v>59</v>
      </c>
      <c r="D965" s="32">
        <v>42960</v>
      </c>
      <c r="E965" s="33">
        <v>33</v>
      </c>
      <c r="F965" s="33">
        <v>2017</v>
      </c>
      <c r="G965" s="27">
        <v>201733</v>
      </c>
    </row>
    <row r="966" spans="1:7" x14ac:dyDescent="0.2">
      <c r="A966" s="22" t="str">
        <f t="shared" si="15"/>
        <v>1733</v>
      </c>
      <c r="B966" s="31">
        <v>42965</v>
      </c>
      <c r="C966" s="32" t="s">
        <v>60</v>
      </c>
      <c r="D966" s="32">
        <v>42960</v>
      </c>
      <c r="E966" s="33">
        <v>33</v>
      </c>
      <c r="F966" s="33">
        <v>2017</v>
      </c>
      <c r="G966" s="27">
        <v>201733</v>
      </c>
    </row>
    <row r="967" spans="1:7" x14ac:dyDescent="0.2">
      <c r="A967" s="22" t="str">
        <f t="shared" si="15"/>
        <v>1733</v>
      </c>
      <c r="B967" s="31">
        <v>42966</v>
      </c>
      <c r="C967" s="32" t="s">
        <v>61</v>
      </c>
      <c r="D967" s="32">
        <v>42960</v>
      </c>
      <c r="E967" s="33">
        <v>33</v>
      </c>
      <c r="F967" s="33">
        <v>2017</v>
      </c>
      <c r="G967" s="27">
        <v>201733</v>
      </c>
    </row>
    <row r="968" spans="1:7" x14ac:dyDescent="0.2">
      <c r="A968" s="22" t="str">
        <f t="shared" si="15"/>
        <v>1734</v>
      </c>
      <c r="B968" s="31">
        <v>42967</v>
      </c>
      <c r="C968" s="32" t="s">
        <v>55</v>
      </c>
      <c r="D968" s="32">
        <v>42967</v>
      </c>
      <c r="E968" s="33">
        <v>34</v>
      </c>
      <c r="F968" s="33">
        <v>2017</v>
      </c>
      <c r="G968" s="27">
        <v>201734</v>
      </c>
    </row>
    <row r="969" spans="1:7" x14ac:dyDescent="0.2">
      <c r="A969" s="22" t="str">
        <f t="shared" si="15"/>
        <v>1734</v>
      </c>
      <c r="B969" s="31">
        <v>42968</v>
      </c>
      <c r="C969" s="32" t="s">
        <v>56</v>
      </c>
      <c r="D969" s="32">
        <v>42967</v>
      </c>
      <c r="E969" s="33">
        <v>34</v>
      </c>
      <c r="F969" s="33">
        <v>2017</v>
      </c>
      <c r="G969" s="27">
        <v>201734</v>
      </c>
    </row>
    <row r="970" spans="1:7" x14ac:dyDescent="0.2">
      <c r="A970" s="22" t="str">
        <f t="shared" si="15"/>
        <v>1734</v>
      </c>
      <c r="B970" s="31">
        <v>42969</v>
      </c>
      <c r="C970" s="32" t="s">
        <v>57</v>
      </c>
      <c r="D970" s="32">
        <v>42967</v>
      </c>
      <c r="E970" s="33">
        <v>34</v>
      </c>
      <c r="F970" s="33">
        <v>2017</v>
      </c>
      <c r="G970" s="27">
        <v>201734</v>
      </c>
    </row>
    <row r="971" spans="1:7" x14ac:dyDescent="0.2">
      <c r="A971" s="22" t="str">
        <f t="shared" si="15"/>
        <v>1734</v>
      </c>
      <c r="B971" s="31">
        <v>42970</v>
      </c>
      <c r="C971" s="32" t="s">
        <v>58</v>
      </c>
      <c r="D971" s="32">
        <v>42967</v>
      </c>
      <c r="E971" s="33">
        <v>34</v>
      </c>
      <c r="F971" s="33">
        <v>2017</v>
      </c>
      <c r="G971" s="27">
        <v>201734</v>
      </c>
    </row>
    <row r="972" spans="1:7" x14ac:dyDescent="0.2">
      <c r="A972" s="22" t="str">
        <f t="shared" si="15"/>
        <v>1734</v>
      </c>
      <c r="B972" s="31">
        <v>42971</v>
      </c>
      <c r="C972" s="32" t="s">
        <v>59</v>
      </c>
      <c r="D972" s="32">
        <v>42967</v>
      </c>
      <c r="E972" s="33">
        <v>34</v>
      </c>
      <c r="F972" s="33">
        <v>2017</v>
      </c>
      <c r="G972" s="27">
        <v>201734</v>
      </c>
    </row>
    <row r="973" spans="1:7" x14ac:dyDescent="0.2">
      <c r="A973" s="22" t="str">
        <f t="shared" si="15"/>
        <v>1734</v>
      </c>
      <c r="B973" s="31">
        <v>42972</v>
      </c>
      <c r="C973" s="32" t="s">
        <v>60</v>
      </c>
      <c r="D973" s="32">
        <v>42967</v>
      </c>
      <c r="E973" s="33">
        <v>34</v>
      </c>
      <c r="F973" s="33">
        <v>2017</v>
      </c>
      <c r="G973" s="27">
        <v>201734</v>
      </c>
    </row>
    <row r="974" spans="1:7" x14ac:dyDescent="0.2">
      <c r="A974" s="22" t="str">
        <f t="shared" si="15"/>
        <v>1734</v>
      </c>
      <c r="B974" s="31">
        <v>42973</v>
      </c>
      <c r="C974" s="32" t="s">
        <v>61</v>
      </c>
      <c r="D974" s="32">
        <v>42967</v>
      </c>
      <c r="E974" s="33">
        <v>34</v>
      </c>
      <c r="F974" s="33">
        <v>2017</v>
      </c>
      <c r="G974" s="27">
        <v>201734</v>
      </c>
    </row>
    <row r="975" spans="1:7" x14ac:dyDescent="0.2">
      <c r="A975" s="22" t="str">
        <f t="shared" si="15"/>
        <v>1735</v>
      </c>
      <c r="B975" s="31">
        <v>42974</v>
      </c>
      <c r="C975" s="32" t="s">
        <v>55</v>
      </c>
      <c r="D975" s="32">
        <v>42974</v>
      </c>
      <c r="E975" s="33">
        <v>35</v>
      </c>
      <c r="F975" s="33">
        <v>2017</v>
      </c>
      <c r="G975" s="27">
        <v>201735</v>
      </c>
    </row>
    <row r="976" spans="1:7" x14ac:dyDescent="0.2">
      <c r="A976" s="22" t="str">
        <f t="shared" si="15"/>
        <v>1735</v>
      </c>
      <c r="B976" s="31">
        <v>42975</v>
      </c>
      <c r="C976" s="32" t="s">
        <v>56</v>
      </c>
      <c r="D976" s="32">
        <v>42974</v>
      </c>
      <c r="E976" s="33">
        <v>35</v>
      </c>
      <c r="F976" s="33">
        <v>2017</v>
      </c>
      <c r="G976" s="27">
        <v>201735</v>
      </c>
    </row>
    <row r="977" spans="1:7" x14ac:dyDescent="0.2">
      <c r="A977" s="22" t="str">
        <f t="shared" si="15"/>
        <v>1735</v>
      </c>
      <c r="B977" s="31">
        <v>42976</v>
      </c>
      <c r="C977" s="32" t="s">
        <v>57</v>
      </c>
      <c r="D977" s="32">
        <v>42974</v>
      </c>
      <c r="E977" s="33">
        <v>35</v>
      </c>
      <c r="F977" s="33">
        <v>2017</v>
      </c>
      <c r="G977" s="27">
        <v>201735</v>
      </c>
    </row>
    <row r="978" spans="1:7" x14ac:dyDescent="0.2">
      <c r="A978" s="22" t="str">
        <f t="shared" si="15"/>
        <v>1735</v>
      </c>
      <c r="B978" s="31">
        <v>42977</v>
      </c>
      <c r="C978" s="32" t="s">
        <v>58</v>
      </c>
      <c r="D978" s="32">
        <v>42974</v>
      </c>
      <c r="E978" s="33">
        <v>35</v>
      </c>
      <c r="F978" s="33">
        <v>2017</v>
      </c>
      <c r="G978" s="27">
        <v>201735</v>
      </c>
    </row>
    <row r="979" spans="1:7" x14ac:dyDescent="0.2">
      <c r="A979" s="22" t="str">
        <f t="shared" si="15"/>
        <v>1735</v>
      </c>
      <c r="B979" s="31">
        <v>42978</v>
      </c>
      <c r="C979" s="32" t="s">
        <v>59</v>
      </c>
      <c r="D979" s="32">
        <v>42974</v>
      </c>
      <c r="E979" s="33">
        <v>35</v>
      </c>
      <c r="F979" s="33">
        <v>2017</v>
      </c>
      <c r="G979" s="27">
        <v>201735</v>
      </c>
    </row>
    <row r="980" spans="1:7" x14ac:dyDescent="0.2">
      <c r="A980" s="22" t="str">
        <f t="shared" si="15"/>
        <v>1735</v>
      </c>
      <c r="B980" s="31">
        <v>42979</v>
      </c>
      <c r="C980" s="32" t="s">
        <v>60</v>
      </c>
      <c r="D980" s="32">
        <v>42974</v>
      </c>
      <c r="E980" s="33">
        <v>35</v>
      </c>
      <c r="F980" s="33">
        <v>2017</v>
      </c>
      <c r="G980" s="27">
        <v>201735</v>
      </c>
    </row>
    <row r="981" spans="1:7" x14ac:dyDescent="0.2">
      <c r="A981" s="22" t="str">
        <f t="shared" si="15"/>
        <v>1735</v>
      </c>
      <c r="B981" s="31">
        <v>42980</v>
      </c>
      <c r="C981" s="32" t="s">
        <v>61</v>
      </c>
      <c r="D981" s="32">
        <v>42974</v>
      </c>
      <c r="E981" s="33">
        <v>35</v>
      </c>
      <c r="F981" s="33">
        <v>2017</v>
      </c>
      <c r="G981" s="27">
        <v>201735</v>
      </c>
    </row>
    <row r="982" spans="1:7" x14ac:dyDescent="0.2">
      <c r="A982" s="22" t="str">
        <f t="shared" si="15"/>
        <v>1736</v>
      </c>
      <c r="B982" s="31">
        <v>42981</v>
      </c>
      <c r="C982" s="32" t="s">
        <v>55</v>
      </c>
      <c r="D982" s="32">
        <v>42981</v>
      </c>
      <c r="E982" s="33">
        <v>36</v>
      </c>
      <c r="F982" s="33">
        <v>2017</v>
      </c>
      <c r="G982" s="27">
        <v>201736</v>
      </c>
    </row>
    <row r="983" spans="1:7" x14ac:dyDescent="0.2">
      <c r="A983" s="22" t="str">
        <f t="shared" si="15"/>
        <v>1736</v>
      </c>
      <c r="B983" s="31">
        <v>42982</v>
      </c>
      <c r="C983" s="32" t="s">
        <v>56</v>
      </c>
      <c r="D983" s="32">
        <v>42981</v>
      </c>
      <c r="E983" s="33">
        <v>36</v>
      </c>
      <c r="F983" s="33">
        <v>2017</v>
      </c>
      <c r="G983" s="27">
        <v>201736</v>
      </c>
    </row>
    <row r="984" spans="1:7" x14ac:dyDescent="0.2">
      <c r="A984" s="22" t="str">
        <f t="shared" si="15"/>
        <v>1736</v>
      </c>
      <c r="B984" s="31">
        <v>42983</v>
      </c>
      <c r="C984" s="32" t="s">
        <v>57</v>
      </c>
      <c r="D984" s="32">
        <v>42981</v>
      </c>
      <c r="E984" s="33">
        <v>36</v>
      </c>
      <c r="F984" s="33">
        <v>2017</v>
      </c>
      <c r="G984" s="27">
        <v>201736</v>
      </c>
    </row>
    <row r="985" spans="1:7" x14ac:dyDescent="0.2">
      <c r="A985" s="22" t="str">
        <f t="shared" si="15"/>
        <v>1736</v>
      </c>
      <c r="B985" s="31">
        <v>42984</v>
      </c>
      <c r="C985" s="32" t="s">
        <v>58</v>
      </c>
      <c r="D985" s="32">
        <v>42981</v>
      </c>
      <c r="E985" s="33">
        <v>36</v>
      </c>
      <c r="F985" s="33">
        <v>2017</v>
      </c>
      <c r="G985" s="27">
        <v>201736</v>
      </c>
    </row>
    <row r="986" spans="1:7" x14ac:dyDescent="0.2">
      <c r="A986" s="22" t="str">
        <f t="shared" si="15"/>
        <v>1736</v>
      </c>
      <c r="B986" s="31">
        <v>42985</v>
      </c>
      <c r="C986" s="32" t="s">
        <v>59</v>
      </c>
      <c r="D986" s="32">
        <v>42981</v>
      </c>
      <c r="E986" s="33">
        <v>36</v>
      </c>
      <c r="F986" s="33">
        <v>2017</v>
      </c>
      <c r="G986" s="27">
        <v>201736</v>
      </c>
    </row>
    <row r="987" spans="1:7" x14ac:dyDescent="0.2">
      <c r="A987" s="22" t="str">
        <f t="shared" si="15"/>
        <v>1736</v>
      </c>
      <c r="B987" s="31">
        <v>42986</v>
      </c>
      <c r="C987" s="32" t="s">
        <v>60</v>
      </c>
      <c r="D987" s="32">
        <v>42981</v>
      </c>
      <c r="E987" s="33">
        <v>36</v>
      </c>
      <c r="F987" s="33">
        <v>2017</v>
      </c>
      <c r="G987" s="27">
        <v>201736</v>
      </c>
    </row>
    <row r="988" spans="1:7" x14ac:dyDescent="0.2">
      <c r="A988" s="22" t="str">
        <f t="shared" si="15"/>
        <v>1736</v>
      </c>
      <c r="B988" s="31">
        <v>42987</v>
      </c>
      <c r="C988" s="32" t="s">
        <v>61</v>
      </c>
      <c r="D988" s="32">
        <v>42981</v>
      </c>
      <c r="E988" s="33">
        <v>36</v>
      </c>
      <c r="F988" s="33">
        <v>2017</v>
      </c>
      <c r="G988" s="27">
        <v>201736</v>
      </c>
    </row>
    <row r="989" spans="1:7" x14ac:dyDescent="0.2">
      <c r="A989" s="22" t="str">
        <f t="shared" si="15"/>
        <v>1737</v>
      </c>
      <c r="B989" s="31">
        <v>42988</v>
      </c>
      <c r="C989" s="32" t="s">
        <v>55</v>
      </c>
      <c r="D989" s="32">
        <v>42988</v>
      </c>
      <c r="E989" s="33">
        <v>37</v>
      </c>
      <c r="F989" s="33">
        <v>2017</v>
      </c>
      <c r="G989" s="27">
        <v>201737</v>
      </c>
    </row>
    <row r="990" spans="1:7" x14ac:dyDescent="0.2">
      <c r="A990" s="22" t="str">
        <f t="shared" si="15"/>
        <v>1737</v>
      </c>
      <c r="B990" s="31">
        <v>42989</v>
      </c>
      <c r="C990" s="32" t="s">
        <v>56</v>
      </c>
      <c r="D990" s="32">
        <v>42988</v>
      </c>
      <c r="E990" s="33">
        <v>37</v>
      </c>
      <c r="F990" s="33">
        <v>2017</v>
      </c>
      <c r="G990" s="27">
        <v>201737</v>
      </c>
    </row>
    <row r="991" spans="1:7" x14ac:dyDescent="0.2">
      <c r="A991" s="22" t="str">
        <f t="shared" si="15"/>
        <v>1737</v>
      </c>
      <c r="B991" s="31">
        <v>42990</v>
      </c>
      <c r="C991" s="32" t="s">
        <v>57</v>
      </c>
      <c r="D991" s="32">
        <v>42988</v>
      </c>
      <c r="E991" s="33">
        <v>37</v>
      </c>
      <c r="F991" s="33">
        <v>2017</v>
      </c>
      <c r="G991" s="27">
        <v>201737</v>
      </c>
    </row>
    <row r="992" spans="1:7" x14ac:dyDescent="0.2">
      <c r="A992" s="22" t="str">
        <f t="shared" si="15"/>
        <v>1737</v>
      </c>
      <c r="B992" s="31">
        <v>42991</v>
      </c>
      <c r="C992" s="32" t="s">
        <v>58</v>
      </c>
      <c r="D992" s="32">
        <v>42988</v>
      </c>
      <c r="E992" s="33">
        <v>37</v>
      </c>
      <c r="F992" s="33">
        <v>2017</v>
      </c>
      <c r="G992" s="27">
        <v>201737</v>
      </c>
    </row>
    <row r="993" spans="1:7" x14ac:dyDescent="0.2">
      <c r="A993" s="22" t="str">
        <f t="shared" si="15"/>
        <v>1737</v>
      </c>
      <c r="B993" s="31">
        <v>42992</v>
      </c>
      <c r="C993" s="32" t="s">
        <v>59</v>
      </c>
      <c r="D993" s="32">
        <v>42988</v>
      </c>
      <c r="E993" s="33">
        <v>37</v>
      </c>
      <c r="F993" s="33">
        <v>2017</v>
      </c>
      <c r="G993" s="27">
        <v>201737</v>
      </c>
    </row>
    <row r="994" spans="1:7" x14ac:dyDescent="0.2">
      <c r="A994" s="22" t="str">
        <f t="shared" si="15"/>
        <v>1737</v>
      </c>
      <c r="B994" s="31">
        <v>42993</v>
      </c>
      <c r="C994" s="32" t="s">
        <v>60</v>
      </c>
      <c r="D994" s="32">
        <v>42988</v>
      </c>
      <c r="E994" s="33">
        <v>37</v>
      </c>
      <c r="F994" s="33">
        <v>2017</v>
      </c>
      <c r="G994" s="27">
        <v>201737</v>
      </c>
    </row>
    <row r="995" spans="1:7" x14ac:dyDescent="0.2">
      <c r="A995" s="22" t="str">
        <f t="shared" si="15"/>
        <v>1737</v>
      </c>
      <c r="B995" s="31">
        <v>42994</v>
      </c>
      <c r="C995" s="32" t="s">
        <v>61</v>
      </c>
      <c r="D995" s="32">
        <v>42988</v>
      </c>
      <c r="E995" s="33">
        <v>37</v>
      </c>
      <c r="F995" s="33">
        <v>2017</v>
      </c>
      <c r="G995" s="27">
        <v>201737</v>
      </c>
    </row>
    <row r="996" spans="1:7" x14ac:dyDescent="0.2">
      <c r="A996" s="22" t="str">
        <f t="shared" si="15"/>
        <v>1738</v>
      </c>
      <c r="B996" s="31">
        <v>42995</v>
      </c>
      <c r="C996" s="32" t="s">
        <v>55</v>
      </c>
      <c r="D996" s="32">
        <v>42995</v>
      </c>
      <c r="E996" s="33">
        <v>38</v>
      </c>
      <c r="F996" s="33">
        <v>2017</v>
      </c>
      <c r="G996" s="27">
        <v>201738</v>
      </c>
    </row>
    <row r="997" spans="1:7" x14ac:dyDescent="0.2">
      <c r="A997" s="22" t="str">
        <f t="shared" si="15"/>
        <v>1738</v>
      </c>
      <c r="B997" s="31">
        <v>42996</v>
      </c>
      <c r="C997" s="32" t="s">
        <v>56</v>
      </c>
      <c r="D997" s="32">
        <v>42995</v>
      </c>
      <c r="E997" s="33">
        <v>38</v>
      </c>
      <c r="F997" s="33">
        <v>2017</v>
      </c>
      <c r="G997" s="27">
        <v>201738</v>
      </c>
    </row>
    <row r="998" spans="1:7" x14ac:dyDescent="0.2">
      <c r="A998" s="22" t="str">
        <f t="shared" si="15"/>
        <v>1738</v>
      </c>
      <c r="B998" s="31">
        <v>42997</v>
      </c>
      <c r="C998" s="32" t="s">
        <v>57</v>
      </c>
      <c r="D998" s="32">
        <v>42995</v>
      </c>
      <c r="E998" s="33">
        <v>38</v>
      </c>
      <c r="F998" s="33">
        <v>2017</v>
      </c>
      <c r="G998" s="27">
        <v>201738</v>
      </c>
    </row>
    <row r="999" spans="1:7" x14ac:dyDescent="0.2">
      <c r="A999" s="22" t="str">
        <f t="shared" si="15"/>
        <v>1738</v>
      </c>
      <c r="B999" s="31">
        <v>42998</v>
      </c>
      <c r="C999" s="32" t="s">
        <v>58</v>
      </c>
      <c r="D999" s="32">
        <v>42995</v>
      </c>
      <c r="E999" s="33">
        <v>38</v>
      </c>
      <c r="F999" s="33">
        <v>2017</v>
      </c>
      <c r="G999" s="27">
        <v>201738</v>
      </c>
    </row>
    <row r="1000" spans="1:7" x14ac:dyDescent="0.2">
      <c r="A1000" s="22" t="str">
        <f t="shared" si="15"/>
        <v>1738</v>
      </c>
      <c r="B1000" s="31">
        <v>42999</v>
      </c>
      <c r="C1000" s="32" t="s">
        <v>59</v>
      </c>
      <c r="D1000" s="32">
        <v>42995</v>
      </c>
      <c r="E1000" s="33">
        <v>38</v>
      </c>
      <c r="F1000" s="33">
        <v>2017</v>
      </c>
      <c r="G1000" s="27">
        <v>201738</v>
      </c>
    </row>
    <row r="1001" spans="1:7" x14ac:dyDescent="0.2">
      <c r="A1001" s="22" t="str">
        <f t="shared" si="15"/>
        <v>1738</v>
      </c>
      <c r="B1001" s="31">
        <v>43000</v>
      </c>
      <c r="C1001" s="32" t="s">
        <v>60</v>
      </c>
      <c r="D1001" s="32">
        <v>42995</v>
      </c>
      <c r="E1001" s="33">
        <v>38</v>
      </c>
      <c r="F1001" s="33">
        <v>2017</v>
      </c>
      <c r="G1001" s="27">
        <v>201738</v>
      </c>
    </row>
    <row r="1002" spans="1:7" x14ac:dyDescent="0.2">
      <c r="A1002" s="22" t="str">
        <f t="shared" si="15"/>
        <v>1738</v>
      </c>
      <c r="B1002" s="31">
        <v>43001</v>
      </c>
      <c r="C1002" s="32" t="s">
        <v>61</v>
      </c>
      <c r="D1002" s="32">
        <v>42995</v>
      </c>
      <c r="E1002" s="33">
        <v>38</v>
      </c>
      <c r="F1002" s="33">
        <v>2017</v>
      </c>
      <c r="G1002" s="27">
        <v>201738</v>
      </c>
    </row>
    <row r="1003" spans="1:7" x14ac:dyDescent="0.2">
      <c r="A1003" s="22" t="str">
        <f t="shared" si="15"/>
        <v>1739</v>
      </c>
      <c r="B1003" s="31">
        <v>43002</v>
      </c>
      <c r="C1003" s="32" t="s">
        <v>55</v>
      </c>
      <c r="D1003" s="32">
        <v>43002</v>
      </c>
      <c r="E1003" s="33">
        <v>39</v>
      </c>
      <c r="F1003" s="33">
        <v>2017</v>
      </c>
      <c r="G1003" s="27">
        <v>201739</v>
      </c>
    </row>
    <row r="1004" spans="1:7" x14ac:dyDescent="0.2">
      <c r="A1004" s="22" t="str">
        <f t="shared" si="15"/>
        <v>1739</v>
      </c>
      <c r="B1004" s="31">
        <v>43003</v>
      </c>
      <c r="C1004" s="32" t="s">
        <v>56</v>
      </c>
      <c r="D1004" s="32">
        <v>43002</v>
      </c>
      <c r="E1004" s="33">
        <v>39</v>
      </c>
      <c r="F1004" s="33">
        <v>2017</v>
      </c>
      <c r="G1004" s="27">
        <v>201739</v>
      </c>
    </row>
    <row r="1005" spans="1:7" x14ac:dyDescent="0.2">
      <c r="A1005" s="22" t="str">
        <f t="shared" si="15"/>
        <v>1739</v>
      </c>
      <c r="B1005" s="31">
        <v>43004</v>
      </c>
      <c r="C1005" s="32" t="s">
        <v>57</v>
      </c>
      <c r="D1005" s="32">
        <v>43002</v>
      </c>
      <c r="E1005" s="33">
        <v>39</v>
      </c>
      <c r="F1005" s="33">
        <v>2017</v>
      </c>
      <c r="G1005" s="27">
        <v>201739</v>
      </c>
    </row>
    <row r="1006" spans="1:7" x14ac:dyDescent="0.2">
      <c r="A1006" s="22" t="str">
        <f t="shared" si="15"/>
        <v>1739</v>
      </c>
      <c r="B1006" s="31">
        <v>43005</v>
      </c>
      <c r="C1006" s="32" t="s">
        <v>58</v>
      </c>
      <c r="D1006" s="32">
        <v>43002</v>
      </c>
      <c r="E1006" s="33">
        <v>39</v>
      </c>
      <c r="F1006" s="33">
        <v>2017</v>
      </c>
      <c r="G1006" s="27">
        <v>201739</v>
      </c>
    </row>
    <row r="1007" spans="1:7" x14ac:dyDescent="0.2">
      <c r="A1007" s="22" t="str">
        <f t="shared" si="15"/>
        <v>1739</v>
      </c>
      <c r="B1007" s="31">
        <v>43006</v>
      </c>
      <c r="C1007" s="32" t="s">
        <v>59</v>
      </c>
      <c r="D1007" s="32">
        <v>43002</v>
      </c>
      <c r="E1007" s="33">
        <v>39</v>
      </c>
      <c r="F1007" s="33">
        <v>2017</v>
      </c>
      <c r="G1007" s="27">
        <v>201739</v>
      </c>
    </row>
    <row r="1008" spans="1:7" x14ac:dyDescent="0.2">
      <c r="A1008" s="22" t="str">
        <f t="shared" si="15"/>
        <v>1739</v>
      </c>
      <c r="B1008" s="31">
        <v>43007</v>
      </c>
      <c r="C1008" s="32" t="s">
        <v>60</v>
      </c>
      <c r="D1008" s="32">
        <v>43002</v>
      </c>
      <c r="E1008" s="33">
        <v>39</v>
      </c>
      <c r="F1008" s="33">
        <v>2017</v>
      </c>
      <c r="G1008" s="27">
        <v>201739</v>
      </c>
    </row>
    <row r="1009" spans="1:7" x14ac:dyDescent="0.2">
      <c r="A1009" s="22" t="str">
        <f t="shared" si="15"/>
        <v>1739</v>
      </c>
      <c r="B1009" s="31">
        <v>43008</v>
      </c>
      <c r="C1009" s="32" t="s">
        <v>61</v>
      </c>
      <c r="D1009" s="32">
        <v>43002</v>
      </c>
      <c r="E1009" s="33">
        <v>39</v>
      </c>
      <c r="F1009" s="33">
        <v>2017</v>
      </c>
      <c r="G1009" s="27">
        <v>201739</v>
      </c>
    </row>
    <row r="1010" spans="1:7" x14ac:dyDescent="0.2">
      <c r="A1010" s="22" t="str">
        <f t="shared" si="15"/>
        <v>1740</v>
      </c>
      <c r="B1010" s="31">
        <v>43009</v>
      </c>
      <c r="C1010" s="32" t="s">
        <v>55</v>
      </c>
      <c r="D1010" s="32">
        <v>43009</v>
      </c>
      <c r="E1010" s="33">
        <v>40</v>
      </c>
      <c r="F1010" s="33">
        <v>2017</v>
      </c>
      <c r="G1010" s="27">
        <v>201740</v>
      </c>
    </row>
    <row r="1011" spans="1:7" x14ac:dyDescent="0.2">
      <c r="A1011" s="22" t="str">
        <f t="shared" si="15"/>
        <v>1740</v>
      </c>
      <c r="B1011" s="31">
        <v>43010</v>
      </c>
      <c r="C1011" s="32" t="s">
        <v>56</v>
      </c>
      <c r="D1011" s="32">
        <v>43009</v>
      </c>
      <c r="E1011" s="33">
        <v>40</v>
      </c>
      <c r="F1011" s="33">
        <v>2017</v>
      </c>
      <c r="G1011" s="27">
        <v>201740</v>
      </c>
    </row>
    <row r="1012" spans="1:7" x14ac:dyDescent="0.2">
      <c r="A1012" s="22" t="str">
        <f t="shared" si="15"/>
        <v>1740</v>
      </c>
      <c r="B1012" s="31">
        <v>43011</v>
      </c>
      <c r="C1012" s="32" t="s">
        <v>57</v>
      </c>
      <c r="D1012" s="32">
        <v>43009</v>
      </c>
      <c r="E1012" s="33">
        <v>40</v>
      </c>
      <c r="F1012" s="33">
        <v>2017</v>
      </c>
      <c r="G1012" s="27">
        <v>201740</v>
      </c>
    </row>
    <row r="1013" spans="1:7" x14ac:dyDescent="0.2">
      <c r="A1013" s="22" t="str">
        <f t="shared" si="15"/>
        <v>1740</v>
      </c>
      <c r="B1013" s="31">
        <v>43012</v>
      </c>
      <c r="C1013" s="32" t="s">
        <v>58</v>
      </c>
      <c r="D1013" s="32">
        <v>43009</v>
      </c>
      <c r="E1013" s="33">
        <v>40</v>
      </c>
      <c r="F1013" s="33">
        <v>2017</v>
      </c>
      <c r="G1013" s="27">
        <v>201740</v>
      </c>
    </row>
    <row r="1014" spans="1:7" x14ac:dyDescent="0.2">
      <c r="A1014" s="22" t="str">
        <f t="shared" si="15"/>
        <v>1740</v>
      </c>
      <c r="B1014" s="31">
        <v>43013</v>
      </c>
      <c r="C1014" s="32" t="s">
        <v>59</v>
      </c>
      <c r="D1014" s="32">
        <v>43009</v>
      </c>
      <c r="E1014" s="33">
        <v>40</v>
      </c>
      <c r="F1014" s="33">
        <v>2017</v>
      </c>
      <c r="G1014" s="27">
        <v>201740</v>
      </c>
    </row>
    <row r="1015" spans="1:7" x14ac:dyDescent="0.2">
      <c r="A1015" s="22" t="str">
        <f t="shared" si="15"/>
        <v>1740</v>
      </c>
      <c r="B1015" s="31">
        <v>43014</v>
      </c>
      <c r="C1015" s="32" t="s">
        <v>60</v>
      </c>
      <c r="D1015" s="32">
        <v>43009</v>
      </c>
      <c r="E1015" s="33">
        <v>40</v>
      </c>
      <c r="F1015" s="33">
        <v>2017</v>
      </c>
      <c r="G1015" s="27">
        <v>201740</v>
      </c>
    </row>
    <row r="1016" spans="1:7" x14ac:dyDescent="0.2">
      <c r="A1016" s="22" t="str">
        <f t="shared" si="15"/>
        <v>1740</v>
      </c>
      <c r="B1016" s="31">
        <v>43015</v>
      </c>
      <c r="C1016" s="32" t="s">
        <v>61</v>
      </c>
      <c r="D1016" s="32">
        <v>43009</v>
      </c>
      <c r="E1016" s="33">
        <v>40</v>
      </c>
      <c r="F1016" s="33">
        <v>2017</v>
      </c>
      <c r="G1016" s="27">
        <v>201740</v>
      </c>
    </row>
    <row r="1017" spans="1:7" x14ac:dyDescent="0.2">
      <c r="A1017" s="22" t="str">
        <f t="shared" si="15"/>
        <v>1741</v>
      </c>
      <c r="B1017" s="31">
        <v>43016</v>
      </c>
      <c r="C1017" s="32" t="s">
        <v>55</v>
      </c>
      <c r="D1017" s="32">
        <v>43016</v>
      </c>
      <c r="E1017" s="33">
        <v>41</v>
      </c>
      <c r="F1017" s="33">
        <v>2017</v>
      </c>
      <c r="G1017" s="27">
        <v>201741</v>
      </c>
    </row>
    <row r="1018" spans="1:7" x14ac:dyDescent="0.2">
      <c r="A1018" s="22" t="str">
        <f t="shared" si="15"/>
        <v>1741</v>
      </c>
      <c r="B1018" s="31">
        <v>43017</v>
      </c>
      <c r="C1018" s="32" t="s">
        <v>56</v>
      </c>
      <c r="D1018" s="32">
        <v>43016</v>
      </c>
      <c r="E1018" s="33">
        <v>41</v>
      </c>
      <c r="F1018" s="33">
        <v>2017</v>
      </c>
      <c r="G1018" s="27">
        <v>201741</v>
      </c>
    </row>
    <row r="1019" spans="1:7" x14ac:dyDescent="0.2">
      <c r="A1019" s="22" t="str">
        <f t="shared" si="15"/>
        <v>1741</v>
      </c>
      <c r="B1019" s="31">
        <v>43018</v>
      </c>
      <c r="C1019" s="32" t="s">
        <v>57</v>
      </c>
      <c r="D1019" s="32">
        <v>43016</v>
      </c>
      <c r="E1019" s="33">
        <v>41</v>
      </c>
      <c r="F1019" s="33">
        <v>2017</v>
      </c>
      <c r="G1019" s="27">
        <v>201741</v>
      </c>
    </row>
    <row r="1020" spans="1:7" x14ac:dyDescent="0.2">
      <c r="A1020" s="22" t="str">
        <f t="shared" si="15"/>
        <v>1741</v>
      </c>
      <c r="B1020" s="31">
        <v>43019</v>
      </c>
      <c r="C1020" s="32" t="s">
        <v>58</v>
      </c>
      <c r="D1020" s="32">
        <v>43016</v>
      </c>
      <c r="E1020" s="33">
        <v>41</v>
      </c>
      <c r="F1020" s="33">
        <v>2017</v>
      </c>
      <c r="G1020" s="27">
        <v>201741</v>
      </c>
    </row>
    <row r="1021" spans="1:7" x14ac:dyDescent="0.2">
      <c r="A1021" s="22" t="str">
        <f t="shared" si="15"/>
        <v>1741</v>
      </c>
      <c r="B1021" s="31">
        <v>43020</v>
      </c>
      <c r="C1021" s="32" t="s">
        <v>59</v>
      </c>
      <c r="D1021" s="32">
        <v>43016</v>
      </c>
      <c r="E1021" s="33">
        <v>41</v>
      </c>
      <c r="F1021" s="33">
        <v>2017</v>
      </c>
      <c r="G1021" s="27">
        <v>201741</v>
      </c>
    </row>
    <row r="1022" spans="1:7" x14ac:dyDescent="0.2">
      <c r="A1022" s="22" t="str">
        <f t="shared" si="15"/>
        <v>1741</v>
      </c>
      <c r="B1022" s="31">
        <v>43021</v>
      </c>
      <c r="C1022" s="32" t="s">
        <v>60</v>
      </c>
      <c r="D1022" s="32">
        <v>43016</v>
      </c>
      <c r="E1022" s="33">
        <v>41</v>
      </c>
      <c r="F1022" s="33">
        <v>2017</v>
      </c>
      <c r="G1022" s="27">
        <v>201741</v>
      </c>
    </row>
    <row r="1023" spans="1:7" x14ac:dyDescent="0.2">
      <c r="A1023" s="22" t="str">
        <f t="shared" si="15"/>
        <v>1741</v>
      </c>
      <c r="B1023" s="31">
        <v>43022</v>
      </c>
      <c r="C1023" s="32" t="s">
        <v>61</v>
      </c>
      <c r="D1023" s="32">
        <v>43016</v>
      </c>
      <c r="E1023" s="33">
        <v>41</v>
      </c>
      <c r="F1023" s="33">
        <v>2017</v>
      </c>
      <c r="G1023" s="27">
        <v>201741</v>
      </c>
    </row>
    <row r="1024" spans="1:7" x14ac:dyDescent="0.2">
      <c r="A1024" s="22" t="str">
        <f t="shared" si="15"/>
        <v>1742</v>
      </c>
      <c r="B1024" s="31">
        <v>43023</v>
      </c>
      <c r="C1024" s="32" t="s">
        <v>55</v>
      </c>
      <c r="D1024" s="32">
        <v>43023</v>
      </c>
      <c r="E1024" s="33">
        <v>42</v>
      </c>
      <c r="F1024" s="33">
        <v>2017</v>
      </c>
      <c r="G1024" s="27">
        <v>201742</v>
      </c>
    </row>
    <row r="1025" spans="1:7" x14ac:dyDescent="0.2">
      <c r="A1025" s="22" t="str">
        <f t="shared" si="15"/>
        <v>1742</v>
      </c>
      <c r="B1025" s="31">
        <v>43024</v>
      </c>
      <c r="C1025" s="32" t="s">
        <v>56</v>
      </c>
      <c r="D1025" s="32">
        <v>43023</v>
      </c>
      <c r="E1025" s="33">
        <v>42</v>
      </c>
      <c r="F1025" s="33">
        <v>2017</v>
      </c>
      <c r="G1025" s="27">
        <v>201742</v>
      </c>
    </row>
    <row r="1026" spans="1:7" x14ac:dyDescent="0.2">
      <c r="A1026" s="22" t="str">
        <f t="shared" si="15"/>
        <v>1742</v>
      </c>
      <c r="B1026" s="31">
        <v>43025</v>
      </c>
      <c r="C1026" s="32" t="s">
        <v>57</v>
      </c>
      <c r="D1026" s="32">
        <v>43023</v>
      </c>
      <c r="E1026" s="33">
        <v>42</v>
      </c>
      <c r="F1026" s="33">
        <v>2017</v>
      </c>
      <c r="G1026" s="27">
        <v>201742</v>
      </c>
    </row>
    <row r="1027" spans="1:7" x14ac:dyDescent="0.2">
      <c r="A1027" s="22" t="str">
        <f t="shared" ref="A1027:A1090" si="16">RIGHT(G1027,4)</f>
        <v>1742</v>
      </c>
      <c r="B1027" s="31">
        <v>43026</v>
      </c>
      <c r="C1027" s="32" t="s">
        <v>58</v>
      </c>
      <c r="D1027" s="32">
        <v>43023</v>
      </c>
      <c r="E1027" s="33">
        <v>42</v>
      </c>
      <c r="F1027" s="33">
        <v>2017</v>
      </c>
      <c r="G1027" s="27">
        <v>201742</v>
      </c>
    </row>
    <row r="1028" spans="1:7" x14ac:dyDescent="0.2">
      <c r="A1028" s="22" t="str">
        <f t="shared" si="16"/>
        <v>1742</v>
      </c>
      <c r="B1028" s="31">
        <v>43027</v>
      </c>
      <c r="C1028" s="32" t="s">
        <v>59</v>
      </c>
      <c r="D1028" s="32">
        <v>43023</v>
      </c>
      <c r="E1028" s="33">
        <v>42</v>
      </c>
      <c r="F1028" s="33">
        <v>2017</v>
      </c>
      <c r="G1028" s="27">
        <v>201742</v>
      </c>
    </row>
    <row r="1029" spans="1:7" x14ac:dyDescent="0.2">
      <c r="A1029" s="22" t="str">
        <f t="shared" si="16"/>
        <v>1742</v>
      </c>
      <c r="B1029" s="31">
        <v>43028</v>
      </c>
      <c r="C1029" s="32" t="s">
        <v>60</v>
      </c>
      <c r="D1029" s="32">
        <v>43023</v>
      </c>
      <c r="E1029" s="33">
        <v>42</v>
      </c>
      <c r="F1029" s="33">
        <v>2017</v>
      </c>
      <c r="G1029" s="27">
        <v>201742</v>
      </c>
    </row>
    <row r="1030" spans="1:7" x14ac:dyDescent="0.2">
      <c r="A1030" s="22" t="str">
        <f t="shared" si="16"/>
        <v>1742</v>
      </c>
      <c r="B1030" s="31">
        <v>43029</v>
      </c>
      <c r="C1030" s="32" t="s">
        <v>61</v>
      </c>
      <c r="D1030" s="32">
        <v>43023</v>
      </c>
      <c r="E1030" s="33">
        <v>42</v>
      </c>
      <c r="F1030" s="33">
        <v>2017</v>
      </c>
      <c r="G1030" s="27">
        <v>201742</v>
      </c>
    </row>
    <row r="1031" spans="1:7" x14ac:dyDescent="0.2">
      <c r="A1031" s="22" t="str">
        <f t="shared" si="16"/>
        <v>1743</v>
      </c>
      <c r="B1031" s="31">
        <v>43030</v>
      </c>
      <c r="C1031" s="32" t="s">
        <v>55</v>
      </c>
      <c r="D1031" s="32">
        <v>43030</v>
      </c>
      <c r="E1031" s="33">
        <v>43</v>
      </c>
      <c r="F1031" s="33">
        <v>2017</v>
      </c>
      <c r="G1031" s="27">
        <v>201743</v>
      </c>
    </row>
    <row r="1032" spans="1:7" x14ac:dyDescent="0.2">
      <c r="A1032" s="22" t="str">
        <f t="shared" si="16"/>
        <v>1743</v>
      </c>
      <c r="B1032" s="31">
        <v>43031</v>
      </c>
      <c r="C1032" s="32" t="s">
        <v>56</v>
      </c>
      <c r="D1032" s="32">
        <v>43030</v>
      </c>
      <c r="E1032" s="33">
        <v>43</v>
      </c>
      <c r="F1032" s="33">
        <v>2017</v>
      </c>
      <c r="G1032" s="27">
        <v>201743</v>
      </c>
    </row>
    <row r="1033" spans="1:7" x14ac:dyDescent="0.2">
      <c r="A1033" s="22" t="str">
        <f t="shared" si="16"/>
        <v>1743</v>
      </c>
      <c r="B1033" s="31">
        <v>43032</v>
      </c>
      <c r="C1033" s="32" t="s">
        <v>57</v>
      </c>
      <c r="D1033" s="32">
        <v>43030</v>
      </c>
      <c r="E1033" s="33">
        <v>43</v>
      </c>
      <c r="F1033" s="33">
        <v>2017</v>
      </c>
      <c r="G1033" s="27">
        <v>201743</v>
      </c>
    </row>
    <row r="1034" spans="1:7" x14ac:dyDescent="0.2">
      <c r="A1034" s="22" t="str">
        <f t="shared" si="16"/>
        <v>1743</v>
      </c>
      <c r="B1034" s="31">
        <v>43033</v>
      </c>
      <c r="C1034" s="32" t="s">
        <v>58</v>
      </c>
      <c r="D1034" s="32">
        <v>43030</v>
      </c>
      <c r="E1034" s="33">
        <v>43</v>
      </c>
      <c r="F1034" s="33">
        <v>2017</v>
      </c>
      <c r="G1034" s="27">
        <v>201743</v>
      </c>
    </row>
    <row r="1035" spans="1:7" x14ac:dyDescent="0.2">
      <c r="A1035" s="22" t="str">
        <f t="shared" si="16"/>
        <v>1743</v>
      </c>
      <c r="B1035" s="31">
        <v>43034</v>
      </c>
      <c r="C1035" s="32" t="s">
        <v>59</v>
      </c>
      <c r="D1035" s="32">
        <v>43030</v>
      </c>
      <c r="E1035" s="33">
        <v>43</v>
      </c>
      <c r="F1035" s="33">
        <v>2017</v>
      </c>
      <c r="G1035" s="27">
        <v>201743</v>
      </c>
    </row>
    <row r="1036" spans="1:7" x14ac:dyDescent="0.2">
      <c r="A1036" s="22" t="str">
        <f t="shared" si="16"/>
        <v>1743</v>
      </c>
      <c r="B1036" s="31">
        <v>43035</v>
      </c>
      <c r="C1036" s="32" t="s">
        <v>60</v>
      </c>
      <c r="D1036" s="32">
        <v>43030</v>
      </c>
      <c r="E1036" s="33">
        <v>43</v>
      </c>
      <c r="F1036" s="33">
        <v>2017</v>
      </c>
      <c r="G1036" s="27">
        <v>201743</v>
      </c>
    </row>
    <row r="1037" spans="1:7" x14ac:dyDescent="0.2">
      <c r="A1037" s="22" t="str">
        <f t="shared" si="16"/>
        <v>1743</v>
      </c>
      <c r="B1037" s="31">
        <v>43036</v>
      </c>
      <c r="C1037" s="32" t="s">
        <v>61</v>
      </c>
      <c r="D1037" s="32">
        <v>43030</v>
      </c>
      <c r="E1037" s="33">
        <v>43</v>
      </c>
      <c r="F1037" s="33">
        <v>2017</v>
      </c>
      <c r="G1037" s="27">
        <v>201743</v>
      </c>
    </row>
    <row r="1038" spans="1:7" x14ac:dyDescent="0.2">
      <c r="A1038" s="22" t="str">
        <f t="shared" si="16"/>
        <v>1744</v>
      </c>
      <c r="B1038" s="31">
        <v>43037</v>
      </c>
      <c r="C1038" s="32" t="s">
        <v>55</v>
      </c>
      <c r="D1038" s="32">
        <v>43037</v>
      </c>
      <c r="E1038" s="33">
        <v>44</v>
      </c>
      <c r="F1038" s="33">
        <v>2017</v>
      </c>
      <c r="G1038" s="27">
        <v>201744</v>
      </c>
    </row>
    <row r="1039" spans="1:7" x14ac:dyDescent="0.2">
      <c r="A1039" s="22" t="str">
        <f t="shared" si="16"/>
        <v>1744</v>
      </c>
      <c r="B1039" s="31">
        <v>43038</v>
      </c>
      <c r="C1039" s="32" t="s">
        <v>56</v>
      </c>
      <c r="D1039" s="32">
        <v>43037</v>
      </c>
      <c r="E1039" s="33">
        <v>44</v>
      </c>
      <c r="F1039" s="33">
        <v>2017</v>
      </c>
      <c r="G1039" s="27">
        <v>201744</v>
      </c>
    </row>
    <row r="1040" spans="1:7" x14ac:dyDescent="0.2">
      <c r="A1040" s="22" t="str">
        <f t="shared" si="16"/>
        <v>1744</v>
      </c>
      <c r="B1040" s="31">
        <v>43039</v>
      </c>
      <c r="C1040" s="32" t="s">
        <v>57</v>
      </c>
      <c r="D1040" s="32">
        <v>43037</v>
      </c>
      <c r="E1040" s="33">
        <v>44</v>
      </c>
      <c r="F1040" s="33">
        <v>2017</v>
      </c>
      <c r="G1040" s="27">
        <v>201744</v>
      </c>
    </row>
    <row r="1041" spans="1:7" x14ac:dyDescent="0.2">
      <c r="A1041" s="22" t="str">
        <f t="shared" si="16"/>
        <v>1744</v>
      </c>
      <c r="B1041" s="31">
        <v>43040</v>
      </c>
      <c r="C1041" s="32" t="s">
        <v>58</v>
      </c>
      <c r="D1041" s="32">
        <v>43037</v>
      </c>
      <c r="E1041" s="33">
        <v>44</v>
      </c>
      <c r="F1041" s="33">
        <v>2017</v>
      </c>
      <c r="G1041" s="27">
        <v>201744</v>
      </c>
    </row>
    <row r="1042" spans="1:7" x14ac:dyDescent="0.2">
      <c r="A1042" s="22" t="str">
        <f t="shared" si="16"/>
        <v>1744</v>
      </c>
      <c r="B1042" s="31">
        <v>43041</v>
      </c>
      <c r="C1042" s="32" t="s">
        <v>59</v>
      </c>
      <c r="D1042" s="32">
        <v>43037</v>
      </c>
      <c r="E1042" s="33">
        <v>44</v>
      </c>
      <c r="F1042" s="33">
        <v>2017</v>
      </c>
      <c r="G1042" s="27">
        <v>201744</v>
      </c>
    </row>
    <row r="1043" spans="1:7" x14ac:dyDescent="0.2">
      <c r="A1043" s="22" t="str">
        <f t="shared" si="16"/>
        <v>1744</v>
      </c>
      <c r="B1043" s="31">
        <v>43042</v>
      </c>
      <c r="C1043" s="32" t="s">
        <v>60</v>
      </c>
      <c r="D1043" s="32">
        <v>43037</v>
      </c>
      <c r="E1043" s="33">
        <v>44</v>
      </c>
      <c r="F1043" s="33">
        <v>2017</v>
      </c>
      <c r="G1043" s="27">
        <v>201744</v>
      </c>
    </row>
    <row r="1044" spans="1:7" x14ac:dyDescent="0.2">
      <c r="A1044" s="22" t="str">
        <f t="shared" si="16"/>
        <v>1744</v>
      </c>
      <c r="B1044" s="31">
        <v>43043</v>
      </c>
      <c r="C1044" s="32" t="s">
        <v>61</v>
      </c>
      <c r="D1044" s="32">
        <v>43037</v>
      </c>
      <c r="E1044" s="33">
        <v>44</v>
      </c>
      <c r="F1044" s="33">
        <v>2017</v>
      </c>
      <c r="G1044" s="27">
        <v>201744</v>
      </c>
    </row>
    <row r="1045" spans="1:7" x14ac:dyDescent="0.2">
      <c r="A1045" s="22" t="str">
        <f t="shared" si="16"/>
        <v>1745</v>
      </c>
      <c r="B1045" s="31">
        <v>43044</v>
      </c>
      <c r="C1045" s="32" t="s">
        <v>55</v>
      </c>
      <c r="D1045" s="32">
        <v>43044</v>
      </c>
      <c r="E1045" s="33">
        <v>45</v>
      </c>
      <c r="F1045" s="33">
        <v>2017</v>
      </c>
      <c r="G1045" s="27">
        <v>201745</v>
      </c>
    </row>
    <row r="1046" spans="1:7" x14ac:dyDescent="0.2">
      <c r="A1046" s="22" t="str">
        <f t="shared" si="16"/>
        <v>1745</v>
      </c>
      <c r="B1046" s="31">
        <v>43045</v>
      </c>
      <c r="C1046" s="32" t="s">
        <v>56</v>
      </c>
      <c r="D1046" s="32">
        <v>43044</v>
      </c>
      <c r="E1046" s="33">
        <v>45</v>
      </c>
      <c r="F1046" s="33">
        <v>2017</v>
      </c>
      <c r="G1046" s="27">
        <v>201745</v>
      </c>
    </row>
    <row r="1047" spans="1:7" x14ac:dyDescent="0.2">
      <c r="A1047" s="22" t="str">
        <f t="shared" si="16"/>
        <v>1745</v>
      </c>
      <c r="B1047" s="31">
        <v>43046</v>
      </c>
      <c r="C1047" s="32" t="s">
        <v>57</v>
      </c>
      <c r="D1047" s="32">
        <v>43044</v>
      </c>
      <c r="E1047" s="33">
        <v>45</v>
      </c>
      <c r="F1047" s="33">
        <v>2017</v>
      </c>
      <c r="G1047" s="27">
        <v>201745</v>
      </c>
    </row>
    <row r="1048" spans="1:7" x14ac:dyDescent="0.2">
      <c r="A1048" s="22" t="str">
        <f t="shared" si="16"/>
        <v>1745</v>
      </c>
      <c r="B1048" s="31">
        <v>43047</v>
      </c>
      <c r="C1048" s="32" t="s">
        <v>58</v>
      </c>
      <c r="D1048" s="32">
        <v>43044</v>
      </c>
      <c r="E1048" s="33">
        <v>45</v>
      </c>
      <c r="F1048" s="33">
        <v>2017</v>
      </c>
      <c r="G1048" s="27">
        <v>201745</v>
      </c>
    </row>
    <row r="1049" spans="1:7" x14ac:dyDescent="0.2">
      <c r="A1049" s="22" t="str">
        <f t="shared" si="16"/>
        <v>1745</v>
      </c>
      <c r="B1049" s="31">
        <v>43048</v>
      </c>
      <c r="C1049" s="32" t="s">
        <v>59</v>
      </c>
      <c r="D1049" s="32">
        <v>43044</v>
      </c>
      <c r="E1049" s="33">
        <v>45</v>
      </c>
      <c r="F1049" s="33">
        <v>2017</v>
      </c>
      <c r="G1049" s="27">
        <v>201745</v>
      </c>
    </row>
    <row r="1050" spans="1:7" x14ac:dyDescent="0.2">
      <c r="A1050" s="22" t="str">
        <f t="shared" si="16"/>
        <v>1745</v>
      </c>
      <c r="B1050" s="31">
        <v>43049</v>
      </c>
      <c r="C1050" s="32" t="s">
        <v>60</v>
      </c>
      <c r="D1050" s="32">
        <v>43044</v>
      </c>
      <c r="E1050" s="33">
        <v>45</v>
      </c>
      <c r="F1050" s="33">
        <v>2017</v>
      </c>
      <c r="G1050" s="27">
        <v>201745</v>
      </c>
    </row>
    <row r="1051" spans="1:7" x14ac:dyDescent="0.2">
      <c r="A1051" s="22" t="str">
        <f t="shared" si="16"/>
        <v>1745</v>
      </c>
      <c r="B1051" s="31">
        <v>43050</v>
      </c>
      <c r="C1051" s="32" t="s">
        <v>61</v>
      </c>
      <c r="D1051" s="32">
        <v>43044</v>
      </c>
      <c r="E1051" s="33">
        <v>45</v>
      </c>
      <c r="F1051" s="33">
        <v>2017</v>
      </c>
      <c r="G1051" s="27">
        <v>201745</v>
      </c>
    </row>
    <row r="1052" spans="1:7" x14ac:dyDescent="0.2">
      <c r="A1052" s="22" t="str">
        <f t="shared" si="16"/>
        <v>1746</v>
      </c>
      <c r="B1052" s="31">
        <v>43051</v>
      </c>
      <c r="C1052" s="32" t="s">
        <v>55</v>
      </c>
      <c r="D1052" s="32">
        <v>43051</v>
      </c>
      <c r="E1052" s="33">
        <v>46</v>
      </c>
      <c r="F1052" s="33">
        <v>2017</v>
      </c>
      <c r="G1052" s="27">
        <v>201746</v>
      </c>
    </row>
    <row r="1053" spans="1:7" x14ac:dyDescent="0.2">
      <c r="A1053" s="22" t="str">
        <f t="shared" si="16"/>
        <v>1746</v>
      </c>
      <c r="B1053" s="31">
        <v>43052</v>
      </c>
      <c r="C1053" s="32" t="s">
        <v>56</v>
      </c>
      <c r="D1053" s="32">
        <v>43051</v>
      </c>
      <c r="E1053" s="33">
        <v>46</v>
      </c>
      <c r="F1053" s="33">
        <v>2017</v>
      </c>
      <c r="G1053" s="27">
        <v>201746</v>
      </c>
    </row>
    <row r="1054" spans="1:7" x14ac:dyDescent="0.2">
      <c r="A1054" s="22" t="str">
        <f t="shared" si="16"/>
        <v>1746</v>
      </c>
      <c r="B1054" s="31">
        <v>43053</v>
      </c>
      <c r="C1054" s="32" t="s">
        <v>57</v>
      </c>
      <c r="D1054" s="32">
        <v>43051</v>
      </c>
      <c r="E1054" s="33">
        <v>46</v>
      </c>
      <c r="F1054" s="33">
        <v>2017</v>
      </c>
      <c r="G1054" s="27">
        <v>201746</v>
      </c>
    </row>
    <row r="1055" spans="1:7" x14ac:dyDescent="0.2">
      <c r="A1055" s="22" t="str">
        <f t="shared" si="16"/>
        <v>1746</v>
      </c>
      <c r="B1055" s="31">
        <v>43054</v>
      </c>
      <c r="C1055" s="32" t="s">
        <v>58</v>
      </c>
      <c r="D1055" s="32">
        <v>43051</v>
      </c>
      <c r="E1055" s="33">
        <v>46</v>
      </c>
      <c r="F1055" s="33">
        <v>2017</v>
      </c>
      <c r="G1055" s="27">
        <v>201746</v>
      </c>
    </row>
    <row r="1056" spans="1:7" x14ac:dyDescent="0.2">
      <c r="A1056" s="22" t="str">
        <f t="shared" si="16"/>
        <v>1746</v>
      </c>
      <c r="B1056" s="31">
        <v>43055</v>
      </c>
      <c r="C1056" s="32" t="s">
        <v>59</v>
      </c>
      <c r="D1056" s="32">
        <v>43051</v>
      </c>
      <c r="E1056" s="33">
        <v>46</v>
      </c>
      <c r="F1056" s="33">
        <v>2017</v>
      </c>
      <c r="G1056" s="27">
        <v>201746</v>
      </c>
    </row>
    <row r="1057" spans="1:7" x14ac:dyDescent="0.2">
      <c r="A1057" s="22" t="str">
        <f t="shared" si="16"/>
        <v>1746</v>
      </c>
      <c r="B1057" s="31">
        <v>43056</v>
      </c>
      <c r="C1057" s="32" t="s">
        <v>60</v>
      </c>
      <c r="D1057" s="32">
        <v>43051</v>
      </c>
      <c r="E1057" s="33">
        <v>46</v>
      </c>
      <c r="F1057" s="33">
        <v>2017</v>
      </c>
      <c r="G1057" s="27">
        <v>201746</v>
      </c>
    </row>
    <row r="1058" spans="1:7" x14ac:dyDescent="0.2">
      <c r="A1058" s="22" t="str">
        <f t="shared" si="16"/>
        <v>1746</v>
      </c>
      <c r="B1058" s="31">
        <v>43057</v>
      </c>
      <c r="C1058" s="32" t="s">
        <v>61</v>
      </c>
      <c r="D1058" s="32">
        <v>43051</v>
      </c>
      <c r="E1058" s="33">
        <v>46</v>
      </c>
      <c r="F1058" s="33">
        <v>2017</v>
      </c>
      <c r="G1058" s="27">
        <v>201746</v>
      </c>
    </row>
    <row r="1059" spans="1:7" x14ac:dyDescent="0.2">
      <c r="A1059" s="22" t="str">
        <f t="shared" si="16"/>
        <v>1747</v>
      </c>
      <c r="B1059" s="31">
        <v>43058</v>
      </c>
      <c r="C1059" s="32" t="s">
        <v>55</v>
      </c>
      <c r="D1059" s="32">
        <v>43058</v>
      </c>
      <c r="E1059" s="33">
        <v>47</v>
      </c>
      <c r="F1059" s="33">
        <v>2017</v>
      </c>
      <c r="G1059" s="27">
        <v>201747</v>
      </c>
    </row>
    <row r="1060" spans="1:7" x14ac:dyDescent="0.2">
      <c r="A1060" s="22" t="str">
        <f t="shared" si="16"/>
        <v>1747</v>
      </c>
      <c r="B1060" s="31">
        <v>43059</v>
      </c>
      <c r="C1060" s="32" t="s">
        <v>56</v>
      </c>
      <c r="D1060" s="32">
        <v>43058</v>
      </c>
      <c r="E1060" s="33">
        <v>47</v>
      </c>
      <c r="F1060" s="33">
        <v>2017</v>
      </c>
      <c r="G1060" s="27">
        <v>201747</v>
      </c>
    </row>
    <row r="1061" spans="1:7" x14ac:dyDescent="0.2">
      <c r="A1061" s="22" t="str">
        <f t="shared" si="16"/>
        <v>1747</v>
      </c>
      <c r="B1061" s="31">
        <v>43060</v>
      </c>
      <c r="C1061" s="32" t="s">
        <v>57</v>
      </c>
      <c r="D1061" s="32">
        <v>43058</v>
      </c>
      <c r="E1061" s="33">
        <v>47</v>
      </c>
      <c r="F1061" s="33">
        <v>2017</v>
      </c>
      <c r="G1061" s="27">
        <v>201747</v>
      </c>
    </row>
    <row r="1062" spans="1:7" x14ac:dyDescent="0.2">
      <c r="A1062" s="22" t="str">
        <f t="shared" si="16"/>
        <v>1747</v>
      </c>
      <c r="B1062" s="31">
        <v>43061</v>
      </c>
      <c r="C1062" s="32" t="s">
        <v>58</v>
      </c>
      <c r="D1062" s="32">
        <v>43058</v>
      </c>
      <c r="E1062" s="33">
        <v>47</v>
      </c>
      <c r="F1062" s="33">
        <v>2017</v>
      </c>
      <c r="G1062" s="27">
        <v>201747</v>
      </c>
    </row>
    <row r="1063" spans="1:7" x14ac:dyDescent="0.2">
      <c r="A1063" s="22" t="str">
        <f t="shared" si="16"/>
        <v>1747</v>
      </c>
      <c r="B1063" s="31">
        <v>43062</v>
      </c>
      <c r="C1063" s="32" t="s">
        <v>59</v>
      </c>
      <c r="D1063" s="32">
        <v>43058</v>
      </c>
      <c r="E1063" s="33">
        <v>47</v>
      </c>
      <c r="F1063" s="33">
        <v>2017</v>
      </c>
      <c r="G1063" s="27">
        <v>201747</v>
      </c>
    </row>
    <row r="1064" spans="1:7" x14ac:dyDescent="0.2">
      <c r="A1064" s="22" t="str">
        <f t="shared" si="16"/>
        <v>1747</v>
      </c>
      <c r="B1064" s="31">
        <v>43063</v>
      </c>
      <c r="C1064" s="32" t="s">
        <v>60</v>
      </c>
      <c r="D1064" s="32">
        <v>43058</v>
      </c>
      <c r="E1064" s="33">
        <v>47</v>
      </c>
      <c r="F1064" s="33">
        <v>2017</v>
      </c>
      <c r="G1064" s="27">
        <v>201747</v>
      </c>
    </row>
    <row r="1065" spans="1:7" x14ac:dyDescent="0.2">
      <c r="A1065" s="22" t="str">
        <f t="shared" si="16"/>
        <v>1747</v>
      </c>
      <c r="B1065" s="31">
        <v>43064</v>
      </c>
      <c r="C1065" s="32" t="s">
        <v>61</v>
      </c>
      <c r="D1065" s="32">
        <v>43058</v>
      </c>
      <c r="E1065" s="33">
        <v>47</v>
      </c>
      <c r="F1065" s="33">
        <v>2017</v>
      </c>
      <c r="G1065" s="27">
        <v>201747</v>
      </c>
    </row>
    <row r="1066" spans="1:7" x14ac:dyDescent="0.2">
      <c r="A1066" s="22" t="str">
        <f t="shared" si="16"/>
        <v>1748</v>
      </c>
      <c r="B1066" s="31">
        <v>43065</v>
      </c>
      <c r="C1066" s="32" t="s">
        <v>55</v>
      </c>
      <c r="D1066" s="32">
        <v>43065</v>
      </c>
      <c r="E1066" s="33">
        <v>48</v>
      </c>
      <c r="F1066" s="33">
        <v>2017</v>
      </c>
      <c r="G1066" s="27">
        <v>201748</v>
      </c>
    </row>
    <row r="1067" spans="1:7" x14ac:dyDescent="0.2">
      <c r="A1067" s="22" t="str">
        <f t="shared" si="16"/>
        <v>1748</v>
      </c>
      <c r="B1067" s="31">
        <v>43066</v>
      </c>
      <c r="C1067" s="32" t="s">
        <v>56</v>
      </c>
      <c r="D1067" s="32">
        <v>43065</v>
      </c>
      <c r="E1067" s="33">
        <v>48</v>
      </c>
      <c r="F1067" s="33">
        <v>2017</v>
      </c>
      <c r="G1067" s="27">
        <v>201748</v>
      </c>
    </row>
    <row r="1068" spans="1:7" x14ac:dyDescent="0.2">
      <c r="A1068" s="22" t="str">
        <f t="shared" si="16"/>
        <v>1748</v>
      </c>
      <c r="B1068" s="31">
        <v>43067</v>
      </c>
      <c r="C1068" s="32" t="s">
        <v>57</v>
      </c>
      <c r="D1068" s="32">
        <v>43065</v>
      </c>
      <c r="E1068" s="33">
        <v>48</v>
      </c>
      <c r="F1068" s="33">
        <v>2017</v>
      </c>
      <c r="G1068" s="27">
        <v>201748</v>
      </c>
    </row>
    <row r="1069" spans="1:7" x14ac:dyDescent="0.2">
      <c r="A1069" s="22" t="str">
        <f t="shared" si="16"/>
        <v>1748</v>
      </c>
      <c r="B1069" s="31">
        <v>43068</v>
      </c>
      <c r="C1069" s="32" t="s">
        <v>58</v>
      </c>
      <c r="D1069" s="32">
        <v>43065</v>
      </c>
      <c r="E1069" s="33">
        <v>48</v>
      </c>
      <c r="F1069" s="33">
        <v>2017</v>
      </c>
      <c r="G1069" s="27">
        <v>201748</v>
      </c>
    </row>
    <row r="1070" spans="1:7" x14ac:dyDescent="0.2">
      <c r="A1070" s="22" t="str">
        <f t="shared" si="16"/>
        <v>1748</v>
      </c>
      <c r="B1070" s="31">
        <v>43069</v>
      </c>
      <c r="C1070" s="32" t="s">
        <v>59</v>
      </c>
      <c r="D1070" s="32">
        <v>43065</v>
      </c>
      <c r="E1070" s="33">
        <v>48</v>
      </c>
      <c r="F1070" s="33">
        <v>2017</v>
      </c>
      <c r="G1070" s="27">
        <v>201748</v>
      </c>
    </row>
    <row r="1071" spans="1:7" x14ac:dyDescent="0.2">
      <c r="A1071" s="22" t="str">
        <f t="shared" si="16"/>
        <v>1748</v>
      </c>
      <c r="B1071" s="31">
        <v>43070</v>
      </c>
      <c r="C1071" s="32" t="s">
        <v>60</v>
      </c>
      <c r="D1071" s="32">
        <v>43065</v>
      </c>
      <c r="E1071" s="33">
        <v>48</v>
      </c>
      <c r="F1071" s="33">
        <v>2017</v>
      </c>
      <c r="G1071" s="27">
        <v>201748</v>
      </c>
    </row>
    <row r="1072" spans="1:7" x14ac:dyDescent="0.2">
      <c r="A1072" s="22" t="str">
        <f t="shared" si="16"/>
        <v>1748</v>
      </c>
      <c r="B1072" s="31">
        <v>43071</v>
      </c>
      <c r="C1072" s="32" t="s">
        <v>61</v>
      </c>
      <c r="D1072" s="32">
        <v>43065</v>
      </c>
      <c r="E1072" s="33">
        <v>48</v>
      </c>
      <c r="F1072" s="33">
        <v>2017</v>
      </c>
      <c r="G1072" s="27">
        <v>201748</v>
      </c>
    </row>
    <row r="1073" spans="1:7" x14ac:dyDescent="0.2">
      <c r="A1073" s="22" t="str">
        <f t="shared" si="16"/>
        <v>1749</v>
      </c>
      <c r="B1073" s="31">
        <v>43072</v>
      </c>
      <c r="C1073" s="32" t="s">
        <v>55</v>
      </c>
      <c r="D1073" s="32">
        <v>43072</v>
      </c>
      <c r="E1073" s="33">
        <v>49</v>
      </c>
      <c r="F1073" s="33">
        <v>2017</v>
      </c>
      <c r="G1073" s="27">
        <v>201749</v>
      </c>
    </row>
    <row r="1074" spans="1:7" x14ac:dyDescent="0.2">
      <c r="A1074" s="22" t="str">
        <f t="shared" si="16"/>
        <v>1749</v>
      </c>
      <c r="B1074" s="31">
        <v>43073</v>
      </c>
      <c r="C1074" s="32" t="s">
        <v>56</v>
      </c>
      <c r="D1074" s="32">
        <v>43072</v>
      </c>
      <c r="E1074" s="33">
        <v>49</v>
      </c>
      <c r="F1074" s="33">
        <v>2017</v>
      </c>
      <c r="G1074" s="27">
        <v>201749</v>
      </c>
    </row>
    <row r="1075" spans="1:7" x14ac:dyDescent="0.2">
      <c r="A1075" s="22" t="str">
        <f t="shared" si="16"/>
        <v>1749</v>
      </c>
      <c r="B1075" s="31">
        <v>43074</v>
      </c>
      <c r="C1075" s="32" t="s">
        <v>57</v>
      </c>
      <c r="D1075" s="32">
        <v>43072</v>
      </c>
      <c r="E1075" s="33">
        <v>49</v>
      </c>
      <c r="F1075" s="33">
        <v>2017</v>
      </c>
      <c r="G1075" s="27">
        <v>201749</v>
      </c>
    </row>
    <row r="1076" spans="1:7" x14ac:dyDescent="0.2">
      <c r="A1076" s="22" t="str">
        <f t="shared" si="16"/>
        <v>1749</v>
      </c>
      <c r="B1076" s="31">
        <v>43075</v>
      </c>
      <c r="C1076" s="32" t="s">
        <v>58</v>
      </c>
      <c r="D1076" s="32">
        <v>43072</v>
      </c>
      <c r="E1076" s="33">
        <v>49</v>
      </c>
      <c r="F1076" s="33">
        <v>2017</v>
      </c>
      <c r="G1076" s="27">
        <v>201749</v>
      </c>
    </row>
    <row r="1077" spans="1:7" x14ac:dyDescent="0.2">
      <c r="A1077" s="22" t="str">
        <f t="shared" si="16"/>
        <v>1749</v>
      </c>
      <c r="B1077" s="31">
        <v>43076</v>
      </c>
      <c r="C1077" s="32" t="s">
        <v>59</v>
      </c>
      <c r="D1077" s="32">
        <v>43072</v>
      </c>
      <c r="E1077" s="33">
        <v>49</v>
      </c>
      <c r="F1077" s="33">
        <v>2017</v>
      </c>
      <c r="G1077" s="27">
        <v>201749</v>
      </c>
    </row>
    <row r="1078" spans="1:7" x14ac:dyDescent="0.2">
      <c r="A1078" s="22" t="str">
        <f t="shared" si="16"/>
        <v>1749</v>
      </c>
      <c r="B1078" s="31">
        <v>43077</v>
      </c>
      <c r="C1078" s="32" t="s">
        <v>60</v>
      </c>
      <c r="D1078" s="32">
        <v>43072</v>
      </c>
      <c r="E1078" s="33">
        <v>49</v>
      </c>
      <c r="F1078" s="33">
        <v>2017</v>
      </c>
      <c r="G1078" s="27">
        <v>201749</v>
      </c>
    </row>
    <row r="1079" spans="1:7" x14ac:dyDescent="0.2">
      <c r="A1079" s="22" t="str">
        <f t="shared" si="16"/>
        <v>1749</v>
      </c>
      <c r="B1079" s="31">
        <v>43078</v>
      </c>
      <c r="C1079" s="32" t="s">
        <v>61</v>
      </c>
      <c r="D1079" s="32">
        <v>43072</v>
      </c>
      <c r="E1079" s="33">
        <v>49</v>
      </c>
      <c r="F1079" s="33">
        <v>2017</v>
      </c>
      <c r="G1079" s="27">
        <v>201749</v>
      </c>
    </row>
    <row r="1080" spans="1:7" x14ac:dyDescent="0.2">
      <c r="A1080" s="22" t="str">
        <f t="shared" si="16"/>
        <v>1750</v>
      </c>
      <c r="B1080" s="31">
        <v>43079</v>
      </c>
      <c r="C1080" s="32" t="s">
        <v>55</v>
      </c>
      <c r="D1080" s="32">
        <v>43079</v>
      </c>
      <c r="E1080" s="33">
        <v>50</v>
      </c>
      <c r="F1080" s="33">
        <v>2017</v>
      </c>
      <c r="G1080" s="27">
        <v>201750</v>
      </c>
    </row>
    <row r="1081" spans="1:7" x14ac:dyDescent="0.2">
      <c r="A1081" s="22" t="str">
        <f t="shared" si="16"/>
        <v>1750</v>
      </c>
      <c r="B1081" s="31">
        <v>43080</v>
      </c>
      <c r="C1081" s="32" t="s">
        <v>56</v>
      </c>
      <c r="D1081" s="32">
        <v>43079</v>
      </c>
      <c r="E1081" s="33">
        <v>50</v>
      </c>
      <c r="F1081" s="33">
        <v>2017</v>
      </c>
      <c r="G1081" s="27">
        <v>201750</v>
      </c>
    </row>
    <row r="1082" spans="1:7" x14ac:dyDescent="0.2">
      <c r="A1082" s="22" t="str">
        <f t="shared" si="16"/>
        <v>1750</v>
      </c>
      <c r="B1082" s="31">
        <v>43081</v>
      </c>
      <c r="C1082" s="32" t="s">
        <v>57</v>
      </c>
      <c r="D1082" s="32">
        <v>43079</v>
      </c>
      <c r="E1082" s="33">
        <v>50</v>
      </c>
      <c r="F1082" s="33">
        <v>2017</v>
      </c>
      <c r="G1082" s="27">
        <v>201750</v>
      </c>
    </row>
    <row r="1083" spans="1:7" x14ac:dyDescent="0.2">
      <c r="A1083" s="22" t="str">
        <f t="shared" si="16"/>
        <v>1750</v>
      </c>
      <c r="B1083" s="31">
        <v>43082</v>
      </c>
      <c r="C1083" s="32" t="s">
        <v>58</v>
      </c>
      <c r="D1083" s="32">
        <v>43079</v>
      </c>
      <c r="E1083" s="33">
        <v>50</v>
      </c>
      <c r="F1083" s="33">
        <v>2017</v>
      </c>
      <c r="G1083" s="27">
        <v>201750</v>
      </c>
    </row>
    <row r="1084" spans="1:7" x14ac:dyDescent="0.2">
      <c r="A1084" s="22" t="str">
        <f t="shared" si="16"/>
        <v>1750</v>
      </c>
      <c r="B1084" s="31">
        <v>43083</v>
      </c>
      <c r="C1084" s="32" t="s">
        <v>59</v>
      </c>
      <c r="D1084" s="32">
        <v>43079</v>
      </c>
      <c r="E1084" s="33">
        <v>50</v>
      </c>
      <c r="F1084" s="33">
        <v>2017</v>
      </c>
      <c r="G1084" s="27">
        <v>201750</v>
      </c>
    </row>
    <row r="1085" spans="1:7" x14ac:dyDescent="0.2">
      <c r="A1085" s="22" t="str">
        <f t="shared" si="16"/>
        <v>1750</v>
      </c>
      <c r="B1085" s="31">
        <v>43084</v>
      </c>
      <c r="C1085" s="32" t="s">
        <v>60</v>
      </c>
      <c r="D1085" s="32">
        <v>43079</v>
      </c>
      <c r="E1085" s="33">
        <v>50</v>
      </c>
      <c r="F1085" s="33">
        <v>2017</v>
      </c>
      <c r="G1085" s="27">
        <v>201750</v>
      </c>
    </row>
    <row r="1086" spans="1:7" x14ac:dyDescent="0.2">
      <c r="A1086" s="22" t="str">
        <f t="shared" si="16"/>
        <v>1750</v>
      </c>
      <c r="B1086" s="31">
        <v>43085</v>
      </c>
      <c r="C1086" s="32" t="s">
        <v>61</v>
      </c>
      <c r="D1086" s="32">
        <v>43079</v>
      </c>
      <c r="E1086" s="33">
        <v>50</v>
      </c>
      <c r="F1086" s="33">
        <v>2017</v>
      </c>
      <c r="G1086" s="27">
        <v>201750</v>
      </c>
    </row>
    <row r="1087" spans="1:7" x14ac:dyDescent="0.2">
      <c r="A1087" s="22" t="str">
        <f t="shared" si="16"/>
        <v>1751</v>
      </c>
      <c r="B1087" s="31">
        <v>43086</v>
      </c>
      <c r="C1087" s="32" t="s">
        <v>55</v>
      </c>
      <c r="D1087" s="32">
        <v>43086</v>
      </c>
      <c r="E1087" s="33">
        <v>51</v>
      </c>
      <c r="F1087" s="33">
        <v>2017</v>
      </c>
      <c r="G1087" s="27">
        <v>201751</v>
      </c>
    </row>
    <row r="1088" spans="1:7" x14ac:dyDescent="0.2">
      <c r="A1088" s="22" t="str">
        <f t="shared" si="16"/>
        <v>1751</v>
      </c>
      <c r="B1088" s="31">
        <v>43087</v>
      </c>
      <c r="C1088" s="32" t="s">
        <v>56</v>
      </c>
      <c r="D1088" s="32">
        <v>43086</v>
      </c>
      <c r="E1088" s="33">
        <v>51</v>
      </c>
      <c r="F1088" s="33">
        <v>2017</v>
      </c>
      <c r="G1088" s="27">
        <v>201751</v>
      </c>
    </row>
    <row r="1089" spans="1:7" x14ac:dyDescent="0.2">
      <c r="A1089" s="22" t="str">
        <f t="shared" si="16"/>
        <v>1751</v>
      </c>
      <c r="B1089" s="31">
        <v>43088</v>
      </c>
      <c r="C1089" s="32" t="s">
        <v>57</v>
      </c>
      <c r="D1089" s="32">
        <v>43086</v>
      </c>
      <c r="E1089" s="33">
        <v>51</v>
      </c>
      <c r="F1089" s="33">
        <v>2017</v>
      </c>
      <c r="G1089" s="27">
        <v>201751</v>
      </c>
    </row>
    <row r="1090" spans="1:7" x14ac:dyDescent="0.2">
      <c r="A1090" s="22" t="str">
        <f t="shared" si="16"/>
        <v>1751</v>
      </c>
      <c r="B1090" s="31">
        <v>43089</v>
      </c>
      <c r="C1090" s="32" t="s">
        <v>58</v>
      </c>
      <c r="D1090" s="32">
        <v>43086</v>
      </c>
      <c r="E1090" s="33">
        <v>51</v>
      </c>
      <c r="F1090" s="33">
        <v>2017</v>
      </c>
      <c r="G1090" s="27">
        <v>201751</v>
      </c>
    </row>
    <row r="1091" spans="1:7" x14ac:dyDescent="0.2">
      <c r="A1091" s="22" t="str">
        <f t="shared" ref="A1091:A1154" si="17">RIGHT(G1091,4)</f>
        <v>1751</v>
      </c>
      <c r="B1091" s="31">
        <v>43090</v>
      </c>
      <c r="C1091" s="32" t="s">
        <v>59</v>
      </c>
      <c r="D1091" s="32">
        <v>43086</v>
      </c>
      <c r="E1091" s="33">
        <v>51</v>
      </c>
      <c r="F1091" s="33">
        <v>2017</v>
      </c>
      <c r="G1091" s="27">
        <v>201751</v>
      </c>
    </row>
    <row r="1092" spans="1:7" x14ac:dyDescent="0.2">
      <c r="A1092" s="22" t="str">
        <f t="shared" si="17"/>
        <v>1751</v>
      </c>
      <c r="B1092" s="31">
        <v>43091</v>
      </c>
      <c r="C1092" s="32" t="s">
        <v>60</v>
      </c>
      <c r="D1092" s="32">
        <v>43086</v>
      </c>
      <c r="E1092" s="33">
        <v>51</v>
      </c>
      <c r="F1092" s="33">
        <v>2017</v>
      </c>
      <c r="G1092" s="27">
        <v>201751</v>
      </c>
    </row>
    <row r="1093" spans="1:7" x14ac:dyDescent="0.2">
      <c r="A1093" s="22" t="str">
        <f t="shared" si="17"/>
        <v>1751</v>
      </c>
      <c r="B1093" s="31">
        <v>43092</v>
      </c>
      <c r="C1093" s="32" t="s">
        <v>61</v>
      </c>
      <c r="D1093" s="32">
        <v>43086</v>
      </c>
      <c r="E1093" s="33">
        <v>51</v>
      </c>
      <c r="F1093" s="33">
        <v>2017</v>
      </c>
      <c r="G1093" s="27">
        <v>201751</v>
      </c>
    </row>
    <row r="1094" spans="1:7" x14ac:dyDescent="0.2">
      <c r="A1094" s="22" t="str">
        <f t="shared" si="17"/>
        <v>1752</v>
      </c>
      <c r="B1094" s="31">
        <v>43093</v>
      </c>
      <c r="C1094" s="32" t="s">
        <v>55</v>
      </c>
      <c r="D1094" s="32">
        <v>43093</v>
      </c>
      <c r="E1094" s="33">
        <v>52</v>
      </c>
      <c r="F1094" s="33">
        <v>2017</v>
      </c>
      <c r="G1094" s="27">
        <v>201752</v>
      </c>
    </row>
    <row r="1095" spans="1:7" x14ac:dyDescent="0.2">
      <c r="A1095" s="22" t="str">
        <f t="shared" si="17"/>
        <v>1752</v>
      </c>
      <c r="B1095" s="31">
        <v>43094</v>
      </c>
      <c r="C1095" s="32" t="s">
        <v>56</v>
      </c>
      <c r="D1095" s="32">
        <v>43093</v>
      </c>
      <c r="E1095" s="33">
        <v>52</v>
      </c>
      <c r="F1095" s="33">
        <v>2017</v>
      </c>
      <c r="G1095" s="27">
        <v>201752</v>
      </c>
    </row>
    <row r="1096" spans="1:7" x14ac:dyDescent="0.2">
      <c r="A1096" s="22" t="str">
        <f t="shared" si="17"/>
        <v>1752</v>
      </c>
      <c r="B1096" s="31">
        <v>43095</v>
      </c>
      <c r="C1096" s="32" t="s">
        <v>57</v>
      </c>
      <c r="D1096" s="32">
        <v>43093</v>
      </c>
      <c r="E1096" s="33">
        <v>52</v>
      </c>
      <c r="F1096" s="33">
        <v>2017</v>
      </c>
      <c r="G1096" s="27">
        <v>201752</v>
      </c>
    </row>
    <row r="1097" spans="1:7" x14ac:dyDescent="0.2">
      <c r="A1097" s="22" t="str">
        <f t="shared" si="17"/>
        <v>1752</v>
      </c>
      <c r="B1097" s="31">
        <v>43096</v>
      </c>
      <c r="C1097" s="32" t="s">
        <v>58</v>
      </c>
      <c r="D1097" s="32">
        <v>43093</v>
      </c>
      <c r="E1097" s="33">
        <v>52</v>
      </c>
      <c r="F1097" s="33">
        <v>2017</v>
      </c>
      <c r="G1097" s="27">
        <v>201752</v>
      </c>
    </row>
    <row r="1098" spans="1:7" x14ac:dyDescent="0.2">
      <c r="A1098" s="22" t="str">
        <f t="shared" si="17"/>
        <v>1752</v>
      </c>
      <c r="B1098" s="31">
        <v>43097</v>
      </c>
      <c r="C1098" s="32" t="s">
        <v>59</v>
      </c>
      <c r="D1098" s="32">
        <v>43093</v>
      </c>
      <c r="E1098" s="33">
        <v>52</v>
      </c>
      <c r="F1098" s="33">
        <v>2017</v>
      </c>
      <c r="G1098" s="27">
        <v>201752</v>
      </c>
    </row>
    <row r="1099" spans="1:7" x14ac:dyDescent="0.2">
      <c r="A1099" s="22" t="str">
        <f t="shared" si="17"/>
        <v>1752</v>
      </c>
      <c r="B1099" s="31">
        <v>43098</v>
      </c>
      <c r="C1099" s="32" t="s">
        <v>60</v>
      </c>
      <c r="D1099" s="32">
        <v>43093</v>
      </c>
      <c r="E1099" s="33">
        <v>52</v>
      </c>
      <c r="F1099" s="33">
        <v>2017</v>
      </c>
      <c r="G1099" s="27">
        <v>201752</v>
      </c>
    </row>
    <row r="1100" spans="1:7" x14ac:dyDescent="0.2">
      <c r="A1100" s="22" t="str">
        <f t="shared" si="17"/>
        <v>1752</v>
      </c>
      <c r="B1100" s="31">
        <v>43099</v>
      </c>
      <c r="C1100" s="32" t="s">
        <v>61</v>
      </c>
      <c r="D1100" s="32">
        <v>43093</v>
      </c>
      <c r="E1100" s="33">
        <v>52</v>
      </c>
      <c r="F1100" s="33">
        <v>2017</v>
      </c>
      <c r="G1100" s="27">
        <v>201752</v>
      </c>
    </row>
    <row r="1101" spans="1:7" x14ac:dyDescent="0.2">
      <c r="A1101" s="22" t="str">
        <f t="shared" si="17"/>
        <v>1801</v>
      </c>
      <c r="B1101" s="31">
        <v>43100</v>
      </c>
      <c r="C1101" s="32" t="s">
        <v>55</v>
      </c>
      <c r="D1101" s="32">
        <v>43100</v>
      </c>
      <c r="E1101" s="33">
        <v>1</v>
      </c>
      <c r="F1101" s="33">
        <v>2018</v>
      </c>
      <c r="G1101" s="27">
        <v>201801</v>
      </c>
    </row>
    <row r="1102" spans="1:7" x14ac:dyDescent="0.2">
      <c r="A1102" s="22" t="str">
        <f t="shared" si="17"/>
        <v>1801</v>
      </c>
      <c r="B1102" s="31">
        <v>43101</v>
      </c>
      <c r="C1102" s="32" t="s">
        <v>56</v>
      </c>
      <c r="D1102" s="32">
        <v>43100</v>
      </c>
      <c r="E1102" s="33">
        <v>1</v>
      </c>
      <c r="F1102" s="33">
        <v>2018</v>
      </c>
      <c r="G1102" s="27">
        <v>201801</v>
      </c>
    </row>
    <row r="1103" spans="1:7" x14ac:dyDescent="0.2">
      <c r="A1103" s="22" t="str">
        <f t="shared" si="17"/>
        <v>1801</v>
      </c>
      <c r="B1103" s="31">
        <v>43102</v>
      </c>
      <c r="C1103" s="32" t="s">
        <v>57</v>
      </c>
      <c r="D1103" s="32">
        <v>43100</v>
      </c>
      <c r="E1103" s="33">
        <v>1</v>
      </c>
      <c r="F1103" s="33">
        <v>2018</v>
      </c>
      <c r="G1103" s="27">
        <v>201801</v>
      </c>
    </row>
    <row r="1104" spans="1:7" x14ac:dyDescent="0.2">
      <c r="A1104" s="22" t="str">
        <f t="shared" si="17"/>
        <v>1801</v>
      </c>
      <c r="B1104" s="31">
        <v>43103</v>
      </c>
      <c r="C1104" s="32" t="s">
        <v>58</v>
      </c>
      <c r="D1104" s="32">
        <v>43100</v>
      </c>
      <c r="E1104" s="33">
        <v>1</v>
      </c>
      <c r="F1104" s="33">
        <v>2018</v>
      </c>
      <c r="G1104" s="27">
        <v>201801</v>
      </c>
    </row>
    <row r="1105" spans="1:7" x14ac:dyDescent="0.2">
      <c r="A1105" s="22" t="str">
        <f t="shared" si="17"/>
        <v>1801</v>
      </c>
      <c r="B1105" s="31">
        <v>43104</v>
      </c>
      <c r="C1105" s="32" t="s">
        <v>59</v>
      </c>
      <c r="D1105" s="32">
        <v>43100</v>
      </c>
      <c r="E1105" s="33">
        <v>1</v>
      </c>
      <c r="F1105" s="33">
        <v>2018</v>
      </c>
      <c r="G1105" s="27">
        <v>201801</v>
      </c>
    </row>
    <row r="1106" spans="1:7" x14ac:dyDescent="0.2">
      <c r="A1106" s="22" t="str">
        <f t="shared" si="17"/>
        <v>1801</v>
      </c>
      <c r="B1106" s="31">
        <v>43105</v>
      </c>
      <c r="C1106" s="32" t="s">
        <v>60</v>
      </c>
      <c r="D1106" s="32">
        <v>43100</v>
      </c>
      <c r="E1106" s="33">
        <v>1</v>
      </c>
      <c r="F1106" s="33">
        <v>2018</v>
      </c>
      <c r="G1106" s="27">
        <v>201801</v>
      </c>
    </row>
    <row r="1107" spans="1:7" x14ac:dyDescent="0.2">
      <c r="A1107" s="22" t="str">
        <f t="shared" si="17"/>
        <v>1801</v>
      </c>
      <c r="B1107" s="31">
        <v>43106</v>
      </c>
      <c r="C1107" s="32" t="s">
        <v>61</v>
      </c>
      <c r="D1107" s="32">
        <v>43100</v>
      </c>
      <c r="E1107" s="33">
        <v>1</v>
      </c>
      <c r="F1107" s="33">
        <v>2018</v>
      </c>
      <c r="G1107" s="27">
        <v>201801</v>
      </c>
    </row>
    <row r="1108" spans="1:7" x14ac:dyDescent="0.2">
      <c r="A1108" s="22" t="str">
        <f t="shared" si="17"/>
        <v>1802</v>
      </c>
      <c r="B1108" s="31">
        <v>43107</v>
      </c>
      <c r="C1108" s="32" t="s">
        <v>55</v>
      </c>
      <c r="D1108" s="32">
        <v>43107</v>
      </c>
      <c r="E1108" s="33">
        <v>2</v>
      </c>
      <c r="F1108" s="33">
        <v>2018</v>
      </c>
      <c r="G1108" s="27">
        <v>201802</v>
      </c>
    </row>
    <row r="1109" spans="1:7" x14ac:dyDescent="0.2">
      <c r="A1109" s="22" t="str">
        <f t="shared" si="17"/>
        <v>1802</v>
      </c>
      <c r="B1109" s="31">
        <v>43108</v>
      </c>
      <c r="C1109" s="32" t="s">
        <v>56</v>
      </c>
      <c r="D1109" s="32">
        <v>43107</v>
      </c>
      <c r="E1109" s="33">
        <v>2</v>
      </c>
      <c r="F1109" s="33">
        <v>2018</v>
      </c>
      <c r="G1109" s="27">
        <v>201802</v>
      </c>
    </row>
    <row r="1110" spans="1:7" x14ac:dyDescent="0.2">
      <c r="A1110" s="22" t="str">
        <f t="shared" si="17"/>
        <v>1802</v>
      </c>
      <c r="B1110" s="31">
        <v>43109</v>
      </c>
      <c r="C1110" s="32" t="s">
        <v>57</v>
      </c>
      <c r="D1110" s="32">
        <v>43107</v>
      </c>
      <c r="E1110" s="33">
        <v>2</v>
      </c>
      <c r="F1110" s="33">
        <v>2018</v>
      </c>
      <c r="G1110" s="27">
        <v>201802</v>
      </c>
    </row>
    <row r="1111" spans="1:7" x14ac:dyDescent="0.2">
      <c r="A1111" s="22" t="str">
        <f t="shared" si="17"/>
        <v>1802</v>
      </c>
      <c r="B1111" s="31">
        <v>43110</v>
      </c>
      <c r="C1111" s="32" t="s">
        <v>58</v>
      </c>
      <c r="D1111" s="32">
        <v>43107</v>
      </c>
      <c r="E1111" s="33">
        <v>2</v>
      </c>
      <c r="F1111" s="33">
        <v>2018</v>
      </c>
      <c r="G1111" s="27">
        <v>201802</v>
      </c>
    </row>
    <row r="1112" spans="1:7" x14ac:dyDescent="0.2">
      <c r="A1112" s="22" t="str">
        <f t="shared" si="17"/>
        <v>1802</v>
      </c>
      <c r="B1112" s="31">
        <v>43111</v>
      </c>
      <c r="C1112" s="32" t="s">
        <v>59</v>
      </c>
      <c r="D1112" s="32">
        <v>43107</v>
      </c>
      <c r="E1112" s="33">
        <v>2</v>
      </c>
      <c r="F1112" s="33">
        <v>2018</v>
      </c>
      <c r="G1112" s="27">
        <v>201802</v>
      </c>
    </row>
    <row r="1113" spans="1:7" x14ac:dyDescent="0.2">
      <c r="A1113" s="22" t="str">
        <f t="shared" si="17"/>
        <v>1802</v>
      </c>
      <c r="B1113" s="31">
        <v>43112</v>
      </c>
      <c r="C1113" s="32" t="s">
        <v>60</v>
      </c>
      <c r="D1113" s="32">
        <v>43107</v>
      </c>
      <c r="E1113" s="33">
        <v>2</v>
      </c>
      <c r="F1113" s="33">
        <v>2018</v>
      </c>
      <c r="G1113" s="27">
        <v>201802</v>
      </c>
    </row>
    <row r="1114" spans="1:7" x14ac:dyDescent="0.2">
      <c r="A1114" s="22" t="str">
        <f t="shared" si="17"/>
        <v>1802</v>
      </c>
      <c r="B1114" s="31">
        <v>43113</v>
      </c>
      <c r="C1114" s="32" t="s">
        <v>61</v>
      </c>
      <c r="D1114" s="32">
        <v>43107</v>
      </c>
      <c r="E1114" s="33">
        <v>2</v>
      </c>
      <c r="F1114" s="33">
        <v>2018</v>
      </c>
      <c r="G1114" s="27">
        <v>201802</v>
      </c>
    </row>
    <row r="1115" spans="1:7" x14ac:dyDescent="0.2">
      <c r="A1115" s="22" t="str">
        <f t="shared" si="17"/>
        <v>1803</v>
      </c>
      <c r="B1115" s="31">
        <v>43114</v>
      </c>
      <c r="C1115" s="32" t="s">
        <v>55</v>
      </c>
      <c r="D1115" s="32">
        <v>43114</v>
      </c>
      <c r="E1115" s="33">
        <v>3</v>
      </c>
      <c r="F1115" s="33">
        <v>2018</v>
      </c>
      <c r="G1115" s="27">
        <v>201803</v>
      </c>
    </row>
    <row r="1116" spans="1:7" x14ac:dyDescent="0.2">
      <c r="A1116" s="22" t="str">
        <f t="shared" si="17"/>
        <v>1803</v>
      </c>
      <c r="B1116" s="31">
        <v>43115</v>
      </c>
      <c r="C1116" s="32" t="s">
        <v>56</v>
      </c>
      <c r="D1116" s="32">
        <v>43114</v>
      </c>
      <c r="E1116" s="33">
        <v>3</v>
      </c>
      <c r="F1116" s="33">
        <v>2018</v>
      </c>
      <c r="G1116" s="27">
        <v>201803</v>
      </c>
    </row>
    <row r="1117" spans="1:7" x14ac:dyDescent="0.2">
      <c r="A1117" s="22" t="str">
        <f t="shared" si="17"/>
        <v>1803</v>
      </c>
      <c r="B1117" s="31">
        <v>43116</v>
      </c>
      <c r="C1117" s="32" t="s">
        <v>57</v>
      </c>
      <c r="D1117" s="32">
        <v>43114</v>
      </c>
      <c r="E1117" s="33">
        <v>3</v>
      </c>
      <c r="F1117" s="33">
        <v>2018</v>
      </c>
      <c r="G1117" s="27">
        <v>201803</v>
      </c>
    </row>
    <row r="1118" spans="1:7" x14ac:dyDescent="0.2">
      <c r="A1118" s="22" t="str">
        <f t="shared" si="17"/>
        <v>1803</v>
      </c>
      <c r="B1118" s="31">
        <v>43117</v>
      </c>
      <c r="C1118" s="32" t="s">
        <v>58</v>
      </c>
      <c r="D1118" s="32">
        <v>43114</v>
      </c>
      <c r="E1118" s="33">
        <v>3</v>
      </c>
      <c r="F1118" s="33">
        <v>2018</v>
      </c>
      <c r="G1118" s="27">
        <v>201803</v>
      </c>
    </row>
    <row r="1119" spans="1:7" x14ac:dyDescent="0.2">
      <c r="A1119" s="22" t="str">
        <f t="shared" si="17"/>
        <v>1803</v>
      </c>
      <c r="B1119" s="31">
        <v>43118</v>
      </c>
      <c r="C1119" s="32" t="s">
        <v>59</v>
      </c>
      <c r="D1119" s="32">
        <v>43114</v>
      </c>
      <c r="E1119" s="33">
        <v>3</v>
      </c>
      <c r="F1119" s="33">
        <v>2018</v>
      </c>
      <c r="G1119" s="27">
        <v>201803</v>
      </c>
    </row>
    <row r="1120" spans="1:7" x14ac:dyDescent="0.2">
      <c r="A1120" s="22" t="str">
        <f t="shared" si="17"/>
        <v>1803</v>
      </c>
      <c r="B1120" s="31">
        <v>43119</v>
      </c>
      <c r="C1120" s="32" t="s">
        <v>60</v>
      </c>
      <c r="D1120" s="32">
        <v>43114</v>
      </c>
      <c r="E1120" s="33">
        <v>3</v>
      </c>
      <c r="F1120" s="33">
        <v>2018</v>
      </c>
      <c r="G1120" s="27">
        <v>201803</v>
      </c>
    </row>
    <row r="1121" spans="1:7" x14ac:dyDescent="0.2">
      <c r="A1121" s="22" t="str">
        <f t="shared" si="17"/>
        <v>1803</v>
      </c>
      <c r="B1121" s="31">
        <v>43120</v>
      </c>
      <c r="C1121" s="32" t="s">
        <v>61</v>
      </c>
      <c r="D1121" s="32">
        <v>43114</v>
      </c>
      <c r="E1121" s="33">
        <v>3</v>
      </c>
      <c r="F1121" s="33">
        <v>2018</v>
      </c>
      <c r="G1121" s="27">
        <v>201803</v>
      </c>
    </row>
    <row r="1122" spans="1:7" x14ac:dyDescent="0.2">
      <c r="A1122" s="22" t="str">
        <f t="shared" si="17"/>
        <v>1804</v>
      </c>
      <c r="B1122" s="31">
        <v>43121</v>
      </c>
      <c r="C1122" s="32" t="s">
        <v>55</v>
      </c>
      <c r="D1122" s="32">
        <v>43121</v>
      </c>
      <c r="E1122" s="33">
        <v>4</v>
      </c>
      <c r="F1122" s="33">
        <v>2018</v>
      </c>
      <c r="G1122" s="27">
        <v>201804</v>
      </c>
    </row>
    <row r="1123" spans="1:7" x14ac:dyDescent="0.2">
      <c r="A1123" s="22" t="str">
        <f t="shared" si="17"/>
        <v>1804</v>
      </c>
      <c r="B1123" s="31">
        <v>43122</v>
      </c>
      <c r="C1123" s="32" t="s">
        <v>56</v>
      </c>
      <c r="D1123" s="32">
        <v>43121</v>
      </c>
      <c r="E1123" s="33">
        <v>4</v>
      </c>
      <c r="F1123" s="33">
        <v>2018</v>
      </c>
      <c r="G1123" s="27">
        <v>201804</v>
      </c>
    </row>
    <row r="1124" spans="1:7" x14ac:dyDescent="0.2">
      <c r="A1124" s="22" t="str">
        <f t="shared" si="17"/>
        <v>1804</v>
      </c>
      <c r="B1124" s="31">
        <v>43123</v>
      </c>
      <c r="C1124" s="32" t="s">
        <v>57</v>
      </c>
      <c r="D1124" s="32">
        <v>43121</v>
      </c>
      <c r="E1124" s="33">
        <v>4</v>
      </c>
      <c r="F1124" s="33">
        <v>2018</v>
      </c>
      <c r="G1124" s="27">
        <v>201804</v>
      </c>
    </row>
    <row r="1125" spans="1:7" x14ac:dyDescent="0.2">
      <c r="A1125" s="22" t="str">
        <f t="shared" si="17"/>
        <v>1804</v>
      </c>
      <c r="B1125" s="31">
        <v>43124</v>
      </c>
      <c r="C1125" s="32" t="s">
        <v>58</v>
      </c>
      <c r="D1125" s="32">
        <v>43121</v>
      </c>
      <c r="E1125" s="33">
        <v>4</v>
      </c>
      <c r="F1125" s="33">
        <v>2018</v>
      </c>
      <c r="G1125" s="27">
        <v>201804</v>
      </c>
    </row>
    <row r="1126" spans="1:7" x14ac:dyDescent="0.2">
      <c r="A1126" s="22" t="str">
        <f t="shared" si="17"/>
        <v>1804</v>
      </c>
      <c r="B1126" s="31">
        <v>43125</v>
      </c>
      <c r="C1126" s="32" t="s">
        <v>59</v>
      </c>
      <c r="D1126" s="32">
        <v>43121</v>
      </c>
      <c r="E1126" s="33">
        <v>4</v>
      </c>
      <c r="F1126" s="33">
        <v>2018</v>
      </c>
      <c r="G1126" s="27">
        <v>201804</v>
      </c>
    </row>
    <row r="1127" spans="1:7" x14ac:dyDescent="0.2">
      <c r="A1127" s="22" t="str">
        <f t="shared" si="17"/>
        <v>1804</v>
      </c>
      <c r="B1127" s="31">
        <v>43126</v>
      </c>
      <c r="C1127" s="32" t="s">
        <v>60</v>
      </c>
      <c r="D1127" s="32">
        <v>43121</v>
      </c>
      <c r="E1127" s="33">
        <v>4</v>
      </c>
      <c r="F1127" s="33">
        <v>2018</v>
      </c>
      <c r="G1127" s="27">
        <v>201804</v>
      </c>
    </row>
    <row r="1128" spans="1:7" x14ac:dyDescent="0.2">
      <c r="A1128" s="22" t="str">
        <f t="shared" si="17"/>
        <v>1804</v>
      </c>
      <c r="B1128" s="31">
        <v>43127</v>
      </c>
      <c r="C1128" s="32" t="s">
        <v>61</v>
      </c>
      <c r="D1128" s="32">
        <v>43121</v>
      </c>
      <c r="E1128" s="33">
        <v>4</v>
      </c>
      <c r="F1128" s="33">
        <v>2018</v>
      </c>
      <c r="G1128" s="27">
        <v>201804</v>
      </c>
    </row>
    <row r="1129" spans="1:7" x14ac:dyDescent="0.2">
      <c r="A1129" s="22" t="str">
        <f t="shared" si="17"/>
        <v>1805</v>
      </c>
      <c r="B1129" s="31">
        <v>43128</v>
      </c>
      <c r="C1129" s="32" t="s">
        <v>55</v>
      </c>
      <c r="D1129" s="32">
        <v>43128</v>
      </c>
      <c r="E1129" s="33">
        <v>5</v>
      </c>
      <c r="F1129" s="33">
        <v>2018</v>
      </c>
      <c r="G1129" s="27">
        <v>201805</v>
      </c>
    </row>
    <row r="1130" spans="1:7" x14ac:dyDescent="0.2">
      <c r="A1130" s="22" t="str">
        <f t="shared" si="17"/>
        <v>1805</v>
      </c>
      <c r="B1130" s="31">
        <v>43129</v>
      </c>
      <c r="C1130" s="32" t="s">
        <v>56</v>
      </c>
      <c r="D1130" s="32">
        <v>43128</v>
      </c>
      <c r="E1130" s="33">
        <v>5</v>
      </c>
      <c r="F1130" s="33">
        <v>2018</v>
      </c>
      <c r="G1130" s="27">
        <v>201805</v>
      </c>
    </row>
    <row r="1131" spans="1:7" x14ac:dyDescent="0.2">
      <c r="A1131" s="22" t="str">
        <f t="shared" si="17"/>
        <v>1805</v>
      </c>
      <c r="B1131" s="31">
        <v>43130</v>
      </c>
      <c r="C1131" s="32" t="s">
        <v>57</v>
      </c>
      <c r="D1131" s="32">
        <v>43128</v>
      </c>
      <c r="E1131" s="33">
        <v>5</v>
      </c>
      <c r="F1131" s="33">
        <v>2018</v>
      </c>
      <c r="G1131" s="27">
        <v>201805</v>
      </c>
    </row>
    <row r="1132" spans="1:7" x14ac:dyDescent="0.2">
      <c r="A1132" s="22" t="str">
        <f t="shared" si="17"/>
        <v>1805</v>
      </c>
      <c r="B1132" s="31">
        <v>43131</v>
      </c>
      <c r="C1132" s="32" t="s">
        <v>58</v>
      </c>
      <c r="D1132" s="32">
        <v>43128</v>
      </c>
      <c r="E1132" s="33">
        <v>5</v>
      </c>
      <c r="F1132" s="33">
        <v>2018</v>
      </c>
      <c r="G1132" s="27">
        <v>201805</v>
      </c>
    </row>
    <row r="1133" spans="1:7" x14ac:dyDescent="0.2">
      <c r="A1133" s="22" t="str">
        <f t="shared" si="17"/>
        <v>1805</v>
      </c>
      <c r="B1133" s="31">
        <v>43132</v>
      </c>
      <c r="C1133" s="32" t="s">
        <v>59</v>
      </c>
      <c r="D1133" s="32">
        <v>43128</v>
      </c>
      <c r="E1133" s="33">
        <v>5</v>
      </c>
      <c r="F1133" s="33">
        <v>2018</v>
      </c>
      <c r="G1133" s="27">
        <v>201805</v>
      </c>
    </row>
    <row r="1134" spans="1:7" x14ac:dyDescent="0.2">
      <c r="A1134" s="22" t="str">
        <f t="shared" si="17"/>
        <v>1805</v>
      </c>
      <c r="B1134" s="31">
        <v>43133</v>
      </c>
      <c r="C1134" s="32" t="s">
        <v>60</v>
      </c>
      <c r="D1134" s="32">
        <v>43128</v>
      </c>
      <c r="E1134" s="33">
        <v>5</v>
      </c>
      <c r="F1134" s="33">
        <v>2018</v>
      </c>
      <c r="G1134" s="27">
        <v>201805</v>
      </c>
    </row>
    <row r="1135" spans="1:7" x14ac:dyDescent="0.2">
      <c r="A1135" s="22" t="str">
        <f t="shared" si="17"/>
        <v>1805</v>
      </c>
      <c r="B1135" s="31">
        <v>43134</v>
      </c>
      <c r="C1135" s="32" t="s">
        <v>61</v>
      </c>
      <c r="D1135" s="32">
        <v>43128</v>
      </c>
      <c r="E1135" s="33">
        <v>5</v>
      </c>
      <c r="F1135" s="33">
        <v>2018</v>
      </c>
      <c r="G1135" s="27">
        <v>201805</v>
      </c>
    </row>
    <row r="1136" spans="1:7" x14ac:dyDescent="0.2">
      <c r="A1136" s="22" t="str">
        <f t="shared" si="17"/>
        <v>1806</v>
      </c>
      <c r="B1136" s="31">
        <v>43135</v>
      </c>
      <c r="C1136" s="32" t="s">
        <v>55</v>
      </c>
      <c r="D1136" s="32">
        <v>43135</v>
      </c>
      <c r="E1136" s="33">
        <v>6</v>
      </c>
      <c r="F1136" s="33">
        <v>2018</v>
      </c>
      <c r="G1136" s="27">
        <v>201806</v>
      </c>
    </row>
    <row r="1137" spans="1:7" x14ac:dyDescent="0.2">
      <c r="A1137" s="22" t="str">
        <f t="shared" si="17"/>
        <v>1806</v>
      </c>
      <c r="B1137" s="31">
        <v>43136</v>
      </c>
      <c r="C1137" s="32" t="s">
        <v>56</v>
      </c>
      <c r="D1137" s="32">
        <v>43135</v>
      </c>
      <c r="E1137" s="33">
        <v>6</v>
      </c>
      <c r="F1137" s="33">
        <v>2018</v>
      </c>
      <c r="G1137" s="27">
        <v>201806</v>
      </c>
    </row>
    <row r="1138" spans="1:7" x14ac:dyDescent="0.2">
      <c r="A1138" s="22" t="str">
        <f t="shared" si="17"/>
        <v>1806</v>
      </c>
      <c r="B1138" s="31">
        <v>43137</v>
      </c>
      <c r="C1138" s="32" t="s">
        <v>57</v>
      </c>
      <c r="D1138" s="32">
        <v>43135</v>
      </c>
      <c r="E1138" s="33">
        <v>6</v>
      </c>
      <c r="F1138" s="33">
        <v>2018</v>
      </c>
      <c r="G1138" s="27">
        <v>201806</v>
      </c>
    </row>
    <row r="1139" spans="1:7" x14ac:dyDescent="0.2">
      <c r="A1139" s="22" t="str">
        <f t="shared" si="17"/>
        <v>1806</v>
      </c>
      <c r="B1139" s="31">
        <v>43138</v>
      </c>
      <c r="C1139" s="32" t="s">
        <v>58</v>
      </c>
      <c r="D1139" s="32">
        <v>43135</v>
      </c>
      <c r="E1139" s="33">
        <v>6</v>
      </c>
      <c r="F1139" s="33">
        <v>2018</v>
      </c>
      <c r="G1139" s="27">
        <v>201806</v>
      </c>
    </row>
    <row r="1140" spans="1:7" x14ac:dyDescent="0.2">
      <c r="A1140" s="22" t="str">
        <f t="shared" si="17"/>
        <v>1806</v>
      </c>
      <c r="B1140" s="31">
        <v>43139</v>
      </c>
      <c r="C1140" s="32" t="s">
        <v>59</v>
      </c>
      <c r="D1140" s="32">
        <v>43135</v>
      </c>
      <c r="E1140" s="33">
        <v>6</v>
      </c>
      <c r="F1140" s="33">
        <v>2018</v>
      </c>
      <c r="G1140" s="27">
        <v>201806</v>
      </c>
    </row>
    <row r="1141" spans="1:7" x14ac:dyDescent="0.2">
      <c r="A1141" s="22" t="str">
        <f t="shared" si="17"/>
        <v>1806</v>
      </c>
      <c r="B1141" s="31">
        <v>43140</v>
      </c>
      <c r="C1141" s="32" t="s">
        <v>60</v>
      </c>
      <c r="D1141" s="32">
        <v>43135</v>
      </c>
      <c r="E1141" s="33">
        <v>6</v>
      </c>
      <c r="F1141" s="33">
        <v>2018</v>
      </c>
      <c r="G1141" s="27">
        <v>201806</v>
      </c>
    </row>
    <row r="1142" spans="1:7" x14ac:dyDescent="0.2">
      <c r="A1142" s="22" t="str">
        <f t="shared" si="17"/>
        <v>1806</v>
      </c>
      <c r="B1142" s="31">
        <v>43141</v>
      </c>
      <c r="C1142" s="32" t="s">
        <v>61</v>
      </c>
      <c r="D1142" s="32">
        <v>43135</v>
      </c>
      <c r="E1142" s="33">
        <v>6</v>
      </c>
      <c r="F1142" s="33">
        <v>2018</v>
      </c>
      <c r="G1142" s="27">
        <v>201806</v>
      </c>
    </row>
    <row r="1143" spans="1:7" x14ac:dyDescent="0.2">
      <c r="A1143" s="22" t="str">
        <f t="shared" si="17"/>
        <v>1807</v>
      </c>
      <c r="B1143" s="31">
        <v>43142</v>
      </c>
      <c r="C1143" s="32" t="s">
        <v>55</v>
      </c>
      <c r="D1143" s="32">
        <v>43142</v>
      </c>
      <c r="E1143" s="33">
        <v>7</v>
      </c>
      <c r="F1143" s="33">
        <v>2018</v>
      </c>
      <c r="G1143" s="27">
        <v>201807</v>
      </c>
    </row>
    <row r="1144" spans="1:7" x14ac:dyDescent="0.2">
      <c r="A1144" s="22" t="str">
        <f t="shared" si="17"/>
        <v>1807</v>
      </c>
      <c r="B1144" s="31">
        <v>43143</v>
      </c>
      <c r="C1144" s="32" t="s">
        <v>56</v>
      </c>
      <c r="D1144" s="32">
        <v>43142</v>
      </c>
      <c r="E1144" s="33">
        <v>7</v>
      </c>
      <c r="F1144" s="33">
        <v>2018</v>
      </c>
      <c r="G1144" s="27">
        <v>201807</v>
      </c>
    </row>
    <row r="1145" spans="1:7" x14ac:dyDescent="0.2">
      <c r="A1145" s="22" t="str">
        <f t="shared" si="17"/>
        <v>1807</v>
      </c>
      <c r="B1145" s="31">
        <v>43144</v>
      </c>
      <c r="C1145" s="32" t="s">
        <v>57</v>
      </c>
      <c r="D1145" s="32">
        <v>43142</v>
      </c>
      <c r="E1145" s="33">
        <v>7</v>
      </c>
      <c r="F1145" s="33">
        <v>2018</v>
      </c>
      <c r="G1145" s="27">
        <v>201807</v>
      </c>
    </row>
    <row r="1146" spans="1:7" x14ac:dyDescent="0.2">
      <c r="A1146" s="22" t="str">
        <f t="shared" si="17"/>
        <v>1807</v>
      </c>
      <c r="B1146" s="31">
        <v>43145</v>
      </c>
      <c r="C1146" s="32" t="s">
        <v>58</v>
      </c>
      <c r="D1146" s="32">
        <v>43142</v>
      </c>
      <c r="E1146" s="33">
        <v>7</v>
      </c>
      <c r="F1146" s="33">
        <v>2018</v>
      </c>
      <c r="G1146" s="27">
        <v>201807</v>
      </c>
    </row>
    <row r="1147" spans="1:7" x14ac:dyDescent="0.2">
      <c r="A1147" s="22" t="str">
        <f t="shared" si="17"/>
        <v>1807</v>
      </c>
      <c r="B1147" s="31">
        <v>43146</v>
      </c>
      <c r="C1147" s="32" t="s">
        <v>59</v>
      </c>
      <c r="D1147" s="32">
        <v>43142</v>
      </c>
      <c r="E1147" s="33">
        <v>7</v>
      </c>
      <c r="F1147" s="33">
        <v>2018</v>
      </c>
      <c r="G1147" s="27">
        <v>201807</v>
      </c>
    </row>
    <row r="1148" spans="1:7" x14ac:dyDescent="0.2">
      <c r="A1148" s="22" t="str">
        <f t="shared" si="17"/>
        <v>1807</v>
      </c>
      <c r="B1148" s="31">
        <v>43147</v>
      </c>
      <c r="C1148" s="32" t="s">
        <v>60</v>
      </c>
      <c r="D1148" s="32">
        <v>43142</v>
      </c>
      <c r="E1148" s="33">
        <v>7</v>
      </c>
      <c r="F1148" s="33">
        <v>2018</v>
      </c>
      <c r="G1148" s="27">
        <v>201807</v>
      </c>
    </row>
    <row r="1149" spans="1:7" x14ac:dyDescent="0.2">
      <c r="A1149" s="22" t="str">
        <f t="shared" si="17"/>
        <v>1807</v>
      </c>
      <c r="B1149" s="31">
        <v>43148</v>
      </c>
      <c r="C1149" s="32" t="s">
        <v>61</v>
      </c>
      <c r="D1149" s="32">
        <v>43142</v>
      </c>
      <c r="E1149" s="33">
        <v>7</v>
      </c>
      <c r="F1149" s="33">
        <v>2018</v>
      </c>
      <c r="G1149" s="27">
        <v>201807</v>
      </c>
    </row>
    <row r="1150" spans="1:7" x14ac:dyDescent="0.2">
      <c r="A1150" s="22" t="str">
        <f t="shared" si="17"/>
        <v>1808</v>
      </c>
      <c r="B1150" s="31">
        <v>43149</v>
      </c>
      <c r="C1150" s="32" t="s">
        <v>55</v>
      </c>
      <c r="D1150" s="32">
        <v>43149</v>
      </c>
      <c r="E1150" s="33">
        <v>8</v>
      </c>
      <c r="F1150" s="33">
        <v>2018</v>
      </c>
      <c r="G1150" s="27">
        <v>201808</v>
      </c>
    </row>
    <row r="1151" spans="1:7" x14ac:dyDescent="0.2">
      <c r="A1151" s="22" t="str">
        <f t="shared" si="17"/>
        <v>1808</v>
      </c>
      <c r="B1151" s="31">
        <v>43150</v>
      </c>
      <c r="C1151" s="32" t="s">
        <v>56</v>
      </c>
      <c r="D1151" s="32">
        <v>43149</v>
      </c>
      <c r="E1151" s="33">
        <v>8</v>
      </c>
      <c r="F1151" s="33">
        <v>2018</v>
      </c>
      <c r="G1151" s="27">
        <v>201808</v>
      </c>
    </row>
    <row r="1152" spans="1:7" x14ac:dyDescent="0.2">
      <c r="A1152" s="22" t="str">
        <f t="shared" si="17"/>
        <v>1808</v>
      </c>
      <c r="B1152" s="31">
        <v>43151</v>
      </c>
      <c r="C1152" s="32" t="s">
        <v>57</v>
      </c>
      <c r="D1152" s="32">
        <v>43149</v>
      </c>
      <c r="E1152" s="33">
        <v>8</v>
      </c>
      <c r="F1152" s="33">
        <v>2018</v>
      </c>
      <c r="G1152" s="27">
        <v>201808</v>
      </c>
    </row>
    <row r="1153" spans="1:7" x14ac:dyDescent="0.2">
      <c r="A1153" s="22" t="str">
        <f t="shared" si="17"/>
        <v>1808</v>
      </c>
      <c r="B1153" s="31">
        <v>43152</v>
      </c>
      <c r="C1153" s="32" t="s">
        <v>58</v>
      </c>
      <c r="D1153" s="32">
        <v>43149</v>
      </c>
      <c r="E1153" s="33">
        <v>8</v>
      </c>
      <c r="F1153" s="33">
        <v>2018</v>
      </c>
      <c r="G1153" s="27">
        <v>201808</v>
      </c>
    </row>
    <row r="1154" spans="1:7" x14ac:dyDescent="0.2">
      <c r="A1154" s="22" t="str">
        <f t="shared" si="17"/>
        <v>1808</v>
      </c>
      <c r="B1154" s="31">
        <v>43153</v>
      </c>
      <c r="C1154" s="32" t="s">
        <v>59</v>
      </c>
      <c r="D1154" s="32">
        <v>43149</v>
      </c>
      <c r="E1154" s="33">
        <v>8</v>
      </c>
      <c r="F1154" s="33">
        <v>2018</v>
      </c>
      <c r="G1154" s="27">
        <v>201808</v>
      </c>
    </row>
    <row r="1155" spans="1:7" x14ac:dyDescent="0.2">
      <c r="A1155" s="22" t="str">
        <f t="shared" ref="A1155:A1218" si="18">RIGHT(G1155,4)</f>
        <v>1808</v>
      </c>
      <c r="B1155" s="31">
        <v>43154</v>
      </c>
      <c r="C1155" s="32" t="s">
        <v>60</v>
      </c>
      <c r="D1155" s="32">
        <v>43149</v>
      </c>
      <c r="E1155" s="33">
        <v>8</v>
      </c>
      <c r="F1155" s="33">
        <v>2018</v>
      </c>
      <c r="G1155" s="27">
        <v>201808</v>
      </c>
    </row>
    <row r="1156" spans="1:7" x14ac:dyDescent="0.2">
      <c r="A1156" s="22" t="str">
        <f t="shared" si="18"/>
        <v>1808</v>
      </c>
      <c r="B1156" s="31">
        <v>43155</v>
      </c>
      <c r="C1156" s="32" t="s">
        <v>61</v>
      </c>
      <c r="D1156" s="32">
        <v>43149</v>
      </c>
      <c r="E1156" s="33">
        <v>8</v>
      </c>
      <c r="F1156" s="33">
        <v>2018</v>
      </c>
      <c r="G1156" s="27">
        <v>201808</v>
      </c>
    </row>
    <row r="1157" spans="1:7" x14ac:dyDescent="0.2">
      <c r="A1157" s="22" t="str">
        <f t="shared" si="18"/>
        <v>1809</v>
      </c>
      <c r="B1157" s="31">
        <v>43156</v>
      </c>
      <c r="C1157" s="32" t="s">
        <v>55</v>
      </c>
      <c r="D1157" s="32">
        <v>43156</v>
      </c>
      <c r="E1157" s="33">
        <v>9</v>
      </c>
      <c r="F1157" s="33">
        <v>2018</v>
      </c>
      <c r="G1157" s="27">
        <v>201809</v>
      </c>
    </row>
    <row r="1158" spans="1:7" x14ac:dyDescent="0.2">
      <c r="A1158" s="22" t="str">
        <f t="shared" si="18"/>
        <v>1809</v>
      </c>
      <c r="B1158" s="31">
        <v>43157</v>
      </c>
      <c r="C1158" s="32" t="s">
        <v>56</v>
      </c>
      <c r="D1158" s="32">
        <v>43156</v>
      </c>
      <c r="E1158" s="33">
        <v>9</v>
      </c>
      <c r="F1158" s="33">
        <v>2018</v>
      </c>
      <c r="G1158" s="27">
        <v>201809</v>
      </c>
    </row>
    <row r="1159" spans="1:7" x14ac:dyDescent="0.2">
      <c r="A1159" s="22" t="str">
        <f t="shared" si="18"/>
        <v>1809</v>
      </c>
      <c r="B1159" s="31">
        <v>43158</v>
      </c>
      <c r="C1159" s="32" t="s">
        <v>57</v>
      </c>
      <c r="D1159" s="32">
        <v>43156</v>
      </c>
      <c r="E1159" s="33">
        <v>9</v>
      </c>
      <c r="F1159" s="33">
        <v>2018</v>
      </c>
      <c r="G1159" s="27">
        <v>201809</v>
      </c>
    </row>
    <row r="1160" spans="1:7" x14ac:dyDescent="0.2">
      <c r="A1160" s="22" t="str">
        <f t="shared" si="18"/>
        <v>1809</v>
      </c>
      <c r="B1160" s="31">
        <v>43159</v>
      </c>
      <c r="C1160" s="32" t="s">
        <v>58</v>
      </c>
      <c r="D1160" s="32">
        <v>43156</v>
      </c>
      <c r="E1160" s="33">
        <v>9</v>
      </c>
      <c r="F1160" s="33">
        <v>2018</v>
      </c>
      <c r="G1160" s="27">
        <v>201809</v>
      </c>
    </row>
    <row r="1161" spans="1:7" x14ac:dyDescent="0.2">
      <c r="A1161" s="22" t="str">
        <f t="shared" si="18"/>
        <v>1809</v>
      </c>
      <c r="B1161" s="31">
        <v>43160</v>
      </c>
      <c r="C1161" s="32" t="s">
        <v>59</v>
      </c>
      <c r="D1161" s="32">
        <v>43156</v>
      </c>
      <c r="E1161" s="33">
        <v>9</v>
      </c>
      <c r="F1161" s="33">
        <v>2018</v>
      </c>
      <c r="G1161" s="27">
        <v>201809</v>
      </c>
    </row>
    <row r="1162" spans="1:7" x14ac:dyDescent="0.2">
      <c r="A1162" s="22" t="str">
        <f t="shared" si="18"/>
        <v>1809</v>
      </c>
      <c r="B1162" s="31">
        <v>43161</v>
      </c>
      <c r="C1162" s="32" t="s">
        <v>60</v>
      </c>
      <c r="D1162" s="32">
        <v>43156</v>
      </c>
      <c r="E1162" s="33">
        <v>9</v>
      </c>
      <c r="F1162" s="33">
        <v>2018</v>
      </c>
      <c r="G1162" s="27">
        <v>201809</v>
      </c>
    </row>
    <row r="1163" spans="1:7" x14ac:dyDescent="0.2">
      <c r="A1163" s="22" t="str">
        <f t="shared" si="18"/>
        <v>1809</v>
      </c>
      <c r="B1163" s="31">
        <v>43162</v>
      </c>
      <c r="C1163" s="32" t="s">
        <v>61</v>
      </c>
      <c r="D1163" s="32">
        <v>43156</v>
      </c>
      <c r="E1163" s="33">
        <v>9</v>
      </c>
      <c r="F1163" s="33">
        <v>2018</v>
      </c>
      <c r="G1163" s="27">
        <v>201809</v>
      </c>
    </row>
    <row r="1164" spans="1:7" x14ac:dyDescent="0.2">
      <c r="A1164" s="22" t="str">
        <f t="shared" si="18"/>
        <v>1810</v>
      </c>
      <c r="B1164" s="31">
        <v>43163</v>
      </c>
      <c r="C1164" s="32" t="s">
        <v>55</v>
      </c>
      <c r="D1164" s="32">
        <v>43163</v>
      </c>
      <c r="E1164" s="33">
        <v>10</v>
      </c>
      <c r="F1164" s="33">
        <v>2018</v>
      </c>
      <c r="G1164" s="27">
        <v>201810</v>
      </c>
    </row>
    <row r="1165" spans="1:7" x14ac:dyDescent="0.2">
      <c r="A1165" s="22" t="str">
        <f t="shared" si="18"/>
        <v>1810</v>
      </c>
      <c r="B1165" s="31">
        <v>43164</v>
      </c>
      <c r="C1165" s="32" t="s">
        <v>56</v>
      </c>
      <c r="D1165" s="32">
        <v>43163</v>
      </c>
      <c r="E1165" s="33">
        <v>10</v>
      </c>
      <c r="F1165" s="33">
        <v>2018</v>
      </c>
      <c r="G1165" s="27">
        <v>201810</v>
      </c>
    </row>
    <row r="1166" spans="1:7" x14ac:dyDescent="0.2">
      <c r="A1166" s="22" t="str">
        <f t="shared" si="18"/>
        <v>1810</v>
      </c>
      <c r="B1166" s="31">
        <v>43165</v>
      </c>
      <c r="C1166" s="32" t="s">
        <v>57</v>
      </c>
      <c r="D1166" s="32">
        <v>43163</v>
      </c>
      <c r="E1166" s="33">
        <v>10</v>
      </c>
      <c r="F1166" s="33">
        <v>2018</v>
      </c>
      <c r="G1166" s="27">
        <v>201810</v>
      </c>
    </row>
    <row r="1167" spans="1:7" x14ac:dyDescent="0.2">
      <c r="A1167" s="22" t="str">
        <f t="shared" si="18"/>
        <v>1810</v>
      </c>
      <c r="B1167" s="31">
        <v>43166</v>
      </c>
      <c r="C1167" s="32" t="s">
        <v>58</v>
      </c>
      <c r="D1167" s="32">
        <v>43163</v>
      </c>
      <c r="E1167" s="33">
        <v>10</v>
      </c>
      <c r="F1167" s="33">
        <v>2018</v>
      </c>
      <c r="G1167" s="27">
        <v>201810</v>
      </c>
    </row>
    <row r="1168" spans="1:7" x14ac:dyDescent="0.2">
      <c r="A1168" s="22" t="str">
        <f t="shared" si="18"/>
        <v>1810</v>
      </c>
      <c r="B1168" s="31">
        <v>43167</v>
      </c>
      <c r="C1168" s="32" t="s">
        <v>59</v>
      </c>
      <c r="D1168" s="32">
        <v>43163</v>
      </c>
      <c r="E1168" s="33">
        <v>10</v>
      </c>
      <c r="F1168" s="33">
        <v>2018</v>
      </c>
      <c r="G1168" s="27">
        <v>201810</v>
      </c>
    </row>
    <row r="1169" spans="1:7" x14ac:dyDescent="0.2">
      <c r="A1169" s="22" t="str">
        <f t="shared" si="18"/>
        <v>1810</v>
      </c>
      <c r="B1169" s="31">
        <v>43168</v>
      </c>
      <c r="C1169" s="32" t="s">
        <v>60</v>
      </c>
      <c r="D1169" s="32">
        <v>43163</v>
      </c>
      <c r="E1169" s="33">
        <v>10</v>
      </c>
      <c r="F1169" s="33">
        <v>2018</v>
      </c>
      <c r="G1169" s="27">
        <v>201810</v>
      </c>
    </row>
    <row r="1170" spans="1:7" x14ac:dyDescent="0.2">
      <c r="A1170" s="22" t="str">
        <f t="shared" si="18"/>
        <v>1810</v>
      </c>
      <c r="B1170" s="31">
        <v>43169</v>
      </c>
      <c r="C1170" s="32" t="s">
        <v>61</v>
      </c>
      <c r="D1170" s="32">
        <v>43163</v>
      </c>
      <c r="E1170" s="33">
        <v>10</v>
      </c>
      <c r="F1170" s="33">
        <v>2018</v>
      </c>
      <c r="G1170" s="27">
        <v>201810</v>
      </c>
    </row>
    <row r="1171" spans="1:7" x14ac:dyDescent="0.2">
      <c r="A1171" s="22" t="str">
        <f t="shared" si="18"/>
        <v>1811</v>
      </c>
      <c r="B1171" s="31">
        <v>43170</v>
      </c>
      <c r="C1171" s="32" t="s">
        <v>55</v>
      </c>
      <c r="D1171" s="32">
        <v>43170</v>
      </c>
      <c r="E1171" s="33">
        <v>11</v>
      </c>
      <c r="F1171" s="33">
        <v>2018</v>
      </c>
      <c r="G1171" s="27">
        <v>201811</v>
      </c>
    </row>
    <row r="1172" spans="1:7" x14ac:dyDescent="0.2">
      <c r="A1172" s="22" t="str">
        <f t="shared" si="18"/>
        <v>1811</v>
      </c>
      <c r="B1172" s="31">
        <v>43171</v>
      </c>
      <c r="C1172" s="32" t="s">
        <v>56</v>
      </c>
      <c r="D1172" s="32">
        <v>43170</v>
      </c>
      <c r="E1172" s="33">
        <v>11</v>
      </c>
      <c r="F1172" s="33">
        <v>2018</v>
      </c>
      <c r="G1172" s="27">
        <v>201811</v>
      </c>
    </row>
    <row r="1173" spans="1:7" x14ac:dyDescent="0.2">
      <c r="A1173" s="22" t="str">
        <f t="shared" si="18"/>
        <v>1811</v>
      </c>
      <c r="B1173" s="31">
        <v>43172</v>
      </c>
      <c r="C1173" s="32" t="s">
        <v>57</v>
      </c>
      <c r="D1173" s="32">
        <v>43170</v>
      </c>
      <c r="E1173" s="33">
        <v>11</v>
      </c>
      <c r="F1173" s="33">
        <v>2018</v>
      </c>
      <c r="G1173" s="27">
        <v>201811</v>
      </c>
    </row>
    <row r="1174" spans="1:7" x14ac:dyDescent="0.2">
      <c r="A1174" s="22" t="str">
        <f t="shared" si="18"/>
        <v>1811</v>
      </c>
      <c r="B1174" s="31">
        <v>43173</v>
      </c>
      <c r="C1174" s="32" t="s">
        <v>58</v>
      </c>
      <c r="D1174" s="32">
        <v>43170</v>
      </c>
      <c r="E1174" s="33">
        <v>11</v>
      </c>
      <c r="F1174" s="33">
        <v>2018</v>
      </c>
      <c r="G1174" s="27">
        <v>201811</v>
      </c>
    </row>
    <row r="1175" spans="1:7" x14ac:dyDescent="0.2">
      <c r="A1175" s="22" t="str">
        <f t="shared" si="18"/>
        <v>1811</v>
      </c>
      <c r="B1175" s="31">
        <v>43174</v>
      </c>
      <c r="C1175" s="32" t="s">
        <v>59</v>
      </c>
      <c r="D1175" s="32">
        <v>43170</v>
      </c>
      <c r="E1175" s="33">
        <v>11</v>
      </c>
      <c r="F1175" s="33">
        <v>2018</v>
      </c>
      <c r="G1175" s="27">
        <v>201811</v>
      </c>
    </row>
    <row r="1176" spans="1:7" x14ac:dyDescent="0.2">
      <c r="A1176" s="22" t="str">
        <f t="shared" si="18"/>
        <v>1811</v>
      </c>
      <c r="B1176" s="31">
        <v>43175</v>
      </c>
      <c r="C1176" s="32" t="s">
        <v>60</v>
      </c>
      <c r="D1176" s="32">
        <v>43170</v>
      </c>
      <c r="E1176" s="33">
        <v>11</v>
      </c>
      <c r="F1176" s="33">
        <v>2018</v>
      </c>
      <c r="G1176" s="27">
        <v>201811</v>
      </c>
    </row>
    <row r="1177" spans="1:7" x14ac:dyDescent="0.2">
      <c r="A1177" s="22" t="str">
        <f t="shared" si="18"/>
        <v>1811</v>
      </c>
      <c r="B1177" s="31">
        <v>43176</v>
      </c>
      <c r="C1177" s="32" t="s">
        <v>61</v>
      </c>
      <c r="D1177" s="32">
        <v>43170</v>
      </c>
      <c r="E1177" s="33">
        <v>11</v>
      </c>
      <c r="F1177" s="33">
        <v>2018</v>
      </c>
      <c r="G1177" s="27">
        <v>201811</v>
      </c>
    </row>
    <row r="1178" spans="1:7" x14ac:dyDescent="0.2">
      <c r="A1178" s="22" t="str">
        <f t="shared" si="18"/>
        <v>1812</v>
      </c>
      <c r="B1178" s="31">
        <v>43177</v>
      </c>
      <c r="C1178" s="32" t="s">
        <v>55</v>
      </c>
      <c r="D1178" s="32">
        <v>43177</v>
      </c>
      <c r="E1178" s="33">
        <v>12</v>
      </c>
      <c r="F1178" s="33">
        <v>2018</v>
      </c>
      <c r="G1178" s="27">
        <v>201812</v>
      </c>
    </row>
    <row r="1179" spans="1:7" x14ac:dyDescent="0.2">
      <c r="A1179" s="22" t="str">
        <f t="shared" si="18"/>
        <v>1812</v>
      </c>
      <c r="B1179" s="31">
        <v>43178</v>
      </c>
      <c r="C1179" s="32" t="s">
        <v>56</v>
      </c>
      <c r="D1179" s="32">
        <v>43177</v>
      </c>
      <c r="E1179" s="33">
        <v>12</v>
      </c>
      <c r="F1179" s="33">
        <v>2018</v>
      </c>
      <c r="G1179" s="27">
        <v>201812</v>
      </c>
    </row>
    <row r="1180" spans="1:7" x14ac:dyDescent="0.2">
      <c r="A1180" s="22" t="str">
        <f t="shared" si="18"/>
        <v>1812</v>
      </c>
      <c r="B1180" s="31">
        <v>43179</v>
      </c>
      <c r="C1180" s="32" t="s">
        <v>57</v>
      </c>
      <c r="D1180" s="32">
        <v>43177</v>
      </c>
      <c r="E1180" s="33">
        <v>12</v>
      </c>
      <c r="F1180" s="33">
        <v>2018</v>
      </c>
      <c r="G1180" s="27">
        <v>201812</v>
      </c>
    </row>
    <row r="1181" spans="1:7" x14ac:dyDescent="0.2">
      <c r="A1181" s="22" t="str">
        <f t="shared" si="18"/>
        <v>1812</v>
      </c>
      <c r="B1181" s="31">
        <v>43180</v>
      </c>
      <c r="C1181" s="32" t="s">
        <v>58</v>
      </c>
      <c r="D1181" s="32">
        <v>43177</v>
      </c>
      <c r="E1181" s="33">
        <v>12</v>
      </c>
      <c r="F1181" s="33">
        <v>2018</v>
      </c>
      <c r="G1181" s="27">
        <v>201812</v>
      </c>
    </row>
    <row r="1182" spans="1:7" x14ac:dyDescent="0.2">
      <c r="A1182" s="22" t="str">
        <f t="shared" si="18"/>
        <v>1812</v>
      </c>
      <c r="B1182" s="31">
        <v>43181</v>
      </c>
      <c r="C1182" s="32" t="s">
        <v>59</v>
      </c>
      <c r="D1182" s="32">
        <v>43177</v>
      </c>
      <c r="E1182" s="33">
        <v>12</v>
      </c>
      <c r="F1182" s="33">
        <v>2018</v>
      </c>
      <c r="G1182" s="27">
        <v>201812</v>
      </c>
    </row>
    <row r="1183" spans="1:7" x14ac:dyDescent="0.2">
      <c r="A1183" s="22" t="str">
        <f t="shared" si="18"/>
        <v>1812</v>
      </c>
      <c r="B1183" s="31">
        <v>43182</v>
      </c>
      <c r="C1183" s="32" t="s">
        <v>60</v>
      </c>
      <c r="D1183" s="32">
        <v>43177</v>
      </c>
      <c r="E1183" s="33">
        <v>12</v>
      </c>
      <c r="F1183" s="33">
        <v>2018</v>
      </c>
      <c r="G1183" s="27">
        <v>201812</v>
      </c>
    </row>
    <row r="1184" spans="1:7" x14ac:dyDescent="0.2">
      <c r="A1184" s="22" t="str">
        <f t="shared" si="18"/>
        <v>1812</v>
      </c>
      <c r="B1184" s="31">
        <v>43183</v>
      </c>
      <c r="C1184" s="32" t="s">
        <v>61</v>
      </c>
      <c r="D1184" s="32">
        <v>43177</v>
      </c>
      <c r="E1184" s="33">
        <v>12</v>
      </c>
      <c r="F1184" s="33">
        <v>2018</v>
      </c>
      <c r="G1184" s="27">
        <v>201812</v>
      </c>
    </row>
    <row r="1185" spans="1:7" x14ac:dyDescent="0.2">
      <c r="A1185" s="22" t="str">
        <f t="shared" si="18"/>
        <v>1813</v>
      </c>
      <c r="B1185" s="31">
        <v>43184</v>
      </c>
      <c r="C1185" s="32" t="s">
        <v>55</v>
      </c>
      <c r="D1185" s="32">
        <v>43184</v>
      </c>
      <c r="E1185" s="33">
        <v>13</v>
      </c>
      <c r="F1185" s="33">
        <v>2018</v>
      </c>
      <c r="G1185" s="27">
        <v>201813</v>
      </c>
    </row>
    <row r="1186" spans="1:7" x14ac:dyDescent="0.2">
      <c r="A1186" s="22" t="str">
        <f t="shared" si="18"/>
        <v>1813</v>
      </c>
      <c r="B1186" s="31">
        <v>43185</v>
      </c>
      <c r="C1186" s="32" t="s">
        <v>56</v>
      </c>
      <c r="D1186" s="32">
        <v>43184</v>
      </c>
      <c r="E1186" s="33">
        <v>13</v>
      </c>
      <c r="F1186" s="33">
        <v>2018</v>
      </c>
      <c r="G1186" s="27">
        <v>201813</v>
      </c>
    </row>
    <row r="1187" spans="1:7" x14ac:dyDescent="0.2">
      <c r="A1187" s="22" t="str">
        <f t="shared" si="18"/>
        <v>1813</v>
      </c>
      <c r="B1187" s="31">
        <v>43186</v>
      </c>
      <c r="C1187" s="32" t="s">
        <v>57</v>
      </c>
      <c r="D1187" s="32">
        <v>43184</v>
      </c>
      <c r="E1187" s="33">
        <v>13</v>
      </c>
      <c r="F1187" s="33">
        <v>2018</v>
      </c>
      <c r="G1187" s="27">
        <v>201813</v>
      </c>
    </row>
    <row r="1188" spans="1:7" x14ac:dyDescent="0.2">
      <c r="A1188" s="22" t="str">
        <f t="shared" si="18"/>
        <v>1813</v>
      </c>
      <c r="B1188" s="31">
        <v>43187</v>
      </c>
      <c r="C1188" s="32" t="s">
        <v>58</v>
      </c>
      <c r="D1188" s="32">
        <v>43184</v>
      </c>
      <c r="E1188" s="33">
        <v>13</v>
      </c>
      <c r="F1188" s="33">
        <v>2018</v>
      </c>
      <c r="G1188" s="27">
        <v>201813</v>
      </c>
    </row>
    <row r="1189" spans="1:7" x14ac:dyDescent="0.2">
      <c r="A1189" s="22" t="str">
        <f t="shared" si="18"/>
        <v>1813</v>
      </c>
      <c r="B1189" s="31">
        <v>43188</v>
      </c>
      <c r="C1189" s="32" t="s">
        <v>59</v>
      </c>
      <c r="D1189" s="32">
        <v>43184</v>
      </c>
      <c r="E1189" s="33">
        <v>13</v>
      </c>
      <c r="F1189" s="33">
        <v>2018</v>
      </c>
      <c r="G1189" s="27">
        <v>201813</v>
      </c>
    </row>
    <row r="1190" spans="1:7" x14ac:dyDescent="0.2">
      <c r="A1190" s="22" t="str">
        <f t="shared" si="18"/>
        <v>1813</v>
      </c>
      <c r="B1190" s="31">
        <v>43189</v>
      </c>
      <c r="C1190" s="32" t="s">
        <v>60</v>
      </c>
      <c r="D1190" s="32">
        <v>43184</v>
      </c>
      <c r="E1190" s="33">
        <v>13</v>
      </c>
      <c r="F1190" s="33">
        <v>2018</v>
      </c>
      <c r="G1190" s="27">
        <v>201813</v>
      </c>
    </row>
    <row r="1191" spans="1:7" x14ac:dyDescent="0.2">
      <c r="A1191" s="22" t="str">
        <f t="shared" si="18"/>
        <v>1813</v>
      </c>
      <c r="B1191" s="31">
        <v>43190</v>
      </c>
      <c r="C1191" s="32" t="s">
        <v>61</v>
      </c>
      <c r="D1191" s="32">
        <v>43184</v>
      </c>
      <c r="E1191" s="33">
        <v>13</v>
      </c>
      <c r="F1191" s="33">
        <v>2018</v>
      </c>
      <c r="G1191" s="27">
        <v>201813</v>
      </c>
    </row>
    <row r="1192" spans="1:7" x14ac:dyDescent="0.2">
      <c r="A1192" s="22" t="str">
        <f t="shared" si="18"/>
        <v/>
      </c>
      <c r="B1192" s="31">
        <v>43191</v>
      </c>
      <c r="C1192" s="32" t="s">
        <v>55</v>
      </c>
      <c r="D1192" s="32">
        <v>43191</v>
      </c>
      <c r="E1192" s="33"/>
      <c r="F1192" s="33"/>
      <c r="G1192" s="27"/>
    </row>
    <row r="1193" spans="1:7" x14ac:dyDescent="0.2">
      <c r="A1193" s="22" t="str">
        <f t="shared" si="18"/>
        <v/>
      </c>
      <c r="B1193" s="31">
        <v>43192</v>
      </c>
      <c r="C1193" s="32" t="s">
        <v>56</v>
      </c>
      <c r="D1193" s="32">
        <v>43191</v>
      </c>
      <c r="E1193" s="33"/>
      <c r="F1193" s="33"/>
      <c r="G1193" s="27"/>
    </row>
    <row r="1194" spans="1:7" x14ac:dyDescent="0.2">
      <c r="A1194" s="22" t="str">
        <f t="shared" si="18"/>
        <v/>
      </c>
      <c r="B1194" s="31">
        <v>43193</v>
      </c>
      <c r="C1194" s="32" t="s">
        <v>57</v>
      </c>
      <c r="D1194" s="32">
        <v>43191</v>
      </c>
      <c r="E1194" s="33"/>
      <c r="F1194" s="33"/>
      <c r="G1194" s="27"/>
    </row>
    <row r="1195" spans="1:7" x14ac:dyDescent="0.2">
      <c r="A1195" s="22" t="str">
        <f t="shared" si="18"/>
        <v/>
      </c>
      <c r="B1195" s="31">
        <v>43194</v>
      </c>
      <c r="C1195" s="32" t="s">
        <v>58</v>
      </c>
      <c r="D1195" s="32">
        <v>43191</v>
      </c>
      <c r="E1195" s="33"/>
      <c r="F1195" s="33"/>
      <c r="G1195" s="27"/>
    </row>
    <row r="1196" spans="1:7" x14ac:dyDescent="0.2">
      <c r="A1196" s="22" t="str">
        <f t="shared" si="18"/>
        <v/>
      </c>
      <c r="B1196" s="31">
        <v>43195</v>
      </c>
      <c r="C1196" s="32" t="s">
        <v>59</v>
      </c>
      <c r="D1196" s="32">
        <v>43191</v>
      </c>
      <c r="E1196" s="33"/>
      <c r="F1196" s="33"/>
      <c r="G1196" s="27"/>
    </row>
    <row r="1197" spans="1:7" x14ac:dyDescent="0.2">
      <c r="A1197" s="22" t="str">
        <f t="shared" si="18"/>
        <v/>
      </c>
      <c r="B1197" s="31">
        <v>43196</v>
      </c>
      <c r="C1197" s="32" t="s">
        <v>60</v>
      </c>
      <c r="D1197" s="32">
        <v>43191</v>
      </c>
      <c r="E1197" s="33"/>
      <c r="F1197" s="33"/>
      <c r="G1197" s="27"/>
    </row>
    <row r="1198" spans="1:7" x14ac:dyDescent="0.2">
      <c r="A1198" s="22" t="str">
        <f t="shared" si="18"/>
        <v/>
      </c>
      <c r="B1198" s="31">
        <v>43197</v>
      </c>
      <c r="C1198" s="32" t="s">
        <v>61</v>
      </c>
      <c r="D1198" s="32">
        <v>43191</v>
      </c>
      <c r="E1198" s="33"/>
      <c r="F1198" s="33"/>
      <c r="G1198" s="27"/>
    </row>
    <row r="1199" spans="1:7" x14ac:dyDescent="0.2">
      <c r="A1199" s="22" t="str">
        <f t="shared" si="18"/>
        <v/>
      </c>
      <c r="B1199" s="31">
        <v>43198</v>
      </c>
      <c r="C1199" s="32" t="s">
        <v>55</v>
      </c>
      <c r="D1199" s="32">
        <v>43198</v>
      </c>
      <c r="E1199" s="33"/>
      <c r="F1199" s="33"/>
      <c r="G1199" s="27"/>
    </row>
    <row r="1200" spans="1:7" x14ac:dyDescent="0.2">
      <c r="A1200" s="22" t="str">
        <f t="shared" si="18"/>
        <v/>
      </c>
      <c r="B1200" s="31">
        <v>43199</v>
      </c>
      <c r="C1200" s="32" t="s">
        <v>56</v>
      </c>
      <c r="D1200" s="32">
        <v>43198</v>
      </c>
      <c r="E1200" s="33"/>
      <c r="F1200" s="33"/>
      <c r="G1200" s="27"/>
    </row>
    <row r="1201" spans="1:7" x14ac:dyDescent="0.2">
      <c r="A1201" s="22" t="str">
        <f t="shared" si="18"/>
        <v/>
      </c>
      <c r="B1201" s="31">
        <v>43200</v>
      </c>
      <c r="C1201" s="32" t="s">
        <v>57</v>
      </c>
      <c r="D1201" s="32">
        <v>43198</v>
      </c>
      <c r="E1201" s="33"/>
      <c r="F1201" s="33"/>
      <c r="G1201" s="27"/>
    </row>
    <row r="1202" spans="1:7" x14ac:dyDescent="0.2">
      <c r="A1202" s="22" t="str">
        <f t="shared" si="18"/>
        <v/>
      </c>
      <c r="B1202" s="31">
        <v>43201</v>
      </c>
      <c r="C1202" s="32" t="s">
        <v>58</v>
      </c>
      <c r="D1202" s="32">
        <v>43198</v>
      </c>
      <c r="E1202" s="33"/>
      <c r="F1202" s="33"/>
      <c r="G1202" s="27"/>
    </row>
    <row r="1203" spans="1:7" x14ac:dyDescent="0.2">
      <c r="A1203" s="22" t="str">
        <f t="shared" si="18"/>
        <v/>
      </c>
      <c r="B1203" s="31">
        <v>43202</v>
      </c>
      <c r="C1203" s="32" t="s">
        <v>59</v>
      </c>
      <c r="D1203" s="32">
        <v>43198</v>
      </c>
      <c r="E1203" s="33"/>
      <c r="F1203" s="33"/>
      <c r="G1203" s="27"/>
    </row>
    <row r="1204" spans="1:7" x14ac:dyDescent="0.2">
      <c r="A1204" s="22" t="str">
        <f t="shared" si="18"/>
        <v/>
      </c>
      <c r="B1204" s="31">
        <v>43203</v>
      </c>
      <c r="C1204" s="32" t="s">
        <v>60</v>
      </c>
      <c r="D1204" s="32">
        <v>43198</v>
      </c>
      <c r="E1204" s="33"/>
      <c r="F1204" s="33"/>
      <c r="G1204" s="27"/>
    </row>
    <row r="1205" spans="1:7" x14ac:dyDescent="0.2">
      <c r="A1205" s="22" t="str">
        <f t="shared" si="18"/>
        <v/>
      </c>
      <c r="B1205" s="31">
        <v>43204</v>
      </c>
      <c r="C1205" s="32" t="s">
        <v>61</v>
      </c>
      <c r="D1205" s="32">
        <v>43198</v>
      </c>
      <c r="E1205" s="33"/>
      <c r="F1205" s="33"/>
      <c r="G1205" s="27"/>
    </row>
    <row r="1206" spans="1:7" x14ac:dyDescent="0.2">
      <c r="A1206" s="22" t="str">
        <f t="shared" si="18"/>
        <v/>
      </c>
      <c r="B1206" s="31">
        <v>43205</v>
      </c>
      <c r="C1206" s="32" t="s">
        <v>55</v>
      </c>
      <c r="D1206" s="32">
        <v>43205</v>
      </c>
      <c r="E1206" s="33"/>
      <c r="F1206" s="33"/>
      <c r="G1206" s="27"/>
    </row>
    <row r="1207" spans="1:7" x14ac:dyDescent="0.2">
      <c r="A1207" s="22" t="str">
        <f t="shared" si="18"/>
        <v/>
      </c>
      <c r="B1207" s="31">
        <v>43206</v>
      </c>
      <c r="C1207" s="32" t="s">
        <v>56</v>
      </c>
      <c r="D1207" s="32">
        <v>43205</v>
      </c>
      <c r="E1207" s="33"/>
      <c r="F1207" s="33"/>
      <c r="G1207" s="27"/>
    </row>
    <row r="1208" spans="1:7" x14ac:dyDescent="0.2">
      <c r="A1208" s="22" t="str">
        <f t="shared" si="18"/>
        <v/>
      </c>
      <c r="B1208" s="31">
        <v>43207</v>
      </c>
      <c r="C1208" s="32" t="s">
        <v>57</v>
      </c>
      <c r="D1208" s="32">
        <v>43205</v>
      </c>
      <c r="E1208" s="33"/>
      <c r="F1208" s="33"/>
      <c r="G1208" s="27"/>
    </row>
    <row r="1209" spans="1:7" x14ac:dyDescent="0.2">
      <c r="A1209" s="22" t="str">
        <f t="shared" si="18"/>
        <v/>
      </c>
      <c r="B1209" s="31">
        <v>43208</v>
      </c>
      <c r="C1209" s="32" t="s">
        <v>58</v>
      </c>
      <c r="D1209" s="32">
        <v>43205</v>
      </c>
      <c r="E1209" s="33"/>
      <c r="F1209" s="33"/>
      <c r="G1209" s="27"/>
    </row>
    <row r="1210" spans="1:7" x14ac:dyDescent="0.2">
      <c r="A1210" s="22" t="str">
        <f t="shared" si="18"/>
        <v/>
      </c>
      <c r="B1210" s="31">
        <v>43209</v>
      </c>
      <c r="C1210" s="32" t="s">
        <v>59</v>
      </c>
      <c r="D1210" s="32">
        <v>43205</v>
      </c>
      <c r="E1210" s="33"/>
      <c r="F1210" s="33"/>
      <c r="G1210" s="27"/>
    </row>
    <row r="1211" spans="1:7" x14ac:dyDescent="0.2">
      <c r="A1211" s="22" t="str">
        <f t="shared" si="18"/>
        <v/>
      </c>
      <c r="B1211" s="31">
        <v>43210</v>
      </c>
      <c r="C1211" s="32" t="s">
        <v>60</v>
      </c>
      <c r="D1211" s="32">
        <v>43205</v>
      </c>
      <c r="E1211" s="33"/>
      <c r="F1211" s="33"/>
      <c r="G1211" s="27"/>
    </row>
    <row r="1212" spans="1:7" x14ac:dyDescent="0.2">
      <c r="A1212" s="22" t="str">
        <f t="shared" si="18"/>
        <v/>
      </c>
      <c r="B1212" s="31">
        <v>43211</v>
      </c>
      <c r="C1212" s="32" t="s">
        <v>61</v>
      </c>
      <c r="D1212" s="32">
        <v>43205</v>
      </c>
      <c r="E1212" s="33"/>
      <c r="F1212" s="33"/>
      <c r="G1212" s="27"/>
    </row>
    <row r="1213" spans="1:7" x14ac:dyDescent="0.2">
      <c r="A1213" s="22" t="str">
        <f t="shared" si="18"/>
        <v/>
      </c>
      <c r="B1213" s="31">
        <v>43212</v>
      </c>
      <c r="C1213" s="32" t="s">
        <v>55</v>
      </c>
      <c r="D1213" s="32">
        <v>43212</v>
      </c>
      <c r="E1213" s="33"/>
      <c r="F1213" s="33"/>
      <c r="G1213" s="27"/>
    </row>
    <row r="1214" spans="1:7" x14ac:dyDescent="0.2">
      <c r="A1214" s="22" t="str">
        <f t="shared" si="18"/>
        <v/>
      </c>
      <c r="B1214" s="31">
        <v>43213</v>
      </c>
      <c r="C1214" s="32" t="s">
        <v>56</v>
      </c>
      <c r="D1214" s="32">
        <v>43212</v>
      </c>
      <c r="E1214" s="33"/>
      <c r="F1214" s="33"/>
      <c r="G1214" s="27"/>
    </row>
    <row r="1215" spans="1:7" x14ac:dyDescent="0.2">
      <c r="A1215" s="22" t="str">
        <f t="shared" si="18"/>
        <v/>
      </c>
      <c r="B1215" s="31">
        <v>43214</v>
      </c>
      <c r="C1215" s="32" t="s">
        <v>57</v>
      </c>
      <c r="D1215" s="32">
        <v>43212</v>
      </c>
      <c r="E1215" s="33"/>
      <c r="F1215" s="33"/>
      <c r="G1215" s="27"/>
    </row>
    <row r="1216" spans="1:7" x14ac:dyDescent="0.2">
      <c r="A1216" s="22" t="str">
        <f t="shared" si="18"/>
        <v/>
      </c>
      <c r="B1216" s="31">
        <v>43215</v>
      </c>
      <c r="C1216" s="32" t="s">
        <v>58</v>
      </c>
      <c r="D1216" s="32">
        <v>43212</v>
      </c>
      <c r="E1216" s="33"/>
      <c r="F1216" s="33"/>
      <c r="G1216" s="27"/>
    </row>
    <row r="1217" spans="1:7" x14ac:dyDescent="0.2">
      <c r="A1217" s="22" t="str">
        <f t="shared" si="18"/>
        <v/>
      </c>
      <c r="B1217" s="31">
        <v>43216</v>
      </c>
      <c r="C1217" s="32" t="s">
        <v>59</v>
      </c>
      <c r="D1217" s="32">
        <v>43212</v>
      </c>
      <c r="E1217" s="33"/>
      <c r="F1217" s="33"/>
      <c r="G1217" s="27"/>
    </row>
    <row r="1218" spans="1:7" x14ac:dyDescent="0.2">
      <c r="A1218" s="22" t="str">
        <f t="shared" si="18"/>
        <v/>
      </c>
      <c r="B1218" s="31">
        <v>43217</v>
      </c>
      <c r="C1218" s="32" t="s">
        <v>60</v>
      </c>
      <c r="D1218" s="32">
        <v>43212</v>
      </c>
      <c r="E1218" s="33"/>
      <c r="F1218" s="33"/>
      <c r="G1218" s="27"/>
    </row>
    <row r="1219" spans="1:7" x14ac:dyDescent="0.2">
      <c r="A1219" s="22" t="str">
        <f t="shared" ref="A1219:A1282" si="19">RIGHT(G1219,4)</f>
        <v/>
      </c>
      <c r="B1219" s="31">
        <v>43218</v>
      </c>
      <c r="C1219" s="32" t="s">
        <v>61</v>
      </c>
      <c r="D1219" s="32">
        <v>43212</v>
      </c>
      <c r="E1219" s="33"/>
      <c r="F1219" s="33"/>
      <c r="G1219" s="27"/>
    </row>
    <row r="1220" spans="1:7" x14ac:dyDescent="0.2">
      <c r="A1220" s="22" t="str">
        <f t="shared" si="19"/>
        <v/>
      </c>
      <c r="B1220" s="31">
        <v>43219</v>
      </c>
      <c r="C1220" s="32" t="s">
        <v>55</v>
      </c>
      <c r="D1220" s="32">
        <v>43219</v>
      </c>
      <c r="E1220" s="33"/>
      <c r="F1220" s="33"/>
      <c r="G1220" s="27"/>
    </row>
    <row r="1221" spans="1:7" x14ac:dyDescent="0.2">
      <c r="A1221" s="22" t="str">
        <f t="shared" si="19"/>
        <v/>
      </c>
      <c r="B1221" s="31">
        <v>43220</v>
      </c>
      <c r="C1221" s="32" t="s">
        <v>56</v>
      </c>
      <c r="D1221" s="32">
        <v>43219</v>
      </c>
      <c r="E1221" s="33"/>
      <c r="F1221" s="33"/>
      <c r="G1221" s="27"/>
    </row>
    <row r="1222" spans="1:7" x14ac:dyDescent="0.2">
      <c r="A1222" s="22" t="str">
        <f t="shared" si="19"/>
        <v/>
      </c>
      <c r="B1222" s="31">
        <v>43221</v>
      </c>
      <c r="C1222" s="32" t="s">
        <v>57</v>
      </c>
      <c r="D1222" s="32">
        <v>43219</v>
      </c>
      <c r="E1222" s="33"/>
      <c r="F1222" s="33"/>
      <c r="G1222" s="27"/>
    </row>
    <row r="1223" spans="1:7" x14ac:dyDescent="0.2">
      <c r="A1223" s="22" t="str">
        <f t="shared" si="19"/>
        <v/>
      </c>
      <c r="B1223" s="31">
        <v>43222</v>
      </c>
      <c r="C1223" s="32" t="s">
        <v>58</v>
      </c>
      <c r="D1223" s="32">
        <v>43219</v>
      </c>
      <c r="E1223" s="33"/>
      <c r="F1223" s="33"/>
      <c r="G1223" s="27"/>
    </row>
    <row r="1224" spans="1:7" x14ac:dyDescent="0.2">
      <c r="A1224" s="22" t="str">
        <f t="shared" si="19"/>
        <v/>
      </c>
      <c r="B1224" s="31">
        <v>43223</v>
      </c>
      <c r="C1224" s="32" t="s">
        <v>59</v>
      </c>
      <c r="D1224" s="32">
        <v>43219</v>
      </c>
      <c r="E1224" s="33"/>
      <c r="F1224" s="33"/>
      <c r="G1224" s="27"/>
    </row>
    <row r="1225" spans="1:7" x14ac:dyDescent="0.2">
      <c r="A1225" s="22" t="str">
        <f t="shared" si="19"/>
        <v/>
      </c>
      <c r="B1225" s="31">
        <v>43224</v>
      </c>
      <c r="C1225" s="32" t="s">
        <v>60</v>
      </c>
      <c r="D1225" s="32">
        <v>43219</v>
      </c>
      <c r="E1225" s="33"/>
      <c r="F1225" s="33"/>
      <c r="G1225" s="27"/>
    </row>
    <row r="1226" spans="1:7" x14ac:dyDescent="0.2">
      <c r="A1226" s="22" t="str">
        <f t="shared" si="19"/>
        <v/>
      </c>
      <c r="B1226" s="31">
        <v>43225</v>
      </c>
      <c r="C1226" s="32" t="s">
        <v>61</v>
      </c>
      <c r="D1226" s="32">
        <v>43219</v>
      </c>
      <c r="E1226" s="33"/>
      <c r="F1226" s="33"/>
      <c r="G1226" s="27"/>
    </row>
    <row r="1227" spans="1:7" x14ac:dyDescent="0.2">
      <c r="A1227" s="22" t="str">
        <f t="shared" si="19"/>
        <v/>
      </c>
      <c r="B1227" s="31">
        <v>43226</v>
      </c>
      <c r="C1227" s="32" t="s">
        <v>55</v>
      </c>
      <c r="D1227" s="32">
        <v>43226</v>
      </c>
      <c r="E1227" s="33"/>
      <c r="F1227" s="33"/>
      <c r="G1227" s="27"/>
    </row>
    <row r="1228" spans="1:7" x14ac:dyDescent="0.2">
      <c r="A1228" s="22" t="str">
        <f t="shared" si="19"/>
        <v/>
      </c>
      <c r="B1228" s="31">
        <v>43227</v>
      </c>
      <c r="C1228" s="32" t="s">
        <v>56</v>
      </c>
      <c r="D1228" s="32">
        <v>43226</v>
      </c>
      <c r="E1228" s="33"/>
      <c r="F1228" s="33"/>
      <c r="G1228" s="27"/>
    </row>
    <row r="1229" spans="1:7" x14ac:dyDescent="0.2">
      <c r="A1229" s="22" t="str">
        <f t="shared" si="19"/>
        <v/>
      </c>
      <c r="B1229" s="31">
        <v>43228</v>
      </c>
      <c r="C1229" s="32" t="s">
        <v>57</v>
      </c>
      <c r="D1229" s="32">
        <v>43226</v>
      </c>
      <c r="E1229" s="33"/>
      <c r="F1229" s="33"/>
      <c r="G1229" s="27"/>
    </row>
    <row r="1230" spans="1:7" x14ac:dyDescent="0.2">
      <c r="A1230" s="22" t="str">
        <f t="shared" si="19"/>
        <v/>
      </c>
      <c r="B1230" s="31">
        <v>43229</v>
      </c>
      <c r="C1230" s="32" t="s">
        <v>58</v>
      </c>
      <c r="D1230" s="32">
        <v>43226</v>
      </c>
      <c r="E1230" s="33"/>
      <c r="F1230" s="33"/>
      <c r="G1230" s="27"/>
    </row>
    <row r="1231" spans="1:7" x14ac:dyDescent="0.2">
      <c r="A1231" s="22" t="str">
        <f t="shared" si="19"/>
        <v/>
      </c>
      <c r="B1231" s="31">
        <v>43230</v>
      </c>
      <c r="C1231" s="32" t="s">
        <v>59</v>
      </c>
      <c r="D1231" s="32">
        <v>43226</v>
      </c>
      <c r="E1231" s="33"/>
      <c r="F1231" s="33"/>
      <c r="G1231" s="27"/>
    </row>
    <row r="1232" spans="1:7" x14ac:dyDescent="0.2">
      <c r="A1232" s="22" t="str">
        <f t="shared" si="19"/>
        <v/>
      </c>
      <c r="B1232" s="31">
        <v>43231</v>
      </c>
      <c r="C1232" s="32" t="s">
        <v>60</v>
      </c>
      <c r="D1232" s="32">
        <v>43226</v>
      </c>
      <c r="E1232" s="33"/>
      <c r="F1232" s="33"/>
      <c r="G1232" s="27"/>
    </row>
    <row r="1233" spans="1:7" x14ac:dyDescent="0.2">
      <c r="A1233" s="22" t="str">
        <f t="shared" si="19"/>
        <v/>
      </c>
      <c r="B1233" s="31">
        <v>43232</v>
      </c>
      <c r="C1233" s="32" t="s">
        <v>61</v>
      </c>
      <c r="D1233" s="32">
        <v>43226</v>
      </c>
      <c r="E1233" s="33"/>
      <c r="F1233" s="33"/>
      <c r="G1233" s="27"/>
    </row>
    <row r="1234" spans="1:7" x14ac:dyDescent="0.2">
      <c r="A1234" s="22" t="str">
        <f t="shared" si="19"/>
        <v/>
      </c>
      <c r="B1234" s="31">
        <v>43233</v>
      </c>
      <c r="C1234" s="32" t="s">
        <v>55</v>
      </c>
      <c r="D1234" s="32">
        <v>43233</v>
      </c>
      <c r="E1234" s="33"/>
      <c r="F1234" s="33"/>
      <c r="G1234" s="27"/>
    </row>
    <row r="1235" spans="1:7" x14ac:dyDescent="0.2">
      <c r="A1235" s="22" t="str">
        <f t="shared" si="19"/>
        <v/>
      </c>
      <c r="B1235" s="31">
        <v>43234</v>
      </c>
      <c r="C1235" s="32" t="s">
        <v>56</v>
      </c>
      <c r="D1235" s="32">
        <v>43233</v>
      </c>
      <c r="E1235" s="33"/>
      <c r="F1235" s="33"/>
      <c r="G1235" s="27"/>
    </row>
    <row r="1236" spans="1:7" x14ac:dyDescent="0.2">
      <c r="A1236" s="22" t="str">
        <f t="shared" si="19"/>
        <v/>
      </c>
      <c r="B1236" s="31">
        <v>43235</v>
      </c>
      <c r="C1236" s="32" t="s">
        <v>57</v>
      </c>
      <c r="D1236" s="32">
        <v>43233</v>
      </c>
      <c r="E1236" s="33"/>
      <c r="F1236" s="33"/>
      <c r="G1236" s="27"/>
    </row>
    <row r="1237" spans="1:7" x14ac:dyDescent="0.2">
      <c r="A1237" s="22" t="str">
        <f t="shared" si="19"/>
        <v/>
      </c>
      <c r="B1237" s="31">
        <v>43236</v>
      </c>
      <c r="C1237" s="32" t="s">
        <v>58</v>
      </c>
      <c r="D1237" s="32">
        <v>43233</v>
      </c>
      <c r="E1237" s="33"/>
      <c r="F1237" s="33"/>
      <c r="G1237" s="27"/>
    </row>
    <row r="1238" spans="1:7" x14ac:dyDescent="0.2">
      <c r="A1238" s="22" t="str">
        <f t="shared" si="19"/>
        <v/>
      </c>
      <c r="B1238" s="31">
        <v>43237</v>
      </c>
      <c r="C1238" s="32" t="s">
        <v>59</v>
      </c>
      <c r="D1238" s="32">
        <v>43233</v>
      </c>
      <c r="E1238" s="33"/>
      <c r="F1238" s="33"/>
      <c r="G1238" s="27"/>
    </row>
    <row r="1239" spans="1:7" x14ac:dyDescent="0.2">
      <c r="A1239" s="22" t="str">
        <f t="shared" si="19"/>
        <v/>
      </c>
      <c r="B1239" s="31">
        <v>43238</v>
      </c>
      <c r="C1239" s="32" t="s">
        <v>60</v>
      </c>
      <c r="D1239" s="32">
        <v>43233</v>
      </c>
      <c r="E1239" s="33"/>
      <c r="F1239" s="33"/>
      <c r="G1239" s="27"/>
    </row>
    <row r="1240" spans="1:7" x14ac:dyDescent="0.2">
      <c r="A1240" s="22" t="str">
        <f t="shared" si="19"/>
        <v/>
      </c>
      <c r="B1240" s="31">
        <v>43239</v>
      </c>
      <c r="C1240" s="32" t="s">
        <v>61</v>
      </c>
      <c r="D1240" s="32">
        <v>43233</v>
      </c>
      <c r="E1240" s="33"/>
      <c r="F1240" s="33"/>
      <c r="G1240" s="27"/>
    </row>
    <row r="1241" spans="1:7" x14ac:dyDescent="0.2">
      <c r="A1241" s="22" t="str">
        <f t="shared" si="19"/>
        <v/>
      </c>
      <c r="B1241" s="31">
        <v>43240</v>
      </c>
      <c r="C1241" s="32" t="s">
        <v>55</v>
      </c>
      <c r="D1241" s="32">
        <v>43240</v>
      </c>
      <c r="E1241" s="33"/>
      <c r="F1241" s="33"/>
      <c r="G1241" s="27"/>
    </row>
    <row r="1242" spans="1:7" x14ac:dyDescent="0.2">
      <c r="A1242" s="22" t="str">
        <f t="shared" si="19"/>
        <v/>
      </c>
      <c r="B1242" s="31">
        <v>43241</v>
      </c>
      <c r="C1242" s="32" t="s">
        <v>56</v>
      </c>
      <c r="D1242" s="32">
        <v>43240</v>
      </c>
      <c r="E1242" s="33"/>
      <c r="F1242" s="33"/>
      <c r="G1242" s="27"/>
    </row>
    <row r="1243" spans="1:7" x14ac:dyDescent="0.2">
      <c r="A1243" s="22" t="str">
        <f t="shared" si="19"/>
        <v/>
      </c>
      <c r="B1243" s="31">
        <v>43242</v>
      </c>
      <c r="C1243" s="32" t="s">
        <v>57</v>
      </c>
      <c r="D1243" s="32">
        <v>43240</v>
      </c>
      <c r="E1243" s="33"/>
      <c r="F1243" s="33"/>
      <c r="G1243" s="27"/>
    </row>
    <row r="1244" spans="1:7" x14ac:dyDescent="0.2">
      <c r="A1244" s="22" t="str">
        <f t="shared" si="19"/>
        <v/>
      </c>
      <c r="B1244" s="31">
        <v>43243</v>
      </c>
      <c r="C1244" s="32" t="s">
        <v>58</v>
      </c>
      <c r="D1244" s="32">
        <v>43240</v>
      </c>
      <c r="E1244" s="33"/>
      <c r="F1244" s="33"/>
      <c r="G1244" s="27"/>
    </row>
    <row r="1245" spans="1:7" x14ac:dyDescent="0.2">
      <c r="A1245" s="22" t="str">
        <f t="shared" si="19"/>
        <v/>
      </c>
      <c r="B1245" s="31">
        <v>43244</v>
      </c>
      <c r="C1245" s="32" t="s">
        <v>59</v>
      </c>
      <c r="D1245" s="32">
        <v>43240</v>
      </c>
      <c r="E1245" s="33"/>
      <c r="F1245" s="33"/>
      <c r="G1245" s="27"/>
    </row>
    <row r="1246" spans="1:7" x14ac:dyDescent="0.2">
      <c r="A1246" s="22" t="str">
        <f t="shared" si="19"/>
        <v/>
      </c>
      <c r="B1246" s="31">
        <v>43245</v>
      </c>
      <c r="C1246" s="32" t="s">
        <v>60</v>
      </c>
      <c r="D1246" s="32">
        <v>43240</v>
      </c>
      <c r="E1246" s="33"/>
      <c r="F1246" s="33"/>
      <c r="G1246" s="27"/>
    </row>
    <row r="1247" spans="1:7" x14ac:dyDescent="0.2">
      <c r="A1247" s="22" t="str">
        <f t="shared" si="19"/>
        <v/>
      </c>
      <c r="B1247" s="31">
        <v>43246</v>
      </c>
      <c r="C1247" s="32" t="s">
        <v>61</v>
      </c>
      <c r="D1247" s="32">
        <v>43240</v>
      </c>
      <c r="E1247" s="33"/>
      <c r="F1247" s="33"/>
      <c r="G1247" s="27"/>
    </row>
    <row r="1248" spans="1:7" x14ac:dyDescent="0.2">
      <c r="A1248" s="22" t="str">
        <f t="shared" si="19"/>
        <v/>
      </c>
      <c r="B1248" s="31">
        <v>43247</v>
      </c>
      <c r="C1248" s="32" t="s">
        <v>55</v>
      </c>
      <c r="D1248" s="32">
        <v>43247</v>
      </c>
      <c r="E1248" s="33"/>
      <c r="F1248" s="33"/>
      <c r="G1248" s="27"/>
    </row>
    <row r="1249" spans="1:7" x14ac:dyDescent="0.2">
      <c r="A1249" s="22" t="str">
        <f t="shared" si="19"/>
        <v/>
      </c>
      <c r="B1249" s="31">
        <v>43248</v>
      </c>
      <c r="C1249" s="32" t="s">
        <v>56</v>
      </c>
      <c r="D1249" s="32">
        <v>43247</v>
      </c>
      <c r="E1249" s="33"/>
      <c r="F1249" s="33"/>
      <c r="G1249" s="27"/>
    </row>
    <row r="1250" spans="1:7" x14ac:dyDescent="0.2">
      <c r="A1250" s="22" t="str">
        <f t="shared" si="19"/>
        <v/>
      </c>
      <c r="B1250" s="31">
        <v>43249</v>
      </c>
      <c r="C1250" s="32" t="s">
        <v>57</v>
      </c>
      <c r="D1250" s="32">
        <v>43247</v>
      </c>
      <c r="E1250" s="33"/>
      <c r="F1250" s="33"/>
      <c r="G1250" s="27"/>
    </row>
    <row r="1251" spans="1:7" x14ac:dyDescent="0.2">
      <c r="A1251" s="22" t="str">
        <f t="shared" si="19"/>
        <v/>
      </c>
      <c r="B1251" s="31">
        <v>43250</v>
      </c>
      <c r="C1251" s="32" t="s">
        <v>58</v>
      </c>
      <c r="D1251" s="32">
        <v>43247</v>
      </c>
      <c r="E1251" s="33"/>
      <c r="F1251" s="33"/>
      <c r="G1251" s="27"/>
    </row>
    <row r="1252" spans="1:7" x14ac:dyDescent="0.2">
      <c r="A1252" s="22" t="str">
        <f t="shared" si="19"/>
        <v/>
      </c>
      <c r="B1252" s="31">
        <v>43251</v>
      </c>
      <c r="C1252" s="32" t="s">
        <v>59</v>
      </c>
      <c r="D1252" s="32">
        <v>43247</v>
      </c>
      <c r="E1252" s="33"/>
      <c r="F1252" s="33"/>
      <c r="G1252" s="27"/>
    </row>
    <row r="1253" spans="1:7" x14ac:dyDescent="0.2">
      <c r="A1253" s="22" t="str">
        <f t="shared" si="19"/>
        <v/>
      </c>
      <c r="B1253" s="31">
        <v>43252</v>
      </c>
      <c r="C1253" s="32" t="s">
        <v>60</v>
      </c>
      <c r="D1253" s="32">
        <v>43247</v>
      </c>
      <c r="E1253" s="33"/>
      <c r="F1253" s="33"/>
      <c r="G1253" s="27"/>
    </row>
    <row r="1254" spans="1:7" x14ac:dyDescent="0.2">
      <c r="A1254" s="22" t="str">
        <f t="shared" si="19"/>
        <v/>
      </c>
      <c r="B1254" s="31">
        <v>43253</v>
      </c>
      <c r="C1254" s="32" t="s">
        <v>61</v>
      </c>
      <c r="D1254" s="32">
        <v>43247</v>
      </c>
      <c r="E1254" s="33"/>
      <c r="F1254" s="33"/>
      <c r="G1254" s="27"/>
    </row>
    <row r="1255" spans="1:7" x14ac:dyDescent="0.2">
      <c r="A1255" s="22" t="str">
        <f t="shared" si="19"/>
        <v/>
      </c>
      <c r="B1255" s="31">
        <v>43254</v>
      </c>
      <c r="C1255" s="32" t="s">
        <v>55</v>
      </c>
      <c r="D1255" s="32">
        <v>43254</v>
      </c>
      <c r="E1255" s="33"/>
      <c r="F1255" s="33"/>
      <c r="G1255" s="27"/>
    </row>
    <row r="1256" spans="1:7" x14ac:dyDescent="0.2">
      <c r="A1256" s="22" t="str">
        <f t="shared" si="19"/>
        <v/>
      </c>
      <c r="B1256" s="31">
        <v>43255</v>
      </c>
      <c r="C1256" s="32" t="s">
        <v>56</v>
      </c>
      <c r="D1256" s="32">
        <v>43254</v>
      </c>
      <c r="E1256" s="33"/>
      <c r="F1256" s="33"/>
      <c r="G1256" s="27"/>
    </row>
    <row r="1257" spans="1:7" x14ac:dyDescent="0.2">
      <c r="A1257" s="22" t="str">
        <f t="shared" si="19"/>
        <v/>
      </c>
      <c r="B1257" s="31">
        <v>43256</v>
      </c>
      <c r="C1257" s="32" t="s">
        <v>57</v>
      </c>
      <c r="D1257" s="32">
        <v>43254</v>
      </c>
      <c r="E1257" s="33"/>
      <c r="F1257" s="33"/>
      <c r="G1257" s="27"/>
    </row>
    <row r="1258" spans="1:7" x14ac:dyDescent="0.2">
      <c r="A1258" s="22" t="str">
        <f t="shared" si="19"/>
        <v/>
      </c>
      <c r="B1258" s="31">
        <v>43257</v>
      </c>
      <c r="C1258" s="32" t="s">
        <v>58</v>
      </c>
      <c r="D1258" s="32">
        <v>43254</v>
      </c>
      <c r="E1258" s="33"/>
      <c r="F1258" s="33"/>
      <c r="G1258" s="27"/>
    </row>
    <row r="1259" spans="1:7" x14ac:dyDescent="0.2">
      <c r="A1259" s="22" t="str">
        <f t="shared" si="19"/>
        <v/>
      </c>
      <c r="B1259" s="31">
        <v>43258</v>
      </c>
      <c r="C1259" s="32" t="s">
        <v>59</v>
      </c>
      <c r="D1259" s="32">
        <v>43254</v>
      </c>
      <c r="E1259" s="33"/>
      <c r="F1259" s="33"/>
      <c r="G1259" s="27"/>
    </row>
    <row r="1260" spans="1:7" x14ac:dyDescent="0.2">
      <c r="A1260" s="22" t="str">
        <f t="shared" si="19"/>
        <v/>
      </c>
      <c r="B1260" s="31">
        <v>43259</v>
      </c>
      <c r="C1260" s="32" t="s">
        <v>60</v>
      </c>
      <c r="D1260" s="32">
        <v>43254</v>
      </c>
      <c r="E1260" s="33"/>
      <c r="F1260" s="33"/>
      <c r="G1260" s="27"/>
    </row>
    <row r="1261" spans="1:7" x14ac:dyDescent="0.2">
      <c r="A1261" s="22" t="str">
        <f t="shared" si="19"/>
        <v/>
      </c>
      <c r="B1261" s="31">
        <v>43260</v>
      </c>
      <c r="C1261" s="32" t="s">
        <v>61</v>
      </c>
      <c r="D1261" s="32">
        <v>43254</v>
      </c>
      <c r="E1261" s="33"/>
      <c r="F1261" s="33"/>
      <c r="G1261" s="27"/>
    </row>
    <row r="1262" spans="1:7" x14ac:dyDescent="0.2">
      <c r="A1262" s="22" t="str">
        <f t="shared" si="19"/>
        <v/>
      </c>
      <c r="B1262" s="31">
        <v>43261</v>
      </c>
      <c r="C1262" s="32" t="s">
        <v>55</v>
      </c>
      <c r="D1262" s="32">
        <v>43261</v>
      </c>
      <c r="E1262" s="33"/>
      <c r="F1262" s="33"/>
      <c r="G1262" s="27"/>
    </row>
    <row r="1263" spans="1:7" x14ac:dyDescent="0.2">
      <c r="A1263" s="22" t="str">
        <f t="shared" si="19"/>
        <v/>
      </c>
      <c r="B1263" s="31">
        <v>43262</v>
      </c>
      <c r="C1263" s="32" t="s">
        <v>56</v>
      </c>
      <c r="D1263" s="32">
        <v>43261</v>
      </c>
      <c r="E1263" s="33"/>
      <c r="F1263" s="33"/>
      <c r="G1263" s="27"/>
    </row>
    <row r="1264" spans="1:7" x14ac:dyDescent="0.2">
      <c r="A1264" s="22" t="str">
        <f t="shared" si="19"/>
        <v/>
      </c>
      <c r="B1264" s="31">
        <v>43263</v>
      </c>
      <c r="C1264" s="32" t="s">
        <v>57</v>
      </c>
      <c r="D1264" s="32">
        <v>43261</v>
      </c>
      <c r="E1264" s="33"/>
      <c r="F1264" s="33"/>
      <c r="G1264" s="27"/>
    </row>
    <row r="1265" spans="1:7" x14ac:dyDescent="0.2">
      <c r="A1265" s="22" t="str">
        <f t="shared" si="19"/>
        <v/>
      </c>
      <c r="B1265" s="31">
        <v>43264</v>
      </c>
      <c r="C1265" s="32" t="s">
        <v>58</v>
      </c>
      <c r="D1265" s="32">
        <v>43261</v>
      </c>
      <c r="E1265" s="33"/>
      <c r="F1265" s="33"/>
      <c r="G1265" s="27"/>
    </row>
    <row r="1266" spans="1:7" x14ac:dyDescent="0.2">
      <c r="A1266" s="22" t="str">
        <f t="shared" si="19"/>
        <v/>
      </c>
      <c r="B1266" s="31">
        <v>43265</v>
      </c>
      <c r="C1266" s="32" t="s">
        <v>59</v>
      </c>
      <c r="D1266" s="32">
        <v>43261</v>
      </c>
      <c r="E1266" s="33"/>
      <c r="F1266" s="33"/>
      <c r="G1266" s="27"/>
    </row>
    <row r="1267" spans="1:7" x14ac:dyDescent="0.2">
      <c r="A1267" s="22" t="str">
        <f t="shared" si="19"/>
        <v/>
      </c>
      <c r="B1267" s="31">
        <v>43266</v>
      </c>
      <c r="C1267" s="32" t="s">
        <v>60</v>
      </c>
      <c r="D1267" s="32">
        <v>43261</v>
      </c>
      <c r="E1267" s="33"/>
      <c r="F1267" s="33"/>
      <c r="G1267" s="27"/>
    </row>
    <row r="1268" spans="1:7" x14ac:dyDescent="0.2">
      <c r="A1268" s="22" t="str">
        <f t="shared" si="19"/>
        <v/>
      </c>
      <c r="B1268" s="31">
        <v>43267</v>
      </c>
      <c r="C1268" s="32" t="s">
        <v>61</v>
      </c>
      <c r="D1268" s="32">
        <v>43261</v>
      </c>
      <c r="E1268" s="33"/>
      <c r="F1268" s="33"/>
      <c r="G1268" s="27"/>
    </row>
    <row r="1269" spans="1:7" x14ac:dyDescent="0.2">
      <c r="A1269" s="22" t="str">
        <f t="shared" si="19"/>
        <v/>
      </c>
      <c r="B1269" s="31">
        <v>43268</v>
      </c>
      <c r="C1269" s="32" t="s">
        <v>55</v>
      </c>
      <c r="D1269" s="32">
        <v>43268</v>
      </c>
      <c r="E1269" s="33"/>
      <c r="F1269" s="33"/>
      <c r="G1269" s="27"/>
    </row>
    <row r="1270" spans="1:7" x14ac:dyDescent="0.2">
      <c r="A1270" s="22" t="str">
        <f t="shared" si="19"/>
        <v/>
      </c>
      <c r="B1270" s="31">
        <v>43269</v>
      </c>
      <c r="C1270" s="32" t="s">
        <v>56</v>
      </c>
      <c r="D1270" s="32">
        <v>43268</v>
      </c>
      <c r="E1270" s="33"/>
      <c r="F1270" s="33"/>
      <c r="G1270" s="27"/>
    </row>
    <row r="1271" spans="1:7" x14ac:dyDescent="0.2">
      <c r="A1271" s="22" t="str">
        <f t="shared" si="19"/>
        <v/>
      </c>
      <c r="B1271" s="31">
        <v>43270</v>
      </c>
      <c r="C1271" s="32" t="s">
        <v>57</v>
      </c>
      <c r="D1271" s="32">
        <v>43268</v>
      </c>
      <c r="E1271" s="33"/>
      <c r="F1271" s="33"/>
      <c r="G1271" s="27"/>
    </row>
    <row r="1272" spans="1:7" x14ac:dyDescent="0.2">
      <c r="A1272" s="22" t="str">
        <f t="shared" si="19"/>
        <v/>
      </c>
      <c r="B1272" s="31">
        <v>43271</v>
      </c>
      <c r="C1272" s="32" t="s">
        <v>58</v>
      </c>
      <c r="D1272" s="32">
        <v>43268</v>
      </c>
      <c r="E1272" s="33"/>
      <c r="F1272" s="33"/>
      <c r="G1272" s="27"/>
    </row>
    <row r="1273" spans="1:7" x14ac:dyDescent="0.2">
      <c r="A1273" s="22" t="str">
        <f t="shared" si="19"/>
        <v/>
      </c>
      <c r="B1273" s="31">
        <v>43272</v>
      </c>
      <c r="C1273" s="32" t="s">
        <v>59</v>
      </c>
      <c r="D1273" s="32">
        <v>43268</v>
      </c>
      <c r="E1273" s="33"/>
      <c r="F1273" s="33"/>
      <c r="G1273" s="27"/>
    </row>
    <row r="1274" spans="1:7" x14ac:dyDescent="0.2">
      <c r="A1274" s="22" t="str">
        <f t="shared" si="19"/>
        <v/>
      </c>
      <c r="B1274" s="31">
        <v>43273</v>
      </c>
      <c r="C1274" s="32" t="s">
        <v>60</v>
      </c>
      <c r="D1274" s="32">
        <v>43268</v>
      </c>
      <c r="E1274" s="33"/>
      <c r="F1274" s="33"/>
      <c r="G1274" s="27"/>
    </row>
    <row r="1275" spans="1:7" x14ac:dyDescent="0.2">
      <c r="A1275" s="22" t="str">
        <f t="shared" si="19"/>
        <v/>
      </c>
      <c r="B1275" s="31">
        <v>43274</v>
      </c>
      <c r="C1275" s="32" t="s">
        <v>61</v>
      </c>
      <c r="D1275" s="32">
        <v>43268</v>
      </c>
      <c r="E1275" s="33"/>
      <c r="F1275" s="33"/>
      <c r="G1275" s="27"/>
    </row>
    <row r="1276" spans="1:7" x14ac:dyDescent="0.2">
      <c r="A1276" s="22" t="str">
        <f t="shared" si="19"/>
        <v/>
      </c>
      <c r="B1276" s="31">
        <v>43275</v>
      </c>
      <c r="C1276" s="32" t="s">
        <v>55</v>
      </c>
      <c r="D1276" s="32">
        <v>43275</v>
      </c>
      <c r="E1276" s="33"/>
      <c r="F1276" s="33"/>
      <c r="G1276" s="27"/>
    </row>
    <row r="1277" spans="1:7" x14ac:dyDescent="0.2">
      <c r="A1277" s="22" t="str">
        <f t="shared" si="19"/>
        <v/>
      </c>
      <c r="B1277" s="31">
        <v>43276</v>
      </c>
      <c r="C1277" s="32" t="s">
        <v>56</v>
      </c>
      <c r="D1277" s="32">
        <v>43275</v>
      </c>
      <c r="E1277" s="33"/>
      <c r="F1277" s="33"/>
      <c r="G1277" s="27"/>
    </row>
    <row r="1278" spans="1:7" x14ac:dyDescent="0.2">
      <c r="A1278" s="22" t="str">
        <f t="shared" si="19"/>
        <v/>
      </c>
      <c r="B1278" s="31">
        <v>43277</v>
      </c>
      <c r="C1278" s="32" t="s">
        <v>57</v>
      </c>
      <c r="D1278" s="32">
        <v>43275</v>
      </c>
      <c r="E1278" s="33"/>
      <c r="F1278" s="33"/>
      <c r="G1278" s="27"/>
    </row>
    <row r="1279" spans="1:7" x14ac:dyDescent="0.2">
      <c r="A1279" s="22" t="str">
        <f t="shared" si="19"/>
        <v/>
      </c>
      <c r="B1279" s="31">
        <v>43278</v>
      </c>
      <c r="C1279" s="32" t="s">
        <v>58</v>
      </c>
      <c r="D1279" s="32">
        <v>43275</v>
      </c>
      <c r="E1279" s="33"/>
      <c r="F1279" s="33"/>
      <c r="G1279" s="27"/>
    </row>
    <row r="1280" spans="1:7" x14ac:dyDescent="0.2">
      <c r="A1280" s="22" t="str">
        <f t="shared" si="19"/>
        <v/>
      </c>
      <c r="B1280" s="31">
        <v>43279</v>
      </c>
      <c r="C1280" s="32" t="s">
        <v>59</v>
      </c>
      <c r="D1280" s="32">
        <v>43275</v>
      </c>
      <c r="E1280" s="33"/>
      <c r="F1280" s="33"/>
      <c r="G1280" s="27"/>
    </row>
    <row r="1281" spans="1:7" x14ac:dyDescent="0.2">
      <c r="A1281" s="22" t="str">
        <f t="shared" si="19"/>
        <v/>
      </c>
      <c r="B1281" s="31">
        <v>43280</v>
      </c>
      <c r="C1281" s="32" t="s">
        <v>60</v>
      </c>
      <c r="D1281" s="32">
        <v>43275</v>
      </c>
      <c r="E1281" s="33"/>
      <c r="F1281" s="33"/>
      <c r="G1281" s="27"/>
    </row>
    <row r="1282" spans="1:7" x14ac:dyDescent="0.2">
      <c r="A1282" s="22" t="str">
        <f t="shared" si="19"/>
        <v/>
      </c>
      <c r="B1282" s="31">
        <v>43281</v>
      </c>
      <c r="C1282" s="32" t="s">
        <v>61</v>
      </c>
      <c r="D1282" s="32">
        <v>43275</v>
      </c>
      <c r="E1282" s="33"/>
      <c r="F1282" s="33"/>
      <c r="G1282" s="27"/>
    </row>
    <row r="1283" spans="1:7" x14ac:dyDescent="0.2">
      <c r="A1283" s="22" t="str">
        <f t="shared" ref="A1283:A1346" si="20">RIGHT(G1283,4)</f>
        <v/>
      </c>
      <c r="B1283" s="31">
        <v>43282</v>
      </c>
      <c r="C1283" s="32" t="s">
        <v>55</v>
      </c>
      <c r="D1283" s="32">
        <v>43282</v>
      </c>
      <c r="E1283" s="33"/>
      <c r="F1283" s="33"/>
      <c r="G1283" s="27"/>
    </row>
    <row r="1284" spans="1:7" x14ac:dyDescent="0.2">
      <c r="A1284" s="22" t="str">
        <f t="shared" si="20"/>
        <v/>
      </c>
      <c r="B1284" s="31">
        <v>43283</v>
      </c>
      <c r="C1284" s="32" t="s">
        <v>56</v>
      </c>
      <c r="D1284" s="32">
        <v>43282</v>
      </c>
      <c r="E1284" s="33"/>
      <c r="F1284" s="33"/>
      <c r="G1284" s="27"/>
    </row>
    <row r="1285" spans="1:7" x14ac:dyDescent="0.2">
      <c r="A1285" s="22" t="str">
        <f t="shared" si="20"/>
        <v/>
      </c>
      <c r="B1285" s="31">
        <v>43284</v>
      </c>
      <c r="C1285" s="32" t="s">
        <v>57</v>
      </c>
      <c r="D1285" s="32">
        <v>43282</v>
      </c>
      <c r="E1285" s="33"/>
      <c r="F1285" s="33"/>
      <c r="G1285" s="27"/>
    </row>
    <row r="1286" spans="1:7" x14ac:dyDescent="0.2">
      <c r="A1286" s="22" t="str">
        <f t="shared" si="20"/>
        <v/>
      </c>
      <c r="B1286" s="31">
        <v>43285</v>
      </c>
      <c r="C1286" s="32" t="s">
        <v>58</v>
      </c>
      <c r="D1286" s="32">
        <v>43282</v>
      </c>
      <c r="E1286" s="33"/>
      <c r="F1286" s="33"/>
      <c r="G1286" s="27"/>
    </row>
    <row r="1287" spans="1:7" x14ac:dyDescent="0.2">
      <c r="A1287" s="22" t="str">
        <f t="shared" si="20"/>
        <v/>
      </c>
      <c r="B1287" s="31">
        <v>43286</v>
      </c>
      <c r="C1287" s="32" t="s">
        <v>59</v>
      </c>
      <c r="D1287" s="32">
        <v>43282</v>
      </c>
      <c r="E1287" s="33"/>
      <c r="F1287" s="33"/>
      <c r="G1287" s="27"/>
    </row>
    <row r="1288" spans="1:7" x14ac:dyDescent="0.2">
      <c r="A1288" s="22" t="str">
        <f t="shared" si="20"/>
        <v/>
      </c>
      <c r="B1288" s="31">
        <v>43287</v>
      </c>
      <c r="C1288" s="32" t="s">
        <v>60</v>
      </c>
      <c r="D1288" s="32">
        <v>43282</v>
      </c>
      <c r="E1288" s="33"/>
      <c r="F1288" s="33"/>
      <c r="G1288" s="27"/>
    </row>
    <row r="1289" spans="1:7" x14ac:dyDescent="0.2">
      <c r="A1289" s="22" t="str">
        <f t="shared" si="20"/>
        <v/>
      </c>
      <c r="B1289" s="31">
        <v>43288</v>
      </c>
      <c r="C1289" s="32" t="s">
        <v>61</v>
      </c>
      <c r="D1289" s="32">
        <v>43282</v>
      </c>
      <c r="E1289" s="33"/>
      <c r="F1289" s="33"/>
      <c r="G1289" s="27"/>
    </row>
    <row r="1290" spans="1:7" x14ac:dyDescent="0.2">
      <c r="A1290" s="22" t="str">
        <f t="shared" si="20"/>
        <v/>
      </c>
      <c r="B1290" s="31">
        <v>43289</v>
      </c>
      <c r="C1290" s="32" t="s">
        <v>55</v>
      </c>
      <c r="D1290" s="32">
        <v>43289</v>
      </c>
      <c r="E1290" s="33"/>
      <c r="F1290" s="33"/>
      <c r="G1290" s="27"/>
    </row>
    <row r="1291" spans="1:7" x14ac:dyDescent="0.2">
      <c r="A1291" s="22" t="str">
        <f t="shared" si="20"/>
        <v/>
      </c>
      <c r="B1291" s="31">
        <v>43290</v>
      </c>
      <c r="C1291" s="32" t="s">
        <v>56</v>
      </c>
      <c r="D1291" s="32">
        <v>43289</v>
      </c>
      <c r="E1291" s="33"/>
      <c r="F1291" s="33"/>
      <c r="G1291" s="27"/>
    </row>
    <row r="1292" spans="1:7" x14ac:dyDescent="0.2">
      <c r="A1292" s="22" t="str">
        <f t="shared" si="20"/>
        <v/>
      </c>
      <c r="B1292" s="31">
        <v>43291</v>
      </c>
      <c r="C1292" s="32" t="s">
        <v>57</v>
      </c>
      <c r="D1292" s="32">
        <v>43289</v>
      </c>
      <c r="E1292" s="33"/>
      <c r="F1292" s="33"/>
      <c r="G1292" s="27"/>
    </row>
    <row r="1293" spans="1:7" x14ac:dyDescent="0.2">
      <c r="A1293" s="22" t="str">
        <f t="shared" si="20"/>
        <v/>
      </c>
      <c r="B1293" s="31">
        <v>43292</v>
      </c>
      <c r="C1293" s="32" t="s">
        <v>58</v>
      </c>
      <c r="D1293" s="32">
        <v>43289</v>
      </c>
      <c r="E1293" s="33"/>
      <c r="F1293" s="33"/>
      <c r="G1293" s="27"/>
    </row>
    <row r="1294" spans="1:7" x14ac:dyDescent="0.2">
      <c r="A1294" s="22" t="str">
        <f t="shared" si="20"/>
        <v/>
      </c>
      <c r="B1294" s="31">
        <v>43293</v>
      </c>
      <c r="C1294" s="32" t="s">
        <v>59</v>
      </c>
      <c r="D1294" s="32">
        <v>43289</v>
      </c>
      <c r="E1294" s="33"/>
      <c r="F1294" s="33"/>
      <c r="G1294" s="27"/>
    </row>
    <row r="1295" spans="1:7" x14ac:dyDescent="0.2">
      <c r="A1295" s="22" t="str">
        <f t="shared" si="20"/>
        <v/>
      </c>
      <c r="B1295" s="31">
        <v>43294</v>
      </c>
      <c r="C1295" s="32" t="s">
        <v>60</v>
      </c>
      <c r="D1295" s="32">
        <v>43289</v>
      </c>
      <c r="E1295" s="33"/>
      <c r="F1295" s="33"/>
      <c r="G1295" s="27"/>
    </row>
    <row r="1296" spans="1:7" x14ac:dyDescent="0.2">
      <c r="A1296" s="22" t="str">
        <f t="shared" si="20"/>
        <v/>
      </c>
      <c r="B1296" s="31">
        <v>43295</v>
      </c>
      <c r="C1296" s="32" t="s">
        <v>61</v>
      </c>
      <c r="D1296" s="32">
        <v>43289</v>
      </c>
      <c r="E1296" s="33"/>
      <c r="F1296" s="33"/>
      <c r="G1296" s="27"/>
    </row>
    <row r="1297" spans="1:7" x14ac:dyDescent="0.2">
      <c r="A1297" s="22" t="str">
        <f t="shared" si="20"/>
        <v/>
      </c>
      <c r="B1297" s="31">
        <v>43296</v>
      </c>
      <c r="C1297" s="32" t="s">
        <v>55</v>
      </c>
      <c r="D1297" s="32">
        <v>43296</v>
      </c>
      <c r="E1297" s="33"/>
      <c r="F1297" s="33"/>
      <c r="G1297" s="27"/>
    </row>
    <row r="1298" spans="1:7" x14ac:dyDescent="0.2">
      <c r="A1298" s="22" t="str">
        <f t="shared" si="20"/>
        <v/>
      </c>
      <c r="B1298" s="31">
        <v>43297</v>
      </c>
      <c r="C1298" s="32" t="s">
        <v>56</v>
      </c>
      <c r="D1298" s="32">
        <v>43296</v>
      </c>
      <c r="E1298" s="33"/>
      <c r="F1298" s="33"/>
      <c r="G1298" s="27"/>
    </row>
    <row r="1299" spans="1:7" x14ac:dyDescent="0.2">
      <c r="A1299" s="22" t="str">
        <f t="shared" si="20"/>
        <v/>
      </c>
      <c r="B1299" s="31">
        <v>43298</v>
      </c>
      <c r="C1299" s="32" t="s">
        <v>57</v>
      </c>
      <c r="D1299" s="32">
        <v>43296</v>
      </c>
      <c r="E1299" s="33"/>
      <c r="F1299" s="33"/>
      <c r="G1299" s="27"/>
    </row>
    <row r="1300" spans="1:7" x14ac:dyDescent="0.2">
      <c r="A1300" s="22" t="str">
        <f t="shared" si="20"/>
        <v/>
      </c>
      <c r="B1300" s="31">
        <v>43299</v>
      </c>
      <c r="C1300" s="32" t="s">
        <v>58</v>
      </c>
      <c r="D1300" s="32">
        <v>43296</v>
      </c>
      <c r="E1300" s="33"/>
      <c r="F1300" s="33"/>
      <c r="G1300" s="27"/>
    </row>
    <row r="1301" spans="1:7" x14ac:dyDescent="0.2">
      <c r="A1301" s="22" t="str">
        <f t="shared" si="20"/>
        <v/>
      </c>
      <c r="B1301" s="31">
        <v>43300</v>
      </c>
      <c r="C1301" s="32" t="s">
        <v>59</v>
      </c>
      <c r="D1301" s="32">
        <v>43296</v>
      </c>
      <c r="E1301" s="33"/>
      <c r="F1301" s="33"/>
      <c r="G1301" s="27"/>
    </row>
    <row r="1302" spans="1:7" x14ac:dyDescent="0.2">
      <c r="A1302" s="22" t="str">
        <f t="shared" si="20"/>
        <v/>
      </c>
      <c r="B1302" s="31">
        <v>43301</v>
      </c>
      <c r="C1302" s="32" t="s">
        <v>60</v>
      </c>
      <c r="D1302" s="32">
        <v>43296</v>
      </c>
      <c r="E1302" s="33"/>
      <c r="F1302" s="33"/>
      <c r="G1302" s="27"/>
    </row>
    <row r="1303" spans="1:7" x14ac:dyDescent="0.2">
      <c r="A1303" s="22" t="str">
        <f t="shared" si="20"/>
        <v/>
      </c>
      <c r="B1303" s="31">
        <v>43302</v>
      </c>
      <c r="C1303" s="32" t="s">
        <v>61</v>
      </c>
      <c r="D1303" s="32">
        <v>43296</v>
      </c>
      <c r="E1303" s="33"/>
      <c r="F1303" s="33"/>
      <c r="G1303" s="27"/>
    </row>
    <row r="1304" spans="1:7" x14ac:dyDescent="0.2">
      <c r="A1304" s="22" t="str">
        <f t="shared" si="20"/>
        <v/>
      </c>
      <c r="B1304" s="31">
        <v>43303</v>
      </c>
      <c r="C1304" s="32" t="s">
        <v>55</v>
      </c>
      <c r="D1304" s="32">
        <v>43303</v>
      </c>
      <c r="E1304" s="33"/>
      <c r="F1304" s="33"/>
      <c r="G1304" s="27"/>
    </row>
    <row r="1305" spans="1:7" x14ac:dyDescent="0.2">
      <c r="A1305" s="22" t="str">
        <f t="shared" si="20"/>
        <v/>
      </c>
      <c r="B1305" s="31">
        <v>43304</v>
      </c>
      <c r="C1305" s="32" t="s">
        <v>56</v>
      </c>
      <c r="D1305" s="32">
        <v>43303</v>
      </c>
      <c r="E1305" s="33"/>
      <c r="F1305" s="33"/>
      <c r="G1305" s="27"/>
    </row>
    <row r="1306" spans="1:7" x14ac:dyDescent="0.2">
      <c r="A1306" s="22" t="str">
        <f t="shared" si="20"/>
        <v/>
      </c>
      <c r="B1306" s="31">
        <v>43305</v>
      </c>
      <c r="C1306" s="32" t="s">
        <v>57</v>
      </c>
      <c r="D1306" s="32">
        <v>43303</v>
      </c>
      <c r="E1306" s="33"/>
      <c r="F1306" s="33"/>
      <c r="G1306" s="27"/>
    </row>
    <row r="1307" spans="1:7" x14ac:dyDescent="0.2">
      <c r="A1307" s="22" t="str">
        <f t="shared" si="20"/>
        <v/>
      </c>
      <c r="B1307" s="31">
        <v>43306</v>
      </c>
      <c r="C1307" s="32" t="s">
        <v>58</v>
      </c>
      <c r="D1307" s="32">
        <v>43303</v>
      </c>
      <c r="E1307" s="33"/>
      <c r="F1307" s="33"/>
      <c r="G1307" s="27"/>
    </row>
    <row r="1308" spans="1:7" x14ac:dyDescent="0.2">
      <c r="A1308" s="22" t="str">
        <f t="shared" si="20"/>
        <v/>
      </c>
      <c r="B1308" s="31">
        <v>43307</v>
      </c>
      <c r="C1308" s="32" t="s">
        <v>59</v>
      </c>
      <c r="D1308" s="32">
        <v>43303</v>
      </c>
      <c r="E1308" s="33"/>
      <c r="F1308" s="33"/>
      <c r="G1308" s="27"/>
    </row>
    <row r="1309" spans="1:7" x14ac:dyDescent="0.2">
      <c r="A1309" s="22" t="str">
        <f t="shared" si="20"/>
        <v/>
      </c>
      <c r="B1309" s="31">
        <v>43308</v>
      </c>
      <c r="C1309" s="32" t="s">
        <v>60</v>
      </c>
      <c r="D1309" s="32">
        <v>43303</v>
      </c>
      <c r="E1309" s="33"/>
      <c r="F1309" s="33"/>
      <c r="G1309" s="27"/>
    </row>
    <row r="1310" spans="1:7" x14ac:dyDescent="0.2">
      <c r="A1310" s="22" t="str">
        <f t="shared" si="20"/>
        <v/>
      </c>
      <c r="B1310" s="31">
        <v>43309</v>
      </c>
      <c r="C1310" s="32" t="s">
        <v>61</v>
      </c>
      <c r="D1310" s="32">
        <v>43303</v>
      </c>
      <c r="E1310" s="33"/>
      <c r="F1310" s="33"/>
      <c r="G1310" s="27"/>
    </row>
    <row r="1311" spans="1:7" x14ac:dyDescent="0.2">
      <c r="A1311" s="22" t="str">
        <f t="shared" si="20"/>
        <v/>
      </c>
      <c r="B1311" s="31">
        <v>43310</v>
      </c>
      <c r="C1311" s="32" t="s">
        <v>55</v>
      </c>
      <c r="D1311" s="32">
        <v>43310</v>
      </c>
      <c r="E1311" s="33"/>
      <c r="F1311" s="33"/>
      <c r="G1311" s="27"/>
    </row>
    <row r="1312" spans="1:7" x14ac:dyDescent="0.2">
      <c r="A1312" s="22" t="str">
        <f t="shared" si="20"/>
        <v/>
      </c>
      <c r="B1312" s="31">
        <v>43311</v>
      </c>
      <c r="C1312" s="32" t="s">
        <v>56</v>
      </c>
      <c r="D1312" s="32">
        <v>43310</v>
      </c>
      <c r="E1312" s="33"/>
      <c r="F1312" s="33"/>
      <c r="G1312" s="27"/>
    </row>
    <row r="1313" spans="1:7" x14ac:dyDescent="0.2">
      <c r="A1313" s="22" t="str">
        <f t="shared" si="20"/>
        <v/>
      </c>
      <c r="B1313" s="31">
        <v>43312</v>
      </c>
      <c r="C1313" s="32" t="s">
        <v>57</v>
      </c>
      <c r="D1313" s="32">
        <v>43310</v>
      </c>
      <c r="E1313" s="33"/>
      <c r="F1313" s="33"/>
      <c r="G1313" s="27"/>
    </row>
    <row r="1314" spans="1:7" x14ac:dyDescent="0.2">
      <c r="A1314" s="22" t="str">
        <f t="shared" si="20"/>
        <v/>
      </c>
      <c r="B1314" s="31">
        <v>43313</v>
      </c>
      <c r="C1314" s="32" t="s">
        <v>58</v>
      </c>
      <c r="D1314" s="32">
        <v>43310</v>
      </c>
      <c r="E1314" s="33"/>
      <c r="F1314" s="33"/>
      <c r="G1314" s="27"/>
    </row>
    <row r="1315" spans="1:7" x14ac:dyDescent="0.2">
      <c r="A1315" s="22" t="str">
        <f t="shared" si="20"/>
        <v/>
      </c>
      <c r="B1315" s="31">
        <v>43314</v>
      </c>
      <c r="C1315" s="32" t="s">
        <v>59</v>
      </c>
      <c r="D1315" s="32">
        <v>43310</v>
      </c>
      <c r="E1315" s="33"/>
      <c r="F1315" s="33"/>
      <c r="G1315" s="27"/>
    </row>
    <row r="1316" spans="1:7" x14ac:dyDescent="0.2">
      <c r="A1316" s="22" t="str">
        <f t="shared" si="20"/>
        <v/>
      </c>
      <c r="B1316" s="31">
        <v>43315</v>
      </c>
      <c r="C1316" s="32" t="s">
        <v>60</v>
      </c>
      <c r="D1316" s="32">
        <v>43310</v>
      </c>
      <c r="E1316" s="33"/>
      <c r="F1316" s="33"/>
      <c r="G1316" s="27"/>
    </row>
    <row r="1317" spans="1:7" x14ac:dyDescent="0.2">
      <c r="A1317" s="22" t="str">
        <f t="shared" si="20"/>
        <v/>
      </c>
      <c r="B1317" s="31">
        <v>43316</v>
      </c>
      <c r="C1317" s="32" t="s">
        <v>61</v>
      </c>
      <c r="D1317" s="32">
        <v>43310</v>
      </c>
      <c r="E1317" s="33"/>
      <c r="F1317" s="33"/>
      <c r="G1317" s="27"/>
    </row>
    <row r="1318" spans="1:7" x14ac:dyDescent="0.2">
      <c r="A1318" s="22" t="str">
        <f t="shared" si="20"/>
        <v/>
      </c>
      <c r="B1318" s="31">
        <v>43317</v>
      </c>
      <c r="C1318" s="32" t="s">
        <v>55</v>
      </c>
      <c r="D1318" s="32">
        <v>43317</v>
      </c>
      <c r="E1318" s="33"/>
      <c r="F1318" s="33"/>
      <c r="G1318" s="27"/>
    </row>
    <row r="1319" spans="1:7" x14ac:dyDescent="0.2">
      <c r="A1319" s="22" t="str">
        <f t="shared" si="20"/>
        <v/>
      </c>
      <c r="B1319" s="31">
        <v>43318</v>
      </c>
      <c r="C1319" s="32" t="s">
        <v>56</v>
      </c>
      <c r="D1319" s="32">
        <v>43317</v>
      </c>
      <c r="E1319" s="33"/>
      <c r="F1319" s="33"/>
      <c r="G1319" s="27"/>
    </row>
    <row r="1320" spans="1:7" x14ac:dyDescent="0.2">
      <c r="A1320" s="22" t="str">
        <f t="shared" si="20"/>
        <v/>
      </c>
      <c r="B1320" s="31">
        <v>43319</v>
      </c>
      <c r="C1320" s="32" t="s">
        <v>57</v>
      </c>
      <c r="D1320" s="32">
        <v>43317</v>
      </c>
      <c r="E1320" s="33"/>
      <c r="F1320" s="33"/>
      <c r="G1320" s="27"/>
    </row>
    <row r="1321" spans="1:7" x14ac:dyDescent="0.2">
      <c r="A1321" s="22" t="str">
        <f t="shared" si="20"/>
        <v/>
      </c>
      <c r="B1321" s="31">
        <v>43320</v>
      </c>
      <c r="C1321" s="32" t="s">
        <v>58</v>
      </c>
      <c r="D1321" s="32">
        <v>43317</v>
      </c>
      <c r="E1321" s="33"/>
      <c r="F1321" s="33"/>
      <c r="G1321" s="27"/>
    </row>
    <row r="1322" spans="1:7" x14ac:dyDescent="0.2">
      <c r="A1322" s="22" t="str">
        <f t="shared" si="20"/>
        <v/>
      </c>
      <c r="B1322" s="31">
        <v>43321</v>
      </c>
      <c r="C1322" s="32" t="s">
        <v>59</v>
      </c>
      <c r="D1322" s="32">
        <v>43317</v>
      </c>
      <c r="E1322" s="33"/>
      <c r="F1322" s="33"/>
      <c r="G1322" s="27"/>
    </row>
    <row r="1323" spans="1:7" x14ac:dyDescent="0.2">
      <c r="A1323" s="22" t="str">
        <f t="shared" si="20"/>
        <v/>
      </c>
      <c r="B1323" s="31">
        <v>43322</v>
      </c>
      <c r="C1323" s="32" t="s">
        <v>60</v>
      </c>
      <c r="D1323" s="32">
        <v>43317</v>
      </c>
      <c r="E1323" s="33"/>
      <c r="F1323" s="33"/>
      <c r="G1323" s="27"/>
    </row>
    <row r="1324" spans="1:7" x14ac:dyDescent="0.2">
      <c r="A1324" s="22" t="str">
        <f t="shared" si="20"/>
        <v/>
      </c>
      <c r="B1324" s="31">
        <v>43323</v>
      </c>
      <c r="C1324" s="32" t="s">
        <v>61</v>
      </c>
      <c r="D1324" s="32">
        <v>43317</v>
      </c>
      <c r="E1324" s="33"/>
      <c r="F1324" s="33"/>
      <c r="G1324" s="27"/>
    </row>
    <row r="1325" spans="1:7" x14ac:dyDescent="0.2">
      <c r="A1325" s="22" t="str">
        <f t="shared" si="20"/>
        <v/>
      </c>
      <c r="B1325" s="31">
        <v>43324</v>
      </c>
      <c r="C1325" s="32" t="s">
        <v>55</v>
      </c>
      <c r="D1325" s="32">
        <v>43324</v>
      </c>
      <c r="E1325" s="33"/>
      <c r="F1325" s="33"/>
      <c r="G1325" s="27"/>
    </row>
    <row r="1326" spans="1:7" x14ac:dyDescent="0.2">
      <c r="A1326" s="22" t="str">
        <f t="shared" si="20"/>
        <v/>
      </c>
      <c r="B1326" s="31">
        <v>43325</v>
      </c>
      <c r="C1326" s="32" t="s">
        <v>56</v>
      </c>
      <c r="D1326" s="32">
        <v>43324</v>
      </c>
      <c r="E1326" s="33"/>
      <c r="F1326" s="33"/>
      <c r="G1326" s="27"/>
    </row>
    <row r="1327" spans="1:7" x14ac:dyDescent="0.2">
      <c r="A1327" s="22" t="str">
        <f t="shared" si="20"/>
        <v/>
      </c>
      <c r="B1327" s="31">
        <v>43326</v>
      </c>
      <c r="C1327" s="32" t="s">
        <v>57</v>
      </c>
      <c r="D1327" s="32">
        <v>43324</v>
      </c>
      <c r="E1327" s="33"/>
      <c r="F1327" s="33"/>
      <c r="G1327" s="27"/>
    </row>
    <row r="1328" spans="1:7" x14ac:dyDescent="0.2">
      <c r="A1328" s="22" t="str">
        <f t="shared" si="20"/>
        <v/>
      </c>
      <c r="B1328" s="31">
        <v>43327</v>
      </c>
      <c r="C1328" s="32" t="s">
        <v>58</v>
      </c>
      <c r="D1328" s="32">
        <v>43324</v>
      </c>
      <c r="E1328" s="33"/>
      <c r="F1328" s="33"/>
      <c r="G1328" s="27"/>
    </row>
    <row r="1329" spans="1:7" x14ac:dyDescent="0.2">
      <c r="A1329" s="22" t="str">
        <f t="shared" si="20"/>
        <v/>
      </c>
      <c r="B1329" s="31">
        <v>43328</v>
      </c>
      <c r="C1329" s="32" t="s">
        <v>59</v>
      </c>
      <c r="D1329" s="32">
        <v>43324</v>
      </c>
      <c r="E1329" s="33"/>
      <c r="F1329" s="33"/>
      <c r="G1329" s="27"/>
    </row>
    <row r="1330" spans="1:7" x14ac:dyDescent="0.2">
      <c r="A1330" s="22" t="str">
        <f t="shared" si="20"/>
        <v/>
      </c>
      <c r="B1330" s="31">
        <v>43329</v>
      </c>
      <c r="C1330" s="32" t="s">
        <v>60</v>
      </c>
      <c r="D1330" s="32">
        <v>43324</v>
      </c>
      <c r="E1330" s="33"/>
      <c r="F1330" s="33"/>
      <c r="G1330" s="27"/>
    </row>
    <row r="1331" spans="1:7" x14ac:dyDescent="0.2">
      <c r="A1331" s="22" t="str">
        <f t="shared" si="20"/>
        <v/>
      </c>
      <c r="B1331" s="31">
        <v>43330</v>
      </c>
      <c r="C1331" s="32" t="s">
        <v>61</v>
      </c>
      <c r="D1331" s="32">
        <v>43324</v>
      </c>
      <c r="E1331" s="33"/>
      <c r="F1331" s="33"/>
      <c r="G1331" s="27"/>
    </row>
    <row r="1332" spans="1:7" x14ac:dyDescent="0.2">
      <c r="A1332" s="22" t="str">
        <f t="shared" si="20"/>
        <v/>
      </c>
      <c r="B1332" s="31">
        <v>43331</v>
      </c>
      <c r="C1332" s="32" t="s">
        <v>55</v>
      </c>
      <c r="D1332" s="32">
        <v>43331</v>
      </c>
      <c r="E1332" s="33"/>
      <c r="F1332" s="33"/>
      <c r="G1332" s="27"/>
    </row>
    <row r="1333" spans="1:7" x14ac:dyDescent="0.2">
      <c r="A1333" s="22" t="str">
        <f t="shared" si="20"/>
        <v/>
      </c>
      <c r="B1333" s="31">
        <v>43332</v>
      </c>
      <c r="C1333" s="32" t="s">
        <v>56</v>
      </c>
      <c r="D1333" s="32">
        <v>43331</v>
      </c>
      <c r="E1333" s="33"/>
      <c r="F1333" s="33"/>
      <c r="G1333" s="27"/>
    </row>
    <row r="1334" spans="1:7" x14ac:dyDescent="0.2">
      <c r="A1334" s="22" t="str">
        <f t="shared" si="20"/>
        <v/>
      </c>
      <c r="B1334" s="31">
        <v>43333</v>
      </c>
      <c r="C1334" s="32" t="s">
        <v>57</v>
      </c>
      <c r="D1334" s="32">
        <v>43331</v>
      </c>
      <c r="E1334" s="33"/>
      <c r="F1334" s="33"/>
      <c r="G1334" s="27"/>
    </row>
    <row r="1335" spans="1:7" x14ac:dyDescent="0.2">
      <c r="A1335" s="22" t="str">
        <f t="shared" si="20"/>
        <v/>
      </c>
      <c r="B1335" s="31">
        <v>43334</v>
      </c>
      <c r="C1335" s="32" t="s">
        <v>58</v>
      </c>
      <c r="D1335" s="32">
        <v>43331</v>
      </c>
      <c r="E1335" s="33"/>
      <c r="F1335" s="33"/>
      <c r="G1335" s="27"/>
    </row>
    <row r="1336" spans="1:7" x14ac:dyDescent="0.2">
      <c r="A1336" s="22" t="str">
        <f t="shared" si="20"/>
        <v/>
      </c>
      <c r="B1336" s="31">
        <v>43335</v>
      </c>
      <c r="C1336" s="32" t="s">
        <v>59</v>
      </c>
      <c r="D1336" s="32">
        <v>43331</v>
      </c>
      <c r="E1336" s="33"/>
      <c r="F1336" s="33"/>
      <c r="G1336" s="27"/>
    </row>
    <row r="1337" spans="1:7" x14ac:dyDescent="0.2">
      <c r="A1337" s="22" t="str">
        <f t="shared" si="20"/>
        <v/>
      </c>
      <c r="B1337" s="31">
        <v>43336</v>
      </c>
      <c r="C1337" s="32" t="s">
        <v>60</v>
      </c>
      <c r="D1337" s="32">
        <v>43331</v>
      </c>
      <c r="E1337" s="33"/>
      <c r="F1337" s="33"/>
      <c r="G1337" s="27"/>
    </row>
    <row r="1338" spans="1:7" x14ac:dyDescent="0.2">
      <c r="A1338" s="22" t="str">
        <f t="shared" si="20"/>
        <v/>
      </c>
      <c r="B1338" s="31">
        <v>43337</v>
      </c>
      <c r="C1338" s="32" t="s">
        <v>61</v>
      </c>
      <c r="D1338" s="32">
        <v>43331</v>
      </c>
      <c r="E1338" s="33"/>
      <c r="F1338" s="33"/>
      <c r="G1338" s="27"/>
    </row>
    <row r="1339" spans="1:7" x14ac:dyDescent="0.2">
      <c r="A1339" s="22" t="str">
        <f t="shared" si="20"/>
        <v/>
      </c>
      <c r="B1339" s="31">
        <v>43338</v>
      </c>
      <c r="C1339" s="32" t="s">
        <v>55</v>
      </c>
      <c r="D1339" s="32">
        <v>43338</v>
      </c>
      <c r="E1339" s="33"/>
      <c r="F1339" s="33"/>
      <c r="G1339" s="27"/>
    </row>
    <row r="1340" spans="1:7" x14ac:dyDescent="0.2">
      <c r="A1340" s="22" t="str">
        <f t="shared" si="20"/>
        <v/>
      </c>
      <c r="B1340" s="31">
        <v>43339</v>
      </c>
      <c r="C1340" s="32" t="s">
        <v>56</v>
      </c>
      <c r="D1340" s="32">
        <v>43338</v>
      </c>
      <c r="E1340" s="33"/>
      <c r="F1340" s="33"/>
      <c r="G1340" s="27"/>
    </row>
    <row r="1341" spans="1:7" x14ac:dyDescent="0.2">
      <c r="A1341" s="22" t="str">
        <f t="shared" si="20"/>
        <v/>
      </c>
      <c r="B1341" s="31">
        <v>43340</v>
      </c>
      <c r="C1341" s="32" t="s">
        <v>57</v>
      </c>
      <c r="D1341" s="32">
        <v>43338</v>
      </c>
      <c r="E1341" s="33"/>
      <c r="F1341" s="33"/>
      <c r="G1341" s="27"/>
    </row>
    <row r="1342" spans="1:7" x14ac:dyDescent="0.2">
      <c r="A1342" s="22" t="str">
        <f t="shared" si="20"/>
        <v/>
      </c>
      <c r="B1342" s="31">
        <v>43341</v>
      </c>
      <c r="C1342" s="32" t="s">
        <v>58</v>
      </c>
      <c r="D1342" s="32">
        <v>43338</v>
      </c>
      <c r="E1342" s="33"/>
      <c r="F1342" s="33"/>
      <c r="G1342" s="27"/>
    </row>
    <row r="1343" spans="1:7" x14ac:dyDescent="0.2">
      <c r="A1343" s="22" t="str">
        <f t="shared" si="20"/>
        <v/>
      </c>
      <c r="B1343" s="31">
        <v>43342</v>
      </c>
      <c r="C1343" s="32" t="s">
        <v>59</v>
      </c>
      <c r="D1343" s="32">
        <v>43338</v>
      </c>
      <c r="E1343" s="33"/>
      <c r="F1343" s="33"/>
      <c r="G1343" s="27"/>
    </row>
    <row r="1344" spans="1:7" x14ac:dyDescent="0.2">
      <c r="A1344" s="22" t="str">
        <f t="shared" si="20"/>
        <v/>
      </c>
      <c r="B1344" s="31">
        <v>43343</v>
      </c>
      <c r="C1344" s="32" t="s">
        <v>60</v>
      </c>
      <c r="D1344" s="32">
        <v>43338</v>
      </c>
      <c r="E1344" s="33"/>
      <c r="F1344" s="33"/>
      <c r="G1344" s="27"/>
    </row>
    <row r="1345" spans="1:7" x14ac:dyDescent="0.2">
      <c r="A1345" s="22" t="str">
        <f t="shared" si="20"/>
        <v/>
      </c>
      <c r="B1345" s="31">
        <v>43344</v>
      </c>
      <c r="C1345" s="32" t="s">
        <v>61</v>
      </c>
      <c r="D1345" s="32">
        <v>43338</v>
      </c>
      <c r="E1345" s="33"/>
      <c r="F1345" s="33"/>
      <c r="G1345" s="27"/>
    </row>
    <row r="1346" spans="1:7" x14ac:dyDescent="0.2">
      <c r="A1346" s="22" t="str">
        <f t="shared" si="20"/>
        <v/>
      </c>
      <c r="B1346" s="31">
        <v>43345</v>
      </c>
      <c r="C1346" s="32" t="s">
        <v>55</v>
      </c>
      <c r="D1346" s="32">
        <v>43345</v>
      </c>
      <c r="E1346" s="33"/>
      <c r="F1346" s="33"/>
      <c r="G1346" s="27"/>
    </row>
    <row r="1347" spans="1:7" x14ac:dyDescent="0.2">
      <c r="A1347" s="22" t="str">
        <f t="shared" ref="A1347:A1410" si="21">RIGHT(G1347,4)</f>
        <v/>
      </c>
      <c r="B1347" s="31">
        <v>43346</v>
      </c>
      <c r="C1347" s="32" t="s">
        <v>56</v>
      </c>
      <c r="D1347" s="32">
        <v>43345</v>
      </c>
      <c r="E1347" s="33"/>
      <c r="F1347" s="33"/>
      <c r="G1347" s="27"/>
    </row>
    <row r="1348" spans="1:7" x14ac:dyDescent="0.2">
      <c r="A1348" s="22" t="str">
        <f t="shared" si="21"/>
        <v/>
      </c>
      <c r="B1348" s="31">
        <v>43347</v>
      </c>
      <c r="C1348" s="32" t="s">
        <v>57</v>
      </c>
      <c r="D1348" s="32">
        <v>43345</v>
      </c>
      <c r="E1348" s="33"/>
      <c r="F1348" s="33"/>
      <c r="G1348" s="27"/>
    </row>
    <row r="1349" spans="1:7" x14ac:dyDescent="0.2">
      <c r="A1349" s="22" t="str">
        <f t="shared" si="21"/>
        <v/>
      </c>
      <c r="B1349" s="31">
        <v>43348</v>
      </c>
      <c r="C1349" s="32" t="s">
        <v>58</v>
      </c>
      <c r="D1349" s="32">
        <v>43345</v>
      </c>
      <c r="E1349" s="33"/>
      <c r="F1349" s="33"/>
      <c r="G1349" s="27"/>
    </row>
    <row r="1350" spans="1:7" x14ac:dyDescent="0.2">
      <c r="A1350" s="22" t="str">
        <f t="shared" si="21"/>
        <v/>
      </c>
      <c r="B1350" s="31">
        <v>43349</v>
      </c>
      <c r="C1350" s="32" t="s">
        <v>59</v>
      </c>
      <c r="D1350" s="32">
        <v>43345</v>
      </c>
      <c r="E1350" s="33"/>
      <c r="F1350" s="33"/>
      <c r="G1350" s="27"/>
    </row>
    <row r="1351" spans="1:7" x14ac:dyDescent="0.2">
      <c r="A1351" s="22" t="str">
        <f t="shared" si="21"/>
        <v/>
      </c>
      <c r="B1351" s="31">
        <v>43350</v>
      </c>
      <c r="C1351" s="32" t="s">
        <v>60</v>
      </c>
      <c r="D1351" s="32">
        <v>43345</v>
      </c>
      <c r="E1351" s="33"/>
      <c r="F1351" s="33"/>
      <c r="G1351" s="27"/>
    </row>
    <row r="1352" spans="1:7" x14ac:dyDescent="0.2">
      <c r="A1352" s="22" t="str">
        <f t="shared" si="21"/>
        <v/>
      </c>
      <c r="B1352" s="31">
        <v>43351</v>
      </c>
      <c r="C1352" s="32" t="s">
        <v>61</v>
      </c>
      <c r="D1352" s="32">
        <v>43345</v>
      </c>
      <c r="E1352" s="33"/>
      <c r="F1352" s="33"/>
      <c r="G1352" s="27"/>
    </row>
    <row r="1353" spans="1:7" x14ac:dyDescent="0.2">
      <c r="A1353" s="22" t="str">
        <f t="shared" si="21"/>
        <v/>
      </c>
      <c r="B1353" s="31">
        <v>43352</v>
      </c>
      <c r="C1353" s="32" t="s">
        <v>55</v>
      </c>
      <c r="D1353" s="32">
        <v>43352</v>
      </c>
      <c r="E1353" s="33"/>
      <c r="F1353" s="33"/>
      <c r="G1353" s="27"/>
    </row>
    <row r="1354" spans="1:7" x14ac:dyDescent="0.2">
      <c r="A1354" s="22" t="str">
        <f t="shared" si="21"/>
        <v/>
      </c>
      <c r="B1354" s="31">
        <v>43353</v>
      </c>
      <c r="C1354" s="32" t="s">
        <v>56</v>
      </c>
      <c r="D1354" s="32">
        <v>43352</v>
      </c>
      <c r="E1354" s="33"/>
      <c r="F1354" s="33"/>
      <c r="G1354" s="27"/>
    </row>
    <row r="1355" spans="1:7" x14ac:dyDescent="0.2">
      <c r="A1355" s="22" t="str">
        <f t="shared" si="21"/>
        <v/>
      </c>
      <c r="B1355" s="31">
        <v>43354</v>
      </c>
      <c r="C1355" s="32" t="s">
        <v>57</v>
      </c>
      <c r="D1355" s="32">
        <v>43352</v>
      </c>
      <c r="E1355" s="33"/>
      <c r="F1355" s="33"/>
      <c r="G1355" s="27"/>
    </row>
    <row r="1356" spans="1:7" x14ac:dyDescent="0.2">
      <c r="A1356" s="22" t="str">
        <f t="shared" si="21"/>
        <v/>
      </c>
      <c r="B1356" s="31">
        <v>43355</v>
      </c>
      <c r="C1356" s="32" t="s">
        <v>58</v>
      </c>
      <c r="D1356" s="32">
        <v>43352</v>
      </c>
      <c r="E1356" s="33"/>
      <c r="F1356" s="33"/>
      <c r="G1356" s="27"/>
    </row>
    <row r="1357" spans="1:7" x14ac:dyDescent="0.2">
      <c r="A1357" s="22" t="str">
        <f t="shared" si="21"/>
        <v/>
      </c>
      <c r="B1357" s="31">
        <v>43356</v>
      </c>
      <c r="C1357" s="32" t="s">
        <v>59</v>
      </c>
      <c r="D1357" s="32">
        <v>43352</v>
      </c>
      <c r="E1357" s="33"/>
      <c r="F1357" s="33"/>
      <c r="G1357" s="27"/>
    </row>
    <row r="1358" spans="1:7" x14ac:dyDescent="0.2">
      <c r="A1358" s="22" t="str">
        <f t="shared" si="21"/>
        <v/>
      </c>
      <c r="B1358" s="31">
        <v>43357</v>
      </c>
      <c r="C1358" s="32" t="s">
        <v>60</v>
      </c>
      <c r="D1358" s="32">
        <v>43352</v>
      </c>
      <c r="E1358" s="33"/>
      <c r="F1358" s="33"/>
      <c r="G1358" s="27"/>
    </row>
    <row r="1359" spans="1:7" x14ac:dyDescent="0.2">
      <c r="A1359" s="22" t="str">
        <f t="shared" si="21"/>
        <v/>
      </c>
      <c r="B1359" s="31">
        <v>43358</v>
      </c>
      <c r="C1359" s="32" t="s">
        <v>61</v>
      </c>
      <c r="D1359" s="32">
        <v>43352</v>
      </c>
      <c r="E1359" s="33"/>
      <c r="F1359" s="33"/>
      <c r="G1359" s="27"/>
    </row>
    <row r="1360" spans="1:7" x14ac:dyDescent="0.2">
      <c r="A1360" s="22" t="str">
        <f t="shared" si="21"/>
        <v/>
      </c>
      <c r="B1360" s="31">
        <v>43359</v>
      </c>
      <c r="C1360" s="32" t="s">
        <v>55</v>
      </c>
      <c r="D1360" s="32">
        <v>43359</v>
      </c>
      <c r="E1360" s="33"/>
      <c r="F1360" s="33"/>
      <c r="G1360" s="27"/>
    </row>
    <row r="1361" spans="1:7" x14ac:dyDescent="0.2">
      <c r="A1361" s="22" t="str">
        <f t="shared" si="21"/>
        <v/>
      </c>
      <c r="B1361" s="31">
        <v>43360</v>
      </c>
      <c r="C1361" s="32" t="s">
        <v>56</v>
      </c>
      <c r="D1361" s="32">
        <v>43359</v>
      </c>
      <c r="E1361" s="33"/>
      <c r="F1361" s="33"/>
      <c r="G1361" s="27"/>
    </row>
    <row r="1362" spans="1:7" x14ac:dyDescent="0.2">
      <c r="A1362" s="22" t="str">
        <f t="shared" si="21"/>
        <v/>
      </c>
      <c r="B1362" s="31">
        <v>43361</v>
      </c>
      <c r="C1362" s="32" t="s">
        <v>57</v>
      </c>
      <c r="D1362" s="32">
        <v>43359</v>
      </c>
      <c r="E1362" s="33"/>
      <c r="F1362" s="33"/>
      <c r="G1362" s="27"/>
    </row>
    <row r="1363" spans="1:7" x14ac:dyDescent="0.2">
      <c r="A1363" s="22" t="str">
        <f t="shared" si="21"/>
        <v/>
      </c>
      <c r="B1363" s="31">
        <v>43362</v>
      </c>
      <c r="C1363" s="32" t="s">
        <v>58</v>
      </c>
      <c r="D1363" s="32">
        <v>43359</v>
      </c>
      <c r="E1363" s="33"/>
      <c r="F1363" s="33"/>
      <c r="G1363" s="27"/>
    </row>
    <row r="1364" spans="1:7" x14ac:dyDescent="0.2">
      <c r="A1364" s="22" t="str">
        <f t="shared" si="21"/>
        <v/>
      </c>
      <c r="B1364" s="31">
        <v>43363</v>
      </c>
      <c r="C1364" s="32" t="s">
        <v>59</v>
      </c>
      <c r="D1364" s="32">
        <v>43359</v>
      </c>
      <c r="E1364" s="33"/>
      <c r="F1364" s="33"/>
      <c r="G1364" s="27"/>
    </row>
    <row r="1365" spans="1:7" x14ac:dyDescent="0.2">
      <c r="A1365" s="22" t="str">
        <f t="shared" si="21"/>
        <v/>
      </c>
      <c r="B1365" s="31">
        <v>43364</v>
      </c>
      <c r="C1365" s="32" t="s">
        <v>60</v>
      </c>
      <c r="D1365" s="32">
        <v>43359</v>
      </c>
      <c r="E1365" s="33"/>
      <c r="F1365" s="33"/>
      <c r="G1365" s="27"/>
    </row>
    <row r="1366" spans="1:7" x14ac:dyDescent="0.2">
      <c r="A1366" s="22" t="str">
        <f t="shared" si="21"/>
        <v/>
      </c>
      <c r="B1366" s="31">
        <v>43365</v>
      </c>
      <c r="C1366" s="32" t="s">
        <v>61</v>
      </c>
      <c r="D1366" s="32">
        <v>43359</v>
      </c>
      <c r="E1366" s="33"/>
      <c r="F1366" s="33"/>
      <c r="G1366" s="27"/>
    </row>
    <row r="1367" spans="1:7" x14ac:dyDescent="0.2">
      <c r="A1367" s="22" t="str">
        <f t="shared" si="21"/>
        <v/>
      </c>
      <c r="B1367" s="31">
        <v>43366</v>
      </c>
      <c r="C1367" s="32" t="s">
        <v>55</v>
      </c>
      <c r="D1367" s="32">
        <v>43366</v>
      </c>
      <c r="E1367" s="33"/>
      <c r="F1367" s="33"/>
      <c r="G1367" s="27"/>
    </row>
    <row r="1368" spans="1:7" x14ac:dyDescent="0.2">
      <c r="A1368" s="22" t="str">
        <f t="shared" si="21"/>
        <v/>
      </c>
      <c r="B1368" s="31">
        <v>43367</v>
      </c>
      <c r="C1368" s="32" t="s">
        <v>56</v>
      </c>
      <c r="D1368" s="32">
        <v>43366</v>
      </c>
      <c r="E1368" s="33"/>
      <c r="F1368" s="33"/>
      <c r="G1368" s="27"/>
    </row>
    <row r="1369" spans="1:7" x14ac:dyDescent="0.2">
      <c r="A1369" s="22" t="str">
        <f t="shared" si="21"/>
        <v/>
      </c>
      <c r="B1369" s="31">
        <v>43368</v>
      </c>
      <c r="C1369" s="32" t="s">
        <v>57</v>
      </c>
      <c r="D1369" s="32">
        <v>43366</v>
      </c>
      <c r="E1369" s="33"/>
      <c r="F1369" s="33"/>
      <c r="G1369" s="27"/>
    </row>
    <row r="1370" spans="1:7" x14ac:dyDescent="0.2">
      <c r="A1370" s="22" t="str">
        <f t="shared" si="21"/>
        <v/>
      </c>
      <c r="B1370" s="31">
        <v>43369</v>
      </c>
      <c r="C1370" s="32" t="s">
        <v>58</v>
      </c>
      <c r="D1370" s="32">
        <v>43366</v>
      </c>
      <c r="E1370" s="33"/>
      <c r="F1370" s="33"/>
      <c r="G1370" s="27"/>
    </row>
    <row r="1371" spans="1:7" x14ac:dyDescent="0.2">
      <c r="A1371" s="22" t="str">
        <f t="shared" si="21"/>
        <v/>
      </c>
      <c r="B1371" s="31">
        <v>43370</v>
      </c>
      <c r="C1371" s="32" t="s">
        <v>59</v>
      </c>
      <c r="D1371" s="32">
        <v>43366</v>
      </c>
      <c r="E1371" s="33"/>
      <c r="F1371" s="33"/>
      <c r="G1371" s="27"/>
    </row>
    <row r="1372" spans="1:7" x14ac:dyDescent="0.2">
      <c r="A1372" s="22" t="str">
        <f t="shared" si="21"/>
        <v/>
      </c>
      <c r="B1372" s="31">
        <v>43371</v>
      </c>
      <c r="C1372" s="32" t="s">
        <v>60</v>
      </c>
      <c r="D1372" s="32">
        <v>43366</v>
      </c>
      <c r="E1372" s="33"/>
      <c r="F1372" s="33"/>
      <c r="G1372" s="27"/>
    </row>
    <row r="1373" spans="1:7" x14ac:dyDescent="0.2">
      <c r="A1373" s="22" t="str">
        <f t="shared" si="21"/>
        <v/>
      </c>
      <c r="B1373" s="31">
        <v>43372</v>
      </c>
      <c r="C1373" s="32" t="s">
        <v>61</v>
      </c>
      <c r="D1373" s="32">
        <v>43366</v>
      </c>
      <c r="E1373" s="33"/>
      <c r="F1373" s="33"/>
      <c r="G1373" s="27"/>
    </row>
    <row r="1374" spans="1:7" x14ac:dyDescent="0.2">
      <c r="A1374" s="22" t="str">
        <f t="shared" si="21"/>
        <v/>
      </c>
      <c r="B1374" s="31">
        <v>43373</v>
      </c>
      <c r="C1374" s="32" t="s">
        <v>55</v>
      </c>
      <c r="D1374" s="32">
        <v>43373</v>
      </c>
      <c r="E1374" s="33"/>
      <c r="F1374" s="33"/>
      <c r="G1374" s="27"/>
    </row>
    <row r="1375" spans="1:7" x14ac:dyDescent="0.2">
      <c r="A1375" s="22" t="str">
        <f t="shared" si="21"/>
        <v/>
      </c>
      <c r="B1375" s="31">
        <v>43374</v>
      </c>
      <c r="C1375" s="32" t="s">
        <v>56</v>
      </c>
      <c r="D1375" s="32">
        <v>43373</v>
      </c>
      <c r="E1375" s="33"/>
      <c r="F1375" s="33"/>
      <c r="G1375" s="27"/>
    </row>
    <row r="1376" spans="1:7" x14ac:dyDescent="0.2">
      <c r="A1376" s="22" t="str">
        <f t="shared" si="21"/>
        <v/>
      </c>
      <c r="B1376" s="31">
        <v>43375</v>
      </c>
      <c r="C1376" s="32" t="s">
        <v>57</v>
      </c>
      <c r="D1376" s="32">
        <v>43373</v>
      </c>
      <c r="E1376" s="33"/>
      <c r="F1376" s="33"/>
      <c r="G1376" s="27"/>
    </row>
    <row r="1377" spans="1:7" x14ac:dyDescent="0.2">
      <c r="A1377" s="22" t="str">
        <f t="shared" si="21"/>
        <v/>
      </c>
      <c r="B1377" s="31">
        <v>43376</v>
      </c>
      <c r="C1377" s="32" t="s">
        <v>58</v>
      </c>
      <c r="D1377" s="32">
        <v>43373</v>
      </c>
      <c r="E1377" s="33"/>
      <c r="F1377" s="33"/>
      <c r="G1377" s="27"/>
    </row>
    <row r="1378" spans="1:7" x14ac:dyDescent="0.2">
      <c r="A1378" s="22" t="str">
        <f t="shared" si="21"/>
        <v/>
      </c>
      <c r="B1378" s="31">
        <v>43377</v>
      </c>
      <c r="C1378" s="32" t="s">
        <v>59</v>
      </c>
      <c r="D1378" s="32">
        <v>43373</v>
      </c>
      <c r="E1378" s="33"/>
      <c r="F1378" s="33"/>
      <c r="G1378" s="27"/>
    </row>
    <row r="1379" spans="1:7" x14ac:dyDescent="0.2">
      <c r="A1379" s="22" t="str">
        <f t="shared" si="21"/>
        <v/>
      </c>
      <c r="B1379" s="31">
        <v>43378</v>
      </c>
      <c r="C1379" s="32" t="s">
        <v>60</v>
      </c>
      <c r="D1379" s="32">
        <v>43373</v>
      </c>
      <c r="E1379" s="33"/>
      <c r="F1379" s="33"/>
      <c r="G1379" s="27"/>
    </row>
    <row r="1380" spans="1:7" x14ac:dyDescent="0.2">
      <c r="A1380" s="22" t="str">
        <f t="shared" si="21"/>
        <v/>
      </c>
      <c r="B1380" s="31">
        <v>43379</v>
      </c>
      <c r="C1380" s="32" t="s">
        <v>61</v>
      </c>
      <c r="D1380" s="32">
        <v>43373</v>
      </c>
      <c r="E1380" s="33"/>
      <c r="F1380" s="33"/>
      <c r="G1380" s="27"/>
    </row>
    <row r="1381" spans="1:7" x14ac:dyDescent="0.2">
      <c r="A1381" s="22" t="str">
        <f t="shared" si="21"/>
        <v/>
      </c>
      <c r="B1381" s="31">
        <v>43380</v>
      </c>
      <c r="C1381" s="32" t="s">
        <v>55</v>
      </c>
      <c r="D1381" s="32">
        <v>43380</v>
      </c>
      <c r="E1381" s="33"/>
      <c r="F1381" s="33"/>
      <c r="G1381" s="27"/>
    </row>
    <row r="1382" spans="1:7" x14ac:dyDescent="0.2">
      <c r="A1382" s="22" t="str">
        <f t="shared" si="21"/>
        <v/>
      </c>
      <c r="B1382" s="31">
        <v>43381</v>
      </c>
      <c r="C1382" s="32" t="s">
        <v>56</v>
      </c>
      <c r="D1382" s="32">
        <v>43380</v>
      </c>
      <c r="E1382" s="33"/>
      <c r="F1382" s="33"/>
      <c r="G1382" s="27"/>
    </row>
    <row r="1383" spans="1:7" x14ac:dyDescent="0.2">
      <c r="A1383" s="22" t="str">
        <f t="shared" si="21"/>
        <v/>
      </c>
      <c r="B1383" s="31">
        <v>43382</v>
      </c>
      <c r="C1383" s="32" t="s">
        <v>57</v>
      </c>
      <c r="D1383" s="32">
        <v>43380</v>
      </c>
      <c r="E1383" s="33"/>
      <c r="F1383" s="33"/>
      <c r="G1383" s="27"/>
    </row>
    <row r="1384" spans="1:7" x14ac:dyDescent="0.2">
      <c r="A1384" s="22" t="str">
        <f t="shared" si="21"/>
        <v/>
      </c>
      <c r="B1384" s="31">
        <v>43383</v>
      </c>
      <c r="C1384" s="32" t="s">
        <v>58</v>
      </c>
      <c r="D1384" s="32">
        <v>43380</v>
      </c>
      <c r="E1384" s="33"/>
      <c r="F1384" s="33"/>
      <c r="G1384" s="27"/>
    </row>
    <row r="1385" spans="1:7" x14ac:dyDescent="0.2">
      <c r="A1385" s="22" t="str">
        <f t="shared" si="21"/>
        <v/>
      </c>
      <c r="B1385" s="31">
        <v>43384</v>
      </c>
      <c r="C1385" s="32" t="s">
        <v>59</v>
      </c>
      <c r="D1385" s="32">
        <v>43380</v>
      </c>
      <c r="E1385" s="33"/>
      <c r="F1385" s="33"/>
      <c r="G1385" s="27"/>
    </row>
    <row r="1386" spans="1:7" x14ac:dyDescent="0.2">
      <c r="A1386" s="22" t="str">
        <f t="shared" si="21"/>
        <v/>
      </c>
      <c r="B1386" s="31">
        <v>43385</v>
      </c>
      <c r="C1386" s="32" t="s">
        <v>60</v>
      </c>
      <c r="D1386" s="32">
        <v>43380</v>
      </c>
      <c r="E1386" s="33"/>
      <c r="F1386" s="33"/>
      <c r="G1386" s="27"/>
    </row>
    <row r="1387" spans="1:7" x14ac:dyDescent="0.2">
      <c r="A1387" s="22" t="str">
        <f t="shared" si="21"/>
        <v/>
      </c>
      <c r="B1387" s="31">
        <v>43386</v>
      </c>
      <c r="C1387" s="32" t="s">
        <v>61</v>
      </c>
      <c r="D1387" s="32">
        <v>43380</v>
      </c>
      <c r="E1387" s="33"/>
      <c r="F1387" s="33"/>
      <c r="G1387" s="27"/>
    </row>
    <row r="1388" spans="1:7" x14ac:dyDescent="0.2">
      <c r="A1388" s="22" t="str">
        <f t="shared" si="21"/>
        <v/>
      </c>
      <c r="B1388" s="31">
        <v>43387</v>
      </c>
      <c r="C1388" s="32" t="s">
        <v>55</v>
      </c>
      <c r="D1388" s="32">
        <v>43387</v>
      </c>
      <c r="E1388" s="33"/>
      <c r="F1388" s="33"/>
      <c r="G1388" s="27"/>
    </row>
    <row r="1389" spans="1:7" x14ac:dyDescent="0.2">
      <c r="A1389" s="22" t="str">
        <f t="shared" si="21"/>
        <v/>
      </c>
      <c r="B1389" s="31">
        <v>43388</v>
      </c>
      <c r="C1389" s="32" t="s">
        <v>56</v>
      </c>
      <c r="D1389" s="32">
        <v>43387</v>
      </c>
      <c r="E1389" s="33"/>
      <c r="F1389" s="33"/>
      <c r="G1389" s="27"/>
    </row>
    <row r="1390" spans="1:7" x14ac:dyDescent="0.2">
      <c r="A1390" s="22" t="str">
        <f t="shared" si="21"/>
        <v/>
      </c>
      <c r="B1390" s="31">
        <v>43389</v>
      </c>
      <c r="C1390" s="32" t="s">
        <v>57</v>
      </c>
      <c r="D1390" s="32">
        <v>43387</v>
      </c>
      <c r="E1390" s="33"/>
      <c r="F1390" s="33"/>
      <c r="G1390" s="27"/>
    </row>
    <row r="1391" spans="1:7" x14ac:dyDescent="0.2">
      <c r="A1391" s="22" t="str">
        <f t="shared" si="21"/>
        <v/>
      </c>
      <c r="B1391" s="31">
        <v>43390</v>
      </c>
      <c r="C1391" s="32" t="s">
        <v>58</v>
      </c>
      <c r="D1391" s="32">
        <v>43387</v>
      </c>
      <c r="E1391" s="33"/>
      <c r="F1391" s="33"/>
      <c r="G1391" s="27"/>
    </row>
    <row r="1392" spans="1:7" x14ac:dyDescent="0.2">
      <c r="A1392" s="22" t="str">
        <f t="shared" si="21"/>
        <v/>
      </c>
      <c r="B1392" s="31">
        <v>43391</v>
      </c>
      <c r="C1392" s="32" t="s">
        <v>59</v>
      </c>
      <c r="D1392" s="32">
        <v>43387</v>
      </c>
      <c r="E1392" s="33"/>
      <c r="F1392" s="33"/>
      <c r="G1392" s="27"/>
    </row>
    <row r="1393" spans="1:7" x14ac:dyDescent="0.2">
      <c r="A1393" s="22" t="str">
        <f t="shared" si="21"/>
        <v/>
      </c>
      <c r="B1393" s="31">
        <v>43392</v>
      </c>
      <c r="C1393" s="32" t="s">
        <v>60</v>
      </c>
      <c r="D1393" s="32">
        <v>43387</v>
      </c>
      <c r="E1393" s="33"/>
      <c r="F1393" s="33"/>
      <c r="G1393" s="27"/>
    </row>
    <row r="1394" spans="1:7" x14ac:dyDescent="0.2">
      <c r="A1394" s="22" t="str">
        <f t="shared" si="21"/>
        <v/>
      </c>
      <c r="B1394" s="31">
        <v>43393</v>
      </c>
      <c r="C1394" s="32" t="s">
        <v>61</v>
      </c>
      <c r="D1394" s="32">
        <v>43387</v>
      </c>
      <c r="E1394" s="33"/>
      <c r="F1394" s="33"/>
      <c r="G1394" s="27"/>
    </row>
    <row r="1395" spans="1:7" x14ac:dyDescent="0.2">
      <c r="A1395" s="22" t="str">
        <f t="shared" si="21"/>
        <v/>
      </c>
      <c r="B1395" s="31">
        <v>43394</v>
      </c>
      <c r="C1395" s="32" t="s">
        <v>55</v>
      </c>
      <c r="D1395" s="32">
        <v>43394</v>
      </c>
      <c r="E1395" s="33"/>
      <c r="F1395" s="33"/>
      <c r="G1395" s="27"/>
    </row>
    <row r="1396" spans="1:7" x14ac:dyDescent="0.2">
      <c r="A1396" s="22" t="str">
        <f t="shared" si="21"/>
        <v/>
      </c>
      <c r="B1396" s="31">
        <v>43395</v>
      </c>
      <c r="C1396" s="32" t="s">
        <v>56</v>
      </c>
      <c r="D1396" s="32">
        <v>43394</v>
      </c>
      <c r="E1396" s="33"/>
      <c r="F1396" s="33"/>
      <c r="G1396" s="27"/>
    </row>
    <row r="1397" spans="1:7" x14ac:dyDescent="0.2">
      <c r="A1397" s="22" t="str">
        <f t="shared" si="21"/>
        <v/>
      </c>
      <c r="B1397" s="31">
        <v>43396</v>
      </c>
      <c r="C1397" s="32" t="s">
        <v>57</v>
      </c>
      <c r="D1397" s="32">
        <v>43394</v>
      </c>
      <c r="E1397" s="33"/>
      <c r="F1397" s="33"/>
      <c r="G1397" s="27"/>
    </row>
    <row r="1398" spans="1:7" x14ac:dyDescent="0.2">
      <c r="A1398" s="22" t="str">
        <f t="shared" si="21"/>
        <v/>
      </c>
      <c r="B1398" s="31">
        <v>43397</v>
      </c>
      <c r="C1398" s="32" t="s">
        <v>58</v>
      </c>
      <c r="D1398" s="32">
        <v>43394</v>
      </c>
      <c r="E1398" s="33"/>
      <c r="F1398" s="33"/>
      <c r="G1398" s="27"/>
    </row>
    <row r="1399" spans="1:7" x14ac:dyDescent="0.2">
      <c r="A1399" s="22" t="str">
        <f t="shared" si="21"/>
        <v/>
      </c>
      <c r="B1399" s="31">
        <v>43398</v>
      </c>
      <c r="C1399" s="32" t="s">
        <v>59</v>
      </c>
      <c r="D1399" s="32">
        <v>43394</v>
      </c>
      <c r="E1399" s="33"/>
      <c r="F1399" s="33"/>
      <c r="G1399" s="27"/>
    </row>
    <row r="1400" spans="1:7" x14ac:dyDescent="0.2">
      <c r="A1400" s="22" t="str">
        <f t="shared" si="21"/>
        <v/>
      </c>
      <c r="B1400" s="31">
        <v>43399</v>
      </c>
      <c r="C1400" s="32" t="s">
        <v>60</v>
      </c>
      <c r="D1400" s="32">
        <v>43394</v>
      </c>
      <c r="E1400" s="33"/>
      <c r="F1400" s="33"/>
      <c r="G1400" s="27"/>
    </row>
    <row r="1401" spans="1:7" x14ac:dyDescent="0.2">
      <c r="A1401" s="22" t="str">
        <f t="shared" si="21"/>
        <v/>
      </c>
      <c r="B1401" s="31">
        <v>43400</v>
      </c>
      <c r="C1401" s="32" t="s">
        <v>61</v>
      </c>
      <c r="D1401" s="32">
        <v>43394</v>
      </c>
      <c r="E1401" s="33"/>
      <c r="F1401" s="33"/>
      <c r="G1401" s="27"/>
    </row>
    <row r="1402" spans="1:7" x14ac:dyDescent="0.2">
      <c r="A1402" s="22" t="str">
        <f t="shared" si="21"/>
        <v/>
      </c>
      <c r="B1402" s="31">
        <v>43401</v>
      </c>
      <c r="C1402" s="32" t="s">
        <v>55</v>
      </c>
      <c r="D1402" s="32">
        <v>43401</v>
      </c>
      <c r="E1402" s="33"/>
      <c r="F1402" s="33"/>
      <c r="G1402" s="27"/>
    </row>
    <row r="1403" spans="1:7" x14ac:dyDescent="0.2">
      <c r="A1403" s="22" t="str">
        <f t="shared" si="21"/>
        <v/>
      </c>
      <c r="B1403" s="31">
        <v>43402</v>
      </c>
      <c r="C1403" s="32" t="s">
        <v>56</v>
      </c>
      <c r="D1403" s="32">
        <v>43401</v>
      </c>
      <c r="E1403" s="33"/>
      <c r="F1403" s="33"/>
      <c r="G1403" s="27"/>
    </row>
    <row r="1404" spans="1:7" x14ac:dyDescent="0.2">
      <c r="A1404" s="22" t="str">
        <f t="shared" si="21"/>
        <v/>
      </c>
      <c r="B1404" s="31">
        <v>43403</v>
      </c>
      <c r="C1404" s="32" t="s">
        <v>57</v>
      </c>
      <c r="D1404" s="32">
        <v>43401</v>
      </c>
      <c r="E1404" s="33"/>
      <c r="F1404" s="33"/>
      <c r="G1404" s="27"/>
    </row>
    <row r="1405" spans="1:7" x14ac:dyDescent="0.2">
      <c r="A1405" s="22" t="str">
        <f t="shared" si="21"/>
        <v/>
      </c>
      <c r="B1405" s="31">
        <v>43404</v>
      </c>
      <c r="C1405" s="32" t="s">
        <v>58</v>
      </c>
      <c r="D1405" s="32">
        <v>43401</v>
      </c>
      <c r="E1405" s="33"/>
      <c r="F1405" s="33"/>
      <c r="G1405" s="27"/>
    </row>
    <row r="1406" spans="1:7" x14ac:dyDescent="0.2">
      <c r="A1406" s="22" t="str">
        <f t="shared" si="21"/>
        <v/>
      </c>
      <c r="B1406" s="31">
        <v>43405</v>
      </c>
      <c r="C1406" s="32" t="s">
        <v>59</v>
      </c>
      <c r="D1406" s="32">
        <v>43401</v>
      </c>
      <c r="E1406" s="33"/>
      <c r="F1406" s="33"/>
      <c r="G1406" s="27"/>
    </row>
    <row r="1407" spans="1:7" x14ac:dyDescent="0.2">
      <c r="A1407" s="22" t="str">
        <f t="shared" si="21"/>
        <v/>
      </c>
      <c r="B1407" s="31">
        <v>43406</v>
      </c>
      <c r="C1407" s="32" t="s">
        <v>60</v>
      </c>
      <c r="D1407" s="32">
        <v>43401</v>
      </c>
      <c r="E1407" s="33"/>
      <c r="F1407" s="33"/>
      <c r="G1407" s="27"/>
    </row>
    <row r="1408" spans="1:7" x14ac:dyDescent="0.2">
      <c r="A1408" s="22" t="str">
        <f t="shared" si="21"/>
        <v/>
      </c>
      <c r="B1408" s="31">
        <v>43407</v>
      </c>
      <c r="C1408" s="32" t="s">
        <v>61</v>
      </c>
      <c r="D1408" s="32">
        <v>43401</v>
      </c>
      <c r="E1408" s="33"/>
      <c r="F1408" s="33"/>
      <c r="G1408" s="27"/>
    </row>
    <row r="1409" spans="1:7" x14ac:dyDescent="0.2">
      <c r="A1409" s="22" t="str">
        <f t="shared" si="21"/>
        <v/>
      </c>
      <c r="B1409" s="31">
        <v>43408</v>
      </c>
      <c r="C1409" s="32" t="s">
        <v>55</v>
      </c>
      <c r="D1409" s="32">
        <v>43408</v>
      </c>
      <c r="E1409" s="33"/>
      <c r="F1409" s="33"/>
      <c r="G1409" s="27"/>
    </row>
    <row r="1410" spans="1:7" x14ac:dyDescent="0.2">
      <c r="A1410" s="22" t="str">
        <f t="shared" si="21"/>
        <v/>
      </c>
      <c r="B1410" s="31">
        <v>43409</v>
      </c>
      <c r="C1410" s="32" t="s">
        <v>56</v>
      </c>
      <c r="D1410" s="32">
        <v>43408</v>
      </c>
      <c r="E1410" s="33"/>
      <c r="F1410" s="33"/>
      <c r="G1410" s="27"/>
    </row>
    <row r="1411" spans="1:7" x14ac:dyDescent="0.2">
      <c r="A1411" s="22" t="str">
        <f t="shared" ref="A1411:A1474" si="22">RIGHT(G1411,4)</f>
        <v/>
      </c>
      <c r="B1411" s="31">
        <v>43410</v>
      </c>
      <c r="C1411" s="32" t="s">
        <v>57</v>
      </c>
      <c r="D1411" s="32">
        <v>43408</v>
      </c>
      <c r="E1411" s="33"/>
      <c r="F1411" s="33"/>
      <c r="G1411" s="27"/>
    </row>
    <row r="1412" spans="1:7" x14ac:dyDescent="0.2">
      <c r="A1412" s="22" t="str">
        <f t="shared" si="22"/>
        <v/>
      </c>
      <c r="B1412" s="31">
        <v>43411</v>
      </c>
      <c r="C1412" s="32" t="s">
        <v>58</v>
      </c>
      <c r="D1412" s="32">
        <v>43408</v>
      </c>
      <c r="E1412" s="33"/>
      <c r="F1412" s="33"/>
      <c r="G1412" s="27"/>
    </row>
    <row r="1413" spans="1:7" x14ac:dyDescent="0.2">
      <c r="A1413" s="22" t="str">
        <f t="shared" si="22"/>
        <v/>
      </c>
      <c r="B1413" s="31">
        <v>43412</v>
      </c>
      <c r="C1413" s="32" t="s">
        <v>59</v>
      </c>
      <c r="D1413" s="32">
        <v>43408</v>
      </c>
      <c r="E1413" s="33"/>
      <c r="F1413" s="33"/>
      <c r="G1413" s="27"/>
    </row>
    <row r="1414" spans="1:7" x14ac:dyDescent="0.2">
      <c r="A1414" s="22" t="str">
        <f t="shared" si="22"/>
        <v/>
      </c>
      <c r="B1414" s="31">
        <v>43413</v>
      </c>
      <c r="C1414" s="32" t="s">
        <v>60</v>
      </c>
      <c r="D1414" s="32">
        <v>43408</v>
      </c>
      <c r="E1414" s="33"/>
      <c r="F1414" s="33"/>
      <c r="G1414" s="27"/>
    </row>
    <row r="1415" spans="1:7" x14ac:dyDescent="0.2">
      <c r="A1415" s="22" t="str">
        <f t="shared" si="22"/>
        <v/>
      </c>
      <c r="B1415" s="31">
        <v>43414</v>
      </c>
      <c r="C1415" s="32" t="s">
        <v>61</v>
      </c>
      <c r="D1415" s="32">
        <v>43408</v>
      </c>
      <c r="E1415" s="33"/>
      <c r="F1415" s="33"/>
      <c r="G1415" s="27"/>
    </row>
    <row r="1416" spans="1:7" x14ac:dyDescent="0.2">
      <c r="A1416" s="22" t="str">
        <f t="shared" si="22"/>
        <v/>
      </c>
      <c r="B1416" s="31">
        <v>43415</v>
      </c>
      <c r="C1416" s="32" t="s">
        <v>55</v>
      </c>
      <c r="D1416" s="32">
        <v>43415</v>
      </c>
      <c r="E1416" s="33"/>
      <c r="F1416" s="33"/>
      <c r="G1416" s="27"/>
    </row>
    <row r="1417" spans="1:7" x14ac:dyDescent="0.2">
      <c r="A1417" s="22" t="str">
        <f t="shared" si="22"/>
        <v/>
      </c>
      <c r="B1417" s="31">
        <v>43416</v>
      </c>
      <c r="C1417" s="32" t="s">
        <v>56</v>
      </c>
      <c r="D1417" s="32">
        <v>43415</v>
      </c>
      <c r="E1417" s="33"/>
      <c r="F1417" s="33"/>
      <c r="G1417" s="27"/>
    </row>
    <row r="1418" spans="1:7" x14ac:dyDescent="0.2">
      <c r="A1418" s="22" t="str">
        <f t="shared" si="22"/>
        <v/>
      </c>
      <c r="B1418" s="31">
        <v>43417</v>
      </c>
      <c r="C1418" s="32" t="s">
        <v>57</v>
      </c>
      <c r="D1418" s="32">
        <v>43415</v>
      </c>
      <c r="E1418" s="33"/>
      <c r="F1418" s="33"/>
      <c r="G1418" s="27"/>
    </row>
    <row r="1419" spans="1:7" x14ac:dyDescent="0.2">
      <c r="A1419" s="22" t="str">
        <f t="shared" si="22"/>
        <v/>
      </c>
      <c r="B1419" s="31">
        <v>43418</v>
      </c>
      <c r="C1419" s="32" t="s">
        <v>58</v>
      </c>
      <c r="D1419" s="32">
        <v>43415</v>
      </c>
      <c r="E1419" s="33"/>
      <c r="F1419" s="33"/>
      <c r="G1419" s="27"/>
    </row>
    <row r="1420" spans="1:7" x14ac:dyDescent="0.2">
      <c r="A1420" s="22" t="str">
        <f t="shared" si="22"/>
        <v/>
      </c>
      <c r="B1420" s="31">
        <v>43419</v>
      </c>
      <c r="C1420" s="32" t="s">
        <v>59</v>
      </c>
      <c r="D1420" s="32">
        <v>43415</v>
      </c>
      <c r="E1420" s="33"/>
      <c r="F1420" s="33"/>
      <c r="G1420" s="27"/>
    </row>
    <row r="1421" spans="1:7" x14ac:dyDescent="0.2">
      <c r="A1421" s="22" t="str">
        <f t="shared" si="22"/>
        <v/>
      </c>
      <c r="B1421" s="31">
        <v>43420</v>
      </c>
      <c r="C1421" s="32" t="s">
        <v>60</v>
      </c>
      <c r="D1421" s="32">
        <v>43415</v>
      </c>
      <c r="E1421" s="33"/>
      <c r="F1421" s="33"/>
      <c r="G1421" s="27"/>
    </row>
    <row r="1422" spans="1:7" x14ac:dyDescent="0.2">
      <c r="A1422" s="22" t="str">
        <f t="shared" si="22"/>
        <v/>
      </c>
      <c r="B1422" s="31">
        <v>43421</v>
      </c>
      <c r="C1422" s="32" t="s">
        <v>61</v>
      </c>
      <c r="D1422" s="32">
        <v>43415</v>
      </c>
      <c r="E1422" s="33"/>
      <c r="F1422" s="33"/>
      <c r="G1422" s="27"/>
    </row>
    <row r="1423" spans="1:7" x14ac:dyDescent="0.2">
      <c r="A1423" s="22" t="str">
        <f t="shared" si="22"/>
        <v/>
      </c>
      <c r="B1423" s="31">
        <v>43422</v>
      </c>
      <c r="C1423" s="32" t="s">
        <v>55</v>
      </c>
      <c r="D1423" s="32">
        <v>43422</v>
      </c>
      <c r="E1423" s="33"/>
      <c r="F1423" s="33"/>
      <c r="G1423" s="27"/>
    </row>
    <row r="1424" spans="1:7" x14ac:dyDescent="0.2">
      <c r="A1424" s="22" t="str">
        <f t="shared" si="22"/>
        <v/>
      </c>
      <c r="B1424" s="31">
        <v>43423</v>
      </c>
      <c r="C1424" s="32" t="s">
        <v>56</v>
      </c>
      <c r="D1424" s="32">
        <v>43422</v>
      </c>
      <c r="E1424" s="33"/>
      <c r="F1424" s="33"/>
      <c r="G1424" s="27"/>
    </row>
    <row r="1425" spans="1:7" x14ac:dyDescent="0.2">
      <c r="A1425" s="22" t="str">
        <f t="shared" si="22"/>
        <v/>
      </c>
      <c r="B1425" s="31">
        <v>43424</v>
      </c>
      <c r="C1425" s="32" t="s">
        <v>57</v>
      </c>
      <c r="D1425" s="32">
        <v>43422</v>
      </c>
      <c r="E1425" s="33"/>
      <c r="F1425" s="33"/>
      <c r="G1425" s="27"/>
    </row>
    <row r="1426" spans="1:7" x14ac:dyDescent="0.2">
      <c r="A1426" s="22" t="str">
        <f t="shared" si="22"/>
        <v/>
      </c>
      <c r="B1426" s="31">
        <v>43425</v>
      </c>
      <c r="C1426" s="32" t="s">
        <v>58</v>
      </c>
      <c r="D1426" s="32">
        <v>43422</v>
      </c>
      <c r="E1426" s="33"/>
      <c r="F1426" s="33"/>
      <c r="G1426" s="27"/>
    </row>
    <row r="1427" spans="1:7" x14ac:dyDescent="0.2">
      <c r="A1427" s="22" t="str">
        <f t="shared" si="22"/>
        <v/>
      </c>
      <c r="B1427" s="31">
        <v>43426</v>
      </c>
      <c r="C1427" s="32" t="s">
        <v>59</v>
      </c>
      <c r="D1427" s="32">
        <v>43422</v>
      </c>
      <c r="E1427" s="33"/>
      <c r="F1427" s="33"/>
      <c r="G1427" s="27"/>
    </row>
    <row r="1428" spans="1:7" x14ac:dyDescent="0.2">
      <c r="A1428" s="22" t="str">
        <f t="shared" si="22"/>
        <v/>
      </c>
      <c r="B1428" s="31">
        <v>43427</v>
      </c>
      <c r="C1428" s="32" t="s">
        <v>60</v>
      </c>
      <c r="D1428" s="32">
        <v>43422</v>
      </c>
      <c r="E1428" s="33"/>
      <c r="F1428" s="33"/>
      <c r="G1428" s="27"/>
    </row>
    <row r="1429" spans="1:7" x14ac:dyDescent="0.2">
      <c r="A1429" s="22" t="str">
        <f t="shared" si="22"/>
        <v/>
      </c>
      <c r="B1429" s="31">
        <v>43428</v>
      </c>
      <c r="C1429" s="32" t="s">
        <v>61</v>
      </c>
      <c r="D1429" s="32">
        <v>43422</v>
      </c>
      <c r="E1429" s="33"/>
      <c r="F1429" s="33"/>
      <c r="G1429" s="27"/>
    </row>
    <row r="1430" spans="1:7" x14ac:dyDescent="0.2">
      <c r="A1430" s="22" t="str">
        <f t="shared" si="22"/>
        <v/>
      </c>
      <c r="B1430" s="31">
        <v>43429</v>
      </c>
      <c r="C1430" s="32" t="s">
        <v>55</v>
      </c>
      <c r="D1430" s="32">
        <v>43429</v>
      </c>
      <c r="E1430" s="33"/>
      <c r="F1430" s="33"/>
      <c r="G1430" s="27"/>
    </row>
    <row r="1431" spans="1:7" x14ac:dyDescent="0.2">
      <c r="A1431" s="22" t="str">
        <f t="shared" si="22"/>
        <v/>
      </c>
      <c r="B1431" s="31">
        <v>43430</v>
      </c>
      <c r="C1431" s="32" t="s">
        <v>56</v>
      </c>
      <c r="D1431" s="32">
        <v>43429</v>
      </c>
      <c r="E1431" s="33"/>
      <c r="F1431" s="33"/>
      <c r="G1431" s="27"/>
    </row>
    <row r="1432" spans="1:7" x14ac:dyDescent="0.2">
      <c r="A1432" s="22" t="str">
        <f t="shared" si="22"/>
        <v/>
      </c>
      <c r="B1432" s="31">
        <v>43431</v>
      </c>
      <c r="C1432" s="32" t="s">
        <v>57</v>
      </c>
      <c r="D1432" s="32">
        <v>43429</v>
      </c>
      <c r="E1432" s="33"/>
      <c r="F1432" s="33"/>
      <c r="G1432" s="27"/>
    </row>
    <row r="1433" spans="1:7" x14ac:dyDescent="0.2">
      <c r="A1433" s="22" t="str">
        <f t="shared" si="22"/>
        <v/>
      </c>
      <c r="B1433" s="31">
        <v>43432</v>
      </c>
      <c r="C1433" s="32" t="s">
        <v>58</v>
      </c>
      <c r="D1433" s="32">
        <v>43429</v>
      </c>
      <c r="E1433" s="33"/>
      <c r="F1433" s="33"/>
      <c r="G1433" s="27"/>
    </row>
    <row r="1434" spans="1:7" x14ac:dyDescent="0.2">
      <c r="A1434" s="22" t="str">
        <f t="shared" si="22"/>
        <v/>
      </c>
      <c r="B1434" s="31">
        <v>43433</v>
      </c>
      <c r="C1434" s="32" t="s">
        <v>59</v>
      </c>
      <c r="D1434" s="32">
        <v>43429</v>
      </c>
      <c r="E1434" s="33"/>
      <c r="F1434" s="33"/>
      <c r="G1434" s="27"/>
    </row>
    <row r="1435" spans="1:7" x14ac:dyDescent="0.2">
      <c r="A1435" s="22" t="str">
        <f t="shared" si="22"/>
        <v/>
      </c>
      <c r="B1435" s="31">
        <v>43434</v>
      </c>
      <c r="C1435" s="32" t="s">
        <v>60</v>
      </c>
      <c r="D1435" s="32">
        <v>43429</v>
      </c>
      <c r="E1435" s="33"/>
      <c r="F1435" s="33"/>
      <c r="G1435" s="27"/>
    </row>
    <row r="1436" spans="1:7" x14ac:dyDescent="0.2">
      <c r="A1436" s="22" t="str">
        <f t="shared" si="22"/>
        <v/>
      </c>
      <c r="B1436" s="31">
        <v>43435</v>
      </c>
      <c r="C1436" s="32" t="s">
        <v>61</v>
      </c>
      <c r="D1436" s="32">
        <v>43429</v>
      </c>
      <c r="E1436" s="33"/>
      <c r="F1436" s="33"/>
      <c r="G1436" s="27"/>
    </row>
    <row r="1437" spans="1:7" x14ac:dyDescent="0.2">
      <c r="A1437" s="22" t="str">
        <f t="shared" si="22"/>
        <v/>
      </c>
      <c r="B1437" s="31">
        <v>43436</v>
      </c>
      <c r="C1437" s="32" t="s">
        <v>55</v>
      </c>
      <c r="D1437" s="32">
        <v>43436</v>
      </c>
      <c r="E1437" s="33"/>
      <c r="F1437" s="33"/>
      <c r="G1437" s="27"/>
    </row>
    <row r="1438" spans="1:7" x14ac:dyDescent="0.2">
      <c r="A1438" s="22" t="str">
        <f t="shared" si="22"/>
        <v/>
      </c>
      <c r="B1438" s="31">
        <v>43437</v>
      </c>
      <c r="C1438" s="32" t="s">
        <v>56</v>
      </c>
      <c r="D1438" s="32">
        <v>43436</v>
      </c>
      <c r="E1438" s="33"/>
      <c r="F1438" s="33"/>
      <c r="G1438" s="27"/>
    </row>
    <row r="1439" spans="1:7" x14ac:dyDescent="0.2">
      <c r="A1439" s="22" t="str">
        <f t="shared" si="22"/>
        <v/>
      </c>
      <c r="B1439" s="31">
        <v>43438</v>
      </c>
      <c r="C1439" s="32" t="s">
        <v>57</v>
      </c>
      <c r="D1439" s="32">
        <v>43436</v>
      </c>
      <c r="E1439" s="33"/>
      <c r="F1439" s="33"/>
      <c r="G1439" s="27"/>
    </row>
    <row r="1440" spans="1:7" x14ac:dyDescent="0.2">
      <c r="A1440" s="22" t="str">
        <f t="shared" si="22"/>
        <v/>
      </c>
      <c r="B1440" s="31">
        <v>43439</v>
      </c>
      <c r="C1440" s="32" t="s">
        <v>58</v>
      </c>
      <c r="D1440" s="32">
        <v>43436</v>
      </c>
      <c r="E1440" s="33"/>
      <c r="F1440" s="33"/>
      <c r="G1440" s="27"/>
    </row>
    <row r="1441" spans="1:7" x14ac:dyDescent="0.2">
      <c r="A1441" s="22" t="str">
        <f t="shared" si="22"/>
        <v/>
      </c>
      <c r="B1441" s="31">
        <v>43440</v>
      </c>
      <c r="C1441" s="32" t="s">
        <v>59</v>
      </c>
      <c r="D1441" s="32">
        <v>43436</v>
      </c>
      <c r="E1441" s="33"/>
      <c r="F1441" s="33"/>
      <c r="G1441" s="27"/>
    </row>
    <row r="1442" spans="1:7" x14ac:dyDescent="0.2">
      <c r="A1442" s="22" t="str">
        <f t="shared" si="22"/>
        <v/>
      </c>
      <c r="B1442" s="31">
        <v>43441</v>
      </c>
      <c r="C1442" s="32" t="s">
        <v>60</v>
      </c>
      <c r="D1442" s="32">
        <v>43436</v>
      </c>
      <c r="E1442" s="33"/>
      <c r="F1442" s="33"/>
      <c r="G1442" s="27"/>
    </row>
    <row r="1443" spans="1:7" x14ac:dyDescent="0.2">
      <c r="A1443" s="22" t="str">
        <f t="shared" si="22"/>
        <v/>
      </c>
      <c r="B1443" s="31">
        <v>43442</v>
      </c>
      <c r="C1443" s="32" t="s">
        <v>61</v>
      </c>
      <c r="D1443" s="32">
        <v>43436</v>
      </c>
      <c r="E1443" s="33"/>
      <c r="F1443" s="33"/>
      <c r="G1443" s="27"/>
    </row>
    <row r="1444" spans="1:7" x14ac:dyDescent="0.2">
      <c r="A1444" s="22" t="str">
        <f t="shared" si="22"/>
        <v/>
      </c>
      <c r="B1444" s="31">
        <v>43443</v>
      </c>
      <c r="C1444" s="32" t="s">
        <v>55</v>
      </c>
      <c r="D1444" s="32">
        <v>43443</v>
      </c>
      <c r="E1444" s="33"/>
      <c r="F1444" s="33"/>
      <c r="G1444" s="27"/>
    </row>
    <row r="1445" spans="1:7" x14ac:dyDescent="0.2">
      <c r="A1445" s="22" t="str">
        <f t="shared" si="22"/>
        <v/>
      </c>
      <c r="B1445" s="31">
        <v>43444</v>
      </c>
      <c r="C1445" s="32" t="s">
        <v>56</v>
      </c>
      <c r="D1445" s="32">
        <v>43443</v>
      </c>
      <c r="E1445" s="33"/>
      <c r="F1445" s="33"/>
      <c r="G1445" s="27"/>
    </row>
    <row r="1446" spans="1:7" x14ac:dyDescent="0.2">
      <c r="A1446" s="22" t="str">
        <f t="shared" si="22"/>
        <v/>
      </c>
      <c r="B1446" s="31">
        <v>43445</v>
      </c>
      <c r="C1446" s="32" t="s">
        <v>57</v>
      </c>
      <c r="D1446" s="32">
        <v>43443</v>
      </c>
      <c r="E1446" s="33"/>
      <c r="F1446" s="33"/>
      <c r="G1446" s="27"/>
    </row>
    <row r="1447" spans="1:7" x14ac:dyDescent="0.2">
      <c r="A1447" s="22" t="str">
        <f t="shared" si="22"/>
        <v/>
      </c>
      <c r="B1447" s="31">
        <v>43446</v>
      </c>
      <c r="C1447" s="32" t="s">
        <v>58</v>
      </c>
      <c r="D1447" s="32">
        <v>43443</v>
      </c>
      <c r="E1447" s="33"/>
      <c r="F1447" s="33"/>
      <c r="G1447" s="27"/>
    </row>
    <row r="1448" spans="1:7" x14ac:dyDescent="0.2">
      <c r="A1448" s="22" t="str">
        <f t="shared" si="22"/>
        <v/>
      </c>
      <c r="B1448" s="31">
        <v>43447</v>
      </c>
      <c r="C1448" s="32" t="s">
        <v>59</v>
      </c>
      <c r="D1448" s="32">
        <v>43443</v>
      </c>
      <c r="E1448" s="33"/>
      <c r="F1448" s="33"/>
      <c r="G1448" s="27"/>
    </row>
    <row r="1449" spans="1:7" x14ac:dyDescent="0.2">
      <c r="A1449" s="22" t="str">
        <f t="shared" si="22"/>
        <v/>
      </c>
      <c r="B1449" s="31">
        <v>43448</v>
      </c>
      <c r="C1449" s="32" t="s">
        <v>60</v>
      </c>
      <c r="D1449" s="32">
        <v>43443</v>
      </c>
      <c r="E1449" s="33"/>
      <c r="F1449" s="33"/>
      <c r="G1449" s="27"/>
    </row>
    <row r="1450" spans="1:7" x14ac:dyDescent="0.2">
      <c r="A1450" s="22" t="str">
        <f t="shared" si="22"/>
        <v/>
      </c>
      <c r="B1450" s="31">
        <v>43449</v>
      </c>
      <c r="C1450" s="32" t="s">
        <v>61</v>
      </c>
      <c r="D1450" s="32">
        <v>43443</v>
      </c>
      <c r="E1450" s="33"/>
      <c r="F1450" s="33"/>
      <c r="G1450" s="27"/>
    </row>
    <row r="1451" spans="1:7" x14ac:dyDescent="0.2">
      <c r="A1451" s="22" t="str">
        <f t="shared" si="22"/>
        <v/>
      </c>
      <c r="B1451" s="31">
        <v>43450</v>
      </c>
      <c r="C1451" s="32" t="s">
        <v>55</v>
      </c>
      <c r="D1451" s="32">
        <v>43450</v>
      </c>
      <c r="E1451" s="33"/>
      <c r="F1451" s="33"/>
      <c r="G1451" s="27"/>
    </row>
    <row r="1452" spans="1:7" x14ac:dyDescent="0.2">
      <c r="A1452" s="22" t="str">
        <f t="shared" si="22"/>
        <v/>
      </c>
      <c r="B1452" s="31">
        <v>43451</v>
      </c>
      <c r="C1452" s="32" t="s">
        <v>56</v>
      </c>
      <c r="D1452" s="32">
        <v>43450</v>
      </c>
      <c r="E1452" s="33"/>
      <c r="F1452" s="33"/>
      <c r="G1452" s="27"/>
    </row>
    <row r="1453" spans="1:7" x14ac:dyDescent="0.2">
      <c r="A1453" s="22" t="str">
        <f t="shared" si="22"/>
        <v/>
      </c>
      <c r="B1453" s="31">
        <v>43452</v>
      </c>
      <c r="C1453" s="32" t="s">
        <v>57</v>
      </c>
      <c r="D1453" s="32">
        <v>43450</v>
      </c>
      <c r="E1453" s="33"/>
      <c r="F1453" s="33"/>
      <c r="G1453" s="27"/>
    </row>
    <row r="1454" spans="1:7" x14ac:dyDescent="0.2">
      <c r="A1454" s="22" t="str">
        <f t="shared" si="22"/>
        <v/>
      </c>
      <c r="B1454" s="31">
        <v>43453</v>
      </c>
      <c r="C1454" s="32" t="s">
        <v>58</v>
      </c>
      <c r="D1454" s="32">
        <v>43450</v>
      </c>
      <c r="E1454" s="33"/>
      <c r="F1454" s="33"/>
      <c r="G1454" s="27"/>
    </row>
    <row r="1455" spans="1:7" x14ac:dyDescent="0.2">
      <c r="A1455" s="22" t="str">
        <f t="shared" si="22"/>
        <v/>
      </c>
      <c r="B1455" s="31">
        <v>43454</v>
      </c>
      <c r="C1455" s="32" t="s">
        <v>59</v>
      </c>
      <c r="D1455" s="32">
        <v>43450</v>
      </c>
      <c r="E1455" s="33"/>
      <c r="F1455" s="33"/>
      <c r="G1455" s="27"/>
    </row>
    <row r="1456" spans="1:7" x14ac:dyDescent="0.2">
      <c r="A1456" s="22" t="str">
        <f t="shared" si="22"/>
        <v/>
      </c>
      <c r="B1456" s="31">
        <v>43455</v>
      </c>
      <c r="C1456" s="32" t="s">
        <v>60</v>
      </c>
      <c r="D1456" s="32">
        <v>43450</v>
      </c>
      <c r="E1456" s="33"/>
      <c r="F1456" s="33"/>
      <c r="G1456" s="27"/>
    </row>
    <row r="1457" spans="1:7" x14ac:dyDescent="0.2">
      <c r="A1457" s="22" t="str">
        <f t="shared" si="22"/>
        <v/>
      </c>
      <c r="B1457" s="31">
        <v>43456</v>
      </c>
      <c r="C1457" s="32" t="s">
        <v>61</v>
      </c>
      <c r="D1457" s="32">
        <v>43450</v>
      </c>
      <c r="E1457" s="33"/>
      <c r="F1457" s="33"/>
      <c r="G1457" s="27"/>
    </row>
    <row r="1458" spans="1:7" x14ac:dyDescent="0.2">
      <c r="A1458" s="22" t="str">
        <f t="shared" si="22"/>
        <v/>
      </c>
      <c r="B1458" s="31">
        <v>43457</v>
      </c>
      <c r="C1458" s="32" t="s">
        <v>55</v>
      </c>
      <c r="D1458" s="32">
        <v>43457</v>
      </c>
      <c r="E1458" s="33"/>
      <c r="F1458" s="33"/>
      <c r="G1458" s="27"/>
    </row>
    <row r="1459" spans="1:7" x14ac:dyDescent="0.2">
      <c r="A1459" s="22" t="str">
        <f t="shared" si="22"/>
        <v/>
      </c>
      <c r="B1459" s="31">
        <v>43458</v>
      </c>
      <c r="C1459" s="32" t="s">
        <v>56</v>
      </c>
      <c r="D1459" s="32">
        <v>43457</v>
      </c>
      <c r="E1459" s="33"/>
      <c r="F1459" s="33"/>
      <c r="G1459" s="27"/>
    </row>
    <row r="1460" spans="1:7" x14ac:dyDescent="0.2">
      <c r="A1460" s="22" t="str">
        <f t="shared" si="22"/>
        <v/>
      </c>
      <c r="B1460" s="31">
        <v>43459</v>
      </c>
      <c r="C1460" s="32" t="s">
        <v>57</v>
      </c>
      <c r="D1460" s="32">
        <v>43457</v>
      </c>
      <c r="E1460" s="33"/>
      <c r="F1460" s="33"/>
      <c r="G1460" s="27"/>
    </row>
    <row r="1461" spans="1:7" x14ac:dyDescent="0.2">
      <c r="A1461" s="22" t="str">
        <f t="shared" si="22"/>
        <v/>
      </c>
      <c r="B1461" s="31">
        <v>43460</v>
      </c>
      <c r="C1461" s="32" t="s">
        <v>58</v>
      </c>
      <c r="D1461" s="32">
        <v>43457</v>
      </c>
      <c r="E1461" s="33"/>
      <c r="F1461" s="33"/>
      <c r="G1461" s="27"/>
    </row>
    <row r="1462" spans="1:7" x14ac:dyDescent="0.2">
      <c r="A1462" s="22" t="str">
        <f t="shared" si="22"/>
        <v/>
      </c>
      <c r="B1462" s="31">
        <v>43461</v>
      </c>
      <c r="C1462" s="32" t="s">
        <v>59</v>
      </c>
      <c r="D1462" s="32">
        <v>43457</v>
      </c>
      <c r="E1462" s="33"/>
      <c r="F1462" s="33"/>
      <c r="G1462" s="27"/>
    </row>
    <row r="1463" spans="1:7" x14ac:dyDescent="0.2">
      <c r="A1463" s="22" t="str">
        <f t="shared" si="22"/>
        <v/>
      </c>
      <c r="B1463" s="31">
        <v>43462</v>
      </c>
      <c r="C1463" s="32" t="s">
        <v>60</v>
      </c>
      <c r="D1463" s="32">
        <v>43457</v>
      </c>
      <c r="E1463" s="33"/>
      <c r="F1463" s="33"/>
      <c r="G1463" s="27"/>
    </row>
    <row r="1464" spans="1:7" x14ac:dyDescent="0.2">
      <c r="A1464" s="22" t="str">
        <f t="shared" si="22"/>
        <v/>
      </c>
      <c r="B1464" s="31">
        <v>43463</v>
      </c>
      <c r="C1464" s="32" t="s">
        <v>61</v>
      </c>
      <c r="D1464" s="32">
        <v>43457</v>
      </c>
      <c r="E1464" s="33"/>
      <c r="F1464" s="33"/>
      <c r="G1464" s="27"/>
    </row>
    <row r="1465" spans="1:7" x14ac:dyDescent="0.2">
      <c r="A1465" s="22" t="str">
        <f t="shared" si="22"/>
        <v/>
      </c>
      <c r="B1465" s="31">
        <v>43464</v>
      </c>
      <c r="C1465" s="32" t="s">
        <v>55</v>
      </c>
      <c r="D1465" s="32">
        <v>43464</v>
      </c>
      <c r="E1465" s="33"/>
      <c r="F1465" s="33"/>
      <c r="G1465" s="27"/>
    </row>
    <row r="1466" spans="1:7" x14ac:dyDescent="0.2">
      <c r="A1466" s="22" t="str">
        <f t="shared" si="22"/>
        <v/>
      </c>
      <c r="B1466" s="31">
        <v>43465</v>
      </c>
      <c r="C1466" s="32" t="s">
        <v>56</v>
      </c>
      <c r="D1466" s="32">
        <v>43464</v>
      </c>
      <c r="E1466" s="33"/>
      <c r="F1466" s="33"/>
      <c r="G1466" s="27"/>
    </row>
    <row r="1467" spans="1:7" x14ac:dyDescent="0.2">
      <c r="A1467" s="22" t="str">
        <f t="shared" si="22"/>
        <v/>
      </c>
      <c r="B1467" s="31">
        <v>43466</v>
      </c>
      <c r="C1467" s="32" t="s">
        <v>57</v>
      </c>
      <c r="D1467" s="32">
        <v>43464</v>
      </c>
      <c r="E1467" s="33"/>
      <c r="F1467" s="33"/>
      <c r="G1467" s="27"/>
    </row>
    <row r="1468" spans="1:7" x14ac:dyDescent="0.2">
      <c r="A1468" s="22" t="str">
        <f t="shared" si="22"/>
        <v/>
      </c>
      <c r="B1468" s="31">
        <v>43467</v>
      </c>
      <c r="C1468" s="32" t="s">
        <v>58</v>
      </c>
      <c r="D1468" s="32">
        <v>43464</v>
      </c>
      <c r="E1468" s="33"/>
      <c r="F1468" s="33"/>
      <c r="G1468" s="27"/>
    </row>
    <row r="1469" spans="1:7" x14ac:dyDescent="0.2">
      <c r="A1469" s="22" t="str">
        <f t="shared" si="22"/>
        <v/>
      </c>
      <c r="B1469" s="31">
        <v>43468</v>
      </c>
      <c r="C1469" s="32" t="s">
        <v>59</v>
      </c>
      <c r="D1469" s="32">
        <v>43464</v>
      </c>
      <c r="E1469" s="33"/>
      <c r="F1469" s="33"/>
      <c r="G1469" s="27"/>
    </row>
    <row r="1470" spans="1:7" x14ac:dyDescent="0.2">
      <c r="A1470" s="22" t="str">
        <f t="shared" si="22"/>
        <v/>
      </c>
      <c r="B1470" s="31">
        <v>43469</v>
      </c>
      <c r="C1470" s="32" t="s">
        <v>60</v>
      </c>
      <c r="D1470" s="32">
        <v>43464</v>
      </c>
      <c r="E1470" s="33"/>
      <c r="F1470" s="33"/>
      <c r="G1470" s="27"/>
    </row>
    <row r="1471" spans="1:7" x14ac:dyDescent="0.2">
      <c r="A1471" s="22" t="str">
        <f t="shared" si="22"/>
        <v/>
      </c>
      <c r="B1471" s="31">
        <v>43470</v>
      </c>
      <c r="C1471" s="32" t="s">
        <v>61</v>
      </c>
      <c r="D1471" s="32">
        <v>43464</v>
      </c>
      <c r="E1471" s="33"/>
      <c r="F1471" s="33"/>
      <c r="G1471" s="27"/>
    </row>
    <row r="1472" spans="1:7" x14ac:dyDescent="0.2">
      <c r="A1472" s="22" t="str">
        <f t="shared" si="22"/>
        <v/>
      </c>
      <c r="B1472" s="31">
        <v>43471</v>
      </c>
      <c r="C1472" s="32" t="s">
        <v>55</v>
      </c>
      <c r="D1472" s="32">
        <v>43471</v>
      </c>
      <c r="E1472" s="33"/>
      <c r="F1472" s="33"/>
      <c r="G1472" s="27"/>
    </row>
    <row r="1473" spans="1:7" x14ac:dyDescent="0.2">
      <c r="A1473" s="22" t="str">
        <f t="shared" si="22"/>
        <v/>
      </c>
      <c r="B1473" s="31">
        <v>43472</v>
      </c>
      <c r="C1473" s="32" t="s">
        <v>56</v>
      </c>
      <c r="D1473" s="32">
        <v>43471</v>
      </c>
      <c r="E1473" s="33"/>
      <c r="F1473" s="33"/>
      <c r="G1473" s="27"/>
    </row>
    <row r="1474" spans="1:7" x14ac:dyDescent="0.2">
      <c r="A1474" s="22" t="str">
        <f t="shared" si="22"/>
        <v/>
      </c>
      <c r="B1474" s="31">
        <v>43473</v>
      </c>
      <c r="C1474" s="32" t="s">
        <v>57</v>
      </c>
      <c r="D1474" s="32">
        <v>43471</v>
      </c>
      <c r="E1474" s="33"/>
      <c r="F1474" s="33"/>
      <c r="G1474" s="27"/>
    </row>
    <row r="1475" spans="1:7" x14ac:dyDescent="0.2">
      <c r="A1475" s="22" t="str">
        <f t="shared" ref="A1475:A1538" si="23">RIGHT(G1475,4)</f>
        <v/>
      </c>
      <c r="B1475" s="31">
        <v>43474</v>
      </c>
      <c r="C1475" s="32" t="s">
        <v>58</v>
      </c>
      <c r="D1475" s="32">
        <v>43471</v>
      </c>
      <c r="E1475" s="33"/>
      <c r="F1475" s="33"/>
      <c r="G1475" s="27"/>
    </row>
    <row r="1476" spans="1:7" x14ac:dyDescent="0.2">
      <c r="A1476" s="22" t="str">
        <f t="shared" si="23"/>
        <v/>
      </c>
      <c r="B1476" s="31">
        <v>43475</v>
      </c>
      <c r="C1476" s="32" t="s">
        <v>59</v>
      </c>
      <c r="D1476" s="32">
        <v>43471</v>
      </c>
      <c r="E1476" s="33"/>
      <c r="F1476" s="33"/>
      <c r="G1476" s="27"/>
    </row>
    <row r="1477" spans="1:7" x14ac:dyDescent="0.2">
      <c r="A1477" s="22" t="str">
        <f t="shared" si="23"/>
        <v/>
      </c>
      <c r="B1477" s="31">
        <v>43476</v>
      </c>
      <c r="C1477" s="32" t="s">
        <v>60</v>
      </c>
      <c r="D1477" s="32">
        <v>43471</v>
      </c>
      <c r="E1477" s="33"/>
      <c r="F1477" s="33"/>
      <c r="G1477" s="27"/>
    </row>
    <row r="1478" spans="1:7" x14ac:dyDescent="0.2">
      <c r="A1478" s="22" t="str">
        <f t="shared" si="23"/>
        <v/>
      </c>
      <c r="B1478" s="31">
        <v>43477</v>
      </c>
      <c r="C1478" s="32" t="s">
        <v>61</v>
      </c>
      <c r="D1478" s="32">
        <v>43471</v>
      </c>
      <c r="E1478" s="33"/>
      <c r="F1478" s="33"/>
      <c r="G1478" s="27"/>
    </row>
    <row r="1479" spans="1:7" x14ac:dyDescent="0.2">
      <c r="A1479" s="22" t="str">
        <f t="shared" si="23"/>
        <v/>
      </c>
      <c r="B1479" s="31">
        <v>43478</v>
      </c>
      <c r="C1479" s="32" t="s">
        <v>55</v>
      </c>
      <c r="D1479" s="32">
        <v>43478</v>
      </c>
      <c r="E1479" s="33"/>
      <c r="F1479" s="33"/>
      <c r="G1479" s="27"/>
    </row>
    <row r="1480" spans="1:7" x14ac:dyDescent="0.2">
      <c r="A1480" s="22" t="str">
        <f t="shared" si="23"/>
        <v/>
      </c>
      <c r="B1480" s="31">
        <v>43479</v>
      </c>
      <c r="C1480" s="32" t="s">
        <v>56</v>
      </c>
      <c r="D1480" s="32">
        <v>43478</v>
      </c>
      <c r="E1480" s="33"/>
      <c r="F1480" s="33"/>
      <c r="G1480" s="27"/>
    </row>
    <row r="1481" spans="1:7" x14ac:dyDescent="0.2">
      <c r="A1481" s="22" t="str">
        <f t="shared" si="23"/>
        <v/>
      </c>
      <c r="B1481" s="31">
        <v>43480</v>
      </c>
      <c r="C1481" s="32" t="s">
        <v>57</v>
      </c>
      <c r="D1481" s="32">
        <v>43478</v>
      </c>
      <c r="E1481" s="33"/>
      <c r="F1481" s="33"/>
      <c r="G1481" s="27"/>
    </row>
    <row r="1482" spans="1:7" x14ac:dyDescent="0.2">
      <c r="A1482" s="22" t="str">
        <f t="shared" si="23"/>
        <v/>
      </c>
      <c r="B1482" s="31">
        <v>43481</v>
      </c>
      <c r="C1482" s="32" t="s">
        <v>58</v>
      </c>
      <c r="D1482" s="32">
        <v>43478</v>
      </c>
      <c r="E1482" s="33"/>
      <c r="F1482" s="33"/>
      <c r="G1482" s="27"/>
    </row>
    <row r="1483" spans="1:7" x14ac:dyDescent="0.2">
      <c r="A1483" s="22" t="str">
        <f t="shared" si="23"/>
        <v/>
      </c>
      <c r="B1483" s="31">
        <v>43482</v>
      </c>
      <c r="C1483" s="32" t="s">
        <v>59</v>
      </c>
      <c r="D1483" s="32">
        <v>43478</v>
      </c>
      <c r="E1483" s="33"/>
      <c r="F1483" s="33"/>
      <c r="G1483" s="27"/>
    </row>
    <row r="1484" spans="1:7" x14ac:dyDescent="0.2">
      <c r="A1484" s="22" t="str">
        <f t="shared" si="23"/>
        <v/>
      </c>
      <c r="B1484" s="31">
        <v>43483</v>
      </c>
      <c r="C1484" s="32" t="s">
        <v>60</v>
      </c>
      <c r="D1484" s="32">
        <v>43478</v>
      </c>
      <c r="E1484" s="33"/>
      <c r="F1484" s="33"/>
      <c r="G1484" s="27"/>
    </row>
    <row r="1485" spans="1:7" x14ac:dyDescent="0.2">
      <c r="A1485" s="22" t="str">
        <f t="shared" si="23"/>
        <v/>
      </c>
      <c r="B1485" s="31">
        <v>43484</v>
      </c>
      <c r="C1485" s="32" t="s">
        <v>61</v>
      </c>
      <c r="D1485" s="32">
        <v>43478</v>
      </c>
      <c r="E1485" s="33"/>
      <c r="F1485" s="33"/>
      <c r="G1485" s="27"/>
    </row>
    <row r="1486" spans="1:7" x14ac:dyDescent="0.2">
      <c r="A1486" s="22" t="str">
        <f t="shared" si="23"/>
        <v/>
      </c>
      <c r="B1486" s="31">
        <v>43485</v>
      </c>
      <c r="C1486" s="32" t="s">
        <v>55</v>
      </c>
      <c r="D1486" s="32">
        <v>43485</v>
      </c>
      <c r="E1486" s="33"/>
      <c r="F1486" s="33"/>
      <c r="G1486" s="27"/>
    </row>
    <row r="1487" spans="1:7" x14ac:dyDescent="0.2">
      <c r="A1487" s="22" t="str">
        <f t="shared" si="23"/>
        <v/>
      </c>
      <c r="B1487" s="31">
        <v>43486</v>
      </c>
      <c r="C1487" s="32" t="s">
        <v>56</v>
      </c>
      <c r="D1487" s="32">
        <v>43485</v>
      </c>
      <c r="E1487" s="33"/>
      <c r="F1487" s="33"/>
      <c r="G1487" s="27"/>
    </row>
    <row r="1488" spans="1:7" x14ac:dyDescent="0.2">
      <c r="A1488" s="22" t="str">
        <f t="shared" si="23"/>
        <v/>
      </c>
      <c r="B1488" s="31">
        <v>43487</v>
      </c>
      <c r="C1488" s="32" t="s">
        <v>57</v>
      </c>
      <c r="D1488" s="32">
        <v>43485</v>
      </c>
      <c r="E1488" s="33"/>
      <c r="F1488" s="33"/>
      <c r="G1488" s="27"/>
    </row>
    <row r="1489" spans="1:7" x14ac:dyDescent="0.2">
      <c r="A1489" s="22" t="str">
        <f t="shared" si="23"/>
        <v/>
      </c>
      <c r="B1489" s="31">
        <v>43488</v>
      </c>
      <c r="C1489" s="32" t="s">
        <v>58</v>
      </c>
      <c r="D1489" s="32">
        <v>43485</v>
      </c>
      <c r="E1489" s="33"/>
      <c r="F1489" s="33"/>
      <c r="G1489" s="27"/>
    </row>
    <row r="1490" spans="1:7" x14ac:dyDescent="0.2">
      <c r="A1490" s="22" t="str">
        <f t="shared" si="23"/>
        <v/>
      </c>
      <c r="B1490" s="31">
        <v>43489</v>
      </c>
      <c r="C1490" s="32" t="s">
        <v>59</v>
      </c>
      <c r="D1490" s="32">
        <v>43485</v>
      </c>
      <c r="E1490" s="33"/>
      <c r="F1490" s="33"/>
      <c r="G1490" s="27"/>
    </row>
    <row r="1491" spans="1:7" x14ac:dyDescent="0.2">
      <c r="A1491" s="22" t="str">
        <f t="shared" si="23"/>
        <v/>
      </c>
      <c r="B1491" s="31">
        <v>43490</v>
      </c>
      <c r="C1491" s="32" t="s">
        <v>60</v>
      </c>
      <c r="D1491" s="32">
        <v>43485</v>
      </c>
      <c r="E1491" s="33"/>
      <c r="F1491" s="33"/>
      <c r="G1491" s="27"/>
    </row>
    <row r="1492" spans="1:7" x14ac:dyDescent="0.2">
      <c r="A1492" s="22" t="str">
        <f t="shared" si="23"/>
        <v/>
      </c>
      <c r="B1492" s="31">
        <v>43491</v>
      </c>
      <c r="C1492" s="32" t="s">
        <v>61</v>
      </c>
      <c r="D1492" s="32">
        <v>43485</v>
      </c>
      <c r="E1492" s="33"/>
      <c r="F1492" s="33"/>
      <c r="G1492" s="27"/>
    </row>
    <row r="1493" spans="1:7" x14ac:dyDescent="0.2">
      <c r="A1493" s="22" t="str">
        <f t="shared" si="23"/>
        <v/>
      </c>
      <c r="B1493" s="31">
        <v>43492</v>
      </c>
      <c r="C1493" s="32" t="s">
        <v>55</v>
      </c>
      <c r="D1493" s="32">
        <v>43492</v>
      </c>
      <c r="E1493" s="33"/>
      <c r="F1493" s="33"/>
      <c r="G1493" s="27"/>
    </row>
    <row r="1494" spans="1:7" x14ac:dyDescent="0.2">
      <c r="A1494" s="22" t="str">
        <f t="shared" si="23"/>
        <v/>
      </c>
      <c r="B1494" s="31">
        <v>43493</v>
      </c>
      <c r="C1494" s="32" t="s">
        <v>56</v>
      </c>
      <c r="D1494" s="32">
        <v>43492</v>
      </c>
      <c r="E1494" s="33"/>
      <c r="F1494" s="33"/>
      <c r="G1494" s="27"/>
    </row>
    <row r="1495" spans="1:7" x14ac:dyDescent="0.2">
      <c r="A1495" s="22" t="str">
        <f t="shared" si="23"/>
        <v/>
      </c>
      <c r="B1495" s="31">
        <v>43494</v>
      </c>
      <c r="C1495" s="32" t="s">
        <v>57</v>
      </c>
      <c r="D1495" s="32">
        <v>43492</v>
      </c>
      <c r="E1495" s="33"/>
      <c r="F1495" s="33"/>
      <c r="G1495" s="27"/>
    </row>
    <row r="1496" spans="1:7" x14ac:dyDescent="0.2">
      <c r="A1496" s="22" t="str">
        <f t="shared" si="23"/>
        <v/>
      </c>
      <c r="B1496" s="31">
        <v>43495</v>
      </c>
      <c r="C1496" s="32" t="s">
        <v>58</v>
      </c>
      <c r="D1496" s="32">
        <v>43492</v>
      </c>
      <c r="E1496" s="33"/>
      <c r="F1496" s="33"/>
      <c r="G1496" s="27"/>
    </row>
    <row r="1497" spans="1:7" x14ac:dyDescent="0.2">
      <c r="A1497" s="22" t="str">
        <f t="shared" si="23"/>
        <v/>
      </c>
      <c r="B1497" s="31">
        <v>43496</v>
      </c>
      <c r="C1497" s="32" t="s">
        <v>59</v>
      </c>
      <c r="D1497" s="32">
        <v>43492</v>
      </c>
      <c r="E1497" s="33"/>
      <c r="F1497" s="33"/>
      <c r="G1497" s="27"/>
    </row>
    <row r="1498" spans="1:7" x14ac:dyDescent="0.2">
      <c r="A1498" s="22" t="str">
        <f t="shared" si="23"/>
        <v/>
      </c>
      <c r="B1498" s="31">
        <v>43497</v>
      </c>
      <c r="C1498" s="32" t="s">
        <v>60</v>
      </c>
      <c r="D1498" s="32">
        <v>43492</v>
      </c>
      <c r="E1498" s="33"/>
      <c r="F1498" s="33"/>
      <c r="G1498" s="27"/>
    </row>
    <row r="1499" spans="1:7" x14ac:dyDescent="0.2">
      <c r="A1499" s="22" t="str">
        <f t="shared" si="23"/>
        <v/>
      </c>
      <c r="B1499" s="31">
        <v>43498</v>
      </c>
      <c r="C1499" s="32" t="s">
        <v>61</v>
      </c>
      <c r="D1499" s="32">
        <v>43492</v>
      </c>
      <c r="E1499" s="33"/>
      <c r="F1499" s="33"/>
      <c r="G1499" s="27"/>
    </row>
    <row r="1500" spans="1:7" x14ac:dyDescent="0.2">
      <c r="A1500" s="22" t="str">
        <f t="shared" si="23"/>
        <v/>
      </c>
      <c r="B1500" s="31">
        <v>43499</v>
      </c>
      <c r="C1500" s="32" t="s">
        <v>55</v>
      </c>
      <c r="D1500" s="32">
        <v>43499</v>
      </c>
      <c r="E1500" s="33"/>
      <c r="F1500" s="33"/>
      <c r="G1500" s="27"/>
    </row>
    <row r="1501" spans="1:7" x14ac:dyDescent="0.2">
      <c r="A1501" s="22" t="str">
        <f t="shared" si="23"/>
        <v/>
      </c>
      <c r="B1501" s="31">
        <v>43500</v>
      </c>
      <c r="C1501" s="32" t="s">
        <v>56</v>
      </c>
      <c r="D1501" s="32">
        <v>43499</v>
      </c>
      <c r="E1501" s="33"/>
      <c r="F1501" s="33"/>
      <c r="G1501" s="27"/>
    </row>
    <row r="1502" spans="1:7" x14ac:dyDescent="0.2">
      <c r="A1502" s="22" t="str">
        <f t="shared" si="23"/>
        <v/>
      </c>
      <c r="B1502" s="31">
        <v>43501</v>
      </c>
      <c r="C1502" s="32" t="s">
        <v>57</v>
      </c>
      <c r="D1502" s="32">
        <v>43499</v>
      </c>
      <c r="E1502" s="33"/>
      <c r="F1502" s="33"/>
      <c r="G1502" s="27"/>
    </row>
    <row r="1503" spans="1:7" x14ac:dyDescent="0.2">
      <c r="A1503" s="22" t="str">
        <f t="shared" si="23"/>
        <v/>
      </c>
      <c r="B1503" s="31">
        <v>43502</v>
      </c>
      <c r="C1503" s="32" t="s">
        <v>58</v>
      </c>
      <c r="D1503" s="32">
        <v>43499</v>
      </c>
      <c r="E1503" s="33"/>
      <c r="F1503" s="33"/>
      <c r="G1503" s="27"/>
    </row>
    <row r="1504" spans="1:7" x14ac:dyDescent="0.2">
      <c r="A1504" s="22" t="str">
        <f t="shared" si="23"/>
        <v/>
      </c>
      <c r="B1504" s="31">
        <v>43503</v>
      </c>
      <c r="C1504" s="32" t="s">
        <v>59</v>
      </c>
      <c r="D1504" s="32">
        <v>43499</v>
      </c>
      <c r="E1504" s="33"/>
      <c r="F1504" s="33"/>
      <c r="G1504" s="27"/>
    </row>
    <row r="1505" spans="1:7" x14ac:dyDescent="0.2">
      <c r="A1505" s="22" t="str">
        <f t="shared" si="23"/>
        <v/>
      </c>
      <c r="B1505" s="31">
        <v>43504</v>
      </c>
      <c r="C1505" s="32" t="s">
        <v>60</v>
      </c>
      <c r="D1505" s="32">
        <v>43499</v>
      </c>
      <c r="E1505" s="33"/>
      <c r="F1505" s="33"/>
      <c r="G1505" s="27"/>
    </row>
    <row r="1506" spans="1:7" x14ac:dyDescent="0.2">
      <c r="A1506" s="22" t="str">
        <f t="shared" si="23"/>
        <v/>
      </c>
      <c r="B1506" s="31">
        <v>43505</v>
      </c>
      <c r="C1506" s="32" t="s">
        <v>61</v>
      </c>
      <c r="D1506" s="32">
        <v>43499</v>
      </c>
      <c r="E1506" s="33"/>
      <c r="F1506" s="33"/>
      <c r="G1506" s="27"/>
    </row>
    <row r="1507" spans="1:7" x14ac:dyDescent="0.2">
      <c r="A1507" s="22" t="str">
        <f t="shared" si="23"/>
        <v/>
      </c>
      <c r="B1507" s="31">
        <v>43506</v>
      </c>
      <c r="C1507" s="32" t="s">
        <v>55</v>
      </c>
      <c r="D1507" s="32">
        <v>43506</v>
      </c>
      <c r="E1507" s="33"/>
      <c r="F1507" s="33"/>
      <c r="G1507" s="27"/>
    </row>
    <row r="1508" spans="1:7" x14ac:dyDescent="0.2">
      <c r="A1508" s="22" t="str">
        <f t="shared" si="23"/>
        <v/>
      </c>
      <c r="B1508" s="31">
        <v>43507</v>
      </c>
      <c r="C1508" s="32" t="s">
        <v>56</v>
      </c>
      <c r="D1508" s="32">
        <v>43506</v>
      </c>
      <c r="E1508" s="33"/>
      <c r="F1508" s="33"/>
      <c r="G1508" s="27"/>
    </row>
    <row r="1509" spans="1:7" x14ac:dyDescent="0.2">
      <c r="A1509" s="22" t="str">
        <f t="shared" si="23"/>
        <v/>
      </c>
      <c r="B1509" s="31">
        <v>43508</v>
      </c>
      <c r="C1509" s="32" t="s">
        <v>57</v>
      </c>
      <c r="D1509" s="32">
        <v>43506</v>
      </c>
      <c r="E1509" s="33"/>
      <c r="F1509" s="33"/>
      <c r="G1509" s="27"/>
    </row>
    <row r="1510" spans="1:7" x14ac:dyDescent="0.2">
      <c r="A1510" s="22" t="str">
        <f t="shared" si="23"/>
        <v/>
      </c>
      <c r="B1510" s="31">
        <v>43509</v>
      </c>
      <c r="C1510" s="32" t="s">
        <v>58</v>
      </c>
      <c r="D1510" s="32">
        <v>43506</v>
      </c>
      <c r="E1510" s="33"/>
      <c r="F1510" s="33"/>
      <c r="G1510" s="27"/>
    </row>
    <row r="1511" spans="1:7" x14ac:dyDescent="0.2">
      <c r="A1511" s="22" t="str">
        <f t="shared" si="23"/>
        <v/>
      </c>
      <c r="B1511" s="31">
        <v>43510</v>
      </c>
      <c r="C1511" s="32" t="s">
        <v>59</v>
      </c>
      <c r="D1511" s="32">
        <v>43506</v>
      </c>
      <c r="E1511" s="33"/>
      <c r="F1511" s="33"/>
      <c r="G1511" s="27"/>
    </row>
    <row r="1512" spans="1:7" x14ac:dyDescent="0.2">
      <c r="A1512" s="22" t="str">
        <f t="shared" si="23"/>
        <v/>
      </c>
      <c r="B1512" s="31">
        <v>43511</v>
      </c>
      <c r="C1512" s="32" t="s">
        <v>60</v>
      </c>
      <c r="D1512" s="32">
        <v>43506</v>
      </c>
      <c r="E1512" s="33"/>
      <c r="F1512" s="33"/>
      <c r="G1512" s="27"/>
    </row>
    <row r="1513" spans="1:7" x14ac:dyDescent="0.2">
      <c r="A1513" s="22" t="str">
        <f t="shared" si="23"/>
        <v/>
      </c>
      <c r="B1513" s="31">
        <v>43512</v>
      </c>
      <c r="C1513" s="32" t="s">
        <v>61</v>
      </c>
      <c r="D1513" s="32">
        <v>43506</v>
      </c>
      <c r="E1513" s="33"/>
      <c r="F1513" s="33"/>
      <c r="G1513" s="27"/>
    </row>
    <row r="1514" spans="1:7" x14ac:dyDescent="0.2">
      <c r="A1514" s="22" t="str">
        <f t="shared" si="23"/>
        <v/>
      </c>
      <c r="B1514" s="31">
        <v>43513</v>
      </c>
      <c r="C1514" s="32" t="s">
        <v>55</v>
      </c>
      <c r="D1514" s="32">
        <v>43513</v>
      </c>
      <c r="E1514" s="33"/>
      <c r="F1514" s="33"/>
      <c r="G1514" s="27"/>
    </row>
    <row r="1515" spans="1:7" x14ac:dyDescent="0.2">
      <c r="A1515" s="22" t="str">
        <f t="shared" si="23"/>
        <v/>
      </c>
      <c r="B1515" s="31">
        <v>43514</v>
      </c>
      <c r="C1515" s="32" t="s">
        <v>56</v>
      </c>
      <c r="D1515" s="32">
        <v>43513</v>
      </c>
      <c r="E1515" s="33"/>
      <c r="F1515" s="33"/>
      <c r="G1515" s="27"/>
    </row>
    <row r="1516" spans="1:7" x14ac:dyDescent="0.2">
      <c r="A1516" s="22" t="str">
        <f t="shared" si="23"/>
        <v/>
      </c>
      <c r="B1516" s="31">
        <v>43515</v>
      </c>
      <c r="C1516" s="32" t="s">
        <v>57</v>
      </c>
      <c r="D1516" s="32">
        <v>43513</v>
      </c>
      <c r="E1516" s="33"/>
      <c r="F1516" s="33"/>
      <c r="G1516" s="27"/>
    </row>
    <row r="1517" spans="1:7" x14ac:dyDescent="0.2">
      <c r="A1517" s="22" t="str">
        <f t="shared" si="23"/>
        <v/>
      </c>
      <c r="B1517" s="31">
        <v>43516</v>
      </c>
      <c r="C1517" s="32" t="s">
        <v>58</v>
      </c>
      <c r="D1517" s="32">
        <v>43513</v>
      </c>
      <c r="E1517" s="33"/>
      <c r="F1517" s="33"/>
      <c r="G1517" s="27"/>
    </row>
    <row r="1518" spans="1:7" x14ac:dyDescent="0.2">
      <c r="A1518" s="22" t="str">
        <f t="shared" si="23"/>
        <v/>
      </c>
      <c r="B1518" s="31">
        <v>43517</v>
      </c>
      <c r="C1518" s="32" t="s">
        <v>59</v>
      </c>
      <c r="D1518" s="32">
        <v>43513</v>
      </c>
      <c r="E1518" s="33"/>
      <c r="F1518" s="33"/>
      <c r="G1518" s="27"/>
    </row>
    <row r="1519" spans="1:7" x14ac:dyDescent="0.2">
      <c r="A1519" s="22" t="str">
        <f t="shared" si="23"/>
        <v/>
      </c>
      <c r="B1519" s="31">
        <v>43518</v>
      </c>
      <c r="C1519" s="32" t="s">
        <v>60</v>
      </c>
      <c r="D1519" s="32">
        <v>43513</v>
      </c>
      <c r="E1519" s="33"/>
      <c r="F1519" s="33"/>
      <c r="G1519" s="27"/>
    </row>
    <row r="1520" spans="1:7" x14ac:dyDescent="0.2">
      <c r="A1520" s="22" t="str">
        <f t="shared" si="23"/>
        <v/>
      </c>
      <c r="B1520" s="31">
        <v>43519</v>
      </c>
      <c r="C1520" s="32" t="s">
        <v>61</v>
      </c>
      <c r="D1520" s="32">
        <v>43513</v>
      </c>
      <c r="E1520" s="33"/>
      <c r="F1520" s="33"/>
      <c r="G1520" s="27"/>
    </row>
    <row r="1521" spans="1:7" x14ac:dyDescent="0.2">
      <c r="A1521" s="22" t="str">
        <f t="shared" si="23"/>
        <v/>
      </c>
      <c r="B1521" s="31">
        <v>43520</v>
      </c>
      <c r="C1521" s="32" t="s">
        <v>55</v>
      </c>
      <c r="D1521" s="32">
        <v>43520</v>
      </c>
      <c r="E1521" s="33"/>
      <c r="F1521" s="33"/>
      <c r="G1521" s="27"/>
    </row>
    <row r="1522" spans="1:7" x14ac:dyDescent="0.2">
      <c r="A1522" s="22" t="str">
        <f t="shared" si="23"/>
        <v/>
      </c>
      <c r="B1522" s="31">
        <v>43521</v>
      </c>
      <c r="C1522" s="32" t="s">
        <v>56</v>
      </c>
      <c r="D1522" s="32">
        <v>43520</v>
      </c>
      <c r="E1522" s="33"/>
      <c r="F1522" s="33"/>
      <c r="G1522" s="27"/>
    </row>
    <row r="1523" spans="1:7" x14ac:dyDescent="0.2">
      <c r="A1523" s="22" t="str">
        <f t="shared" si="23"/>
        <v/>
      </c>
      <c r="B1523" s="31">
        <v>43522</v>
      </c>
      <c r="C1523" s="32" t="s">
        <v>57</v>
      </c>
      <c r="D1523" s="32">
        <v>43520</v>
      </c>
      <c r="E1523" s="33"/>
      <c r="F1523" s="33"/>
      <c r="G1523" s="27"/>
    </row>
    <row r="1524" spans="1:7" x14ac:dyDescent="0.2">
      <c r="A1524" s="22" t="str">
        <f t="shared" si="23"/>
        <v/>
      </c>
      <c r="B1524" s="31">
        <v>43523</v>
      </c>
      <c r="C1524" s="32" t="s">
        <v>58</v>
      </c>
      <c r="D1524" s="32">
        <v>43520</v>
      </c>
      <c r="E1524" s="33"/>
      <c r="F1524" s="33"/>
      <c r="G1524" s="27"/>
    </row>
    <row r="1525" spans="1:7" x14ac:dyDescent="0.2">
      <c r="A1525" s="22" t="str">
        <f t="shared" si="23"/>
        <v/>
      </c>
      <c r="B1525" s="31">
        <v>43524</v>
      </c>
      <c r="C1525" s="32" t="s">
        <v>59</v>
      </c>
      <c r="D1525" s="32">
        <v>43520</v>
      </c>
      <c r="E1525" s="33"/>
      <c r="F1525" s="33"/>
      <c r="G1525" s="27"/>
    </row>
    <row r="1526" spans="1:7" x14ac:dyDescent="0.2">
      <c r="A1526" s="22" t="str">
        <f t="shared" si="23"/>
        <v/>
      </c>
      <c r="B1526" s="31">
        <v>43525</v>
      </c>
      <c r="C1526" s="32" t="s">
        <v>60</v>
      </c>
      <c r="D1526" s="32">
        <v>43520</v>
      </c>
      <c r="E1526" s="33"/>
      <c r="F1526" s="33"/>
      <c r="G1526" s="27"/>
    </row>
    <row r="1527" spans="1:7" x14ac:dyDescent="0.2">
      <c r="A1527" s="22" t="str">
        <f t="shared" si="23"/>
        <v/>
      </c>
      <c r="B1527" s="31">
        <v>43526</v>
      </c>
      <c r="C1527" s="32" t="s">
        <v>61</v>
      </c>
      <c r="D1527" s="32">
        <v>43520</v>
      </c>
      <c r="E1527" s="33"/>
      <c r="F1527" s="33"/>
      <c r="G1527" s="27"/>
    </row>
    <row r="1528" spans="1:7" x14ac:dyDescent="0.2">
      <c r="A1528" s="22" t="str">
        <f t="shared" si="23"/>
        <v/>
      </c>
      <c r="B1528" s="31">
        <v>43527</v>
      </c>
      <c r="C1528" s="32" t="s">
        <v>55</v>
      </c>
      <c r="D1528" s="32">
        <v>43527</v>
      </c>
      <c r="E1528" s="33"/>
      <c r="F1528" s="33"/>
      <c r="G1528" s="27"/>
    </row>
    <row r="1529" spans="1:7" x14ac:dyDescent="0.2">
      <c r="A1529" s="22" t="str">
        <f t="shared" si="23"/>
        <v/>
      </c>
      <c r="B1529" s="31">
        <v>43528</v>
      </c>
      <c r="C1529" s="32" t="s">
        <v>56</v>
      </c>
      <c r="D1529" s="32">
        <v>43527</v>
      </c>
      <c r="E1529" s="33"/>
      <c r="F1529" s="33"/>
      <c r="G1529" s="27"/>
    </row>
    <row r="1530" spans="1:7" x14ac:dyDescent="0.2">
      <c r="A1530" s="22" t="str">
        <f t="shared" si="23"/>
        <v/>
      </c>
      <c r="B1530" s="31">
        <v>43529</v>
      </c>
      <c r="C1530" s="32" t="s">
        <v>57</v>
      </c>
      <c r="D1530" s="32">
        <v>43527</v>
      </c>
      <c r="E1530" s="33"/>
      <c r="F1530" s="33"/>
      <c r="G1530" s="27"/>
    </row>
    <row r="1531" spans="1:7" x14ac:dyDescent="0.2">
      <c r="A1531" s="22" t="str">
        <f t="shared" si="23"/>
        <v/>
      </c>
      <c r="B1531" s="31">
        <v>43530</v>
      </c>
      <c r="C1531" s="32" t="s">
        <v>58</v>
      </c>
      <c r="D1531" s="32">
        <v>43527</v>
      </c>
      <c r="E1531" s="33"/>
      <c r="F1531" s="33"/>
      <c r="G1531" s="27"/>
    </row>
    <row r="1532" spans="1:7" x14ac:dyDescent="0.2">
      <c r="A1532" s="22" t="str">
        <f t="shared" si="23"/>
        <v/>
      </c>
      <c r="B1532" s="31">
        <v>43531</v>
      </c>
      <c r="C1532" s="32" t="s">
        <v>59</v>
      </c>
      <c r="D1532" s="32">
        <v>43527</v>
      </c>
      <c r="E1532" s="33"/>
      <c r="F1532" s="33"/>
      <c r="G1532" s="27"/>
    </row>
    <row r="1533" spans="1:7" x14ac:dyDescent="0.2">
      <c r="A1533" s="22" t="str">
        <f t="shared" si="23"/>
        <v/>
      </c>
      <c r="B1533" s="31">
        <v>43532</v>
      </c>
      <c r="C1533" s="32" t="s">
        <v>60</v>
      </c>
      <c r="D1533" s="32">
        <v>43527</v>
      </c>
      <c r="E1533" s="33"/>
      <c r="F1533" s="33"/>
      <c r="G1533" s="27"/>
    </row>
    <row r="1534" spans="1:7" x14ac:dyDescent="0.2">
      <c r="A1534" s="22" t="str">
        <f t="shared" si="23"/>
        <v/>
      </c>
      <c r="B1534" s="31">
        <v>43533</v>
      </c>
      <c r="C1534" s="32" t="s">
        <v>61</v>
      </c>
      <c r="D1534" s="32">
        <v>43527</v>
      </c>
      <c r="E1534" s="33"/>
      <c r="F1534" s="33"/>
      <c r="G1534" s="27"/>
    </row>
    <row r="1535" spans="1:7" x14ac:dyDescent="0.2">
      <c r="A1535" s="22" t="str">
        <f t="shared" si="23"/>
        <v/>
      </c>
      <c r="B1535" s="31">
        <v>43534</v>
      </c>
      <c r="C1535" s="32" t="s">
        <v>55</v>
      </c>
      <c r="D1535" s="32">
        <v>43534</v>
      </c>
      <c r="E1535" s="33"/>
      <c r="F1535" s="33"/>
      <c r="G1535" s="27"/>
    </row>
    <row r="1536" spans="1:7" x14ac:dyDescent="0.2">
      <c r="A1536" s="22" t="str">
        <f t="shared" si="23"/>
        <v/>
      </c>
      <c r="B1536" s="31">
        <v>43535</v>
      </c>
      <c r="C1536" s="32" t="s">
        <v>56</v>
      </c>
      <c r="D1536" s="32">
        <v>43534</v>
      </c>
      <c r="E1536" s="33"/>
      <c r="F1536" s="33"/>
      <c r="G1536" s="27"/>
    </row>
    <row r="1537" spans="1:7" x14ac:dyDescent="0.2">
      <c r="A1537" s="22" t="str">
        <f t="shared" si="23"/>
        <v/>
      </c>
      <c r="B1537" s="31">
        <v>43536</v>
      </c>
      <c r="C1537" s="32" t="s">
        <v>57</v>
      </c>
      <c r="D1537" s="32">
        <v>43534</v>
      </c>
      <c r="E1537" s="33"/>
      <c r="F1537" s="33"/>
      <c r="G1537" s="27"/>
    </row>
    <row r="1538" spans="1:7" x14ac:dyDescent="0.2">
      <c r="A1538" s="22" t="str">
        <f t="shared" si="23"/>
        <v/>
      </c>
      <c r="B1538" s="31">
        <v>43537</v>
      </c>
      <c r="C1538" s="32" t="s">
        <v>58</v>
      </c>
      <c r="D1538" s="32">
        <v>43534</v>
      </c>
      <c r="E1538" s="33"/>
      <c r="F1538" s="33"/>
      <c r="G1538" s="27"/>
    </row>
    <row r="1539" spans="1:7" x14ac:dyDescent="0.2">
      <c r="A1539" s="22" t="str">
        <f t="shared" ref="A1539:A1602" si="24">RIGHT(G1539,4)</f>
        <v/>
      </c>
      <c r="B1539" s="31">
        <v>43538</v>
      </c>
      <c r="C1539" s="32" t="s">
        <v>59</v>
      </c>
      <c r="D1539" s="32">
        <v>43534</v>
      </c>
      <c r="E1539" s="33"/>
      <c r="F1539" s="33"/>
      <c r="G1539" s="27"/>
    </row>
    <row r="1540" spans="1:7" x14ac:dyDescent="0.2">
      <c r="A1540" s="22" t="str">
        <f t="shared" si="24"/>
        <v/>
      </c>
      <c r="B1540" s="31">
        <v>43539</v>
      </c>
      <c r="C1540" s="32" t="s">
        <v>60</v>
      </c>
      <c r="D1540" s="32">
        <v>43534</v>
      </c>
      <c r="E1540" s="33"/>
      <c r="F1540" s="33"/>
      <c r="G1540" s="27"/>
    </row>
    <row r="1541" spans="1:7" x14ac:dyDescent="0.2">
      <c r="A1541" s="22" t="str">
        <f t="shared" si="24"/>
        <v/>
      </c>
      <c r="B1541" s="31">
        <v>43540</v>
      </c>
      <c r="C1541" s="32" t="s">
        <v>61</v>
      </c>
      <c r="D1541" s="32">
        <v>43534</v>
      </c>
      <c r="E1541" s="33"/>
      <c r="F1541" s="33"/>
      <c r="G1541" s="27"/>
    </row>
    <row r="1542" spans="1:7" x14ac:dyDescent="0.2">
      <c r="A1542" s="22" t="str">
        <f t="shared" si="24"/>
        <v/>
      </c>
      <c r="B1542" s="31">
        <v>43541</v>
      </c>
      <c r="C1542" s="32" t="s">
        <v>55</v>
      </c>
      <c r="D1542" s="32">
        <v>43541</v>
      </c>
      <c r="E1542" s="33"/>
      <c r="F1542" s="33"/>
      <c r="G1542" s="27"/>
    </row>
    <row r="1543" spans="1:7" x14ac:dyDescent="0.2">
      <c r="A1543" s="22" t="str">
        <f t="shared" si="24"/>
        <v/>
      </c>
      <c r="B1543" s="31">
        <v>43542</v>
      </c>
      <c r="C1543" s="32" t="s">
        <v>56</v>
      </c>
      <c r="D1543" s="32">
        <v>43541</v>
      </c>
      <c r="E1543" s="33"/>
      <c r="F1543" s="33"/>
      <c r="G1543" s="27"/>
    </row>
    <row r="1544" spans="1:7" x14ac:dyDescent="0.2">
      <c r="A1544" s="22" t="str">
        <f t="shared" si="24"/>
        <v/>
      </c>
      <c r="B1544" s="31">
        <v>43543</v>
      </c>
      <c r="C1544" s="32" t="s">
        <v>57</v>
      </c>
      <c r="D1544" s="32">
        <v>43541</v>
      </c>
      <c r="E1544" s="33"/>
      <c r="F1544" s="33"/>
      <c r="G1544" s="27"/>
    </row>
    <row r="1545" spans="1:7" x14ac:dyDescent="0.2">
      <c r="A1545" s="22" t="str">
        <f t="shared" si="24"/>
        <v/>
      </c>
      <c r="B1545" s="31">
        <v>43544</v>
      </c>
      <c r="C1545" s="32" t="s">
        <v>58</v>
      </c>
      <c r="D1545" s="32">
        <v>43541</v>
      </c>
      <c r="E1545" s="33"/>
      <c r="F1545" s="33"/>
      <c r="G1545" s="27"/>
    </row>
    <row r="1546" spans="1:7" x14ac:dyDescent="0.2">
      <c r="A1546" s="22" t="str">
        <f t="shared" si="24"/>
        <v/>
      </c>
      <c r="B1546" s="31">
        <v>43545</v>
      </c>
      <c r="C1546" s="32" t="s">
        <v>59</v>
      </c>
      <c r="D1546" s="32">
        <v>43541</v>
      </c>
      <c r="E1546" s="33"/>
      <c r="F1546" s="33"/>
      <c r="G1546" s="27"/>
    </row>
    <row r="1547" spans="1:7" x14ac:dyDescent="0.2">
      <c r="A1547" s="22" t="str">
        <f t="shared" si="24"/>
        <v/>
      </c>
      <c r="B1547" s="31">
        <v>43546</v>
      </c>
      <c r="C1547" s="32" t="s">
        <v>60</v>
      </c>
      <c r="D1547" s="32">
        <v>43541</v>
      </c>
      <c r="E1547" s="33"/>
      <c r="F1547" s="33"/>
      <c r="G1547" s="27"/>
    </row>
    <row r="1548" spans="1:7" x14ac:dyDescent="0.2">
      <c r="A1548" s="22" t="str">
        <f t="shared" si="24"/>
        <v/>
      </c>
      <c r="B1548" s="31">
        <v>43547</v>
      </c>
      <c r="C1548" s="32" t="s">
        <v>61</v>
      </c>
      <c r="D1548" s="32">
        <v>43541</v>
      </c>
      <c r="E1548" s="33"/>
      <c r="F1548" s="33"/>
      <c r="G1548" s="27"/>
    </row>
    <row r="1549" spans="1:7" x14ac:dyDescent="0.2">
      <c r="A1549" s="22" t="str">
        <f t="shared" si="24"/>
        <v/>
      </c>
      <c r="B1549" s="31">
        <v>43548</v>
      </c>
      <c r="C1549" s="32" t="s">
        <v>55</v>
      </c>
      <c r="D1549" s="32">
        <v>43548</v>
      </c>
      <c r="E1549" s="33"/>
      <c r="F1549" s="33"/>
      <c r="G1549" s="27"/>
    </row>
    <row r="1550" spans="1:7" x14ac:dyDescent="0.2">
      <c r="A1550" s="22" t="str">
        <f t="shared" si="24"/>
        <v/>
      </c>
      <c r="B1550" s="31">
        <v>43549</v>
      </c>
      <c r="C1550" s="32" t="s">
        <v>56</v>
      </c>
      <c r="D1550" s="32">
        <v>43548</v>
      </c>
      <c r="E1550" s="33"/>
      <c r="F1550" s="33"/>
      <c r="G1550" s="27"/>
    </row>
    <row r="1551" spans="1:7" x14ac:dyDescent="0.2">
      <c r="A1551" s="22" t="str">
        <f t="shared" si="24"/>
        <v/>
      </c>
      <c r="B1551" s="31">
        <v>43550</v>
      </c>
      <c r="C1551" s="32" t="s">
        <v>57</v>
      </c>
      <c r="D1551" s="32">
        <v>43548</v>
      </c>
      <c r="E1551" s="33"/>
      <c r="F1551" s="33"/>
      <c r="G1551" s="27"/>
    </row>
    <row r="1552" spans="1:7" x14ac:dyDescent="0.2">
      <c r="A1552" s="22" t="str">
        <f t="shared" si="24"/>
        <v/>
      </c>
      <c r="B1552" s="31">
        <v>43551</v>
      </c>
      <c r="C1552" s="32" t="s">
        <v>58</v>
      </c>
      <c r="D1552" s="32">
        <v>43548</v>
      </c>
      <c r="E1552" s="33"/>
      <c r="F1552" s="33"/>
      <c r="G1552" s="27"/>
    </row>
    <row r="1553" spans="1:7" x14ac:dyDescent="0.2">
      <c r="A1553" s="22" t="str">
        <f t="shared" si="24"/>
        <v/>
      </c>
      <c r="B1553" s="31">
        <v>43552</v>
      </c>
      <c r="C1553" s="32" t="s">
        <v>59</v>
      </c>
      <c r="D1553" s="32">
        <v>43548</v>
      </c>
      <c r="E1553" s="33"/>
      <c r="F1553" s="33"/>
      <c r="G1553" s="27"/>
    </row>
    <row r="1554" spans="1:7" x14ac:dyDescent="0.2">
      <c r="A1554" s="22" t="str">
        <f t="shared" si="24"/>
        <v/>
      </c>
      <c r="B1554" s="31">
        <v>43553</v>
      </c>
      <c r="C1554" s="32" t="s">
        <v>60</v>
      </c>
      <c r="D1554" s="32">
        <v>43548</v>
      </c>
      <c r="E1554" s="33"/>
      <c r="F1554" s="33"/>
      <c r="G1554" s="27"/>
    </row>
    <row r="1555" spans="1:7" x14ac:dyDescent="0.2">
      <c r="A1555" s="22" t="str">
        <f t="shared" si="24"/>
        <v/>
      </c>
      <c r="B1555" s="31">
        <v>43554</v>
      </c>
      <c r="C1555" s="32" t="s">
        <v>61</v>
      </c>
      <c r="D1555" s="32">
        <v>43548</v>
      </c>
      <c r="E1555" s="33"/>
      <c r="F1555" s="33"/>
      <c r="G1555" s="27"/>
    </row>
    <row r="1556" spans="1:7" x14ac:dyDescent="0.2">
      <c r="A1556" s="22" t="str">
        <f t="shared" si="24"/>
        <v/>
      </c>
      <c r="B1556" s="31">
        <v>43555</v>
      </c>
      <c r="C1556" s="32" t="s">
        <v>55</v>
      </c>
      <c r="D1556" s="32">
        <v>43555</v>
      </c>
      <c r="E1556" s="33"/>
      <c r="F1556" s="33"/>
      <c r="G1556" s="27"/>
    </row>
    <row r="1557" spans="1:7" x14ac:dyDescent="0.2">
      <c r="A1557" s="22" t="str">
        <f t="shared" si="24"/>
        <v/>
      </c>
      <c r="B1557" s="31">
        <v>43556</v>
      </c>
      <c r="C1557" s="32" t="s">
        <v>56</v>
      </c>
      <c r="D1557" s="32">
        <v>43555</v>
      </c>
      <c r="E1557" s="33"/>
      <c r="F1557" s="33"/>
      <c r="G1557" s="27"/>
    </row>
    <row r="1558" spans="1:7" x14ac:dyDescent="0.2">
      <c r="A1558" s="22" t="str">
        <f t="shared" si="24"/>
        <v/>
      </c>
      <c r="B1558" s="31">
        <v>43557</v>
      </c>
      <c r="C1558" s="32" t="s">
        <v>57</v>
      </c>
      <c r="D1558" s="32">
        <v>43555</v>
      </c>
      <c r="E1558" s="33"/>
      <c r="F1558" s="33"/>
      <c r="G1558" s="27"/>
    </row>
    <row r="1559" spans="1:7" x14ac:dyDescent="0.2">
      <c r="A1559" s="22" t="str">
        <f t="shared" si="24"/>
        <v/>
      </c>
      <c r="B1559" s="31">
        <v>43558</v>
      </c>
      <c r="C1559" s="32" t="s">
        <v>58</v>
      </c>
      <c r="D1559" s="32">
        <v>43555</v>
      </c>
      <c r="E1559" s="33"/>
      <c r="F1559" s="33"/>
      <c r="G1559" s="27"/>
    </row>
    <row r="1560" spans="1:7" x14ac:dyDescent="0.2">
      <c r="A1560" s="22" t="str">
        <f t="shared" si="24"/>
        <v/>
      </c>
      <c r="B1560" s="31">
        <v>43559</v>
      </c>
      <c r="C1560" s="32" t="s">
        <v>59</v>
      </c>
      <c r="D1560" s="32">
        <v>43555</v>
      </c>
      <c r="E1560" s="33"/>
      <c r="F1560" s="33"/>
      <c r="G1560" s="27"/>
    </row>
    <row r="1561" spans="1:7" x14ac:dyDescent="0.2">
      <c r="A1561" s="22" t="str">
        <f t="shared" si="24"/>
        <v/>
      </c>
      <c r="B1561" s="31">
        <v>43560</v>
      </c>
      <c r="C1561" s="32" t="s">
        <v>60</v>
      </c>
      <c r="D1561" s="32">
        <v>43555</v>
      </c>
      <c r="E1561" s="33"/>
      <c r="F1561" s="33"/>
      <c r="G1561" s="27"/>
    </row>
    <row r="1562" spans="1:7" x14ac:dyDescent="0.2">
      <c r="A1562" s="22" t="str">
        <f t="shared" si="24"/>
        <v/>
      </c>
      <c r="B1562" s="31">
        <v>43561</v>
      </c>
      <c r="C1562" s="32" t="s">
        <v>61</v>
      </c>
      <c r="D1562" s="32">
        <v>43555</v>
      </c>
      <c r="E1562" s="33"/>
      <c r="F1562" s="33"/>
      <c r="G1562" s="27"/>
    </row>
    <row r="1563" spans="1:7" x14ac:dyDescent="0.2">
      <c r="A1563" s="22" t="str">
        <f t="shared" si="24"/>
        <v/>
      </c>
      <c r="B1563" s="31">
        <v>43562</v>
      </c>
      <c r="C1563" s="32" t="s">
        <v>55</v>
      </c>
      <c r="D1563" s="32">
        <v>43562</v>
      </c>
      <c r="E1563" s="33"/>
      <c r="F1563" s="33"/>
      <c r="G1563" s="27"/>
    </row>
    <row r="1564" spans="1:7" x14ac:dyDescent="0.2">
      <c r="A1564" s="22" t="str">
        <f t="shared" si="24"/>
        <v/>
      </c>
      <c r="B1564" s="31">
        <v>43563</v>
      </c>
      <c r="C1564" s="32" t="s">
        <v>56</v>
      </c>
      <c r="D1564" s="32">
        <v>43562</v>
      </c>
      <c r="E1564" s="33"/>
      <c r="F1564" s="33"/>
      <c r="G1564" s="27"/>
    </row>
    <row r="1565" spans="1:7" x14ac:dyDescent="0.2">
      <c r="A1565" s="22" t="str">
        <f t="shared" si="24"/>
        <v/>
      </c>
      <c r="B1565" s="31">
        <v>43564</v>
      </c>
      <c r="C1565" s="32" t="s">
        <v>57</v>
      </c>
      <c r="D1565" s="32">
        <v>43562</v>
      </c>
      <c r="E1565" s="33"/>
      <c r="F1565" s="33"/>
      <c r="G1565" s="27"/>
    </row>
    <row r="1566" spans="1:7" x14ac:dyDescent="0.2">
      <c r="A1566" s="22" t="str">
        <f t="shared" si="24"/>
        <v/>
      </c>
      <c r="B1566" s="31">
        <v>43565</v>
      </c>
      <c r="C1566" s="32" t="s">
        <v>58</v>
      </c>
      <c r="D1566" s="32">
        <v>43562</v>
      </c>
      <c r="E1566" s="33"/>
      <c r="F1566" s="33"/>
      <c r="G1566" s="27"/>
    </row>
    <row r="1567" spans="1:7" x14ac:dyDescent="0.2">
      <c r="A1567" s="22" t="str">
        <f t="shared" si="24"/>
        <v/>
      </c>
      <c r="B1567" s="31">
        <v>43566</v>
      </c>
      <c r="C1567" s="32" t="s">
        <v>59</v>
      </c>
      <c r="D1567" s="32">
        <v>43562</v>
      </c>
      <c r="E1567" s="33"/>
      <c r="F1567" s="33"/>
      <c r="G1567" s="27"/>
    </row>
    <row r="1568" spans="1:7" x14ac:dyDescent="0.2">
      <c r="A1568" s="22" t="str">
        <f t="shared" si="24"/>
        <v/>
      </c>
      <c r="B1568" s="31">
        <v>43567</v>
      </c>
      <c r="C1568" s="32" t="s">
        <v>60</v>
      </c>
      <c r="D1568" s="32">
        <v>43562</v>
      </c>
      <c r="E1568" s="33"/>
      <c r="F1568" s="33"/>
      <c r="G1568" s="27"/>
    </row>
    <row r="1569" spans="1:7" x14ac:dyDescent="0.2">
      <c r="A1569" s="22" t="str">
        <f t="shared" si="24"/>
        <v/>
      </c>
      <c r="B1569" s="31">
        <v>43568</v>
      </c>
      <c r="C1569" s="32" t="s">
        <v>61</v>
      </c>
      <c r="D1569" s="32">
        <v>43562</v>
      </c>
      <c r="E1569" s="33"/>
      <c r="F1569" s="33"/>
      <c r="G1569" s="27"/>
    </row>
    <row r="1570" spans="1:7" x14ac:dyDescent="0.2">
      <c r="A1570" s="22" t="str">
        <f t="shared" si="24"/>
        <v/>
      </c>
      <c r="B1570" s="31">
        <v>43569</v>
      </c>
      <c r="C1570" s="32" t="s">
        <v>55</v>
      </c>
      <c r="D1570" s="32">
        <v>43569</v>
      </c>
      <c r="E1570" s="33"/>
      <c r="F1570" s="33"/>
      <c r="G1570" s="27"/>
    </row>
    <row r="1571" spans="1:7" x14ac:dyDescent="0.2">
      <c r="A1571" s="22" t="str">
        <f t="shared" si="24"/>
        <v/>
      </c>
      <c r="B1571" s="31">
        <v>43570</v>
      </c>
      <c r="C1571" s="32" t="s">
        <v>56</v>
      </c>
      <c r="D1571" s="32">
        <v>43569</v>
      </c>
      <c r="E1571" s="33"/>
      <c r="F1571" s="33"/>
      <c r="G1571" s="27"/>
    </row>
    <row r="1572" spans="1:7" x14ac:dyDescent="0.2">
      <c r="A1572" s="22" t="str">
        <f t="shared" si="24"/>
        <v/>
      </c>
      <c r="B1572" s="31">
        <v>43571</v>
      </c>
      <c r="C1572" s="32" t="s">
        <v>57</v>
      </c>
      <c r="D1572" s="32">
        <v>43569</v>
      </c>
      <c r="E1572" s="33"/>
      <c r="F1572" s="33"/>
      <c r="G1572" s="27"/>
    </row>
    <row r="1573" spans="1:7" x14ac:dyDescent="0.2">
      <c r="A1573" s="22" t="str">
        <f t="shared" si="24"/>
        <v/>
      </c>
      <c r="B1573" s="31">
        <v>43572</v>
      </c>
      <c r="C1573" s="32" t="s">
        <v>58</v>
      </c>
      <c r="D1573" s="32">
        <v>43569</v>
      </c>
      <c r="E1573" s="33"/>
      <c r="F1573" s="33"/>
      <c r="G1573" s="27"/>
    </row>
    <row r="1574" spans="1:7" x14ac:dyDescent="0.2">
      <c r="A1574" s="22" t="str">
        <f t="shared" si="24"/>
        <v/>
      </c>
      <c r="B1574" s="31">
        <v>43573</v>
      </c>
      <c r="C1574" s="32" t="s">
        <v>59</v>
      </c>
      <c r="D1574" s="32">
        <v>43569</v>
      </c>
      <c r="E1574" s="33"/>
      <c r="F1574" s="33"/>
      <c r="G1574" s="27"/>
    </row>
    <row r="1575" spans="1:7" x14ac:dyDescent="0.2">
      <c r="A1575" s="22" t="str">
        <f t="shared" si="24"/>
        <v/>
      </c>
      <c r="B1575" s="31">
        <v>43574</v>
      </c>
      <c r="C1575" s="32" t="s">
        <v>60</v>
      </c>
      <c r="D1575" s="32">
        <v>43569</v>
      </c>
      <c r="E1575" s="33"/>
      <c r="F1575" s="33"/>
      <c r="G1575" s="27"/>
    </row>
    <row r="1576" spans="1:7" x14ac:dyDescent="0.2">
      <c r="A1576" s="22" t="str">
        <f t="shared" si="24"/>
        <v/>
      </c>
      <c r="B1576" s="31">
        <v>43575</v>
      </c>
      <c r="C1576" s="32" t="s">
        <v>61</v>
      </c>
      <c r="D1576" s="32">
        <v>43569</v>
      </c>
      <c r="E1576" s="33"/>
      <c r="F1576" s="33"/>
      <c r="G1576" s="27"/>
    </row>
    <row r="1577" spans="1:7" x14ac:dyDescent="0.2">
      <c r="A1577" s="22" t="str">
        <f t="shared" si="24"/>
        <v/>
      </c>
      <c r="B1577" s="31">
        <v>43576</v>
      </c>
      <c r="C1577" s="32" t="s">
        <v>55</v>
      </c>
      <c r="D1577" s="32">
        <v>43576</v>
      </c>
      <c r="E1577" s="33"/>
      <c r="F1577" s="33"/>
      <c r="G1577" s="27"/>
    </row>
    <row r="1578" spans="1:7" x14ac:dyDescent="0.2">
      <c r="A1578" s="22" t="str">
        <f t="shared" si="24"/>
        <v/>
      </c>
      <c r="B1578" s="31">
        <v>43577</v>
      </c>
      <c r="C1578" s="32" t="s">
        <v>56</v>
      </c>
      <c r="D1578" s="32">
        <v>43576</v>
      </c>
      <c r="E1578" s="33"/>
      <c r="F1578" s="33"/>
      <c r="G1578" s="27"/>
    </row>
    <row r="1579" spans="1:7" x14ac:dyDescent="0.2">
      <c r="A1579" s="22" t="str">
        <f t="shared" si="24"/>
        <v/>
      </c>
      <c r="B1579" s="31">
        <v>43578</v>
      </c>
      <c r="C1579" s="32" t="s">
        <v>57</v>
      </c>
      <c r="D1579" s="32">
        <v>43576</v>
      </c>
      <c r="E1579" s="33"/>
      <c r="F1579" s="33"/>
      <c r="G1579" s="27"/>
    </row>
    <row r="1580" spans="1:7" x14ac:dyDescent="0.2">
      <c r="A1580" s="22" t="str">
        <f t="shared" si="24"/>
        <v/>
      </c>
      <c r="B1580" s="31">
        <v>43579</v>
      </c>
      <c r="C1580" s="32" t="s">
        <v>58</v>
      </c>
      <c r="D1580" s="32">
        <v>43576</v>
      </c>
      <c r="E1580" s="33"/>
      <c r="F1580" s="33"/>
      <c r="G1580" s="27"/>
    </row>
    <row r="1581" spans="1:7" x14ac:dyDescent="0.2">
      <c r="A1581" s="22" t="str">
        <f t="shared" si="24"/>
        <v/>
      </c>
      <c r="B1581" s="31">
        <v>43580</v>
      </c>
      <c r="C1581" s="32" t="s">
        <v>59</v>
      </c>
      <c r="D1581" s="32">
        <v>43576</v>
      </c>
      <c r="E1581" s="33"/>
      <c r="F1581" s="33"/>
      <c r="G1581" s="27"/>
    </row>
    <row r="1582" spans="1:7" x14ac:dyDescent="0.2">
      <c r="A1582" s="22" t="str">
        <f t="shared" si="24"/>
        <v/>
      </c>
      <c r="B1582" s="31">
        <v>43581</v>
      </c>
      <c r="C1582" s="32" t="s">
        <v>60</v>
      </c>
      <c r="D1582" s="32">
        <v>43576</v>
      </c>
      <c r="E1582" s="33"/>
      <c r="F1582" s="33"/>
      <c r="G1582" s="27"/>
    </row>
    <row r="1583" spans="1:7" x14ac:dyDescent="0.2">
      <c r="A1583" s="22" t="str">
        <f t="shared" si="24"/>
        <v/>
      </c>
      <c r="B1583" s="31">
        <v>43582</v>
      </c>
      <c r="C1583" s="32" t="s">
        <v>61</v>
      </c>
      <c r="D1583" s="32">
        <v>43576</v>
      </c>
      <c r="E1583" s="33"/>
      <c r="F1583" s="33"/>
      <c r="G1583" s="27"/>
    </row>
    <row r="1584" spans="1:7" x14ac:dyDescent="0.2">
      <c r="A1584" s="22" t="str">
        <f t="shared" si="24"/>
        <v/>
      </c>
      <c r="B1584" s="31">
        <v>43583</v>
      </c>
      <c r="C1584" s="32" t="s">
        <v>55</v>
      </c>
      <c r="D1584" s="32">
        <v>43583</v>
      </c>
      <c r="E1584" s="33"/>
      <c r="F1584" s="33"/>
      <c r="G1584" s="27"/>
    </row>
    <row r="1585" spans="1:7" x14ac:dyDescent="0.2">
      <c r="A1585" s="22" t="str">
        <f t="shared" si="24"/>
        <v/>
      </c>
      <c r="B1585" s="31">
        <v>43584</v>
      </c>
      <c r="C1585" s="32" t="s">
        <v>56</v>
      </c>
      <c r="D1585" s="32">
        <v>43583</v>
      </c>
      <c r="E1585" s="33"/>
      <c r="F1585" s="33"/>
      <c r="G1585" s="27"/>
    </row>
    <row r="1586" spans="1:7" x14ac:dyDescent="0.2">
      <c r="A1586" s="22" t="str">
        <f t="shared" si="24"/>
        <v/>
      </c>
      <c r="B1586" s="31">
        <v>43585</v>
      </c>
      <c r="C1586" s="32" t="s">
        <v>57</v>
      </c>
      <c r="D1586" s="32">
        <v>43583</v>
      </c>
      <c r="E1586" s="33"/>
      <c r="F1586" s="33"/>
      <c r="G1586" s="27"/>
    </row>
    <row r="1587" spans="1:7" x14ac:dyDescent="0.2">
      <c r="A1587" s="22" t="str">
        <f t="shared" si="24"/>
        <v/>
      </c>
      <c r="B1587" s="31">
        <v>43586</v>
      </c>
      <c r="C1587" s="32" t="s">
        <v>58</v>
      </c>
      <c r="D1587" s="32">
        <v>43583</v>
      </c>
      <c r="E1587" s="33"/>
      <c r="F1587" s="33"/>
      <c r="G1587" s="27"/>
    </row>
    <row r="1588" spans="1:7" x14ac:dyDescent="0.2">
      <c r="A1588" s="22" t="str">
        <f t="shared" si="24"/>
        <v/>
      </c>
      <c r="B1588" s="31">
        <v>43587</v>
      </c>
      <c r="C1588" s="32" t="s">
        <v>59</v>
      </c>
      <c r="D1588" s="32">
        <v>43583</v>
      </c>
      <c r="E1588" s="33"/>
      <c r="F1588" s="33"/>
      <c r="G1588" s="27"/>
    </row>
    <row r="1589" spans="1:7" x14ac:dyDescent="0.2">
      <c r="A1589" s="22" t="str">
        <f t="shared" si="24"/>
        <v/>
      </c>
      <c r="B1589" s="31">
        <v>43588</v>
      </c>
      <c r="C1589" s="32" t="s">
        <v>60</v>
      </c>
      <c r="D1589" s="32">
        <v>43583</v>
      </c>
      <c r="E1589" s="33"/>
      <c r="F1589" s="33"/>
      <c r="G1589" s="27"/>
    </row>
    <row r="1590" spans="1:7" x14ac:dyDescent="0.2">
      <c r="A1590" s="22" t="str">
        <f t="shared" si="24"/>
        <v/>
      </c>
      <c r="B1590" s="31">
        <v>43589</v>
      </c>
      <c r="C1590" s="32" t="s">
        <v>61</v>
      </c>
      <c r="D1590" s="32">
        <v>43583</v>
      </c>
      <c r="E1590" s="33"/>
      <c r="F1590" s="33"/>
      <c r="G1590" s="27"/>
    </row>
    <row r="1591" spans="1:7" x14ac:dyDescent="0.2">
      <c r="A1591" s="22" t="str">
        <f t="shared" si="24"/>
        <v/>
      </c>
      <c r="B1591" s="31">
        <v>43590</v>
      </c>
      <c r="C1591" s="32" t="s">
        <v>55</v>
      </c>
      <c r="D1591" s="32">
        <v>43590</v>
      </c>
      <c r="E1591" s="33"/>
      <c r="F1591" s="33"/>
      <c r="G1591" s="27"/>
    </row>
    <row r="1592" spans="1:7" x14ac:dyDescent="0.2">
      <c r="A1592" s="22" t="str">
        <f t="shared" si="24"/>
        <v/>
      </c>
      <c r="B1592" s="31">
        <v>43591</v>
      </c>
      <c r="C1592" s="32" t="s">
        <v>56</v>
      </c>
      <c r="D1592" s="32">
        <v>43590</v>
      </c>
      <c r="E1592" s="33"/>
      <c r="F1592" s="33"/>
      <c r="G1592" s="27"/>
    </row>
    <row r="1593" spans="1:7" x14ac:dyDescent="0.2">
      <c r="A1593" s="22" t="str">
        <f t="shared" si="24"/>
        <v/>
      </c>
      <c r="B1593" s="31">
        <v>43592</v>
      </c>
      <c r="C1593" s="32" t="s">
        <v>57</v>
      </c>
      <c r="D1593" s="32">
        <v>43590</v>
      </c>
      <c r="E1593" s="33"/>
      <c r="F1593" s="33"/>
      <c r="G1593" s="27"/>
    </row>
    <row r="1594" spans="1:7" x14ac:dyDescent="0.2">
      <c r="A1594" s="22" t="str">
        <f t="shared" si="24"/>
        <v/>
      </c>
      <c r="B1594" s="31">
        <v>43593</v>
      </c>
      <c r="C1594" s="32" t="s">
        <v>58</v>
      </c>
      <c r="D1594" s="32">
        <v>43590</v>
      </c>
      <c r="E1594" s="33"/>
      <c r="F1594" s="33"/>
      <c r="G1594" s="27"/>
    </row>
    <row r="1595" spans="1:7" x14ac:dyDescent="0.2">
      <c r="A1595" s="22" t="str">
        <f t="shared" si="24"/>
        <v/>
      </c>
      <c r="B1595" s="31">
        <v>43594</v>
      </c>
      <c r="C1595" s="32" t="s">
        <v>59</v>
      </c>
      <c r="D1595" s="32">
        <v>43590</v>
      </c>
      <c r="E1595" s="33"/>
      <c r="F1595" s="33"/>
      <c r="G1595" s="27"/>
    </row>
    <row r="1596" spans="1:7" x14ac:dyDescent="0.2">
      <c r="A1596" s="22" t="str">
        <f t="shared" si="24"/>
        <v/>
      </c>
      <c r="B1596" s="31">
        <v>43595</v>
      </c>
      <c r="C1596" s="32" t="s">
        <v>60</v>
      </c>
      <c r="D1596" s="32">
        <v>43590</v>
      </c>
      <c r="E1596" s="33"/>
      <c r="F1596" s="33"/>
      <c r="G1596" s="27"/>
    </row>
    <row r="1597" spans="1:7" x14ac:dyDescent="0.2">
      <c r="A1597" s="22" t="str">
        <f t="shared" si="24"/>
        <v/>
      </c>
      <c r="B1597" s="31">
        <v>43596</v>
      </c>
      <c r="C1597" s="32" t="s">
        <v>61</v>
      </c>
      <c r="D1597" s="32">
        <v>43590</v>
      </c>
      <c r="E1597" s="33"/>
      <c r="F1597" s="33"/>
      <c r="G1597" s="27"/>
    </row>
    <row r="1598" spans="1:7" x14ac:dyDescent="0.2">
      <c r="A1598" s="22" t="str">
        <f t="shared" si="24"/>
        <v/>
      </c>
      <c r="B1598" s="31">
        <v>43597</v>
      </c>
      <c r="C1598" s="32" t="s">
        <v>55</v>
      </c>
      <c r="D1598" s="32">
        <v>43597</v>
      </c>
      <c r="E1598" s="33"/>
      <c r="F1598" s="33"/>
      <c r="G1598" s="27"/>
    </row>
    <row r="1599" spans="1:7" x14ac:dyDescent="0.2">
      <c r="A1599" s="22" t="str">
        <f t="shared" si="24"/>
        <v/>
      </c>
      <c r="B1599" s="31">
        <v>43598</v>
      </c>
      <c r="C1599" s="32" t="s">
        <v>56</v>
      </c>
      <c r="D1599" s="32">
        <v>43597</v>
      </c>
      <c r="E1599" s="33"/>
      <c r="F1599" s="33"/>
      <c r="G1599" s="27"/>
    </row>
    <row r="1600" spans="1:7" x14ac:dyDescent="0.2">
      <c r="A1600" s="22" t="str">
        <f t="shared" si="24"/>
        <v/>
      </c>
      <c r="B1600" s="31">
        <v>43599</v>
      </c>
      <c r="C1600" s="32" t="s">
        <v>57</v>
      </c>
      <c r="D1600" s="32">
        <v>43597</v>
      </c>
      <c r="E1600" s="33"/>
      <c r="F1600" s="33"/>
      <c r="G1600" s="27"/>
    </row>
    <row r="1601" spans="1:7" x14ac:dyDescent="0.2">
      <c r="A1601" s="22" t="str">
        <f t="shared" si="24"/>
        <v/>
      </c>
      <c r="B1601" s="31">
        <v>43600</v>
      </c>
      <c r="C1601" s="32" t="s">
        <v>58</v>
      </c>
      <c r="D1601" s="32">
        <v>43597</v>
      </c>
      <c r="E1601" s="33"/>
      <c r="F1601" s="33"/>
      <c r="G1601" s="27"/>
    </row>
    <row r="1602" spans="1:7" x14ac:dyDescent="0.2">
      <c r="A1602" s="22" t="str">
        <f t="shared" si="24"/>
        <v/>
      </c>
      <c r="B1602" s="31">
        <v>43601</v>
      </c>
      <c r="C1602" s="32" t="s">
        <v>59</v>
      </c>
      <c r="D1602" s="32">
        <v>43597</v>
      </c>
      <c r="E1602" s="33"/>
      <c r="F1602" s="33"/>
      <c r="G1602" s="27"/>
    </row>
    <row r="1603" spans="1:7" x14ac:dyDescent="0.2">
      <c r="A1603" s="22" t="str">
        <f t="shared" ref="A1603:A1666" si="25">RIGHT(G1603,4)</f>
        <v/>
      </c>
      <c r="B1603" s="31">
        <v>43602</v>
      </c>
      <c r="C1603" s="32" t="s">
        <v>60</v>
      </c>
      <c r="D1603" s="32">
        <v>43597</v>
      </c>
      <c r="E1603" s="33"/>
      <c r="F1603" s="33"/>
      <c r="G1603" s="27"/>
    </row>
    <row r="1604" spans="1:7" x14ac:dyDescent="0.2">
      <c r="A1604" s="22" t="str">
        <f t="shared" si="25"/>
        <v/>
      </c>
      <c r="B1604" s="31">
        <v>43603</v>
      </c>
      <c r="C1604" s="32" t="s">
        <v>61</v>
      </c>
      <c r="D1604" s="32">
        <v>43597</v>
      </c>
      <c r="E1604" s="33"/>
      <c r="F1604" s="33"/>
      <c r="G1604" s="27"/>
    </row>
    <row r="1605" spans="1:7" x14ac:dyDescent="0.2">
      <c r="A1605" s="22" t="str">
        <f t="shared" si="25"/>
        <v/>
      </c>
      <c r="B1605" s="31">
        <v>43604</v>
      </c>
      <c r="C1605" s="32" t="s">
        <v>55</v>
      </c>
      <c r="D1605" s="32">
        <v>43604</v>
      </c>
      <c r="E1605" s="33"/>
      <c r="F1605" s="33"/>
      <c r="G1605" s="27"/>
    </row>
    <row r="1606" spans="1:7" x14ac:dyDescent="0.2">
      <c r="A1606" s="22" t="str">
        <f t="shared" si="25"/>
        <v/>
      </c>
      <c r="B1606" s="31">
        <v>43605</v>
      </c>
      <c r="C1606" s="32" t="s">
        <v>56</v>
      </c>
      <c r="D1606" s="32">
        <v>43604</v>
      </c>
      <c r="E1606" s="33"/>
      <c r="F1606" s="33"/>
      <c r="G1606" s="27"/>
    </row>
    <row r="1607" spans="1:7" x14ac:dyDescent="0.2">
      <c r="A1607" s="22" t="str">
        <f t="shared" si="25"/>
        <v/>
      </c>
      <c r="B1607" s="31">
        <v>43606</v>
      </c>
      <c r="C1607" s="32" t="s">
        <v>57</v>
      </c>
      <c r="D1607" s="32">
        <v>43604</v>
      </c>
      <c r="E1607" s="33"/>
      <c r="F1607" s="33"/>
      <c r="G1607" s="27"/>
    </row>
    <row r="1608" spans="1:7" x14ac:dyDescent="0.2">
      <c r="A1608" s="22" t="str">
        <f t="shared" si="25"/>
        <v/>
      </c>
      <c r="B1608" s="31">
        <v>43607</v>
      </c>
      <c r="C1608" s="32" t="s">
        <v>58</v>
      </c>
      <c r="D1608" s="32">
        <v>43604</v>
      </c>
      <c r="E1608" s="33"/>
      <c r="F1608" s="33"/>
      <c r="G1608" s="27"/>
    </row>
    <row r="1609" spans="1:7" x14ac:dyDescent="0.2">
      <c r="A1609" s="22" t="str">
        <f t="shared" si="25"/>
        <v/>
      </c>
      <c r="B1609" s="31">
        <v>43608</v>
      </c>
      <c r="C1609" s="32" t="s">
        <v>59</v>
      </c>
      <c r="D1609" s="32">
        <v>43604</v>
      </c>
      <c r="E1609" s="33"/>
      <c r="F1609" s="33"/>
      <c r="G1609" s="27"/>
    </row>
    <row r="1610" spans="1:7" x14ac:dyDescent="0.2">
      <c r="A1610" s="22" t="str">
        <f t="shared" si="25"/>
        <v/>
      </c>
      <c r="B1610" s="31">
        <v>43609</v>
      </c>
      <c r="C1610" s="32" t="s">
        <v>60</v>
      </c>
      <c r="D1610" s="32">
        <v>43604</v>
      </c>
      <c r="E1610" s="33"/>
      <c r="F1610" s="33"/>
      <c r="G1610" s="27"/>
    </row>
    <row r="1611" spans="1:7" x14ac:dyDescent="0.2">
      <c r="A1611" s="22" t="str">
        <f t="shared" si="25"/>
        <v/>
      </c>
      <c r="B1611" s="31">
        <v>43610</v>
      </c>
      <c r="C1611" s="32" t="s">
        <v>61</v>
      </c>
      <c r="D1611" s="32">
        <v>43604</v>
      </c>
      <c r="E1611" s="33"/>
      <c r="F1611" s="33"/>
      <c r="G1611" s="27"/>
    </row>
    <row r="1612" spans="1:7" x14ac:dyDescent="0.2">
      <c r="A1612" s="22" t="str">
        <f t="shared" si="25"/>
        <v/>
      </c>
      <c r="B1612" s="31">
        <v>43611</v>
      </c>
      <c r="C1612" s="32" t="s">
        <v>55</v>
      </c>
      <c r="D1612" s="32">
        <v>43611</v>
      </c>
      <c r="E1612" s="33"/>
      <c r="F1612" s="33"/>
      <c r="G1612" s="27"/>
    </row>
    <row r="1613" spans="1:7" x14ac:dyDescent="0.2">
      <c r="A1613" s="22" t="str">
        <f t="shared" si="25"/>
        <v/>
      </c>
      <c r="B1613" s="31">
        <v>43612</v>
      </c>
      <c r="C1613" s="32" t="s">
        <v>56</v>
      </c>
      <c r="D1613" s="32">
        <v>43611</v>
      </c>
      <c r="E1613" s="33"/>
      <c r="F1613" s="33"/>
      <c r="G1613" s="27"/>
    </row>
    <row r="1614" spans="1:7" x14ac:dyDescent="0.2">
      <c r="A1614" s="22" t="str">
        <f t="shared" si="25"/>
        <v/>
      </c>
      <c r="B1614" s="31">
        <v>43613</v>
      </c>
      <c r="C1614" s="32" t="s">
        <v>57</v>
      </c>
      <c r="D1614" s="32">
        <v>43611</v>
      </c>
      <c r="E1614" s="33"/>
      <c r="F1614" s="33"/>
      <c r="G1614" s="27"/>
    </row>
    <row r="1615" spans="1:7" x14ac:dyDescent="0.2">
      <c r="A1615" s="22" t="str">
        <f t="shared" si="25"/>
        <v/>
      </c>
      <c r="B1615" s="31">
        <v>43614</v>
      </c>
      <c r="C1615" s="32" t="s">
        <v>58</v>
      </c>
      <c r="D1615" s="32">
        <v>43611</v>
      </c>
      <c r="E1615" s="33"/>
      <c r="F1615" s="33"/>
      <c r="G1615" s="27"/>
    </row>
    <row r="1616" spans="1:7" x14ac:dyDescent="0.2">
      <c r="A1616" s="22" t="str">
        <f t="shared" si="25"/>
        <v/>
      </c>
      <c r="B1616" s="31">
        <v>43615</v>
      </c>
      <c r="C1616" s="32" t="s">
        <v>59</v>
      </c>
      <c r="D1616" s="32">
        <v>43611</v>
      </c>
      <c r="E1616" s="33"/>
      <c r="F1616" s="33"/>
      <c r="G1616" s="27"/>
    </row>
    <row r="1617" spans="1:7" x14ac:dyDescent="0.2">
      <c r="A1617" s="22" t="str">
        <f t="shared" si="25"/>
        <v/>
      </c>
      <c r="B1617" s="31">
        <v>43616</v>
      </c>
      <c r="C1617" s="32" t="s">
        <v>60</v>
      </c>
      <c r="D1617" s="32">
        <v>43611</v>
      </c>
      <c r="E1617" s="33"/>
      <c r="F1617" s="33"/>
      <c r="G1617" s="27"/>
    </row>
    <row r="1618" spans="1:7" x14ac:dyDescent="0.2">
      <c r="A1618" s="22" t="str">
        <f t="shared" si="25"/>
        <v/>
      </c>
      <c r="B1618" s="31">
        <v>43617</v>
      </c>
      <c r="C1618" s="32" t="s">
        <v>61</v>
      </c>
      <c r="D1618" s="32">
        <v>43611</v>
      </c>
      <c r="E1618" s="33"/>
      <c r="F1618" s="33"/>
      <c r="G1618" s="27"/>
    </row>
    <row r="1619" spans="1:7" x14ac:dyDescent="0.2">
      <c r="A1619" s="22" t="str">
        <f t="shared" si="25"/>
        <v/>
      </c>
      <c r="B1619" s="31">
        <v>43618</v>
      </c>
      <c r="C1619" s="32" t="s">
        <v>55</v>
      </c>
      <c r="D1619" s="32">
        <v>43618</v>
      </c>
      <c r="E1619" s="33"/>
      <c r="F1619" s="33"/>
      <c r="G1619" s="27"/>
    </row>
    <row r="1620" spans="1:7" x14ac:dyDescent="0.2">
      <c r="A1620" s="22" t="str">
        <f t="shared" si="25"/>
        <v/>
      </c>
      <c r="B1620" s="31">
        <v>43619</v>
      </c>
      <c r="C1620" s="32" t="s">
        <v>56</v>
      </c>
      <c r="D1620" s="32">
        <v>43618</v>
      </c>
      <c r="E1620" s="33"/>
      <c r="F1620" s="33"/>
      <c r="G1620" s="27"/>
    </row>
    <row r="1621" spans="1:7" x14ac:dyDescent="0.2">
      <c r="A1621" s="22" t="str">
        <f t="shared" si="25"/>
        <v/>
      </c>
      <c r="B1621" s="31">
        <v>43620</v>
      </c>
      <c r="C1621" s="32" t="s">
        <v>57</v>
      </c>
      <c r="D1621" s="32">
        <v>43618</v>
      </c>
      <c r="E1621" s="33"/>
      <c r="F1621" s="33"/>
      <c r="G1621" s="27"/>
    </row>
    <row r="1622" spans="1:7" x14ac:dyDescent="0.2">
      <c r="A1622" s="22" t="str">
        <f t="shared" si="25"/>
        <v/>
      </c>
      <c r="B1622" s="31">
        <v>43621</v>
      </c>
      <c r="C1622" s="32" t="s">
        <v>58</v>
      </c>
      <c r="D1622" s="32">
        <v>43618</v>
      </c>
      <c r="E1622" s="33"/>
      <c r="F1622" s="33"/>
      <c r="G1622" s="27"/>
    </row>
    <row r="1623" spans="1:7" x14ac:dyDescent="0.2">
      <c r="A1623" s="22" t="str">
        <f t="shared" si="25"/>
        <v/>
      </c>
      <c r="B1623" s="31">
        <v>43622</v>
      </c>
      <c r="C1623" s="32" t="s">
        <v>59</v>
      </c>
      <c r="D1623" s="32">
        <v>43618</v>
      </c>
      <c r="E1623" s="33"/>
      <c r="F1623" s="33"/>
      <c r="G1623" s="27"/>
    </row>
    <row r="1624" spans="1:7" x14ac:dyDescent="0.2">
      <c r="A1624" s="22" t="str">
        <f t="shared" si="25"/>
        <v/>
      </c>
      <c r="B1624" s="31">
        <v>43623</v>
      </c>
      <c r="C1624" s="32" t="s">
        <v>60</v>
      </c>
      <c r="D1624" s="32">
        <v>43618</v>
      </c>
      <c r="E1624" s="33"/>
      <c r="F1624" s="33"/>
      <c r="G1624" s="27"/>
    </row>
    <row r="1625" spans="1:7" x14ac:dyDescent="0.2">
      <c r="A1625" s="22" t="str">
        <f t="shared" si="25"/>
        <v/>
      </c>
      <c r="B1625" s="31">
        <v>43624</v>
      </c>
      <c r="C1625" s="32" t="s">
        <v>61</v>
      </c>
      <c r="D1625" s="32">
        <v>43618</v>
      </c>
      <c r="E1625" s="33"/>
      <c r="F1625" s="33"/>
      <c r="G1625" s="27"/>
    </row>
    <row r="1626" spans="1:7" x14ac:dyDescent="0.2">
      <c r="A1626" s="22" t="str">
        <f t="shared" si="25"/>
        <v/>
      </c>
      <c r="B1626" s="31">
        <v>43625</v>
      </c>
      <c r="C1626" s="32" t="s">
        <v>55</v>
      </c>
      <c r="D1626" s="32">
        <v>43625</v>
      </c>
      <c r="E1626" s="33"/>
      <c r="F1626" s="33"/>
      <c r="G1626" s="27"/>
    </row>
    <row r="1627" spans="1:7" x14ac:dyDescent="0.2">
      <c r="A1627" s="22" t="str">
        <f t="shared" si="25"/>
        <v/>
      </c>
      <c r="B1627" s="31">
        <v>43626</v>
      </c>
      <c r="C1627" s="32" t="s">
        <v>56</v>
      </c>
      <c r="D1627" s="32">
        <v>43625</v>
      </c>
      <c r="E1627" s="33"/>
      <c r="F1627" s="33"/>
      <c r="G1627" s="27"/>
    </row>
    <row r="1628" spans="1:7" x14ac:dyDescent="0.2">
      <c r="A1628" s="22" t="str">
        <f t="shared" si="25"/>
        <v/>
      </c>
      <c r="B1628" s="31">
        <v>43627</v>
      </c>
      <c r="C1628" s="32" t="s">
        <v>57</v>
      </c>
      <c r="D1628" s="32">
        <v>43625</v>
      </c>
      <c r="E1628" s="33"/>
      <c r="F1628" s="33"/>
      <c r="G1628" s="27"/>
    </row>
    <row r="1629" spans="1:7" x14ac:dyDescent="0.2">
      <c r="A1629" s="22" t="str">
        <f t="shared" si="25"/>
        <v/>
      </c>
      <c r="B1629" s="31">
        <v>43628</v>
      </c>
      <c r="C1629" s="32" t="s">
        <v>58</v>
      </c>
      <c r="D1629" s="32">
        <v>43625</v>
      </c>
      <c r="E1629" s="33"/>
      <c r="F1629" s="33"/>
      <c r="G1629" s="27"/>
    </row>
    <row r="1630" spans="1:7" x14ac:dyDescent="0.2">
      <c r="A1630" s="22" t="str">
        <f t="shared" si="25"/>
        <v/>
      </c>
      <c r="B1630" s="31">
        <v>43629</v>
      </c>
      <c r="C1630" s="32" t="s">
        <v>59</v>
      </c>
      <c r="D1630" s="32">
        <v>43625</v>
      </c>
      <c r="E1630" s="33"/>
      <c r="F1630" s="33"/>
      <c r="G1630" s="27"/>
    </row>
    <row r="1631" spans="1:7" x14ac:dyDescent="0.2">
      <c r="A1631" s="22" t="str">
        <f t="shared" si="25"/>
        <v/>
      </c>
      <c r="B1631" s="31">
        <v>43630</v>
      </c>
      <c r="C1631" s="32" t="s">
        <v>60</v>
      </c>
      <c r="D1631" s="32">
        <v>43625</v>
      </c>
      <c r="E1631" s="33"/>
      <c r="F1631" s="33"/>
      <c r="G1631" s="27"/>
    </row>
    <row r="1632" spans="1:7" x14ac:dyDescent="0.2">
      <c r="A1632" s="22" t="str">
        <f t="shared" si="25"/>
        <v/>
      </c>
      <c r="B1632" s="31">
        <v>43631</v>
      </c>
      <c r="C1632" s="32" t="s">
        <v>61</v>
      </c>
      <c r="D1632" s="32">
        <v>43625</v>
      </c>
      <c r="E1632" s="33"/>
      <c r="F1632" s="33"/>
      <c r="G1632" s="27"/>
    </row>
    <row r="1633" spans="1:7" x14ac:dyDescent="0.2">
      <c r="A1633" s="22" t="str">
        <f t="shared" si="25"/>
        <v/>
      </c>
      <c r="B1633" s="31">
        <v>43632</v>
      </c>
      <c r="C1633" s="32" t="s">
        <v>55</v>
      </c>
      <c r="D1633" s="32">
        <v>43632</v>
      </c>
      <c r="E1633" s="33"/>
      <c r="F1633" s="33"/>
      <c r="G1633" s="27"/>
    </row>
    <row r="1634" spans="1:7" x14ac:dyDescent="0.2">
      <c r="A1634" s="22" t="str">
        <f t="shared" si="25"/>
        <v/>
      </c>
      <c r="B1634" s="31">
        <v>43633</v>
      </c>
      <c r="C1634" s="32" t="s">
        <v>56</v>
      </c>
      <c r="D1634" s="32">
        <v>43632</v>
      </c>
      <c r="E1634" s="33"/>
      <c r="F1634" s="33"/>
      <c r="G1634" s="27"/>
    </row>
    <row r="1635" spans="1:7" x14ac:dyDescent="0.2">
      <c r="A1635" s="22" t="str">
        <f t="shared" si="25"/>
        <v/>
      </c>
      <c r="B1635" s="31">
        <v>43634</v>
      </c>
      <c r="C1635" s="32" t="s">
        <v>57</v>
      </c>
      <c r="D1635" s="32">
        <v>43632</v>
      </c>
      <c r="E1635" s="33"/>
      <c r="F1635" s="33"/>
      <c r="G1635" s="27"/>
    </row>
    <row r="1636" spans="1:7" x14ac:dyDescent="0.2">
      <c r="A1636" s="22" t="str">
        <f t="shared" si="25"/>
        <v/>
      </c>
      <c r="B1636" s="31">
        <v>43635</v>
      </c>
      <c r="C1636" s="32" t="s">
        <v>58</v>
      </c>
      <c r="D1636" s="32">
        <v>43632</v>
      </c>
      <c r="E1636" s="33"/>
      <c r="F1636" s="33"/>
      <c r="G1636" s="27"/>
    </row>
    <row r="1637" spans="1:7" x14ac:dyDescent="0.2">
      <c r="A1637" s="22" t="str">
        <f t="shared" si="25"/>
        <v/>
      </c>
      <c r="B1637" s="31">
        <v>43636</v>
      </c>
      <c r="C1637" s="32" t="s">
        <v>59</v>
      </c>
      <c r="D1637" s="32">
        <v>43632</v>
      </c>
      <c r="E1637" s="33"/>
      <c r="F1637" s="33"/>
      <c r="G1637" s="27"/>
    </row>
    <row r="1638" spans="1:7" x14ac:dyDescent="0.2">
      <c r="A1638" s="22" t="str">
        <f t="shared" si="25"/>
        <v/>
      </c>
      <c r="B1638" s="31">
        <v>43637</v>
      </c>
      <c r="C1638" s="32" t="s">
        <v>60</v>
      </c>
      <c r="D1638" s="32">
        <v>43632</v>
      </c>
      <c r="E1638" s="33"/>
      <c r="F1638" s="33"/>
      <c r="G1638" s="27"/>
    </row>
    <row r="1639" spans="1:7" x14ac:dyDescent="0.2">
      <c r="A1639" s="22" t="str">
        <f t="shared" si="25"/>
        <v/>
      </c>
      <c r="B1639" s="31">
        <v>43638</v>
      </c>
      <c r="C1639" s="32" t="s">
        <v>61</v>
      </c>
      <c r="D1639" s="32">
        <v>43632</v>
      </c>
      <c r="E1639" s="33"/>
      <c r="F1639" s="33"/>
      <c r="G1639" s="27"/>
    </row>
    <row r="1640" spans="1:7" x14ac:dyDescent="0.2">
      <c r="A1640" s="22" t="str">
        <f t="shared" si="25"/>
        <v/>
      </c>
      <c r="B1640" s="31">
        <v>43639</v>
      </c>
      <c r="C1640" s="32" t="s">
        <v>55</v>
      </c>
      <c r="D1640" s="32">
        <v>43639</v>
      </c>
      <c r="E1640" s="33"/>
      <c r="F1640" s="33"/>
      <c r="G1640" s="27"/>
    </row>
    <row r="1641" spans="1:7" x14ac:dyDescent="0.2">
      <c r="A1641" s="22" t="str">
        <f t="shared" si="25"/>
        <v/>
      </c>
      <c r="B1641" s="31">
        <v>43640</v>
      </c>
      <c r="C1641" s="32" t="s">
        <v>56</v>
      </c>
      <c r="D1641" s="32">
        <v>43639</v>
      </c>
      <c r="E1641" s="33"/>
      <c r="F1641" s="33"/>
      <c r="G1641" s="27"/>
    </row>
    <row r="1642" spans="1:7" x14ac:dyDescent="0.2">
      <c r="A1642" s="22" t="str">
        <f t="shared" si="25"/>
        <v/>
      </c>
      <c r="B1642" s="31">
        <v>43641</v>
      </c>
      <c r="C1642" s="32" t="s">
        <v>57</v>
      </c>
      <c r="D1642" s="32">
        <v>43639</v>
      </c>
      <c r="E1642" s="33"/>
      <c r="F1642" s="33"/>
      <c r="G1642" s="27"/>
    </row>
    <row r="1643" spans="1:7" x14ac:dyDescent="0.2">
      <c r="A1643" s="22" t="str">
        <f t="shared" si="25"/>
        <v/>
      </c>
      <c r="B1643" s="31">
        <v>43642</v>
      </c>
      <c r="C1643" s="32" t="s">
        <v>58</v>
      </c>
      <c r="D1643" s="32">
        <v>43639</v>
      </c>
      <c r="E1643" s="33"/>
      <c r="F1643" s="33"/>
      <c r="G1643" s="27"/>
    </row>
    <row r="1644" spans="1:7" x14ac:dyDescent="0.2">
      <c r="A1644" s="22" t="str">
        <f t="shared" si="25"/>
        <v/>
      </c>
      <c r="B1644" s="31">
        <v>43643</v>
      </c>
      <c r="C1644" s="32" t="s">
        <v>59</v>
      </c>
      <c r="D1644" s="32">
        <v>43639</v>
      </c>
      <c r="E1644" s="33"/>
      <c r="F1644" s="33"/>
      <c r="G1644" s="27"/>
    </row>
    <row r="1645" spans="1:7" x14ac:dyDescent="0.2">
      <c r="A1645" s="22" t="str">
        <f t="shared" si="25"/>
        <v/>
      </c>
      <c r="B1645" s="31">
        <v>43644</v>
      </c>
      <c r="C1645" s="32" t="s">
        <v>60</v>
      </c>
      <c r="D1645" s="32">
        <v>43639</v>
      </c>
      <c r="E1645" s="33"/>
      <c r="F1645" s="33"/>
      <c r="G1645" s="27"/>
    </row>
    <row r="1646" spans="1:7" x14ac:dyDescent="0.2">
      <c r="A1646" s="22" t="str">
        <f t="shared" si="25"/>
        <v/>
      </c>
      <c r="B1646" s="31">
        <v>43645</v>
      </c>
      <c r="C1646" s="32" t="s">
        <v>61</v>
      </c>
      <c r="D1646" s="32">
        <v>43639</v>
      </c>
      <c r="E1646" s="33"/>
      <c r="F1646" s="33"/>
      <c r="G1646" s="27"/>
    </row>
    <row r="1647" spans="1:7" x14ac:dyDescent="0.2">
      <c r="A1647" s="22" t="str">
        <f t="shared" si="25"/>
        <v/>
      </c>
      <c r="B1647" s="31">
        <v>43646</v>
      </c>
      <c r="C1647" s="32" t="s">
        <v>55</v>
      </c>
      <c r="D1647" s="32">
        <v>43646</v>
      </c>
      <c r="E1647" s="33"/>
      <c r="F1647" s="33"/>
      <c r="G1647" s="27"/>
    </row>
    <row r="1648" spans="1:7" x14ac:dyDescent="0.2">
      <c r="A1648" s="22" t="str">
        <f t="shared" si="25"/>
        <v/>
      </c>
      <c r="B1648" s="31">
        <v>43647</v>
      </c>
      <c r="C1648" s="32" t="s">
        <v>56</v>
      </c>
      <c r="D1648" s="32">
        <v>43646</v>
      </c>
      <c r="E1648" s="33"/>
      <c r="F1648" s="33"/>
      <c r="G1648" s="27"/>
    </row>
    <row r="1649" spans="1:7" x14ac:dyDescent="0.2">
      <c r="A1649" s="22" t="str">
        <f t="shared" si="25"/>
        <v/>
      </c>
      <c r="B1649" s="31">
        <v>43648</v>
      </c>
      <c r="C1649" s="32" t="s">
        <v>57</v>
      </c>
      <c r="D1649" s="32">
        <v>43646</v>
      </c>
      <c r="E1649" s="33"/>
      <c r="F1649" s="33"/>
      <c r="G1649" s="27"/>
    </row>
    <row r="1650" spans="1:7" x14ac:dyDescent="0.2">
      <c r="A1650" s="22" t="str">
        <f t="shared" si="25"/>
        <v/>
      </c>
      <c r="B1650" s="31">
        <v>43649</v>
      </c>
      <c r="C1650" s="32" t="s">
        <v>58</v>
      </c>
      <c r="D1650" s="32">
        <v>43646</v>
      </c>
      <c r="E1650" s="33"/>
      <c r="F1650" s="33"/>
      <c r="G1650" s="27"/>
    </row>
    <row r="1651" spans="1:7" x14ac:dyDescent="0.2">
      <c r="A1651" s="22" t="str">
        <f t="shared" si="25"/>
        <v/>
      </c>
      <c r="B1651" s="31">
        <v>43650</v>
      </c>
      <c r="C1651" s="32" t="s">
        <v>59</v>
      </c>
      <c r="D1651" s="32">
        <v>43646</v>
      </c>
      <c r="E1651" s="33"/>
      <c r="F1651" s="33"/>
      <c r="G1651" s="27"/>
    </row>
    <row r="1652" spans="1:7" x14ac:dyDescent="0.2">
      <c r="A1652" s="22" t="str">
        <f t="shared" si="25"/>
        <v/>
      </c>
      <c r="B1652" s="31">
        <v>43651</v>
      </c>
      <c r="C1652" s="32" t="s">
        <v>60</v>
      </c>
      <c r="D1652" s="32">
        <v>43646</v>
      </c>
      <c r="E1652" s="33"/>
      <c r="F1652" s="33"/>
      <c r="G1652" s="27"/>
    </row>
    <row r="1653" spans="1:7" x14ac:dyDescent="0.2">
      <c r="A1653" s="22" t="str">
        <f t="shared" si="25"/>
        <v/>
      </c>
      <c r="B1653" s="31">
        <v>43652</v>
      </c>
      <c r="C1653" s="32" t="s">
        <v>61</v>
      </c>
      <c r="D1653" s="32">
        <v>43646</v>
      </c>
      <c r="E1653" s="33"/>
      <c r="F1653" s="33"/>
      <c r="G1653" s="27"/>
    </row>
    <row r="1654" spans="1:7" x14ac:dyDescent="0.2">
      <c r="A1654" s="22" t="str">
        <f t="shared" si="25"/>
        <v/>
      </c>
      <c r="B1654" s="31">
        <v>43653</v>
      </c>
      <c r="C1654" s="32" t="s">
        <v>55</v>
      </c>
      <c r="D1654" s="32">
        <v>43653</v>
      </c>
      <c r="E1654" s="33"/>
      <c r="F1654" s="33"/>
      <c r="G1654" s="27"/>
    </row>
    <row r="1655" spans="1:7" x14ac:dyDescent="0.2">
      <c r="A1655" s="22" t="str">
        <f t="shared" si="25"/>
        <v/>
      </c>
      <c r="B1655" s="31">
        <v>43654</v>
      </c>
      <c r="C1655" s="32" t="s">
        <v>56</v>
      </c>
      <c r="D1655" s="32">
        <v>43653</v>
      </c>
      <c r="E1655" s="33"/>
      <c r="F1655" s="33"/>
      <c r="G1655" s="27"/>
    </row>
    <row r="1656" spans="1:7" x14ac:dyDescent="0.2">
      <c r="A1656" s="22" t="str">
        <f t="shared" si="25"/>
        <v/>
      </c>
      <c r="B1656" s="31">
        <v>43655</v>
      </c>
      <c r="C1656" s="32" t="s">
        <v>57</v>
      </c>
      <c r="D1656" s="32">
        <v>43653</v>
      </c>
      <c r="E1656" s="33"/>
      <c r="F1656" s="33"/>
      <c r="G1656" s="27"/>
    </row>
    <row r="1657" spans="1:7" x14ac:dyDescent="0.2">
      <c r="A1657" s="22" t="str">
        <f t="shared" si="25"/>
        <v/>
      </c>
      <c r="B1657" s="31">
        <v>43656</v>
      </c>
      <c r="C1657" s="32" t="s">
        <v>58</v>
      </c>
      <c r="D1657" s="32">
        <v>43653</v>
      </c>
      <c r="E1657" s="33"/>
      <c r="F1657" s="33"/>
      <c r="G1657" s="27"/>
    </row>
    <row r="1658" spans="1:7" x14ac:dyDescent="0.2">
      <c r="A1658" s="22" t="str">
        <f t="shared" si="25"/>
        <v/>
      </c>
      <c r="B1658" s="31">
        <v>43657</v>
      </c>
      <c r="C1658" s="32" t="s">
        <v>59</v>
      </c>
      <c r="D1658" s="32">
        <v>43653</v>
      </c>
      <c r="E1658" s="33"/>
      <c r="F1658" s="33"/>
      <c r="G1658" s="27"/>
    </row>
    <row r="1659" spans="1:7" x14ac:dyDescent="0.2">
      <c r="A1659" s="22" t="str">
        <f t="shared" si="25"/>
        <v/>
      </c>
      <c r="B1659" s="31">
        <v>43658</v>
      </c>
      <c r="C1659" s="32" t="s">
        <v>60</v>
      </c>
      <c r="D1659" s="32">
        <v>43653</v>
      </c>
      <c r="E1659" s="33"/>
      <c r="F1659" s="33"/>
      <c r="G1659" s="27"/>
    </row>
    <row r="1660" spans="1:7" x14ac:dyDescent="0.2">
      <c r="A1660" s="22" t="str">
        <f t="shared" si="25"/>
        <v/>
      </c>
      <c r="B1660" s="31">
        <v>43659</v>
      </c>
      <c r="C1660" s="32" t="s">
        <v>61</v>
      </c>
      <c r="D1660" s="32">
        <v>43653</v>
      </c>
      <c r="E1660" s="33"/>
      <c r="F1660" s="33"/>
      <c r="G1660" s="27"/>
    </row>
    <row r="1661" spans="1:7" x14ac:dyDescent="0.2">
      <c r="A1661" s="22" t="str">
        <f t="shared" si="25"/>
        <v/>
      </c>
      <c r="B1661" s="31">
        <v>43660</v>
      </c>
      <c r="C1661" s="32" t="s">
        <v>55</v>
      </c>
      <c r="D1661" s="32">
        <v>43660</v>
      </c>
      <c r="E1661" s="33"/>
      <c r="F1661" s="33"/>
      <c r="G1661" s="27"/>
    </row>
    <row r="1662" spans="1:7" x14ac:dyDescent="0.2">
      <c r="A1662" s="22" t="str">
        <f t="shared" si="25"/>
        <v/>
      </c>
      <c r="B1662" s="31">
        <v>43661</v>
      </c>
      <c r="C1662" s="32" t="s">
        <v>56</v>
      </c>
      <c r="D1662" s="32">
        <v>43660</v>
      </c>
      <c r="E1662" s="33"/>
      <c r="F1662" s="33"/>
      <c r="G1662" s="27"/>
    </row>
    <row r="1663" spans="1:7" x14ac:dyDescent="0.2">
      <c r="A1663" s="22" t="str">
        <f t="shared" si="25"/>
        <v/>
      </c>
      <c r="B1663" s="31">
        <v>43662</v>
      </c>
      <c r="C1663" s="32" t="s">
        <v>57</v>
      </c>
      <c r="D1663" s="32">
        <v>43660</v>
      </c>
      <c r="E1663" s="33"/>
      <c r="F1663" s="33"/>
      <c r="G1663" s="27"/>
    </row>
    <row r="1664" spans="1:7" x14ac:dyDescent="0.2">
      <c r="A1664" s="22" t="str">
        <f t="shared" si="25"/>
        <v/>
      </c>
      <c r="B1664" s="31">
        <v>43663</v>
      </c>
      <c r="C1664" s="32" t="s">
        <v>58</v>
      </c>
      <c r="D1664" s="32">
        <v>43660</v>
      </c>
      <c r="E1664" s="33"/>
      <c r="F1664" s="33"/>
      <c r="G1664" s="27"/>
    </row>
    <row r="1665" spans="1:7" x14ac:dyDescent="0.2">
      <c r="A1665" s="22" t="str">
        <f t="shared" si="25"/>
        <v/>
      </c>
      <c r="B1665" s="31">
        <v>43664</v>
      </c>
      <c r="C1665" s="32" t="s">
        <v>59</v>
      </c>
      <c r="D1665" s="32">
        <v>43660</v>
      </c>
      <c r="E1665" s="33"/>
      <c r="F1665" s="33"/>
      <c r="G1665" s="27"/>
    </row>
    <row r="1666" spans="1:7" x14ac:dyDescent="0.2">
      <c r="A1666" s="22" t="str">
        <f t="shared" si="25"/>
        <v/>
      </c>
      <c r="B1666" s="31">
        <v>43665</v>
      </c>
      <c r="C1666" s="32" t="s">
        <v>60</v>
      </c>
      <c r="D1666" s="32">
        <v>43660</v>
      </c>
      <c r="E1666" s="33"/>
      <c r="F1666" s="33"/>
      <c r="G1666" s="27"/>
    </row>
    <row r="1667" spans="1:7" x14ac:dyDescent="0.2">
      <c r="A1667" s="22" t="str">
        <f t="shared" ref="A1667:A1730" si="26">RIGHT(G1667,4)</f>
        <v/>
      </c>
      <c r="B1667" s="31">
        <v>43666</v>
      </c>
      <c r="C1667" s="32" t="s">
        <v>61</v>
      </c>
      <c r="D1667" s="32">
        <v>43660</v>
      </c>
      <c r="E1667" s="33"/>
      <c r="F1667" s="33"/>
      <c r="G1667" s="27"/>
    </row>
    <row r="1668" spans="1:7" x14ac:dyDescent="0.2">
      <c r="A1668" s="22" t="str">
        <f t="shared" si="26"/>
        <v/>
      </c>
      <c r="B1668" s="31">
        <v>43667</v>
      </c>
      <c r="C1668" s="32" t="s">
        <v>55</v>
      </c>
      <c r="D1668" s="32">
        <v>43667</v>
      </c>
      <c r="E1668" s="33"/>
      <c r="F1668" s="33"/>
      <c r="G1668" s="27"/>
    </row>
    <row r="1669" spans="1:7" x14ac:dyDescent="0.2">
      <c r="A1669" s="22" t="str">
        <f t="shared" si="26"/>
        <v/>
      </c>
      <c r="B1669" s="31">
        <v>43668</v>
      </c>
      <c r="C1669" s="32" t="s">
        <v>56</v>
      </c>
      <c r="D1669" s="32">
        <v>43667</v>
      </c>
      <c r="E1669" s="33"/>
      <c r="F1669" s="33"/>
      <c r="G1669" s="27"/>
    </row>
    <row r="1670" spans="1:7" x14ac:dyDescent="0.2">
      <c r="A1670" s="22" t="str">
        <f t="shared" si="26"/>
        <v/>
      </c>
      <c r="B1670" s="31">
        <v>43669</v>
      </c>
      <c r="C1670" s="32" t="s">
        <v>57</v>
      </c>
      <c r="D1670" s="32">
        <v>43667</v>
      </c>
      <c r="E1670" s="33"/>
      <c r="F1670" s="33"/>
      <c r="G1670" s="27"/>
    </row>
    <row r="1671" spans="1:7" x14ac:dyDescent="0.2">
      <c r="A1671" s="22" t="str">
        <f t="shared" si="26"/>
        <v/>
      </c>
      <c r="B1671" s="31">
        <v>43670</v>
      </c>
      <c r="C1671" s="32" t="s">
        <v>58</v>
      </c>
      <c r="D1671" s="32">
        <v>43667</v>
      </c>
      <c r="E1671" s="33"/>
      <c r="F1671" s="33"/>
      <c r="G1671" s="27"/>
    </row>
    <row r="1672" spans="1:7" x14ac:dyDescent="0.2">
      <c r="A1672" s="22" t="str">
        <f t="shared" si="26"/>
        <v/>
      </c>
      <c r="B1672" s="31">
        <v>43671</v>
      </c>
      <c r="C1672" s="32" t="s">
        <v>59</v>
      </c>
      <c r="D1672" s="32">
        <v>43667</v>
      </c>
      <c r="E1672" s="33"/>
      <c r="F1672" s="33"/>
      <c r="G1672" s="27"/>
    </row>
    <row r="1673" spans="1:7" x14ac:dyDescent="0.2">
      <c r="A1673" s="22" t="str">
        <f t="shared" si="26"/>
        <v/>
      </c>
      <c r="B1673" s="31">
        <v>43672</v>
      </c>
      <c r="C1673" s="32" t="s">
        <v>60</v>
      </c>
      <c r="D1673" s="32">
        <v>43667</v>
      </c>
      <c r="E1673" s="33"/>
      <c r="F1673" s="33"/>
      <c r="G1673" s="27"/>
    </row>
    <row r="1674" spans="1:7" x14ac:dyDescent="0.2">
      <c r="A1674" s="22" t="str">
        <f t="shared" si="26"/>
        <v/>
      </c>
      <c r="B1674" s="31">
        <v>43673</v>
      </c>
      <c r="C1674" s="32" t="s">
        <v>61</v>
      </c>
      <c r="D1674" s="32">
        <v>43667</v>
      </c>
      <c r="E1674" s="33"/>
      <c r="F1674" s="33"/>
      <c r="G1674" s="27"/>
    </row>
    <row r="1675" spans="1:7" x14ac:dyDescent="0.2">
      <c r="A1675" s="22" t="str">
        <f t="shared" si="26"/>
        <v/>
      </c>
      <c r="B1675" s="31">
        <v>43674</v>
      </c>
      <c r="C1675" s="32" t="s">
        <v>55</v>
      </c>
      <c r="D1675" s="32">
        <v>43674</v>
      </c>
      <c r="E1675" s="33"/>
      <c r="F1675" s="33"/>
      <c r="G1675" s="27"/>
    </row>
    <row r="1676" spans="1:7" x14ac:dyDescent="0.2">
      <c r="A1676" s="22" t="str">
        <f t="shared" si="26"/>
        <v/>
      </c>
      <c r="B1676" s="31">
        <v>43675</v>
      </c>
      <c r="C1676" s="32" t="s">
        <v>56</v>
      </c>
      <c r="D1676" s="32">
        <v>43674</v>
      </c>
      <c r="E1676" s="33"/>
      <c r="F1676" s="33"/>
      <c r="G1676" s="27"/>
    </row>
    <row r="1677" spans="1:7" x14ac:dyDescent="0.2">
      <c r="A1677" s="22" t="str">
        <f t="shared" si="26"/>
        <v/>
      </c>
      <c r="B1677" s="31">
        <v>43676</v>
      </c>
      <c r="C1677" s="32" t="s">
        <v>57</v>
      </c>
      <c r="D1677" s="32">
        <v>43674</v>
      </c>
      <c r="E1677" s="33"/>
      <c r="F1677" s="33"/>
      <c r="G1677" s="27"/>
    </row>
    <row r="1678" spans="1:7" x14ac:dyDescent="0.2">
      <c r="A1678" s="22" t="str">
        <f t="shared" si="26"/>
        <v/>
      </c>
      <c r="B1678" s="31">
        <v>43677</v>
      </c>
      <c r="C1678" s="32" t="s">
        <v>58</v>
      </c>
      <c r="D1678" s="32">
        <v>43674</v>
      </c>
      <c r="E1678" s="33"/>
      <c r="F1678" s="33"/>
      <c r="G1678" s="27"/>
    </row>
    <row r="1679" spans="1:7" x14ac:dyDescent="0.2">
      <c r="A1679" s="22" t="str">
        <f t="shared" si="26"/>
        <v/>
      </c>
      <c r="B1679" s="31">
        <v>43678</v>
      </c>
      <c r="C1679" s="32" t="s">
        <v>59</v>
      </c>
      <c r="D1679" s="32">
        <v>43674</v>
      </c>
      <c r="E1679" s="33"/>
      <c r="F1679" s="33"/>
      <c r="G1679" s="27"/>
    </row>
    <row r="1680" spans="1:7" x14ac:dyDescent="0.2">
      <c r="A1680" s="22" t="str">
        <f t="shared" si="26"/>
        <v/>
      </c>
      <c r="B1680" s="31">
        <v>43679</v>
      </c>
      <c r="C1680" s="32" t="s">
        <v>60</v>
      </c>
      <c r="D1680" s="32">
        <v>43674</v>
      </c>
      <c r="E1680" s="33"/>
      <c r="F1680" s="33"/>
      <c r="G1680" s="27"/>
    </row>
    <row r="1681" spans="1:7" x14ac:dyDescent="0.2">
      <c r="A1681" s="22" t="str">
        <f t="shared" si="26"/>
        <v/>
      </c>
      <c r="B1681" s="31">
        <v>43680</v>
      </c>
      <c r="C1681" s="32" t="s">
        <v>61</v>
      </c>
      <c r="D1681" s="32">
        <v>43674</v>
      </c>
      <c r="E1681" s="33"/>
      <c r="F1681" s="33"/>
      <c r="G1681" s="27"/>
    </row>
    <row r="1682" spans="1:7" x14ac:dyDescent="0.2">
      <c r="A1682" s="22" t="str">
        <f t="shared" si="26"/>
        <v/>
      </c>
      <c r="B1682" s="31">
        <v>43681</v>
      </c>
      <c r="C1682" s="32" t="s">
        <v>55</v>
      </c>
      <c r="D1682" s="32">
        <v>43681</v>
      </c>
      <c r="E1682" s="33"/>
      <c r="F1682" s="33"/>
      <c r="G1682" s="27"/>
    </row>
    <row r="1683" spans="1:7" x14ac:dyDescent="0.2">
      <c r="A1683" s="22" t="str">
        <f t="shared" si="26"/>
        <v/>
      </c>
      <c r="B1683" s="31">
        <v>43682</v>
      </c>
      <c r="C1683" s="32" t="s">
        <v>56</v>
      </c>
      <c r="D1683" s="32">
        <v>43681</v>
      </c>
      <c r="E1683" s="33"/>
      <c r="F1683" s="33"/>
      <c r="G1683" s="27"/>
    </row>
    <row r="1684" spans="1:7" x14ac:dyDescent="0.2">
      <c r="A1684" s="22" t="str">
        <f t="shared" si="26"/>
        <v/>
      </c>
      <c r="B1684" s="31">
        <v>43683</v>
      </c>
      <c r="C1684" s="32" t="s">
        <v>57</v>
      </c>
      <c r="D1684" s="32">
        <v>43681</v>
      </c>
      <c r="E1684" s="33"/>
      <c r="F1684" s="33"/>
      <c r="G1684" s="27"/>
    </row>
    <row r="1685" spans="1:7" x14ac:dyDescent="0.2">
      <c r="A1685" s="22" t="str">
        <f t="shared" si="26"/>
        <v/>
      </c>
      <c r="B1685" s="31">
        <v>43684</v>
      </c>
      <c r="C1685" s="32" t="s">
        <v>58</v>
      </c>
      <c r="D1685" s="32">
        <v>43681</v>
      </c>
      <c r="E1685" s="33"/>
      <c r="F1685" s="33"/>
      <c r="G1685" s="27"/>
    </row>
    <row r="1686" spans="1:7" x14ac:dyDescent="0.2">
      <c r="A1686" s="22" t="str">
        <f t="shared" si="26"/>
        <v/>
      </c>
      <c r="B1686" s="31">
        <v>43685</v>
      </c>
      <c r="C1686" s="32" t="s">
        <v>59</v>
      </c>
      <c r="D1686" s="32">
        <v>43681</v>
      </c>
      <c r="E1686" s="33"/>
      <c r="F1686" s="33"/>
      <c r="G1686" s="27"/>
    </row>
    <row r="1687" spans="1:7" x14ac:dyDescent="0.2">
      <c r="A1687" s="22" t="str">
        <f t="shared" si="26"/>
        <v/>
      </c>
      <c r="B1687" s="31">
        <v>43686</v>
      </c>
      <c r="C1687" s="32" t="s">
        <v>60</v>
      </c>
      <c r="D1687" s="32">
        <v>43681</v>
      </c>
      <c r="E1687" s="33"/>
      <c r="F1687" s="33"/>
      <c r="G1687" s="27"/>
    </row>
    <row r="1688" spans="1:7" x14ac:dyDescent="0.2">
      <c r="A1688" s="22" t="str">
        <f t="shared" si="26"/>
        <v/>
      </c>
      <c r="B1688" s="31">
        <v>43687</v>
      </c>
      <c r="C1688" s="32" t="s">
        <v>61</v>
      </c>
      <c r="D1688" s="32">
        <v>43681</v>
      </c>
      <c r="E1688" s="33"/>
      <c r="F1688" s="33"/>
      <c r="G1688" s="27"/>
    </row>
    <row r="1689" spans="1:7" x14ac:dyDescent="0.2">
      <c r="A1689" s="22" t="str">
        <f t="shared" si="26"/>
        <v/>
      </c>
      <c r="B1689" s="31">
        <v>43688</v>
      </c>
      <c r="C1689" s="32" t="s">
        <v>55</v>
      </c>
      <c r="D1689" s="32">
        <v>43688</v>
      </c>
      <c r="E1689" s="33"/>
      <c r="F1689" s="33"/>
      <c r="G1689" s="27"/>
    </row>
    <row r="1690" spans="1:7" x14ac:dyDescent="0.2">
      <c r="A1690" s="22" t="str">
        <f t="shared" si="26"/>
        <v/>
      </c>
      <c r="B1690" s="31">
        <v>43689</v>
      </c>
      <c r="C1690" s="32" t="s">
        <v>56</v>
      </c>
      <c r="D1690" s="32">
        <v>43688</v>
      </c>
      <c r="E1690" s="33"/>
      <c r="F1690" s="33"/>
      <c r="G1690" s="27"/>
    </row>
    <row r="1691" spans="1:7" x14ac:dyDescent="0.2">
      <c r="A1691" s="22" t="str">
        <f t="shared" si="26"/>
        <v/>
      </c>
      <c r="B1691" s="31">
        <v>43690</v>
      </c>
      <c r="C1691" s="32" t="s">
        <v>57</v>
      </c>
      <c r="D1691" s="32">
        <v>43688</v>
      </c>
      <c r="E1691" s="33"/>
      <c r="F1691" s="33"/>
      <c r="G1691" s="27"/>
    </row>
    <row r="1692" spans="1:7" x14ac:dyDescent="0.2">
      <c r="A1692" s="22" t="str">
        <f t="shared" si="26"/>
        <v/>
      </c>
      <c r="B1692" s="31">
        <v>43691</v>
      </c>
      <c r="C1692" s="32" t="s">
        <v>58</v>
      </c>
      <c r="D1692" s="32">
        <v>43688</v>
      </c>
      <c r="E1692" s="33"/>
      <c r="F1692" s="33"/>
      <c r="G1692" s="27"/>
    </row>
    <row r="1693" spans="1:7" x14ac:dyDescent="0.2">
      <c r="A1693" s="22" t="str">
        <f t="shared" si="26"/>
        <v/>
      </c>
      <c r="B1693" s="31">
        <v>43692</v>
      </c>
      <c r="C1693" s="32" t="s">
        <v>59</v>
      </c>
      <c r="D1693" s="32">
        <v>43688</v>
      </c>
      <c r="E1693" s="33"/>
      <c r="F1693" s="33"/>
      <c r="G1693" s="27"/>
    </row>
    <row r="1694" spans="1:7" x14ac:dyDescent="0.2">
      <c r="A1694" s="22" t="str">
        <f t="shared" si="26"/>
        <v/>
      </c>
      <c r="B1694" s="31">
        <v>43693</v>
      </c>
      <c r="C1694" s="32" t="s">
        <v>60</v>
      </c>
      <c r="D1694" s="32">
        <v>43688</v>
      </c>
      <c r="E1694" s="33"/>
      <c r="F1694" s="33"/>
      <c r="G1694" s="27"/>
    </row>
    <row r="1695" spans="1:7" x14ac:dyDescent="0.2">
      <c r="A1695" s="22" t="str">
        <f t="shared" si="26"/>
        <v/>
      </c>
      <c r="B1695" s="31">
        <v>43694</v>
      </c>
      <c r="C1695" s="32" t="s">
        <v>61</v>
      </c>
      <c r="D1695" s="32">
        <v>43688</v>
      </c>
      <c r="E1695" s="33"/>
      <c r="F1695" s="33"/>
      <c r="G1695" s="27"/>
    </row>
    <row r="1696" spans="1:7" x14ac:dyDescent="0.2">
      <c r="A1696" s="22" t="str">
        <f t="shared" si="26"/>
        <v/>
      </c>
      <c r="B1696" s="31">
        <v>43695</v>
      </c>
      <c r="C1696" s="32" t="s">
        <v>55</v>
      </c>
      <c r="D1696" s="32">
        <v>43695</v>
      </c>
      <c r="E1696" s="33"/>
      <c r="F1696" s="33"/>
      <c r="G1696" s="27"/>
    </row>
    <row r="1697" spans="1:7" x14ac:dyDescent="0.2">
      <c r="A1697" s="22" t="str">
        <f t="shared" si="26"/>
        <v/>
      </c>
      <c r="B1697" s="31">
        <v>43696</v>
      </c>
      <c r="C1697" s="32" t="s">
        <v>56</v>
      </c>
      <c r="D1697" s="32">
        <v>43695</v>
      </c>
      <c r="E1697" s="33"/>
      <c r="F1697" s="33"/>
      <c r="G1697" s="27"/>
    </row>
    <row r="1698" spans="1:7" x14ac:dyDescent="0.2">
      <c r="A1698" s="22" t="str">
        <f t="shared" si="26"/>
        <v/>
      </c>
      <c r="B1698" s="31">
        <v>43697</v>
      </c>
      <c r="C1698" s="32" t="s">
        <v>57</v>
      </c>
      <c r="D1698" s="32">
        <v>43695</v>
      </c>
      <c r="E1698" s="33"/>
      <c r="F1698" s="33"/>
      <c r="G1698" s="27"/>
    </row>
    <row r="1699" spans="1:7" x14ac:dyDescent="0.2">
      <c r="A1699" s="22" t="str">
        <f t="shared" si="26"/>
        <v/>
      </c>
      <c r="B1699" s="31">
        <v>43698</v>
      </c>
      <c r="C1699" s="32" t="s">
        <v>58</v>
      </c>
      <c r="D1699" s="32">
        <v>43695</v>
      </c>
      <c r="E1699" s="33"/>
      <c r="F1699" s="33"/>
      <c r="G1699" s="27"/>
    </row>
    <row r="1700" spans="1:7" x14ac:dyDescent="0.2">
      <c r="A1700" s="22" t="str">
        <f t="shared" si="26"/>
        <v/>
      </c>
      <c r="B1700" s="31">
        <v>43699</v>
      </c>
      <c r="C1700" s="32" t="s">
        <v>59</v>
      </c>
      <c r="D1700" s="32">
        <v>43695</v>
      </c>
      <c r="E1700" s="33"/>
      <c r="F1700" s="33"/>
      <c r="G1700" s="27"/>
    </row>
    <row r="1701" spans="1:7" x14ac:dyDescent="0.2">
      <c r="A1701" s="22" t="str">
        <f t="shared" si="26"/>
        <v/>
      </c>
      <c r="B1701" s="31">
        <v>43700</v>
      </c>
      <c r="C1701" s="32" t="s">
        <v>60</v>
      </c>
      <c r="D1701" s="32">
        <v>43695</v>
      </c>
      <c r="E1701" s="33"/>
      <c r="F1701" s="33"/>
      <c r="G1701" s="27"/>
    </row>
    <row r="1702" spans="1:7" x14ac:dyDescent="0.2">
      <c r="A1702" s="22" t="str">
        <f t="shared" si="26"/>
        <v/>
      </c>
      <c r="B1702" s="31">
        <v>43701</v>
      </c>
      <c r="C1702" s="32" t="s">
        <v>61</v>
      </c>
      <c r="D1702" s="32">
        <v>43695</v>
      </c>
      <c r="E1702" s="33"/>
      <c r="F1702" s="33"/>
      <c r="G1702" s="27"/>
    </row>
    <row r="1703" spans="1:7" x14ac:dyDescent="0.2">
      <c r="A1703" s="22" t="str">
        <f t="shared" si="26"/>
        <v/>
      </c>
      <c r="B1703" s="31">
        <v>43702</v>
      </c>
      <c r="C1703" s="32" t="s">
        <v>55</v>
      </c>
      <c r="D1703" s="32">
        <v>43702</v>
      </c>
      <c r="E1703" s="33"/>
      <c r="F1703" s="33"/>
      <c r="G1703" s="27"/>
    </row>
    <row r="1704" spans="1:7" x14ac:dyDescent="0.2">
      <c r="A1704" s="22" t="str">
        <f t="shared" si="26"/>
        <v/>
      </c>
      <c r="B1704" s="31">
        <v>43703</v>
      </c>
      <c r="C1704" s="32" t="s">
        <v>56</v>
      </c>
      <c r="D1704" s="32">
        <v>43702</v>
      </c>
      <c r="E1704" s="33"/>
      <c r="F1704" s="33"/>
      <c r="G1704" s="27"/>
    </row>
    <row r="1705" spans="1:7" x14ac:dyDescent="0.2">
      <c r="A1705" s="22" t="str">
        <f t="shared" si="26"/>
        <v/>
      </c>
      <c r="B1705" s="31">
        <v>43704</v>
      </c>
      <c r="C1705" s="32" t="s">
        <v>57</v>
      </c>
      <c r="D1705" s="32">
        <v>43702</v>
      </c>
      <c r="E1705" s="33"/>
      <c r="F1705" s="33"/>
      <c r="G1705" s="27"/>
    </row>
    <row r="1706" spans="1:7" x14ac:dyDescent="0.2">
      <c r="A1706" s="22" t="str">
        <f t="shared" si="26"/>
        <v/>
      </c>
      <c r="B1706" s="31">
        <v>43705</v>
      </c>
      <c r="C1706" s="32" t="s">
        <v>58</v>
      </c>
      <c r="D1706" s="32">
        <v>43702</v>
      </c>
      <c r="E1706" s="33"/>
      <c r="F1706" s="33"/>
      <c r="G1706" s="27"/>
    </row>
    <row r="1707" spans="1:7" x14ac:dyDescent="0.2">
      <c r="A1707" s="22" t="str">
        <f t="shared" si="26"/>
        <v/>
      </c>
      <c r="B1707" s="31">
        <v>43706</v>
      </c>
      <c r="C1707" s="32" t="s">
        <v>59</v>
      </c>
      <c r="D1707" s="32">
        <v>43702</v>
      </c>
      <c r="E1707" s="33"/>
      <c r="F1707" s="33"/>
      <c r="G1707" s="27"/>
    </row>
    <row r="1708" spans="1:7" x14ac:dyDescent="0.2">
      <c r="A1708" s="22" t="str">
        <f t="shared" si="26"/>
        <v/>
      </c>
      <c r="B1708" s="31">
        <v>43707</v>
      </c>
      <c r="C1708" s="32" t="s">
        <v>60</v>
      </c>
      <c r="D1708" s="32">
        <v>43702</v>
      </c>
      <c r="E1708" s="33"/>
      <c r="F1708" s="33"/>
      <c r="G1708" s="27"/>
    </row>
    <row r="1709" spans="1:7" x14ac:dyDescent="0.2">
      <c r="A1709" s="22" t="str">
        <f t="shared" si="26"/>
        <v/>
      </c>
      <c r="B1709" s="31">
        <v>43708</v>
      </c>
      <c r="C1709" s="32" t="s">
        <v>61</v>
      </c>
      <c r="D1709" s="32">
        <v>43702</v>
      </c>
      <c r="E1709" s="33"/>
      <c r="F1709" s="33"/>
      <c r="G1709" s="27"/>
    </row>
    <row r="1710" spans="1:7" x14ac:dyDescent="0.2">
      <c r="A1710" s="22" t="str">
        <f t="shared" si="26"/>
        <v/>
      </c>
      <c r="B1710" s="31">
        <v>43709</v>
      </c>
      <c r="C1710" s="32" t="s">
        <v>55</v>
      </c>
      <c r="D1710" s="32">
        <v>43709</v>
      </c>
      <c r="E1710" s="33"/>
      <c r="F1710" s="33"/>
      <c r="G1710" s="27"/>
    </row>
    <row r="1711" spans="1:7" x14ac:dyDescent="0.2">
      <c r="A1711" s="22" t="str">
        <f t="shared" si="26"/>
        <v/>
      </c>
      <c r="B1711" s="31">
        <v>43710</v>
      </c>
      <c r="C1711" s="32" t="s">
        <v>56</v>
      </c>
      <c r="D1711" s="32">
        <v>43709</v>
      </c>
      <c r="E1711" s="33"/>
      <c r="F1711" s="33"/>
      <c r="G1711" s="27"/>
    </row>
    <row r="1712" spans="1:7" x14ac:dyDescent="0.2">
      <c r="A1712" s="22" t="str">
        <f t="shared" si="26"/>
        <v/>
      </c>
      <c r="B1712" s="31">
        <v>43711</v>
      </c>
      <c r="C1712" s="32" t="s">
        <v>57</v>
      </c>
      <c r="D1712" s="32">
        <v>43709</v>
      </c>
      <c r="E1712" s="33"/>
      <c r="F1712" s="33"/>
      <c r="G1712" s="27"/>
    </row>
    <row r="1713" spans="1:7" x14ac:dyDescent="0.2">
      <c r="A1713" s="22" t="str">
        <f t="shared" si="26"/>
        <v/>
      </c>
      <c r="B1713" s="31">
        <v>43712</v>
      </c>
      <c r="C1713" s="32" t="s">
        <v>58</v>
      </c>
      <c r="D1713" s="32">
        <v>43709</v>
      </c>
      <c r="E1713" s="33"/>
      <c r="F1713" s="33"/>
      <c r="G1713" s="27"/>
    </row>
    <row r="1714" spans="1:7" x14ac:dyDescent="0.2">
      <c r="A1714" s="22" t="str">
        <f t="shared" si="26"/>
        <v/>
      </c>
      <c r="B1714" s="31">
        <v>43713</v>
      </c>
      <c r="C1714" s="32" t="s">
        <v>59</v>
      </c>
      <c r="D1714" s="32">
        <v>43709</v>
      </c>
      <c r="E1714" s="33"/>
      <c r="F1714" s="33"/>
      <c r="G1714" s="27"/>
    </row>
    <row r="1715" spans="1:7" x14ac:dyDescent="0.2">
      <c r="A1715" s="22" t="str">
        <f t="shared" si="26"/>
        <v/>
      </c>
      <c r="B1715" s="31">
        <v>43714</v>
      </c>
      <c r="C1715" s="32" t="s">
        <v>60</v>
      </c>
      <c r="D1715" s="32">
        <v>43709</v>
      </c>
      <c r="E1715" s="33"/>
      <c r="F1715" s="33"/>
      <c r="G1715" s="27"/>
    </row>
    <row r="1716" spans="1:7" x14ac:dyDescent="0.2">
      <c r="A1716" s="22" t="str">
        <f t="shared" si="26"/>
        <v/>
      </c>
      <c r="B1716" s="31">
        <v>43715</v>
      </c>
      <c r="C1716" s="32" t="s">
        <v>61</v>
      </c>
      <c r="D1716" s="32">
        <v>43709</v>
      </c>
      <c r="E1716" s="33"/>
      <c r="F1716" s="33"/>
      <c r="G1716" s="27"/>
    </row>
    <row r="1717" spans="1:7" x14ac:dyDescent="0.2">
      <c r="A1717" s="22" t="str">
        <f t="shared" si="26"/>
        <v/>
      </c>
      <c r="B1717" s="31">
        <v>43716</v>
      </c>
      <c r="C1717" s="32" t="s">
        <v>55</v>
      </c>
      <c r="D1717" s="32">
        <v>43716</v>
      </c>
      <c r="E1717" s="33"/>
      <c r="F1717" s="33"/>
      <c r="G1717" s="27"/>
    </row>
    <row r="1718" spans="1:7" x14ac:dyDescent="0.2">
      <c r="A1718" s="22" t="str">
        <f t="shared" si="26"/>
        <v/>
      </c>
      <c r="B1718" s="31">
        <v>43717</v>
      </c>
      <c r="C1718" s="32" t="s">
        <v>56</v>
      </c>
      <c r="D1718" s="32">
        <v>43716</v>
      </c>
      <c r="E1718" s="33"/>
      <c r="F1718" s="33"/>
      <c r="G1718" s="27"/>
    </row>
    <row r="1719" spans="1:7" x14ac:dyDescent="0.2">
      <c r="A1719" s="22" t="str">
        <f t="shared" si="26"/>
        <v/>
      </c>
      <c r="B1719" s="31">
        <v>43718</v>
      </c>
      <c r="C1719" s="32" t="s">
        <v>57</v>
      </c>
      <c r="D1719" s="32">
        <v>43716</v>
      </c>
      <c r="E1719" s="33"/>
      <c r="F1719" s="33"/>
      <c r="G1719" s="27"/>
    </row>
    <row r="1720" spans="1:7" x14ac:dyDescent="0.2">
      <c r="A1720" s="22" t="str">
        <f t="shared" si="26"/>
        <v/>
      </c>
      <c r="B1720" s="31">
        <v>43719</v>
      </c>
      <c r="C1720" s="32" t="s">
        <v>58</v>
      </c>
      <c r="D1720" s="32">
        <v>43716</v>
      </c>
      <c r="E1720" s="33"/>
      <c r="F1720" s="33"/>
      <c r="G1720" s="27"/>
    </row>
    <row r="1721" spans="1:7" x14ac:dyDescent="0.2">
      <c r="A1721" s="22" t="str">
        <f t="shared" si="26"/>
        <v/>
      </c>
      <c r="B1721" s="31">
        <v>43720</v>
      </c>
      <c r="C1721" s="32" t="s">
        <v>59</v>
      </c>
      <c r="D1721" s="32">
        <v>43716</v>
      </c>
      <c r="E1721" s="33"/>
      <c r="F1721" s="33"/>
      <c r="G1721" s="27"/>
    </row>
    <row r="1722" spans="1:7" x14ac:dyDescent="0.2">
      <c r="A1722" s="22" t="str">
        <f t="shared" si="26"/>
        <v/>
      </c>
      <c r="B1722" s="31">
        <v>43721</v>
      </c>
      <c r="C1722" s="32" t="s">
        <v>60</v>
      </c>
      <c r="D1722" s="32">
        <v>43716</v>
      </c>
      <c r="E1722" s="33"/>
      <c r="F1722" s="33"/>
      <c r="G1722" s="27"/>
    </row>
    <row r="1723" spans="1:7" x14ac:dyDescent="0.2">
      <c r="A1723" s="22" t="str">
        <f t="shared" si="26"/>
        <v/>
      </c>
      <c r="B1723" s="31">
        <v>43722</v>
      </c>
      <c r="C1723" s="32" t="s">
        <v>61</v>
      </c>
      <c r="D1723" s="32">
        <v>43716</v>
      </c>
      <c r="E1723" s="33"/>
      <c r="F1723" s="33"/>
      <c r="G1723" s="27"/>
    </row>
    <row r="1724" spans="1:7" x14ac:dyDescent="0.2">
      <c r="A1724" s="22" t="str">
        <f t="shared" si="26"/>
        <v/>
      </c>
      <c r="B1724" s="31">
        <v>43723</v>
      </c>
      <c r="C1724" s="32" t="s">
        <v>55</v>
      </c>
      <c r="D1724" s="32">
        <v>43723</v>
      </c>
      <c r="E1724" s="33"/>
      <c r="F1724" s="33"/>
      <c r="G1724" s="27"/>
    </row>
    <row r="1725" spans="1:7" x14ac:dyDescent="0.2">
      <c r="A1725" s="22" t="str">
        <f t="shared" si="26"/>
        <v/>
      </c>
      <c r="B1725" s="31">
        <v>43724</v>
      </c>
      <c r="C1725" s="32" t="s">
        <v>56</v>
      </c>
      <c r="D1725" s="32">
        <v>43723</v>
      </c>
      <c r="E1725" s="33"/>
      <c r="F1725" s="33"/>
      <c r="G1725" s="27"/>
    </row>
    <row r="1726" spans="1:7" x14ac:dyDescent="0.2">
      <c r="A1726" s="22" t="str">
        <f t="shared" si="26"/>
        <v/>
      </c>
      <c r="B1726" s="31">
        <v>43725</v>
      </c>
      <c r="C1726" s="32" t="s">
        <v>57</v>
      </c>
      <c r="D1726" s="32">
        <v>43723</v>
      </c>
      <c r="E1726" s="33"/>
      <c r="F1726" s="33"/>
      <c r="G1726" s="27"/>
    </row>
    <row r="1727" spans="1:7" x14ac:dyDescent="0.2">
      <c r="A1727" s="22" t="str">
        <f t="shared" si="26"/>
        <v/>
      </c>
      <c r="B1727" s="31">
        <v>43726</v>
      </c>
      <c r="C1727" s="32" t="s">
        <v>58</v>
      </c>
      <c r="D1727" s="32">
        <v>43723</v>
      </c>
      <c r="E1727" s="33"/>
      <c r="F1727" s="33"/>
      <c r="G1727" s="27"/>
    </row>
    <row r="1728" spans="1:7" x14ac:dyDescent="0.2">
      <c r="A1728" s="22" t="str">
        <f t="shared" si="26"/>
        <v/>
      </c>
      <c r="B1728" s="31">
        <v>43727</v>
      </c>
      <c r="C1728" s="32" t="s">
        <v>59</v>
      </c>
      <c r="D1728" s="32">
        <v>43723</v>
      </c>
      <c r="E1728" s="33"/>
      <c r="F1728" s="33"/>
      <c r="G1728" s="27"/>
    </row>
    <row r="1729" spans="1:7" x14ac:dyDescent="0.2">
      <c r="A1729" s="22" t="str">
        <f t="shared" si="26"/>
        <v/>
      </c>
      <c r="B1729" s="31">
        <v>43728</v>
      </c>
      <c r="C1729" s="32" t="s">
        <v>60</v>
      </c>
      <c r="D1729" s="32">
        <v>43723</v>
      </c>
      <c r="E1729" s="33"/>
      <c r="F1729" s="33"/>
      <c r="G1729" s="27"/>
    </row>
    <row r="1730" spans="1:7" x14ac:dyDescent="0.2">
      <c r="A1730" s="22" t="str">
        <f t="shared" si="26"/>
        <v/>
      </c>
      <c r="B1730" s="31">
        <v>43729</v>
      </c>
      <c r="C1730" s="32" t="s">
        <v>61</v>
      </c>
      <c r="D1730" s="32">
        <v>43723</v>
      </c>
      <c r="E1730" s="33"/>
      <c r="F1730" s="33"/>
      <c r="G1730" s="27"/>
    </row>
    <row r="1731" spans="1:7" x14ac:dyDescent="0.2">
      <c r="A1731" s="22" t="str">
        <f t="shared" ref="A1731:A1794" si="27">RIGHT(G1731,4)</f>
        <v/>
      </c>
      <c r="B1731" s="31">
        <v>43730</v>
      </c>
      <c r="C1731" s="32" t="s">
        <v>55</v>
      </c>
      <c r="D1731" s="32">
        <v>43730</v>
      </c>
      <c r="E1731" s="33"/>
      <c r="F1731" s="33"/>
      <c r="G1731" s="27"/>
    </row>
    <row r="1732" spans="1:7" x14ac:dyDescent="0.2">
      <c r="A1732" s="22" t="str">
        <f t="shared" si="27"/>
        <v/>
      </c>
      <c r="B1732" s="31">
        <v>43731</v>
      </c>
      <c r="C1732" s="32" t="s">
        <v>56</v>
      </c>
      <c r="D1732" s="32">
        <v>43730</v>
      </c>
      <c r="E1732" s="33"/>
      <c r="F1732" s="33"/>
      <c r="G1732" s="27"/>
    </row>
    <row r="1733" spans="1:7" x14ac:dyDescent="0.2">
      <c r="A1733" s="22" t="str">
        <f t="shared" si="27"/>
        <v/>
      </c>
      <c r="B1733" s="31">
        <v>43732</v>
      </c>
      <c r="C1733" s="32" t="s">
        <v>57</v>
      </c>
      <c r="D1733" s="32">
        <v>43730</v>
      </c>
      <c r="E1733" s="33"/>
      <c r="F1733" s="33"/>
      <c r="G1733" s="27"/>
    </row>
    <row r="1734" spans="1:7" x14ac:dyDescent="0.2">
      <c r="A1734" s="22" t="str">
        <f t="shared" si="27"/>
        <v/>
      </c>
      <c r="B1734" s="31">
        <v>43733</v>
      </c>
      <c r="C1734" s="32" t="s">
        <v>58</v>
      </c>
      <c r="D1734" s="32">
        <v>43730</v>
      </c>
      <c r="E1734" s="33"/>
      <c r="F1734" s="33"/>
      <c r="G1734" s="27"/>
    </row>
    <row r="1735" spans="1:7" x14ac:dyDescent="0.2">
      <c r="A1735" s="22" t="str">
        <f t="shared" si="27"/>
        <v/>
      </c>
      <c r="B1735" s="31">
        <v>43734</v>
      </c>
      <c r="C1735" s="32" t="s">
        <v>59</v>
      </c>
      <c r="D1735" s="32">
        <v>43730</v>
      </c>
      <c r="E1735" s="33"/>
      <c r="F1735" s="33"/>
      <c r="G1735" s="27"/>
    </row>
    <row r="1736" spans="1:7" x14ac:dyDescent="0.2">
      <c r="A1736" s="22" t="str">
        <f t="shared" si="27"/>
        <v/>
      </c>
      <c r="B1736" s="31">
        <v>43735</v>
      </c>
      <c r="C1736" s="32" t="s">
        <v>60</v>
      </c>
      <c r="D1736" s="32">
        <v>43730</v>
      </c>
      <c r="E1736" s="33"/>
      <c r="F1736" s="33"/>
      <c r="G1736" s="27"/>
    </row>
    <row r="1737" spans="1:7" x14ac:dyDescent="0.2">
      <c r="A1737" s="22" t="str">
        <f t="shared" si="27"/>
        <v/>
      </c>
      <c r="B1737" s="31">
        <v>43736</v>
      </c>
      <c r="C1737" s="32" t="s">
        <v>61</v>
      </c>
      <c r="D1737" s="32">
        <v>43730</v>
      </c>
      <c r="E1737" s="33"/>
      <c r="F1737" s="33"/>
      <c r="G1737" s="27"/>
    </row>
    <row r="1738" spans="1:7" x14ac:dyDescent="0.2">
      <c r="A1738" s="22" t="str">
        <f t="shared" si="27"/>
        <v/>
      </c>
      <c r="B1738" s="31">
        <v>43737</v>
      </c>
      <c r="C1738" s="32" t="s">
        <v>55</v>
      </c>
      <c r="D1738" s="32">
        <v>43737</v>
      </c>
      <c r="E1738" s="33"/>
      <c r="F1738" s="33"/>
      <c r="G1738" s="27"/>
    </row>
    <row r="1739" spans="1:7" x14ac:dyDescent="0.2">
      <c r="A1739" s="22" t="str">
        <f t="shared" si="27"/>
        <v/>
      </c>
      <c r="B1739" s="31">
        <v>43738</v>
      </c>
      <c r="C1739" s="32" t="s">
        <v>56</v>
      </c>
      <c r="D1739" s="32">
        <v>43737</v>
      </c>
      <c r="E1739" s="33"/>
      <c r="F1739" s="33"/>
      <c r="G1739" s="27"/>
    </row>
    <row r="1740" spans="1:7" x14ac:dyDescent="0.2">
      <c r="A1740" s="22" t="str">
        <f t="shared" si="27"/>
        <v/>
      </c>
      <c r="B1740" s="31">
        <v>43739</v>
      </c>
      <c r="C1740" s="32" t="s">
        <v>57</v>
      </c>
      <c r="D1740" s="32">
        <v>43737</v>
      </c>
      <c r="E1740" s="33"/>
      <c r="F1740" s="33"/>
      <c r="G1740" s="27"/>
    </row>
    <row r="1741" spans="1:7" x14ac:dyDescent="0.2">
      <c r="A1741" s="22" t="str">
        <f t="shared" si="27"/>
        <v/>
      </c>
      <c r="B1741" s="31">
        <v>43740</v>
      </c>
      <c r="C1741" s="32" t="s">
        <v>58</v>
      </c>
      <c r="D1741" s="32">
        <v>43737</v>
      </c>
      <c r="E1741" s="33"/>
      <c r="F1741" s="33"/>
      <c r="G1741" s="27"/>
    </row>
    <row r="1742" spans="1:7" x14ac:dyDescent="0.2">
      <c r="A1742" s="22" t="str">
        <f t="shared" si="27"/>
        <v/>
      </c>
      <c r="B1742" s="31">
        <v>43741</v>
      </c>
      <c r="C1742" s="32" t="s">
        <v>59</v>
      </c>
      <c r="D1742" s="32">
        <v>43737</v>
      </c>
      <c r="E1742" s="33"/>
      <c r="F1742" s="33"/>
      <c r="G1742" s="27"/>
    </row>
    <row r="1743" spans="1:7" x14ac:dyDescent="0.2">
      <c r="A1743" s="22" t="str">
        <f t="shared" si="27"/>
        <v/>
      </c>
      <c r="B1743" s="31">
        <v>43742</v>
      </c>
      <c r="C1743" s="32" t="s">
        <v>60</v>
      </c>
      <c r="D1743" s="32">
        <v>43737</v>
      </c>
      <c r="E1743" s="33"/>
      <c r="F1743" s="33"/>
      <c r="G1743" s="27"/>
    </row>
    <row r="1744" spans="1:7" x14ac:dyDescent="0.2">
      <c r="A1744" s="22" t="str">
        <f t="shared" si="27"/>
        <v/>
      </c>
      <c r="B1744" s="31">
        <v>43743</v>
      </c>
      <c r="C1744" s="32" t="s">
        <v>61</v>
      </c>
      <c r="D1744" s="32">
        <v>43737</v>
      </c>
      <c r="E1744" s="33"/>
      <c r="F1744" s="33"/>
      <c r="G1744" s="27"/>
    </row>
    <row r="1745" spans="1:7" x14ac:dyDescent="0.2">
      <c r="A1745" s="22" t="str">
        <f t="shared" si="27"/>
        <v/>
      </c>
      <c r="B1745" s="31">
        <v>43744</v>
      </c>
      <c r="C1745" s="32" t="s">
        <v>55</v>
      </c>
      <c r="D1745" s="32">
        <v>43744</v>
      </c>
      <c r="E1745" s="33"/>
      <c r="F1745" s="33"/>
      <c r="G1745" s="27"/>
    </row>
    <row r="1746" spans="1:7" x14ac:dyDescent="0.2">
      <c r="A1746" s="22" t="str">
        <f t="shared" si="27"/>
        <v/>
      </c>
      <c r="B1746" s="31">
        <v>43745</v>
      </c>
      <c r="C1746" s="32" t="s">
        <v>56</v>
      </c>
      <c r="D1746" s="32">
        <v>43744</v>
      </c>
      <c r="E1746" s="33"/>
      <c r="F1746" s="33"/>
      <c r="G1746" s="27"/>
    </row>
    <row r="1747" spans="1:7" x14ac:dyDescent="0.2">
      <c r="A1747" s="22" t="str">
        <f t="shared" si="27"/>
        <v/>
      </c>
      <c r="B1747" s="31">
        <v>43746</v>
      </c>
      <c r="C1747" s="32" t="s">
        <v>57</v>
      </c>
      <c r="D1747" s="32">
        <v>43744</v>
      </c>
      <c r="E1747" s="33"/>
      <c r="F1747" s="33"/>
      <c r="G1747" s="27"/>
    </row>
    <row r="1748" spans="1:7" x14ac:dyDescent="0.2">
      <c r="A1748" s="22" t="str">
        <f t="shared" si="27"/>
        <v/>
      </c>
      <c r="B1748" s="31">
        <v>43747</v>
      </c>
      <c r="C1748" s="32" t="s">
        <v>58</v>
      </c>
      <c r="D1748" s="32">
        <v>43744</v>
      </c>
      <c r="E1748" s="33"/>
      <c r="F1748" s="33"/>
      <c r="G1748" s="27"/>
    </row>
    <row r="1749" spans="1:7" x14ac:dyDescent="0.2">
      <c r="A1749" s="22" t="str">
        <f t="shared" si="27"/>
        <v/>
      </c>
      <c r="B1749" s="31">
        <v>43748</v>
      </c>
      <c r="C1749" s="32" t="s">
        <v>59</v>
      </c>
      <c r="D1749" s="32">
        <v>43744</v>
      </c>
      <c r="E1749" s="33"/>
      <c r="F1749" s="33"/>
      <c r="G1749" s="27"/>
    </row>
    <row r="1750" spans="1:7" x14ac:dyDescent="0.2">
      <c r="A1750" s="22" t="str">
        <f t="shared" si="27"/>
        <v/>
      </c>
      <c r="B1750" s="31">
        <v>43749</v>
      </c>
      <c r="C1750" s="32" t="s">
        <v>60</v>
      </c>
      <c r="D1750" s="32">
        <v>43744</v>
      </c>
      <c r="E1750" s="33"/>
      <c r="F1750" s="33"/>
      <c r="G1750" s="27"/>
    </row>
    <row r="1751" spans="1:7" x14ac:dyDescent="0.2">
      <c r="A1751" s="22" t="str">
        <f t="shared" si="27"/>
        <v/>
      </c>
      <c r="B1751" s="31">
        <v>43750</v>
      </c>
      <c r="C1751" s="32" t="s">
        <v>61</v>
      </c>
      <c r="D1751" s="32">
        <v>43744</v>
      </c>
      <c r="E1751" s="33"/>
      <c r="F1751" s="33"/>
      <c r="G1751" s="27"/>
    </row>
    <row r="1752" spans="1:7" x14ac:dyDescent="0.2">
      <c r="A1752" s="22" t="str">
        <f t="shared" si="27"/>
        <v/>
      </c>
      <c r="B1752" s="31">
        <v>43751</v>
      </c>
      <c r="C1752" s="32" t="s">
        <v>55</v>
      </c>
      <c r="D1752" s="32">
        <v>43751</v>
      </c>
      <c r="E1752" s="33"/>
      <c r="F1752" s="33"/>
      <c r="G1752" s="27"/>
    </row>
    <row r="1753" spans="1:7" x14ac:dyDescent="0.2">
      <c r="A1753" s="22" t="str">
        <f t="shared" si="27"/>
        <v/>
      </c>
      <c r="B1753" s="31">
        <v>43752</v>
      </c>
      <c r="C1753" s="32" t="s">
        <v>56</v>
      </c>
      <c r="D1753" s="32">
        <v>43751</v>
      </c>
      <c r="E1753" s="33"/>
      <c r="F1753" s="33"/>
      <c r="G1753" s="27"/>
    </row>
    <row r="1754" spans="1:7" x14ac:dyDescent="0.2">
      <c r="A1754" s="22" t="str">
        <f t="shared" si="27"/>
        <v/>
      </c>
      <c r="B1754" s="31">
        <v>43753</v>
      </c>
      <c r="C1754" s="32" t="s">
        <v>57</v>
      </c>
      <c r="D1754" s="32">
        <v>43751</v>
      </c>
      <c r="E1754" s="33"/>
      <c r="F1754" s="33"/>
      <c r="G1754" s="27"/>
    </row>
    <row r="1755" spans="1:7" x14ac:dyDescent="0.2">
      <c r="A1755" s="22" t="str">
        <f t="shared" si="27"/>
        <v/>
      </c>
      <c r="B1755" s="31">
        <v>43754</v>
      </c>
      <c r="C1755" s="32" t="s">
        <v>58</v>
      </c>
      <c r="D1755" s="32">
        <v>43751</v>
      </c>
      <c r="E1755" s="33"/>
      <c r="F1755" s="33"/>
      <c r="G1755" s="27"/>
    </row>
    <row r="1756" spans="1:7" x14ac:dyDescent="0.2">
      <c r="A1756" s="22" t="str">
        <f t="shared" si="27"/>
        <v/>
      </c>
      <c r="B1756" s="31">
        <v>43755</v>
      </c>
      <c r="C1756" s="32" t="s">
        <v>59</v>
      </c>
      <c r="D1756" s="32">
        <v>43751</v>
      </c>
      <c r="E1756" s="33"/>
      <c r="F1756" s="33"/>
      <c r="G1756" s="27"/>
    </row>
    <row r="1757" spans="1:7" x14ac:dyDescent="0.2">
      <c r="A1757" s="22" t="str">
        <f t="shared" si="27"/>
        <v/>
      </c>
      <c r="B1757" s="31">
        <v>43756</v>
      </c>
      <c r="C1757" s="32" t="s">
        <v>60</v>
      </c>
      <c r="D1757" s="32">
        <v>43751</v>
      </c>
      <c r="E1757" s="33"/>
      <c r="F1757" s="33"/>
      <c r="G1757" s="27"/>
    </row>
    <row r="1758" spans="1:7" x14ac:dyDescent="0.2">
      <c r="A1758" s="22" t="str">
        <f t="shared" si="27"/>
        <v/>
      </c>
      <c r="B1758" s="31">
        <v>43757</v>
      </c>
      <c r="C1758" s="32" t="s">
        <v>61</v>
      </c>
      <c r="D1758" s="32">
        <v>43751</v>
      </c>
      <c r="E1758" s="33"/>
      <c r="F1758" s="33"/>
      <c r="G1758" s="27"/>
    </row>
    <row r="1759" spans="1:7" x14ac:dyDescent="0.2">
      <c r="A1759" s="22" t="str">
        <f t="shared" si="27"/>
        <v/>
      </c>
      <c r="B1759" s="31">
        <v>43758</v>
      </c>
      <c r="C1759" s="32" t="s">
        <v>55</v>
      </c>
      <c r="D1759" s="32">
        <v>43758</v>
      </c>
      <c r="E1759" s="33"/>
      <c r="F1759" s="33"/>
      <c r="G1759" s="27"/>
    </row>
    <row r="1760" spans="1:7" x14ac:dyDescent="0.2">
      <c r="A1760" s="22" t="str">
        <f t="shared" si="27"/>
        <v/>
      </c>
      <c r="B1760" s="31">
        <v>43759</v>
      </c>
      <c r="C1760" s="32" t="s">
        <v>56</v>
      </c>
      <c r="D1760" s="32">
        <v>43758</v>
      </c>
      <c r="E1760" s="33"/>
      <c r="F1760" s="33"/>
      <c r="G1760" s="27"/>
    </row>
    <row r="1761" spans="1:7" x14ac:dyDescent="0.2">
      <c r="A1761" s="22" t="str">
        <f t="shared" si="27"/>
        <v/>
      </c>
      <c r="B1761" s="31">
        <v>43760</v>
      </c>
      <c r="C1761" s="32" t="s">
        <v>57</v>
      </c>
      <c r="D1761" s="32">
        <v>43758</v>
      </c>
      <c r="E1761" s="33"/>
      <c r="F1761" s="33"/>
      <c r="G1761" s="27"/>
    </row>
    <row r="1762" spans="1:7" x14ac:dyDescent="0.2">
      <c r="A1762" s="22" t="str">
        <f t="shared" si="27"/>
        <v/>
      </c>
      <c r="B1762" s="31">
        <v>43761</v>
      </c>
      <c r="C1762" s="32" t="s">
        <v>58</v>
      </c>
      <c r="D1762" s="32">
        <v>43758</v>
      </c>
      <c r="E1762" s="33"/>
      <c r="F1762" s="33"/>
      <c r="G1762" s="27"/>
    </row>
    <row r="1763" spans="1:7" x14ac:dyDescent="0.2">
      <c r="A1763" s="22" t="str">
        <f t="shared" si="27"/>
        <v/>
      </c>
      <c r="B1763" s="31">
        <v>43762</v>
      </c>
      <c r="C1763" s="32" t="s">
        <v>59</v>
      </c>
      <c r="D1763" s="32">
        <v>43758</v>
      </c>
      <c r="E1763" s="33"/>
      <c r="F1763" s="33"/>
      <c r="G1763" s="27"/>
    </row>
    <row r="1764" spans="1:7" x14ac:dyDescent="0.2">
      <c r="A1764" s="22" t="str">
        <f t="shared" si="27"/>
        <v/>
      </c>
      <c r="B1764" s="31">
        <v>43763</v>
      </c>
      <c r="C1764" s="32" t="s">
        <v>60</v>
      </c>
      <c r="D1764" s="32">
        <v>43758</v>
      </c>
      <c r="E1764" s="33"/>
      <c r="F1764" s="33"/>
      <c r="G1764" s="27"/>
    </row>
    <row r="1765" spans="1:7" x14ac:dyDescent="0.2">
      <c r="A1765" s="22" t="str">
        <f t="shared" si="27"/>
        <v/>
      </c>
      <c r="B1765" s="31">
        <v>43764</v>
      </c>
      <c r="C1765" s="32" t="s">
        <v>61</v>
      </c>
      <c r="D1765" s="32">
        <v>43758</v>
      </c>
      <c r="E1765" s="33"/>
      <c r="F1765" s="33"/>
      <c r="G1765" s="27"/>
    </row>
    <row r="1766" spans="1:7" x14ac:dyDescent="0.2">
      <c r="A1766" s="22" t="str">
        <f t="shared" si="27"/>
        <v/>
      </c>
      <c r="B1766" s="31">
        <v>43765</v>
      </c>
      <c r="C1766" s="32" t="s">
        <v>55</v>
      </c>
      <c r="D1766" s="32">
        <v>43765</v>
      </c>
      <c r="E1766" s="33"/>
      <c r="F1766" s="33"/>
      <c r="G1766" s="27"/>
    </row>
    <row r="1767" spans="1:7" x14ac:dyDescent="0.2">
      <c r="A1767" s="22" t="str">
        <f t="shared" si="27"/>
        <v/>
      </c>
      <c r="B1767" s="31">
        <v>43766</v>
      </c>
      <c r="C1767" s="32" t="s">
        <v>56</v>
      </c>
      <c r="D1767" s="32">
        <v>43765</v>
      </c>
      <c r="E1767" s="33"/>
      <c r="F1767" s="33"/>
      <c r="G1767" s="27"/>
    </row>
    <row r="1768" spans="1:7" x14ac:dyDescent="0.2">
      <c r="A1768" s="22" t="str">
        <f t="shared" si="27"/>
        <v/>
      </c>
      <c r="B1768" s="31">
        <v>43767</v>
      </c>
      <c r="C1768" s="32" t="s">
        <v>57</v>
      </c>
      <c r="D1768" s="32">
        <v>43765</v>
      </c>
      <c r="E1768" s="33"/>
      <c r="F1768" s="33"/>
      <c r="G1768" s="27"/>
    </row>
    <row r="1769" spans="1:7" x14ac:dyDescent="0.2">
      <c r="A1769" s="22" t="str">
        <f t="shared" si="27"/>
        <v/>
      </c>
      <c r="B1769" s="31">
        <v>43768</v>
      </c>
      <c r="C1769" s="32" t="s">
        <v>58</v>
      </c>
      <c r="D1769" s="32">
        <v>43765</v>
      </c>
      <c r="E1769" s="33"/>
      <c r="F1769" s="33"/>
      <c r="G1769" s="27"/>
    </row>
    <row r="1770" spans="1:7" x14ac:dyDescent="0.2">
      <c r="A1770" s="22" t="str">
        <f t="shared" si="27"/>
        <v/>
      </c>
      <c r="B1770" s="31">
        <v>43769</v>
      </c>
      <c r="C1770" s="32" t="s">
        <v>59</v>
      </c>
      <c r="D1770" s="32">
        <v>43765</v>
      </c>
      <c r="E1770" s="33"/>
      <c r="F1770" s="33"/>
      <c r="G1770" s="27"/>
    </row>
    <row r="1771" spans="1:7" x14ac:dyDescent="0.2">
      <c r="A1771" s="22" t="str">
        <f t="shared" si="27"/>
        <v/>
      </c>
      <c r="B1771" s="31">
        <v>43770</v>
      </c>
      <c r="C1771" s="32" t="s">
        <v>60</v>
      </c>
      <c r="D1771" s="32">
        <v>43765</v>
      </c>
      <c r="E1771" s="33"/>
      <c r="F1771" s="33"/>
      <c r="G1771" s="27"/>
    </row>
    <row r="1772" spans="1:7" x14ac:dyDescent="0.2">
      <c r="A1772" s="22" t="str">
        <f t="shared" si="27"/>
        <v/>
      </c>
      <c r="B1772" s="31">
        <v>43771</v>
      </c>
      <c r="C1772" s="32" t="s">
        <v>61</v>
      </c>
      <c r="D1772" s="32">
        <v>43765</v>
      </c>
      <c r="E1772" s="33"/>
      <c r="F1772" s="33"/>
      <c r="G1772" s="27"/>
    </row>
    <row r="1773" spans="1:7" x14ac:dyDescent="0.2">
      <c r="A1773" s="22" t="str">
        <f t="shared" si="27"/>
        <v/>
      </c>
      <c r="B1773" s="31">
        <v>43772</v>
      </c>
      <c r="C1773" s="32" t="s">
        <v>55</v>
      </c>
      <c r="D1773" s="32">
        <v>43772</v>
      </c>
      <c r="E1773" s="33"/>
      <c r="F1773" s="33"/>
      <c r="G1773" s="27"/>
    </row>
    <row r="1774" spans="1:7" x14ac:dyDescent="0.2">
      <c r="A1774" s="22" t="str">
        <f t="shared" si="27"/>
        <v/>
      </c>
      <c r="B1774" s="31">
        <v>43773</v>
      </c>
      <c r="C1774" s="32" t="s">
        <v>56</v>
      </c>
      <c r="D1774" s="32">
        <v>43772</v>
      </c>
      <c r="E1774" s="33"/>
      <c r="F1774" s="33"/>
      <c r="G1774" s="27"/>
    </row>
    <row r="1775" spans="1:7" x14ac:dyDescent="0.2">
      <c r="A1775" s="22" t="str">
        <f t="shared" si="27"/>
        <v/>
      </c>
      <c r="B1775" s="31">
        <v>43774</v>
      </c>
      <c r="C1775" s="32" t="s">
        <v>57</v>
      </c>
      <c r="D1775" s="32">
        <v>43772</v>
      </c>
      <c r="E1775" s="33"/>
      <c r="F1775" s="33"/>
      <c r="G1775" s="27"/>
    </row>
    <row r="1776" spans="1:7" x14ac:dyDescent="0.2">
      <c r="A1776" s="22" t="str">
        <f t="shared" si="27"/>
        <v/>
      </c>
      <c r="B1776" s="31">
        <v>43775</v>
      </c>
      <c r="C1776" s="32" t="s">
        <v>58</v>
      </c>
      <c r="D1776" s="32">
        <v>43772</v>
      </c>
      <c r="E1776" s="33"/>
      <c r="F1776" s="33"/>
      <c r="G1776" s="27"/>
    </row>
    <row r="1777" spans="1:7" x14ac:dyDescent="0.2">
      <c r="A1777" s="22" t="str">
        <f t="shared" si="27"/>
        <v/>
      </c>
      <c r="B1777" s="31">
        <v>43776</v>
      </c>
      <c r="C1777" s="32" t="s">
        <v>59</v>
      </c>
      <c r="D1777" s="32">
        <v>43772</v>
      </c>
      <c r="E1777" s="33"/>
      <c r="F1777" s="33"/>
      <c r="G1777" s="27"/>
    </row>
    <row r="1778" spans="1:7" x14ac:dyDescent="0.2">
      <c r="A1778" s="22" t="str">
        <f t="shared" si="27"/>
        <v/>
      </c>
      <c r="B1778" s="31">
        <v>43777</v>
      </c>
      <c r="C1778" s="32" t="s">
        <v>60</v>
      </c>
      <c r="D1778" s="32">
        <v>43772</v>
      </c>
      <c r="E1778" s="33"/>
      <c r="F1778" s="33"/>
      <c r="G1778" s="27"/>
    </row>
    <row r="1779" spans="1:7" x14ac:dyDescent="0.2">
      <c r="A1779" s="22" t="str">
        <f t="shared" si="27"/>
        <v/>
      </c>
      <c r="B1779" s="31">
        <v>43778</v>
      </c>
      <c r="C1779" s="32" t="s">
        <v>61</v>
      </c>
      <c r="D1779" s="32">
        <v>43772</v>
      </c>
      <c r="E1779" s="33"/>
      <c r="F1779" s="33"/>
      <c r="G1779" s="27"/>
    </row>
    <row r="1780" spans="1:7" x14ac:dyDescent="0.2">
      <c r="A1780" s="22" t="str">
        <f t="shared" si="27"/>
        <v/>
      </c>
      <c r="B1780" s="31">
        <v>43779</v>
      </c>
      <c r="C1780" s="32" t="s">
        <v>55</v>
      </c>
      <c r="D1780" s="32">
        <v>43779</v>
      </c>
      <c r="E1780" s="33"/>
      <c r="F1780" s="33"/>
      <c r="G1780" s="27"/>
    </row>
    <row r="1781" spans="1:7" x14ac:dyDescent="0.2">
      <c r="A1781" s="22" t="str">
        <f t="shared" si="27"/>
        <v/>
      </c>
      <c r="B1781" s="31">
        <v>43780</v>
      </c>
      <c r="C1781" s="32" t="s">
        <v>56</v>
      </c>
      <c r="D1781" s="32">
        <v>43779</v>
      </c>
      <c r="E1781" s="33"/>
      <c r="F1781" s="33"/>
      <c r="G1781" s="27"/>
    </row>
    <row r="1782" spans="1:7" x14ac:dyDescent="0.2">
      <c r="A1782" s="22" t="str">
        <f t="shared" si="27"/>
        <v/>
      </c>
      <c r="B1782" s="31">
        <v>43781</v>
      </c>
      <c r="C1782" s="32" t="s">
        <v>57</v>
      </c>
      <c r="D1782" s="32">
        <v>43779</v>
      </c>
      <c r="E1782" s="33"/>
      <c r="F1782" s="33"/>
      <c r="G1782" s="27"/>
    </row>
    <row r="1783" spans="1:7" x14ac:dyDescent="0.2">
      <c r="A1783" s="22" t="str">
        <f t="shared" si="27"/>
        <v/>
      </c>
      <c r="B1783" s="31">
        <v>43782</v>
      </c>
      <c r="C1783" s="32" t="s">
        <v>58</v>
      </c>
      <c r="D1783" s="32">
        <v>43779</v>
      </c>
      <c r="E1783" s="33"/>
      <c r="F1783" s="33"/>
      <c r="G1783" s="27"/>
    </row>
    <row r="1784" spans="1:7" x14ac:dyDescent="0.2">
      <c r="A1784" s="22" t="str">
        <f t="shared" si="27"/>
        <v/>
      </c>
      <c r="B1784" s="31">
        <v>43783</v>
      </c>
      <c r="C1784" s="32" t="s">
        <v>59</v>
      </c>
      <c r="D1784" s="32">
        <v>43779</v>
      </c>
      <c r="E1784" s="33"/>
      <c r="F1784" s="33"/>
      <c r="G1784" s="27"/>
    </row>
    <row r="1785" spans="1:7" x14ac:dyDescent="0.2">
      <c r="A1785" s="22" t="str">
        <f t="shared" si="27"/>
        <v/>
      </c>
      <c r="B1785" s="31">
        <v>43784</v>
      </c>
      <c r="C1785" s="32" t="s">
        <v>60</v>
      </c>
      <c r="D1785" s="32">
        <v>43779</v>
      </c>
      <c r="E1785" s="33"/>
      <c r="F1785" s="33"/>
      <c r="G1785" s="27"/>
    </row>
    <row r="1786" spans="1:7" x14ac:dyDescent="0.2">
      <c r="A1786" s="22" t="str">
        <f t="shared" si="27"/>
        <v/>
      </c>
      <c r="B1786" s="31">
        <v>43785</v>
      </c>
      <c r="C1786" s="32" t="s">
        <v>61</v>
      </c>
      <c r="D1786" s="32">
        <v>43779</v>
      </c>
      <c r="E1786" s="33"/>
      <c r="F1786" s="33"/>
      <c r="G1786" s="27"/>
    </row>
    <row r="1787" spans="1:7" x14ac:dyDescent="0.2">
      <c r="A1787" s="22" t="str">
        <f t="shared" si="27"/>
        <v/>
      </c>
      <c r="B1787" s="31">
        <v>43786</v>
      </c>
      <c r="C1787" s="32" t="s">
        <v>55</v>
      </c>
      <c r="D1787" s="32">
        <v>43786</v>
      </c>
      <c r="E1787" s="33"/>
      <c r="F1787" s="33"/>
      <c r="G1787" s="27"/>
    </row>
    <row r="1788" spans="1:7" x14ac:dyDescent="0.2">
      <c r="A1788" s="22" t="str">
        <f t="shared" si="27"/>
        <v/>
      </c>
      <c r="B1788" s="31">
        <v>43787</v>
      </c>
      <c r="C1788" s="32" t="s">
        <v>56</v>
      </c>
      <c r="D1788" s="32">
        <v>43786</v>
      </c>
      <c r="E1788" s="33"/>
      <c r="F1788" s="33"/>
      <c r="G1788" s="27"/>
    </row>
    <row r="1789" spans="1:7" x14ac:dyDescent="0.2">
      <c r="A1789" s="22" t="str">
        <f t="shared" si="27"/>
        <v/>
      </c>
      <c r="B1789" s="31">
        <v>43788</v>
      </c>
      <c r="C1789" s="32" t="s">
        <v>57</v>
      </c>
      <c r="D1789" s="32">
        <v>43786</v>
      </c>
      <c r="E1789" s="33"/>
      <c r="F1789" s="33"/>
      <c r="G1789" s="27"/>
    </row>
    <row r="1790" spans="1:7" x14ac:dyDescent="0.2">
      <c r="A1790" s="22" t="str">
        <f t="shared" si="27"/>
        <v/>
      </c>
      <c r="B1790" s="31">
        <v>43789</v>
      </c>
      <c r="C1790" s="32" t="s">
        <v>58</v>
      </c>
      <c r="D1790" s="32">
        <v>43786</v>
      </c>
      <c r="E1790" s="33"/>
      <c r="F1790" s="33"/>
      <c r="G1790" s="27"/>
    </row>
    <row r="1791" spans="1:7" x14ac:dyDescent="0.2">
      <c r="A1791" s="22" t="str">
        <f t="shared" si="27"/>
        <v/>
      </c>
      <c r="B1791" s="31">
        <v>43790</v>
      </c>
      <c r="C1791" s="32" t="s">
        <v>59</v>
      </c>
      <c r="D1791" s="32">
        <v>43786</v>
      </c>
      <c r="E1791" s="33"/>
      <c r="F1791" s="33"/>
      <c r="G1791" s="27"/>
    </row>
    <row r="1792" spans="1:7" x14ac:dyDescent="0.2">
      <c r="A1792" s="22" t="str">
        <f t="shared" si="27"/>
        <v/>
      </c>
      <c r="B1792" s="31">
        <v>43791</v>
      </c>
      <c r="C1792" s="32" t="s">
        <v>60</v>
      </c>
      <c r="D1792" s="32">
        <v>43786</v>
      </c>
      <c r="E1792" s="33"/>
      <c r="F1792" s="33"/>
      <c r="G1792" s="27"/>
    </row>
    <row r="1793" spans="1:7" x14ac:dyDescent="0.2">
      <c r="A1793" s="22" t="str">
        <f t="shared" si="27"/>
        <v/>
      </c>
      <c r="B1793" s="31">
        <v>43792</v>
      </c>
      <c r="C1793" s="32" t="s">
        <v>61</v>
      </c>
      <c r="D1793" s="32">
        <v>43786</v>
      </c>
      <c r="E1793" s="33"/>
      <c r="F1793" s="33"/>
      <c r="G1793" s="27"/>
    </row>
    <row r="1794" spans="1:7" x14ac:dyDescent="0.2">
      <c r="A1794" s="22" t="str">
        <f t="shared" si="27"/>
        <v/>
      </c>
      <c r="B1794" s="31">
        <v>43793</v>
      </c>
      <c r="C1794" s="32" t="s">
        <v>55</v>
      </c>
      <c r="D1794" s="32">
        <v>43793</v>
      </c>
      <c r="E1794" s="33"/>
      <c r="F1794" s="33"/>
      <c r="G1794" s="27"/>
    </row>
    <row r="1795" spans="1:7" x14ac:dyDescent="0.2">
      <c r="A1795" s="22" t="str">
        <f t="shared" ref="A1795:A1849" si="28">RIGHT(G1795,4)</f>
        <v/>
      </c>
      <c r="B1795" s="31">
        <v>43794</v>
      </c>
      <c r="C1795" s="32" t="s">
        <v>56</v>
      </c>
      <c r="D1795" s="32">
        <v>43793</v>
      </c>
      <c r="E1795" s="33"/>
      <c r="F1795" s="33"/>
      <c r="G1795" s="27"/>
    </row>
    <row r="1796" spans="1:7" x14ac:dyDescent="0.2">
      <c r="A1796" s="22" t="str">
        <f t="shared" si="28"/>
        <v/>
      </c>
      <c r="B1796" s="31">
        <v>43795</v>
      </c>
      <c r="C1796" s="32" t="s">
        <v>57</v>
      </c>
      <c r="D1796" s="32">
        <v>43793</v>
      </c>
      <c r="E1796" s="33"/>
      <c r="F1796" s="33"/>
      <c r="G1796" s="27"/>
    </row>
    <row r="1797" spans="1:7" x14ac:dyDescent="0.2">
      <c r="A1797" s="22" t="str">
        <f t="shared" si="28"/>
        <v/>
      </c>
      <c r="B1797" s="31">
        <v>43796</v>
      </c>
      <c r="C1797" s="32" t="s">
        <v>58</v>
      </c>
      <c r="D1797" s="32">
        <v>43793</v>
      </c>
      <c r="E1797" s="33"/>
      <c r="F1797" s="33"/>
      <c r="G1797" s="27"/>
    </row>
    <row r="1798" spans="1:7" x14ac:dyDescent="0.2">
      <c r="A1798" s="22" t="str">
        <f t="shared" si="28"/>
        <v/>
      </c>
      <c r="B1798" s="31">
        <v>43797</v>
      </c>
      <c r="C1798" s="32" t="s">
        <v>59</v>
      </c>
      <c r="D1798" s="32">
        <v>43793</v>
      </c>
      <c r="E1798" s="33"/>
      <c r="F1798" s="33"/>
      <c r="G1798" s="27"/>
    </row>
    <row r="1799" spans="1:7" x14ac:dyDescent="0.2">
      <c r="A1799" s="22" t="str">
        <f t="shared" si="28"/>
        <v/>
      </c>
      <c r="B1799" s="31">
        <v>43798</v>
      </c>
      <c r="C1799" s="32" t="s">
        <v>60</v>
      </c>
      <c r="D1799" s="32">
        <v>43793</v>
      </c>
      <c r="E1799" s="33"/>
      <c r="F1799" s="33"/>
      <c r="G1799" s="27"/>
    </row>
    <row r="1800" spans="1:7" x14ac:dyDescent="0.2">
      <c r="A1800" s="22" t="str">
        <f t="shared" si="28"/>
        <v/>
      </c>
      <c r="B1800" s="31">
        <v>43799</v>
      </c>
      <c r="C1800" s="32" t="s">
        <v>61</v>
      </c>
      <c r="D1800" s="32">
        <v>43793</v>
      </c>
      <c r="E1800" s="33"/>
      <c r="F1800" s="33"/>
      <c r="G1800" s="27"/>
    </row>
    <row r="1801" spans="1:7" x14ac:dyDescent="0.2">
      <c r="A1801" s="22" t="str">
        <f t="shared" si="28"/>
        <v/>
      </c>
      <c r="B1801" s="31">
        <v>43800</v>
      </c>
      <c r="C1801" s="32" t="s">
        <v>55</v>
      </c>
      <c r="D1801" s="32">
        <v>43800</v>
      </c>
      <c r="E1801" s="33"/>
      <c r="F1801" s="33"/>
      <c r="G1801" s="27"/>
    </row>
    <row r="1802" spans="1:7" x14ac:dyDescent="0.2">
      <c r="A1802" s="22" t="str">
        <f t="shared" si="28"/>
        <v/>
      </c>
      <c r="B1802" s="31">
        <v>43801</v>
      </c>
      <c r="C1802" s="32" t="s">
        <v>56</v>
      </c>
      <c r="D1802" s="32">
        <v>43800</v>
      </c>
      <c r="E1802" s="33"/>
      <c r="F1802" s="33"/>
      <c r="G1802" s="27"/>
    </row>
    <row r="1803" spans="1:7" x14ac:dyDescent="0.2">
      <c r="A1803" s="22" t="str">
        <f t="shared" si="28"/>
        <v/>
      </c>
      <c r="B1803" s="31">
        <v>43802</v>
      </c>
      <c r="C1803" s="32" t="s">
        <v>57</v>
      </c>
      <c r="D1803" s="32">
        <v>43800</v>
      </c>
      <c r="E1803" s="33"/>
      <c r="F1803" s="33"/>
      <c r="G1803" s="27"/>
    </row>
    <row r="1804" spans="1:7" x14ac:dyDescent="0.2">
      <c r="A1804" s="22" t="str">
        <f t="shared" si="28"/>
        <v/>
      </c>
      <c r="B1804" s="31">
        <v>43803</v>
      </c>
      <c r="C1804" s="32" t="s">
        <v>58</v>
      </c>
      <c r="D1804" s="32">
        <v>43800</v>
      </c>
      <c r="E1804" s="33"/>
      <c r="F1804" s="33"/>
      <c r="G1804" s="27"/>
    </row>
    <row r="1805" spans="1:7" x14ac:dyDescent="0.2">
      <c r="A1805" s="22" t="str">
        <f t="shared" si="28"/>
        <v/>
      </c>
      <c r="B1805" s="31">
        <v>43804</v>
      </c>
      <c r="C1805" s="32" t="s">
        <v>59</v>
      </c>
      <c r="D1805" s="32">
        <v>43800</v>
      </c>
      <c r="E1805" s="33"/>
      <c r="F1805" s="33"/>
      <c r="G1805" s="27"/>
    </row>
    <row r="1806" spans="1:7" x14ac:dyDescent="0.2">
      <c r="A1806" s="22" t="str">
        <f t="shared" si="28"/>
        <v/>
      </c>
      <c r="B1806" s="31">
        <v>43805</v>
      </c>
      <c r="C1806" s="32" t="s">
        <v>60</v>
      </c>
      <c r="D1806" s="32">
        <v>43800</v>
      </c>
      <c r="E1806" s="33"/>
      <c r="F1806" s="33"/>
      <c r="G1806" s="27"/>
    </row>
    <row r="1807" spans="1:7" x14ac:dyDescent="0.2">
      <c r="A1807" s="22" t="str">
        <f t="shared" si="28"/>
        <v/>
      </c>
      <c r="B1807" s="31">
        <v>43806</v>
      </c>
      <c r="C1807" s="32" t="s">
        <v>61</v>
      </c>
      <c r="D1807" s="32">
        <v>43800</v>
      </c>
      <c r="E1807" s="33"/>
      <c r="F1807" s="33"/>
      <c r="G1807" s="27"/>
    </row>
    <row r="1808" spans="1:7" x14ac:dyDescent="0.2">
      <c r="A1808" s="22" t="str">
        <f t="shared" si="28"/>
        <v/>
      </c>
      <c r="B1808" s="31">
        <v>43807</v>
      </c>
      <c r="C1808" s="32" t="s">
        <v>55</v>
      </c>
      <c r="D1808" s="32">
        <v>43807</v>
      </c>
      <c r="E1808" s="33"/>
      <c r="F1808" s="33"/>
      <c r="G1808" s="27"/>
    </row>
    <row r="1809" spans="1:7" x14ac:dyDescent="0.2">
      <c r="A1809" s="22" t="str">
        <f t="shared" si="28"/>
        <v/>
      </c>
      <c r="B1809" s="31">
        <v>43808</v>
      </c>
      <c r="C1809" s="32" t="s">
        <v>56</v>
      </c>
      <c r="D1809" s="32">
        <v>43807</v>
      </c>
      <c r="E1809" s="33"/>
      <c r="F1809" s="33"/>
      <c r="G1809" s="27"/>
    </row>
    <row r="1810" spans="1:7" x14ac:dyDescent="0.2">
      <c r="A1810" s="22" t="str">
        <f t="shared" si="28"/>
        <v/>
      </c>
      <c r="B1810" s="31">
        <v>43809</v>
      </c>
      <c r="C1810" s="32" t="s">
        <v>57</v>
      </c>
      <c r="D1810" s="32">
        <v>43807</v>
      </c>
      <c r="E1810" s="33"/>
      <c r="F1810" s="33"/>
      <c r="G1810" s="27"/>
    </row>
    <row r="1811" spans="1:7" x14ac:dyDescent="0.2">
      <c r="A1811" s="22" t="str">
        <f t="shared" si="28"/>
        <v/>
      </c>
      <c r="B1811" s="31">
        <v>43810</v>
      </c>
      <c r="C1811" s="32" t="s">
        <v>58</v>
      </c>
      <c r="D1811" s="32">
        <v>43807</v>
      </c>
      <c r="E1811" s="33"/>
      <c r="F1811" s="33"/>
      <c r="G1811" s="27"/>
    </row>
    <row r="1812" spans="1:7" x14ac:dyDescent="0.2">
      <c r="A1812" s="22" t="str">
        <f t="shared" si="28"/>
        <v/>
      </c>
      <c r="B1812" s="31">
        <v>43811</v>
      </c>
      <c r="C1812" s="32" t="s">
        <v>59</v>
      </c>
      <c r="D1812" s="32">
        <v>43807</v>
      </c>
      <c r="E1812" s="33"/>
      <c r="F1812" s="33"/>
      <c r="G1812" s="27"/>
    </row>
    <row r="1813" spans="1:7" x14ac:dyDescent="0.2">
      <c r="A1813" s="22" t="str">
        <f t="shared" si="28"/>
        <v/>
      </c>
      <c r="B1813" s="31">
        <v>43812</v>
      </c>
      <c r="C1813" s="32" t="s">
        <v>60</v>
      </c>
      <c r="D1813" s="32">
        <v>43807</v>
      </c>
      <c r="E1813" s="33"/>
      <c r="F1813" s="33"/>
      <c r="G1813" s="27"/>
    </row>
    <row r="1814" spans="1:7" x14ac:dyDescent="0.2">
      <c r="A1814" s="22" t="str">
        <f t="shared" si="28"/>
        <v/>
      </c>
      <c r="B1814" s="31">
        <v>43813</v>
      </c>
      <c r="C1814" s="32" t="s">
        <v>61</v>
      </c>
      <c r="D1814" s="32">
        <v>43807</v>
      </c>
      <c r="E1814" s="33"/>
      <c r="F1814" s="33"/>
      <c r="G1814" s="27"/>
    </row>
    <row r="1815" spans="1:7" x14ac:dyDescent="0.2">
      <c r="A1815" s="22" t="str">
        <f t="shared" si="28"/>
        <v/>
      </c>
      <c r="B1815" s="31">
        <v>43814</v>
      </c>
      <c r="C1815" s="32" t="s">
        <v>55</v>
      </c>
      <c r="D1815" s="32">
        <v>43814</v>
      </c>
      <c r="E1815" s="33"/>
      <c r="F1815" s="33"/>
      <c r="G1815" s="27"/>
    </row>
    <row r="1816" spans="1:7" x14ac:dyDescent="0.2">
      <c r="A1816" s="22" t="str">
        <f t="shared" si="28"/>
        <v/>
      </c>
      <c r="B1816" s="31">
        <v>43815</v>
      </c>
      <c r="C1816" s="32" t="s">
        <v>56</v>
      </c>
      <c r="D1816" s="32">
        <v>43814</v>
      </c>
      <c r="E1816" s="33"/>
      <c r="F1816" s="33"/>
      <c r="G1816" s="27"/>
    </row>
    <row r="1817" spans="1:7" x14ac:dyDescent="0.2">
      <c r="A1817" s="22" t="str">
        <f t="shared" si="28"/>
        <v/>
      </c>
      <c r="B1817" s="31">
        <v>43816</v>
      </c>
      <c r="C1817" s="32" t="s">
        <v>57</v>
      </c>
      <c r="D1817" s="32">
        <v>43814</v>
      </c>
      <c r="E1817" s="33"/>
      <c r="F1817" s="33"/>
      <c r="G1817" s="27"/>
    </row>
    <row r="1818" spans="1:7" x14ac:dyDescent="0.2">
      <c r="A1818" s="22" t="str">
        <f t="shared" si="28"/>
        <v/>
      </c>
      <c r="B1818" s="31">
        <v>43817</v>
      </c>
      <c r="C1818" s="32" t="s">
        <v>58</v>
      </c>
      <c r="D1818" s="32">
        <v>43814</v>
      </c>
      <c r="E1818" s="33"/>
      <c r="F1818" s="33"/>
      <c r="G1818" s="27"/>
    </row>
    <row r="1819" spans="1:7" x14ac:dyDescent="0.2">
      <c r="A1819" s="22" t="str">
        <f t="shared" si="28"/>
        <v/>
      </c>
      <c r="B1819" s="31">
        <v>43818</v>
      </c>
      <c r="C1819" s="32" t="s">
        <v>59</v>
      </c>
      <c r="D1819" s="32">
        <v>43814</v>
      </c>
      <c r="E1819" s="33"/>
      <c r="F1819" s="33"/>
      <c r="G1819" s="27"/>
    </row>
    <row r="1820" spans="1:7" x14ac:dyDescent="0.2">
      <c r="A1820" s="22" t="str">
        <f t="shared" si="28"/>
        <v/>
      </c>
      <c r="B1820" s="31">
        <v>43819</v>
      </c>
      <c r="C1820" s="32" t="s">
        <v>60</v>
      </c>
      <c r="D1820" s="32">
        <v>43814</v>
      </c>
      <c r="E1820" s="33"/>
      <c r="F1820" s="33"/>
      <c r="G1820" s="27"/>
    </row>
    <row r="1821" spans="1:7" x14ac:dyDescent="0.2">
      <c r="A1821" s="22" t="str">
        <f t="shared" si="28"/>
        <v/>
      </c>
      <c r="B1821" s="31">
        <v>43820</v>
      </c>
      <c r="C1821" s="32" t="s">
        <v>61</v>
      </c>
      <c r="D1821" s="32">
        <v>43814</v>
      </c>
      <c r="E1821" s="33"/>
      <c r="F1821" s="33"/>
      <c r="G1821" s="27"/>
    </row>
    <row r="1822" spans="1:7" x14ac:dyDescent="0.2">
      <c r="A1822" s="22" t="str">
        <f t="shared" si="28"/>
        <v/>
      </c>
      <c r="B1822" s="31">
        <v>43821</v>
      </c>
      <c r="C1822" s="32" t="s">
        <v>55</v>
      </c>
      <c r="D1822" s="32">
        <v>43821</v>
      </c>
      <c r="E1822" s="33"/>
      <c r="F1822" s="33"/>
      <c r="G1822" s="27"/>
    </row>
    <row r="1823" spans="1:7" x14ac:dyDescent="0.2">
      <c r="A1823" s="22" t="str">
        <f t="shared" si="28"/>
        <v/>
      </c>
      <c r="B1823" s="31">
        <v>43822</v>
      </c>
      <c r="C1823" s="32" t="s">
        <v>56</v>
      </c>
      <c r="D1823" s="32">
        <v>43821</v>
      </c>
      <c r="E1823" s="33"/>
      <c r="F1823" s="33"/>
      <c r="G1823" s="27"/>
    </row>
    <row r="1824" spans="1:7" x14ac:dyDescent="0.2">
      <c r="A1824" s="22" t="str">
        <f t="shared" si="28"/>
        <v/>
      </c>
      <c r="B1824" s="31">
        <v>43823</v>
      </c>
      <c r="C1824" s="32" t="s">
        <v>57</v>
      </c>
      <c r="D1824" s="32">
        <v>43821</v>
      </c>
      <c r="E1824" s="33"/>
      <c r="F1824" s="33"/>
      <c r="G1824" s="27"/>
    </row>
    <row r="1825" spans="1:7" x14ac:dyDescent="0.2">
      <c r="A1825" s="22" t="str">
        <f t="shared" si="28"/>
        <v/>
      </c>
      <c r="B1825" s="31">
        <v>43824</v>
      </c>
      <c r="C1825" s="32" t="s">
        <v>58</v>
      </c>
      <c r="D1825" s="32">
        <v>43821</v>
      </c>
      <c r="E1825" s="33"/>
      <c r="F1825" s="33"/>
      <c r="G1825" s="27"/>
    </row>
    <row r="1826" spans="1:7" x14ac:dyDescent="0.2">
      <c r="A1826" s="22" t="str">
        <f t="shared" si="28"/>
        <v/>
      </c>
      <c r="B1826" s="31">
        <v>43825</v>
      </c>
      <c r="C1826" s="32" t="s">
        <v>59</v>
      </c>
      <c r="D1826" s="32">
        <v>43821</v>
      </c>
      <c r="E1826" s="33"/>
      <c r="F1826" s="33"/>
      <c r="G1826" s="27"/>
    </row>
    <row r="1827" spans="1:7" x14ac:dyDescent="0.2">
      <c r="A1827" s="22" t="str">
        <f t="shared" si="28"/>
        <v/>
      </c>
      <c r="B1827" s="31">
        <v>43826</v>
      </c>
      <c r="C1827" s="32" t="s">
        <v>60</v>
      </c>
      <c r="D1827" s="32">
        <v>43821</v>
      </c>
      <c r="E1827" s="33"/>
      <c r="F1827" s="33"/>
      <c r="G1827" s="27"/>
    </row>
    <row r="1828" spans="1:7" x14ac:dyDescent="0.2">
      <c r="A1828" s="22" t="str">
        <f t="shared" si="28"/>
        <v/>
      </c>
      <c r="B1828" s="31">
        <v>43827</v>
      </c>
      <c r="C1828" s="32" t="s">
        <v>61</v>
      </c>
      <c r="D1828" s="32">
        <v>43821</v>
      </c>
      <c r="E1828" s="33"/>
      <c r="F1828" s="33"/>
      <c r="G1828" s="27"/>
    </row>
    <row r="1829" spans="1:7" x14ac:dyDescent="0.2">
      <c r="A1829" s="22" t="str">
        <f t="shared" si="28"/>
        <v/>
      </c>
      <c r="B1829" s="31">
        <v>43828</v>
      </c>
      <c r="C1829" s="32" t="s">
        <v>55</v>
      </c>
      <c r="D1829" s="32">
        <v>43828</v>
      </c>
      <c r="E1829" s="33"/>
      <c r="F1829" s="33"/>
      <c r="G1829" s="27"/>
    </row>
    <row r="1830" spans="1:7" x14ac:dyDescent="0.2">
      <c r="A1830" s="22" t="str">
        <f t="shared" si="28"/>
        <v/>
      </c>
      <c r="B1830" s="31">
        <v>43829</v>
      </c>
      <c r="C1830" s="32" t="s">
        <v>56</v>
      </c>
      <c r="D1830" s="32">
        <v>43828</v>
      </c>
      <c r="E1830" s="33"/>
      <c r="F1830" s="33"/>
      <c r="G1830" s="27"/>
    </row>
    <row r="1831" spans="1:7" x14ac:dyDescent="0.2">
      <c r="A1831" s="22" t="str">
        <f t="shared" si="28"/>
        <v/>
      </c>
      <c r="B1831" s="31">
        <v>43830</v>
      </c>
      <c r="C1831" s="32" t="s">
        <v>57</v>
      </c>
      <c r="D1831" s="32">
        <v>43828</v>
      </c>
      <c r="E1831" s="33"/>
      <c r="F1831" s="33"/>
      <c r="G1831" s="27"/>
    </row>
    <row r="1832" spans="1:7" x14ac:dyDescent="0.2">
      <c r="A1832" s="22" t="str">
        <f t="shared" si="28"/>
        <v/>
      </c>
      <c r="B1832" s="31">
        <v>43831</v>
      </c>
      <c r="C1832" s="32" t="s">
        <v>58</v>
      </c>
      <c r="D1832" s="32">
        <v>43828</v>
      </c>
      <c r="E1832" s="33"/>
      <c r="F1832" s="33"/>
      <c r="G1832" s="27"/>
    </row>
    <row r="1833" spans="1:7" x14ac:dyDescent="0.2">
      <c r="A1833" s="22" t="str">
        <f t="shared" si="28"/>
        <v/>
      </c>
      <c r="B1833" s="31">
        <v>43832</v>
      </c>
      <c r="C1833" s="32" t="s">
        <v>59</v>
      </c>
      <c r="D1833" s="32">
        <v>43828</v>
      </c>
      <c r="E1833" s="33"/>
      <c r="F1833" s="33"/>
      <c r="G1833" s="27"/>
    </row>
    <row r="1834" spans="1:7" x14ac:dyDescent="0.2">
      <c r="A1834" s="22" t="str">
        <f t="shared" si="28"/>
        <v/>
      </c>
      <c r="B1834" s="31">
        <v>43833</v>
      </c>
      <c r="C1834" s="32" t="s">
        <v>60</v>
      </c>
      <c r="D1834" s="32">
        <v>43828</v>
      </c>
      <c r="E1834" s="33"/>
      <c r="F1834" s="33"/>
      <c r="G1834" s="27"/>
    </row>
    <row r="1835" spans="1:7" x14ac:dyDescent="0.2">
      <c r="A1835" s="22" t="str">
        <f t="shared" si="28"/>
        <v/>
      </c>
      <c r="B1835" s="31">
        <v>43834</v>
      </c>
      <c r="C1835" s="32" t="s">
        <v>61</v>
      </c>
      <c r="D1835" s="32">
        <v>43828</v>
      </c>
      <c r="E1835" s="33"/>
      <c r="F1835" s="33"/>
      <c r="G1835" s="27"/>
    </row>
    <row r="1836" spans="1:7" x14ac:dyDescent="0.2">
      <c r="A1836" s="22" t="str">
        <f t="shared" si="28"/>
        <v/>
      </c>
      <c r="B1836" s="31">
        <v>43835</v>
      </c>
      <c r="C1836" s="32" t="s">
        <v>55</v>
      </c>
      <c r="D1836" s="32">
        <v>43835</v>
      </c>
      <c r="E1836" s="33"/>
      <c r="F1836" s="33"/>
      <c r="G1836" s="27"/>
    </row>
    <row r="1837" spans="1:7" x14ac:dyDescent="0.2">
      <c r="A1837" s="22" t="str">
        <f t="shared" si="28"/>
        <v/>
      </c>
      <c r="B1837" s="31">
        <v>43836</v>
      </c>
      <c r="C1837" s="32" t="s">
        <v>56</v>
      </c>
      <c r="D1837" s="32">
        <v>43835</v>
      </c>
      <c r="E1837" s="33"/>
      <c r="F1837" s="33"/>
      <c r="G1837" s="27"/>
    </row>
    <row r="1838" spans="1:7" x14ac:dyDescent="0.2">
      <c r="A1838" s="22" t="str">
        <f t="shared" si="28"/>
        <v/>
      </c>
      <c r="B1838" s="31">
        <v>43837</v>
      </c>
      <c r="C1838" s="32" t="s">
        <v>57</v>
      </c>
      <c r="D1838" s="32">
        <v>43835</v>
      </c>
      <c r="E1838" s="33"/>
      <c r="F1838" s="33"/>
      <c r="G1838" s="27"/>
    </row>
    <row r="1839" spans="1:7" x14ac:dyDescent="0.2">
      <c r="A1839" s="22" t="str">
        <f t="shared" si="28"/>
        <v/>
      </c>
      <c r="B1839" s="31">
        <v>43838</v>
      </c>
      <c r="C1839" s="32" t="s">
        <v>58</v>
      </c>
      <c r="D1839" s="32">
        <v>43835</v>
      </c>
      <c r="E1839" s="33"/>
      <c r="F1839" s="33"/>
      <c r="G1839" s="27"/>
    </row>
    <row r="1840" spans="1:7" x14ac:dyDescent="0.2">
      <c r="A1840" s="22" t="str">
        <f t="shared" si="28"/>
        <v/>
      </c>
      <c r="B1840" s="31">
        <v>43839</v>
      </c>
      <c r="C1840" s="32" t="s">
        <v>59</v>
      </c>
      <c r="D1840" s="32">
        <v>43835</v>
      </c>
      <c r="E1840" s="33"/>
      <c r="F1840" s="33"/>
      <c r="G1840" s="27"/>
    </row>
    <row r="1841" spans="1:7" x14ac:dyDescent="0.2">
      <c r="A1841" s="22" t="str">
        <f t="shared" si="28"/>
        <v/>
      </c>
      <c r="B1841" s="31">
        <v>43840</v>
      </c>
      <c r="C1841" s="32" t="s">
        <v>60</v>
      </c>
      <c r="D1841" s="32">
        <v>43835</v>
      </c>
      <c r="E1841" s="33"/>
      <c r="F1841" s="33"/>
      <c r="G1841" s="27"/>
    </row>
    <row r="1842" spans="1:7" x14ac:dyDescent="0.2">
      <c r="A1842" s="22" t="str">
        <f t="shared" si="28"/>
        <v/>
      </c>
      <c r="B1842" s="31">
        <v>43841</v>
      </c>
      <c r="C1842" s="32" t="s">
        <v>61</v>
      </c>
      <c r="D1842" s="32">
        <v>43835</v>
      </c>
      <c r="E1842" s="33"/>
      <c r="F1842" s="33"/>
      <c r="G1842" s="27"/>
    </row>
    <row r="1843" spans="1:7" x14ac:dyDescent="0.2">
      <c r="A1843" s="22" t="str">
        <f t="shared" si="28"/>
        <v/>
      </c>
      <c r="B1843" s="31">
        <v>43842</v>
      </c>
      <c r="C1843" s="32" t="s">
        <v>55</v>
      </c>
      <c r="D1843" s="32">
        <v>43842</v>
      </c>
      <c r="E1843" s="33"/>
      <c r="F1843" s="33"/>
      <c r="G1843" s="27"/>
    </row>
    <row r="1844" spans="1:7" x14ac:dyDescent="0.2">
      <c r="A1844" s="22" t="str">
        <f t="shared" si="28"/>
        <v/>
      </c>
      <c r="B1844" s="31">
        <v>43843</v>
      </c>
      <c r="C1844" s="32" t="s">
        <v>56</v>
      </c>
      <c r="D1844" s="32">
        <v>43842</v>
      </c>
      <c r="E1844" s="33"/>
      <c r="F1844" s="33"/>
      <c r="G1844" s="27"/>
    </row>
    <row r="1845" spans="1:7" x14ac:dyDescent="0.2">
      <c r="A1845" s="22" t="str">
        <f t="shared" si="28"/>
        <v/>
      </c>
      <c r="B1845" s="31">
        <v>43844</v>
      </c>
      <c r="C1845" s="32" t="s">
        <v>57</v>
      </c>
      <c r="D1845" s="32">
        <v>43842</v>
      </c>
      <c r="E1845" s="33"/>
      <c r="F1845" s="33"/>
      <c r="G1845" s="27"/>
    </row>
    <row r="1846" spans="1:7" x14ac:dyDescent="0.2">
      <c r="A1846" s="22" t="str">
        <f t="shared" si="28"/>
        <v/>
      </c>
      <c r="B1846" s="31">
        <v>43845</v>
      </c>
      <c r="C1846" s="32" t="s">
        <v>58</v>
      </c>
      <c r="D1846" s="32">
        <v>43842</v>
      </c>
      <c r="E1846" s="33"/>
      <c r="F1846" s="33"/>
      <c r="G1846" s="27"/>
    </row>
    <row r="1847" spans="1:7" x14ac:dyDescent="0.2">
      <c r="A1847" s="22" t="str">
        <f t="shared" si="28"/>
        <v/>
      </c>
      <c r="B1847" s="31">
        <v>43846</v>
      </c>
      <c r="C1847" s="32" t="s">
        <v>59</v>
      </c>
      <c r="D1847" s="32">
        <v>43842</v>
      </c>
      <c r="E1847" s="33"/>
      <c r="F1847" s="33"/>
      <c r="G1847" s="27"/>
    </row>
    <row r="1848" spans="1:7" x14ac:dyDescent="0.2">
      <c r="A1848" s="22" t="str">
        <f t="shared" si="28"/>
        <v/>
      </c>
      <c r="B1848" s="31">
        <v>43847</v>
      </c>
      <c r="C1848" s="32" t="s">
        <v>60</v>
      </c>
      <c r="D1848" s="32">
        <v>43842</v>
      </c>
      <c r="E1848" s="33"/>
      <c r="F1848" s="33"/>
      <c r="G1848" s="27"/>
    </row>
    <row r="1849" spans="1:7" x14ac:dyDescent="0.2">
      <c r="A1849" s="22" t="str">
        <f t="shared" si="28"/>
        <v/>
      </c>
      <c r="B1849" s="34">
        <v>43848</v>
      </c>
      <c r="C1849" s="35" t="s">
        <v>61</v>
      </c>
      <c r="D1849" s="35">
        <v>43842</v>
      </c>
      <c r="E1849" s="33"/>
      <c r="F1849" s="33"/>
      <c r="G1849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Day avg Portion</vt:lpstr>
      <vt:lpstr>fix </vt:lpstr>
      <vt:lpstr>Portion_value adjust tool</vt:lpstr>
      <vt:lpstr>HotToCold</vt:lpstr>
      <vt:lpstr>Data</vt:lpstr>
      <vt:lpstr>canon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Stephen Wang</cp:lastModifiedBy>
  <dcterms:created xsi:type="dcterms:W3CDTF">2015-10-23T02:52:26Z</dcterms:created>
  <dcterms:modified xsi:type="dcterms:W3CDTF">2017-08-11T03:43:34Z</dcterms:modified>
</cp:coreProperties>
</file>