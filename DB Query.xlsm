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ephen.w\Desktop\"/>
    </mc:Choice>
  </mc:AlternateContent>
  <bookViews>
    <workbookView xWindow="0" yWindow="0" windowWidth="28800" windowHeight="12435" activeTab="1"/>
  </bookViews>
  <sheets>
    <sheet name="Access" sheetId="1" r:id="rId1"/>
    <sheet name="SCM" sheetId="3" r:id="rId2"/>
    <sheet name="SCM Product" sheetId="4" r:id="rId3"/>
    <sheet name="Data" sheetId="2" r:id="rId4"/>
  </sheets>
  <definedNames>
    <definedName name="PIType">Data!$S$3:$S$7</definedName>
    <definedName name="PPS">Data!$P$3:$P$9</definedName>
    <definedName name="Season">Data!$G$3:$G$33</definedName>
    <definedName name="SPlace">Data!$J$3:$J$33</definedName>
    <definedName name="Status">Data!$D$2:$D$11</definedName>
    <definedName name="Theme">Data!$M$3:$M$15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3" l="1"/>
  <c r="C10" i="3" l="1"/>
  <c r="C9" i="3" l="1"/>
  <c r="C8" i="3"/>
  <c r="C7" i="3"/>
  <c r="C6" i="3" l="1"/>
  <c r="C4" i="3" l="1"/>
  <c r="C5" i="3"/>
  <c r="C3" i="3"/>
  <c r="B3" i="2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</calcChain>
</file>

<file path=xl/sharedStrings.xml><?xml version="1.0" encoding="utf-8"?>
<sst xmlns="http://schemas.openxmlformats.org/spreadsheetml/2006/main" count="161" uniqueCount="139">
  <si>
    <t>Sell Price 5</t>
  </si>
  <si>
    <t>Sell Price 1</t>
  </si>
  <si>
    <t xml:space="preserve">Product </t>
  </si>
  <si>
    <t>Daily Itemmovement</t>
  </si>
  <si>
    <t>Weekly Itemmovement</t>
  </si>
  <si>
    <t>Item list -emfixed</t>
  </si>
  <si>
    <t>WK No.</t>
  </si>
  <si>
    <t>Monday</t>
  </si>
  <si>
    <t>RRP</t>
  </si>
  <si>
    <t>EM Week</t>
  </si>
  <si>
    <t>GI Week</t>
  </si>
  <si>
    <t>RS Week</t>
  </si>
  <si>
    <t>Update EM Week</t>
  </si>
  <si>
    <t>Update GI Week</t>
  </si>
  <si>
    <t>Update RS Week</t>
  </si>
  <si>
    <t>Update RRP</t>
  </si>
  <si>
    <t>PO List</t>
  </si>
  <si>
    <t>Product List</t>
  </si>
  <si>
    <t>PO Status</t>
  </si>
  <si>
    <t>BE</t>
  </si>
  <si>
    <t>RC</t>
  </si>
  <si>
    <t>MC</t>
  </si>
  <si>
    <t>MR</t>
  </si>
  <si>
    <t>SC</t>
  </si>
  <si>
    <t>PC</t>
  </si>
  <si>
    <t>OX</t>
  </si>
  <si>
    <t>SR</t>
  </si>
  <si>
    <t>PA</t>
  </si>
  <si>
    <t>PD</t>
  </si>
  <si>
    <t>List Everything</t>
  </si>
  <si>
    <t>PoId Query</t>
  </si>
  <si>
    <t>All Query</t>
  </si>
  <si>
    <t>Id</t>
  </si>
  <si>
    <t>Name</t>
  </si>
  <si>
    <t>S1706</t>
  </si>
  <si>
    <t>S1707</t>
  </si>
  <si>
    <t>S1708</t>
  </si>
  <si>
    <t>S1709</t>
  </si>
  <si>
    <t>S1710</t>
  </si>
  <si>
    <t>S1711</t>
  </si>
  <si>
    <t>S1712</t>
  </si>
  <si>
    <t>S1801</t>
  </si>
  <si>
    <t>S1802</t>
  </si>
  <si>
    <t>S1803</t>
  </si>
  <si>
    <t>S1804</t>
  </si>
  <si>
    <t>S1805</t>
  </si>
  <si>
    <t>S1806</t>
  </si>
  <si>
    <t>S1807</t>
  </si>
  <si>
    <t>S1808</t>
  </si>
  <si>
    <t>S1809</t>
  </si>
  <si>
    <t>S1810</t>
  </si>
  <si>
    <t>S1811</t>
  </si>
  <si>
    <t>S1812</t>
  </si>
  <si>
    <t>S1901</t>
  </si>
  <si>
    <t>S1902</t>
  </si>
  <si>
    <t>S1903</t>
  </si>
  <si>
    <t>S1904</t>
  </si>
  <si>
    <t>S1905</t>
  </si>
  <si>
    <t>S1906</t>
  </si>
  <si>
    <t>S1907</t>
  </si>
  <si>
    <t>S1908</t>
  </si>
  <si>
    <t>S1909</t>
  </si>
  <si>
    <t>S1910</t>
  </si>
  <si>
    <t>S1911</t>
  </si>
  <si>
    <t>S1912</t>
  </si>
  <si>
    <t>Season Code</t>
  </si>
  <si>
    <t>S1</t>
  </si>
  <si>
    <t>S2</t>
  </si>
  <si>
    <t>S3</t>
  </si>
  <si>
    <t>P1TS</t>
  </si>
  <si>
    <t>P1TU</t>
  </si>
  <si>
    <t>P1BS</t>
  </si>
  <si>
    <t>P1BU</t>
  </si>
  <si>
    <t>P2TS</t>
  </si>
  <si>
    <t>P2TU</t>
  </si>
  <si>
    <t>P2BS</t>
  </si>
  <si>
    <t>P2BU</t>
  </si>
  <si>
    <t>P3TS</t>
  </si>
  <si>
    <t>P3TU</t>
  </si>
  <si>
    <t>P3BS</t>
  </si>
  <si>
    <t>P3BU</t>
  </si>
  <si>
    <t>P4TS</t>
  </si>
  <si>
    <t>P4TU</t>
  </si>
  <si>
    <t>P4BS</t>
  </si>
  <si>
    <t>P4BU</t>
  </si>
  <si>
    <t>P5TS</t>
  </si>
  <si>
    <t>P5TU</t>
  </si>
  <si>
    <t>P5BS</t>
  </si>
  <si>
    <t>P5BU</t>
  </si>
  <si>
    <t>P6TS</t>
  </si>
  <si>
    <t>P6TU</t>
  </si>
  <si>
    <t>P6BS</t>
  </si>
  <si>
    <t>P6BU</t>
  </si>
  <si>
    <t>General</t>
  </si>
  <si>
    <t>ADDON</t>
  </si>
  <si>
    <t>LW1</t>
  </si>
  <si>
    <t>LW2</t>
  </si>
  <si>
    <t>Selling Place</t>
  </si>
  <si>
    <t>Season</t>
  </si>
  <si>
    <t>NAUTICAL</t>
  </si>
  <si>
    <t>PRETTY</t>
  </si>
  <si>
    <t>EARTHY</t>
  </si>
  <si>
    <t>BRIGHTS</t>
  </si>
  <si>
    <t>BLUES</t>
  </si>
  <si>
    <t>MONO</t>
  </si>
  <si>
    <t>GLAM</t>
  </si>
  <si>
    <t>LIFESTYLE 1</t>
  </si>
  <si>
    <t>LIFESTYLE 2</t>
  </si>
  <si>
    <t>T10</t>
  </si>
  <si>
    <t>BASIC</t>
  </si>
  <si>
    <t>WALL BY COLOUR</t>
  </si>
  <si>
    <t>Theme</t>
  </si>
  <si>
    <t>PPS Status</t>
  </si>
  <si>
    <t>PPS Request</t>
  </si>
  <si>
    <t>Photo Approved</t>
  </si>
  <si>
    <t>Confirmed</t>
  </si>
  <si>
    <t>PPS CX</t>
  </si>
  <si>
    <t>PPS Received</t>
  </si>
  <si>
    <t>2ND PPS</t>
  </si>
  <si>
    <t>No PPS</t>
  </si>
  <si>
    <t>ID</t>
  </si>
  <si>
    <t>PI Type</t>
  </si>
  <si>
    <t>N.Promo</t>
  </si>
  <si>
    <t>Trend</t>
  </si>
  <si>
    <t>Basic</t>
  </si>
  <si>
    <t>BestBuy</t>
  </si>
  <si>
    <t>Being Entered</t>
  </si>
  <si>
    <t>Request Confirm</t>
  </si>
  <si>
    <t>Manager Confirmed</t>
  </si>
  <si>
    <t>Manager Rejected</t>
  </si>
  <si>
    <t>Supplier Confirmed</t>
  </si>
  <si>
    <t>PO Complete</t>
  </si>
  <si>
    <t>PO Canceled</t>
  </si>
  <si>
    <t>Supplier Rejected</t>
  </si>
  <si>
    <t>PO Amended</t>
  </si>
  <si>
    <t>PO Deleted</t>
  </si>
  <si>
    <t>Select Poid, style, unitrrp, emweek, rsweek from purchaseorder where style in ('4800N801', '4800N782', '4800N803', '4800N781', '4800N776', '4800N759', '4800N797', '4800N778', '4800N758', '4800N800', '4800N819', '4800N794', '4800N760', '4800N775', '4800N808', '4800N807', '4800N805')</t>
  </si>
  <si>
    <t>Select * from purchaseorder where style in ('4800N801', '4800N782', '4800N803', '4800N781', '4800N776', '4800N759', '4800N797', '4800N778', '4800N758', '4800N800', '4800N819', '4800N794', '4800N760', '4800N775', '4800N808', '4800N807', '4800N805')</t>
  </si>
  <si>
    <t>PPS DeadLine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</si>
</sst>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6" x14ac:knownFonts="1">
    <font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Arial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quotePrefix="1" applyFill="1"/>
    <xf numFmtId="0" fontId="0" fillId="0" borderId="0" xfId="0" applyFill="1"/>
    <xf numFmtId="164" fontId="0" fillId="0" borderId="0" xfId="0" applyNumberFormat="1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2" fillId="0" borderId="2" xfId="0" applyFont="1" applyBorder="1" applyAlignment="1">
      <alignment vertical="center" wrapText="1"/>
    </xf>
    <xf numFmtId="0" fontId="0" fillId="0" borderId="0" xfId="0" applyNumberFormat="1"/>
    <xf numFmtId="0" fontId="0" fillId="0" borderId="0" xfId="0" quotePrefix="1"/>
    <xf numFmtId="0" fontId="3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Border="1"/>
    <xf numFmtId="0" fontId="2" fillId="0" borderId="0" xfId="0" applyFont="1" applyBorder="1" applyAlignment="1">
      <alignment horizontal="right" vertical="center"/>
    </xf>
    <xf numFmtId="0" fontId="0" fillId="0" borderId="0" xfId="0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6</xdr:row>
      <xdr:rowOff>28575</xdr:rowOff>
    </xdr:from>
    <xdr:to>
      <xdr:col>4</xdr:col>
      <xdr:colOff>219075</xdr:colOff>
      <xdr:row>8</xdr:row>
      <xdr:rowOff>9525</xdr:rowOff>
    </xdr:to>
    <xdr:sp macro="[0]!Query" textlink="">
      <xdr:nvSpPr>
        <xdr:cNvPr id="2" name="Rectangle 1"/>
        <xdr:cNvSpPr/>
      </xdr:nvSpPr>
      <xdr:spPr>
        <a:xfrm>
          <a:off x="1571625" y="1171575"/>
          <a:ext cx="13906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17</xdr:row>
      <xdr:rowOff>47625</xdr:rowOff>
    </xdr:from>
    <xdr:to>
      <xdr:col>4</xdr:col>
      <xdr:colOff>514350</xdr:colOff>
      <xdr:row>19</xdr:row>
      <xdr:rowOff>47625</xdr:rowOff>
    </xdr:to>
    <xdr:sp macro="[0]!SCMQuery" textlink="">
      <xdr:nvSpPr>
        <xdr:cNvPr id="2" name="Rectangle 1"/>
        <xdr:cNvSpPr/>
      </xdr:nvSpPr>
      <xdr:spPr>
        <a:xfrm>
          <a:off x="2228850" y="3314700"/>
          <a:ext cx="152400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  <xdr:twoCellAnchor>
    <xdr:from>
      <xdr:col>1</xdr:col>
      <xdr:colOff>0</xdr:colOff>
      <xdr:row>86</xdr:row>
      <xdr:rowOff>0</xdr:rowOff>
    </xdr:from>
    <xdr:to>
      <xdr:col>1</xdr:col>
      <xdr:colOff>590550</xdr:colOff>
      <xdr:row>90</xdr:row>
      <xdr:rowOff>38100</xdr:rowOff>
    </xdr:to>
    <xdr:pic>
      <xdr:nvPicPr>
        <xdr:cNvPr id="3" name="Picture 262" descr="2771F649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601825"/>
          <a:ext cx="590550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619125</xdr:colOff>
      <xdr:row>5</xdr:row>
      <xdr:rowOff>152400</xdr:rowOff>
    </xdr:from>
    <xdr:to>
      <xdr:col>5</xdr:col>
      <xdr:colOff>209550</xdr:colOff>
      <xdr:row>7</xdr:row>
      <xdr:rowOff>180975</xdr:rowOff>
    </xdr:to>
    <xdr:sp macro="[0]!SCMPO" textlink="">
      <xdr:nvSpPr>
        <xdr:cNvPr id="2" name="Rectangle 1"/>
        <xdr:cNvSpPr/>
      </xdr:nvSpPr>
      <xdr:spPr>
        <a:xfrm>
          <a:off x="2047875" y="1104900"/>
          <a:ext cx="1647825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9" sqref="B9"/>
    </sheetView>
  </sheetViews>
  <sheetFormatPr defaultRowHeight="15" x14ac:dyDescent="0.25"/>
  <cols>
    <col min="1" max="1" width="12.28515625" customWidth="1"/>
    <col min="5" max="5" width="18.7109375" bestFit="1" customWidth="1"/>
    <col min="6" max="6" width="209.42578125" bestFit="1" customWidth="1"/>
  </cols>
  <sheetData>
    <row r="1" spans="1:6" x14ac:dyDescent="0.25">
      <c r="A1" t="s">
        <v>1</v>
      </c>
      <c r="B1" s="6"/>
      <c r="E1" t="s">
        <v>3</v>
      </c>
      <c r="F1" s="2"/>
    </row>
    <row r="2" spans="1:6" x14ac:dyDescent="0.25">
      <c r="A2" t="s">
        <v>0</v>
      </c>
      <c r="B2" s="6"/>
      <c r="E2" t="s">
        <v>4</v>
      </c>
      <c r="F2" s="3"/>
    </row>
    <row r="3" spans="1:6" x14ac:dyDescent="0.25">
      <c r="E3" t="s">
        <v>5</v>
      </c>
      <c r="F3" s="3"/>
    </row>
    <row r="4" spans="1:6" x14ac:dyDescent="0.25">
      <c r="A4" t="s">
        <v>2</v>
      </c>
      <c r="B4" s="5"/>
    </row>
    <row r="5" spans="1:6" x14ac:dyDescent="0.25">
      <c r="B5" s="1"/>
      <c r="E5" t="s">
        <v>17</v>
      </c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7"/>
  <sheetViews>
    <sheetView tabSelected="1" workbookViewId="0">
      <selection activeCell="B12" sqref="B12"/>
    </sheetView>
  </sheetViews>
  <sheetFormatPr defaultRowHeight="15" x14ac:dyDescent="0.25"/>
  <cols>
    <col min="1" max="1" width="14.7109375" customWidth="1"/>
    <col min="2" max="2" width="14.28515625" style="20" bestFit="1" customWidth="1"/>
    <col min="3" max="3" width="10.42578125" bestFit="1" customWidth="1"/>
    <col min="5" max="5" width="22.42578125" bestFit="1" customWidth="1"/>
    <col min="6" max="6" width="67.7109375" customWidth="1"/>
  </cols>
  <sheetData>
    <row r="1" spans="1:6" x14ac:dyDescent="0.25">
      <c r="A1" t="s">
        <v>8</v>
      </c>
      <c r="B1" s="7"/>
      <c r="E1" t="s">
        <v>15</v>
      </c>
    </row>
    <row r="2" spans="1:6" x14ac:dyDescent="0.25">
      <c r="B2"/>
    </row>
    <row r="3" spans="1:6" x14ac:dyDescent="0.25">
      <c r="A3" t="s">
        <v>9</v>
      </c>
      <c r="B3" s="7"/>
      <c r="C3" s="4" t="str">
        <f>IFERROR(VLOOKUP(B3,Data!A:B,2,0), "")</f>
        <v/>
      </c>
      <c r="E3" t="s">
        <v>12</v>
      </c>
    </row>
    <row r="4" spans="1:6" x14ac:dyDescent="0.25">
      <c r="A4" t="s">
        <v>10</v>
      </c>
      <c r="B4" s="7"/>
      <c r="C4" s="4" t="str">
        <f>IFERROR(VLOOKUP(B4,Data!A:B,2,0), "")</f>
        <v/>
      </c>
      <c r="E4" t="s">
        <v>13</v>
      </c>
    </row>
    <row r="5" spans="1:6" x14ac:dyDescent="0.25">
      <c r="A5" t="s">
        <v>11</v>
      </c>
      <c r="B5" s="7"/>
      <c r="C5" s="4" t="str">
        <f>IFERROR(VLOOKUP(B5,Data!A:B,2,0), "")</f>
        <v/>
      </c>
      <c r="E5" t="s">
        <v>14</v>
      </c>
    </row>
    <row r="6" spans="1:6" x14ac:dyDescent="0.25">
      <c r="A6" t="s">
        <v>18</v>
      </c>
      <c r="B6" s="7"/>
      <c r="C6" s="9" t="str">
        <f>IFERROR(VLOOKUP(B6,Data!D:E,2,0), "")</f>
        <v/>
      </c>
      <c r="E6" t="s">
        <v>18</v>
      </c>
    </row>
    <row r="7" spans="1:6" x14ac:dyDescent="0.25">
      <c r="A7" t="s">
        <v>65</v>
      </c>
      <c r="B7" s="7"/>
      <c r="C7" s="9" t="str">
        <f>IFERROR(VLOOKUP(B7,Data!G:H,2,0), "")</f>
        <v/>
      </c>
      <c r="E7" t="s">
        <v>65</v>
      </c>
    </row>
    <row r="8" spans="1:6" x14ac:dyDescent="0.25">
      <c r="A8" t="s">
        <v>111</v>
      </c>
      <c r="B8" s="7"/>
      <c r="C8" s="9" t="str">
        <f>IFERROR(VLOOKUP(B8,Data!M:N,2,0), "")</f>
        <v/>
      </c>
      <c r="E8" t="s">
        <v>111</v>
      </c>
      <c r="F8" s="10"/>
    </row>
    <row r="9" spans="1:6" x14ac:dyDescent="0.25">
      <c r="A9" t="s">
        <v>97</v>
      </c>
      <c r="B9" s="11"/>
      <c r="C9" s="9" t="str">
        <f>IFERROR(VLOOKUP(B9,Data!J:K,2,0), "")</f>
        <v/>
      </c>
      <c r="E9" t="s">
        <v>97</v>
      </c>
    </row>
    <row r="10" spans="1:6" x14ac:dyDescent="0.25">
      <c r="A10" t="s">
        <v>112</v>
      </c>
      <c r="B10" s="12"/>
      <c r="C10" s="9" t="str">
        <f>IFERROR(VLOOKUP(B10,Data!P3:Q9,2,0),"")</f>
        <v/>
      </c>
      <c r="E10" t="s">
        <v>112</v>
      </c>
    </row>
    <row r="11" spans="1:6" x14ac:dyDescent="0.25">
      <c r="A11" t="s">
        <v>121</v>
      </c>
      <c r="B11" s="12"/>
      <c r="C11" s="9" t="str">
        <f>IFERROR(VLOOKUP(B11,Data!S:T,2,0), "")</f>
        <v/>
      </c>
      <c r="E11" t="s">
        <v>121</v>
      </c>
    </row>
    <row r="12" spans="1:6" x14ac:dyDescent="0.25">
      <c r="A12" t="s">
        <v>138</v>
      </c>
      <c r="B12" s="12"/>
      <c r="C12" s="9"/>
      <c r="E12" t="s">
        <v>138</v>
      </c>
      <c r="F12" s="10"/>
    </row>
    <row r="13" spans="1:6" x14ac:dyDescent="0.25">
      <c r="B13" s="13"/>
      <c r="C13" s="9"/>
    </row>
    <row r="14" spans="1:6" x14ac:dyDescent="0.25">
      <c r="E14" t="s">
        <v>17</v>
      </c>
    </row>
    <row r="15" spans="1:6" x14ac:dyDescent="0.25">
      <c r="A15" t="s">
        <v>16</v>
      </c>
      <c r="B15" s="21"/>
      <c r="E15" t="s">
        <v>29</v>
      </c>
    </row>
    <row r="16" spans="1:6" x14ac:dyDescent="0.25">
      <c r="B16" s="21"/>
    </row>
    <row r="17" spans="2:2" x14ac:dyDescent="0.25">
      <c r="B17" s="21"/>
    </row>
    <row r="18" spans="2:2" x14ac:dyDescent="0.25">
      <c r="B18" s="21"/>
    </row>
    <row r="19" spans="2:2" x14ac:dyDescent="0.25">
      <c r="B19" s="21"/>
    </row>
    <row r="20" spans="2:2" x14ac:dyDescent="0.25">
      <c r="B20" s="21"/>
    </row>
    <row r="21" spans="2:2" x14ac:dyDescent="0.25">
      <c r="B21" s="21"/>
    </row>
    <row r="22" spans="2:2" x14ac:dyDescent="0.25">
      <c r="B22" s="21"/>
    </row>
    <row r="23" spans="2:2" x14ac:dyDescent="0.25">
      <c r="B23" s="21"/>
    </row>
    <row r="24" spans="2:2" x14ac:dyDescent="0.25">
      <c r="B24" s="21"/>
    </row>
    <row r="25" spans="2:2" x14ac:dyDescent="0.25">
      <c r="B25" s="21"/>
    </row>
    <row r="26" spans="2:2" x14ac:dyDescent="0.25">
      <c r="B26" s="21"/>
    </row>
    <row r="27" spans="2:2" x14ac:dyDescent="0.25">
      <c r="B27" s="21"/>
    </row>
    <row r="28" spans="2:2" x14ac:dyDescent="0.25">
      <c r="B28" s="21"/>
    </row>
    <row r="29" spans="2:2" x14ac:dyDescent="0.25">
      <c r="B29" s="21"/>
    </row>
    <row r="30" spans="2:2" x14ac:dyDescent="0.25">
      <c r="B30" s="21"/>
    </row>
    <row r="31" spans="2:2" x14ac:dyDescent="0.25">
      <c r="B31" s="21"/>
    </row>
    <row r="32" spans="2:2" x14ac:dyDescent="0.25">
      <c r="B32" s="21"/>
    </row>
    <row r="33" spans="2:2" x14ac:dyDescent="0.25">
      <c r="B33" s="21"/>
    </row>
    <row r="34" spans="2:2" x14ac:dyDescent="0.25">
      <c r="B34" s="21"/>
    </row>
    <row r="35" spans="2:2" x14ac:dyDescent="0.25">
      <c r="B35" s="21"/>
    </row>
    <row r="36" spans="2:2" x14ac:dyDescent="0.25">
      <c r="B36" s="21"/>
    </row>
    <row r="37" spans="2:2" x14ac:dyDescent="0.25">
      <c r="B37" s="21"/>
    </row>
    <row r="38" spans="2:2" x14ac:dyDescent="0.25">
      <c r="B38" s="21"/>
    </row>
    <row r="39" spans="2:2" x14ac:dyDescent="0.25">
      <c r="B39" s="21"/>
    </row>
    <row r="40" spans="2:2" x14ac:dyDescent="0.25">
      <c r="B40" s="21"/>
    </row>
    <row r="41" spans="2:2" x14ac:dyDescent="0.25">
      <c r="B41" s="21"/>
    </row>
    <row r="42" spans="2:2" x14ac:dyDescent="0.25">
      <c r="B42" s="21"/>
    </row>
    <row r="43" spans="2:2" x14ac:dyDescent="0.25">
      <c r="B43" s="21"/>
    </row>
    <row r="44" spans="2:2" x14ac:dyDescent="0.25">
      <c r="B44" s="21"/>
    </row>
    <row r="45" spans="2:2" x14ac:dyDescent="0.25">
      <c r="B45" s="21"/>
    </row>
    <row r="46" spans="2:2" x14ac:dyDescent="0.25">
      <c r="B46" s="21"/>
    </row>
    <row r="47" spans="2:2" x14ac:dyDescent="0.25">
      <c r="B47" s="21"/>
    </row>
    <row r="48" spans="2:2" x14ac:dyDescent="0.25">
      <c r="B48" s="21"/>
    </row>
    <row r="49" spans="2:2" x14ac:dyDescent="0.25">
      <c r="B49" s="21"/>
    </row>
    <row r="50" spans="2:2" x14ac:dyDescent="0.25">
      <c r="B50" s="21"/>
    </row>
    <row r="51" spans="2:2" x14ac:dyDescent="0.25">
      <c r="B51" s="21"/>
    </row>
    <row r="52" spans="2:2" x14ac:dyDescent="0.25">
      <c r="B52" s="21"/>
    </row>
    <row r="53" spans="2:2" x14ac:dyDescent="0.25">
      <c r="B53" s="21"/>
    </row>
    <row r="54" spans="2:2" x14ac:dyDescent="0.25">
      <c r="B54" s="21"/>
    </row>
    <row r="55" spans="2:2" x14ac:dyDescent="0.25">
      <c r="B55" s="21"/>
    </row>
    <row r="56" spans="2:2" x14ac:dyDescent="0.25">
      <c r="B56" s="21"/>
    </row>
    <row r="57" spans="2:2" x14ac:dyDescent="0.25">
      <c r="B57" s="21"/>
    </row>
    <row r="58" spans="2:2" x14ac:dyDescent="0.25">
      <c r="B58" s="21"/>
    </row>
    <row r="59" spans="2:2" x14ac:dyDescent="0.25">
      <c r="B59" s="21"/>
    </row>
    <row r="60" spans="2:2" x14ac:dyDescent="0.25">
      <c r="B60" s="21"/>
    </row>
    <row r="61" spans="2:2" x14ac:dyDescent="0.25">
      <c r="B61" s="21"/>
    </row>
    <row r="62" spans="2:2" x14ac:dyDescent="0.25">
      <c r="B62" s="21"/>
    </row>
    <row r="63" spans="2:2" x14ac:dyDescent="0.25">
      <c r="B63" s="21"/>
    </row>
    <row r="64" spans="2:2" x14ac:dyDescent="0.25">
      <c r="B64" s="21"/>
    </row>
    <row r="65" spans="2:2" x14ac:dyDescent="0.25">
      <c r="B65" s="21"/>
    </row>
    <row r="66" spans="2:2" x14ac:dyDescent="0.25">
      <c r="B66" s="21"/>
    </row>
    <row r="67" spans="2:2" x14ac:dyDescent="0.25">
      <c r="B67" s="21"/>
    </row>
    <row r="68" spans="2:2" x14ac:dyDescent="0.25">
      <c r="B68" s="21"/>
    </row>
    <row r="69" spans="2:2" x14ac:dyDescent="0.25">
      <c r="B69" s="21"/>
    </row>
    <row r="70" spans="2:2" x14ac:dyDescent="0.25">
      <c r="B70" s="21"/>
    </row>
    <row r="71" spans="2:2" x14ac:dyDescent="0.25">
      <c r="B71" s="21"/>
    </row>
    <row r="72" spans="2:2" x14ac:dyDescent="0.25">
      <c r="B72" s="21"/>
    </row>
    <row r="73" spans="2:2" x14ac:dyDescent="0.25">
      <c r="B73" s="21"/>
    </row>
    <row r="74" spans="2:2" x14ac:dyDescent="0.25">
      <c r="B74" s="21"/>
    </row>
    <row r="75" spans="2:2" x14ac:dyDescent="0.25">
      <c r="B75" s="21"/>
    </row>
    <row r="76" spans="2:2" x14ac:dyDescent="0.25">
      <c r="B76" s="21"/>
    </row>
    <row r="77" spans="2:2" x14ac:dyDescent="0.25">
      <c r="B77" s="21"/>
    </row>
    <row r="78" spans="2:2" x14ac:dyDescent="0.25">
      <c r="B78" s="21"/>
    </row>
    <row r="79" spans="2:2" x14ac:dyDescent="0.25">
      <c r="B79" s="21"/>
    </row>
    <row r="80" spans="2:2" x14ac:dyDescent="0.25">
      <c r="B80" s="21"/>
    </row>
    <row r="81" spans="2:2" x14ac:dyDescent="0.25">
      <c r="B81" s="21"/>
    </row>
    <row r="82" spans="2:2" x14ac:dyDescent="0.25">
      <c r="B82" s="21"/>
    </row>
    <row r="83" spans="2:2" x14ac:dyDescent="0.25">
      <c r="B83" s="21"/>
    </row>
    <row r="84" spans="2:2" x14ac:dyDescent="0.25">
      <c r="B84" s="21"/>
    </row>
    <row r="85" spans="2:2" x14ac:dyDescent="0.25">
      <c r="B85" s="21"/>
    </row>
    <row r="86" spans="2:2" x14ac:dyDescent="0.25">
      <c r="B86" s="21"/>
    </row>
    <row r="87" spans="2:2" x14ac:dyDescent="0.25">
      <c r="B87" s="21"/>
    </row>
    <row r="88" spans="2:2" x14ac:dyDescent="0.25">
      <c r="B88" s="21"/>
    </row>
    <row r="89" spans="2:2" x14ac:dyDescent="0.25">
      <c r="B89" s="21"/>
    </row>
    <row r="90" spans="2:2" x14ac:dyDescent="0.25">
      <c r="B90" s="21"/>
    </row>
    <row r="91" spans="2:2" x14ac:dyDescent="0.25">
      <c r="B91" s="21"/>
    </row>
    <row r="92" spans="2:2" x14ac:dyDescent="0.25">
      <c r="B92" s="21"/>
    </row>
    <row r="93" spans="2:2" x14ac:dyDescent="0.25">
      <c r="B93" s="21"/>
    </row>
    <row r="94" spans="2:2" x14ac:dyDescent="0.25">
      <c r="B94" s="21"/>
    </row>
    <row r="95" spans="2:2" x14ac:dyDescent="0.25">
      <c r="B95" s="21"/>
    </row>
    <row r="96" spans="2:2" x14ac:dyDescent="0.25">
      <c r="B96" s="21"/>
    </row>
    <row r="97" spans="2:2" x14ac:dyDescent="0.25">
      <c r="B97" s="21"/>
    </row>
    <row r="98" spans="2:2" x14ac:dyDescent="0.25">
      <c r="B98" s="21"/>
    </row>
    <row r="99" spans="2:2" x14ac:dyDescent="0.25">
      <c r="B99" s="21"/>
    </row>
    <row r="100" spans="2:2" x14ac:dyDescent="0.25">
      <c r="B100" s="21"/>
    </row>
    <row r="101" spans="2:2" x14ac:dyDescent="0.25">
      <c r="B101" s="21"/>
    </row>
    <row r="102" spans="2:2" x14ac:dyDescent="0.25">
      <c r="B102" s="21"/>
    </row>
    <row r="103" spans="2:2" x14ac:dyDescent="0.25">
      <c r="B103" s="21"/>
    </row>
    <row r="104" spans="2:2" x14ac:dyDescent="0.25">
      <c r="B104" s="21"/>
    </row>
    <row r="105" spans="2:2" x14ac:dyDescent="0.25">
      <c r="B105" s="21"/>
    </row>
    <row r="106" spans="2:2" x14ac:dyDescent="0.25">
      <c r="B106" s="21"/>
    </row>
    <row r="107" spans="2:2" x14ac:dyDescent="0.25">
      <c r="B107" s="21"/>
    </row>
    <row r="108" spans="2:2" x14ac:dyDescent="0.25">
      <c r="B108" s="21"/>
    </row>
    <row r="109" spans="2:2" x14ac:dyDescent="0.25">
      <c r="B109" s="21"/>
    </row>
    <row r="110" spans="2:2" x14ac:dyDescent="0.25">
      <c r="B110" s="21"/>
    </row>
    <row r="111" spans="2:2" x14ac:dyDescent="0.25">
      <c r="B111" s="21"/>
    </row>
    <row r="112" spans="2: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  <row r="116" spans="2:2" x14ac:dyDescent="0.25">
      <c r="B116" s="21"/>
    </row>
    <row r="117" spans="2:2" x14ac:dyDescent="0.25">
      <c r="B117" s="22"/>
    </row>
  </sheetData>
  <dataValidations count="6">
    <dataValidation type="list" allowBlank="1" showInputMessage="1" showErrorMessage="1" sqref="B6">
      <formula1>Status</formula1>
    </dataValidation>
    <dataValidation type="list" allowBlank="1" showInputMessage="1" showErrorMessage="1" sqref="B7">
      <formula1>Season</formula1>
    </dataValidation>
    <dataValidation type="list" allowBlank="1" showInputMessage="1" showErrorMessage="1" sqref="B8">
      <formula1>Theme</formula1>
    </dataValidation>
    <dataValidation type="list" allowBlank="1" showInputMessage="1" showErrorMessage="1" sqref="B9 B13">
      <formula1>SPlace</formula1>
    </dataValidation>
    <dataValidation type="list" allowBlank="1" showInputMessage="1" showErrorMessage="1" sqref="B10">
      <formula1>PPS</formula1>
    </dataValidation>
    <dataValidation type="list" allowBlank="1" showInputMessage="1" showErrorMessage="1" sqref="B11">
      <formula1>PIType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F41"/>
  <sheetViews>
    <sheetView workbookViewId="0">
      <selection activeCell="F2" sqref="F2"/>
    </sheetView>
  </sheetViews>
  <sheetFormatPr defaultRowHeight="15" x14ac:dyDescent="0.25"/>
  <cols>
    <col min="1" max="1" width="11.28515625" bestFit="1" customWidth="1"/>
    <col min="5" max="5" width="9.42578125" bestFit="1" customWidth="1"/>
    <col min="6" max="6" width="106.85546875" bestFit="1" customWidth="1"/>
  </cols>
  <sheetData>
    <row r="2" spans="1:6" x14ac:dyDescent="0.25">
      <c r="A2" t="s">
        <v>17</v>
      </c>
      <c r="B2" s="17"/>
      <c r="E2" t="s">
        <v>30</v>
      </c>
      <c r="F2" t="s">
        <v>136</v>
      </c>
    </row>
    <row r="3" spans="1:6" x14ac:dyDescent="0.25">
      <c r="B3" s="15"/>
      <c r="E3" t="s">
        <v>31</v>
      </c>
      <c r="F3" t="s">
        <v>137</v>
      </c>
    </row>
    <row r="4" spans="1:6" x14ac:dyDescent="0.25">
      <c r="B4" s="15"/>
    </row>
    <row r="5" spans="1:6" x14ac:dyDescent="0.25">
      <c r="B5" s="15"/>
    </row>
    <row r="6" spans="1:6" x14ac:dyDescent="0.25">
      <c r="B6" s="15"/>
    </row>
    <row r="7" spans="1:6" x14ac:dyDescent="0.25">
      <c r="B7" s="16"/>
    </row>
    <row r="8" spans="1:6" x14ac:dyDescent="0.25">
      <c r="B8" s="16"/>
    </row>
    <row r="9" spans="1:6" x14ac:dyDescent="0.25">
      <c r="B9" s="16"/>
    </row>
    <row r="10" spans="1:6" x14ac:dyDescent="0.25">
      <c r="B10" s="14"/>
    </row>
    <row r="11" spans="1:6" x14ac:dyDescent="0.25">
      <c r="B11" s="14"/>
    </row>
    <row r="12" spans="1:6" x14ac:dyDescent="0.25">
      <c r="B12" s="14"/>
    </row>
    <row r="13" spans="1:6" x14ac:dyDescent="0.25">
      <c r="B13" s="14"/>
    </row>
    <row r="14" spans="1:6" x14ac:dyDescent="0.25">
      <c r="B14" s="14"/>
    </row>
    <row r="15" spans="1:6" x14ac:dyDescent="0.25">
      <c r="B15" s="14"/>
    </row>
    <row r="16" spans="1:6" x14ac:dyDescent="0.25">
      <c r="B16" s="14"/>
    </row>
    <row r="17" spans="2:2" x14ac:dyDescent="0.25">
      <c r="B17" s="14"/>
    </row>
    <row r="18" spans="2:2" x14ac:dyDescent="0.25">
      <c r="B18" s="14"/>
    </row>
    <row r="19" spans="2:2" x14ac:dyDescent="0.25">
      <c r="B19" s="14"/>
    </row>
    <row r="20" spans="2:2" x14ac:dyDescent="0.25">
      <c r="B20" s="14"/>
    </row>
    <row r="21" spans="2:2" x14ac:dyDescent="0.25">
      <c r="B21" s="14"/>
    </row>
    <row r="22" spans="2:2" x14ac:dyDescent="0.25">
      <c r="B22" s="14"/>
    </row>
    <row r="23" spans="2:2" x14ac:dyDescent="0.25">
      <c r="B23" s="14"/>
    </row>
    <row r="24" spans="2:2" x14ac:dyDescent="0.25">
      <c r="B24" s="14"/>
    </row>
    <row r="25" spans="2:2" x14ac:dyDescent="0.25">
      <c r="B25" s="14"/>
    </row>
    <row r="26" spans="2:2" x14ac:dyDescent="0.25">
      <c r="B26" s="14"/>
    </row>
    <row r="27" spans="2:2" x14ac:dyDescent="0.25">
      <c r="B27" s="14"/>
    </row>
    <row r="28" spans="2:2" x14ac:dyDescent="0.25">
      <c r="B28" s="14"/>
    </row>
    <row r="29" spans="2:2" x14ac:dyDescent="0.25">
      <c r="B29" s="14"/>
    </row>
    <row r="30" spans="2:2" x14ac:dyDescent="0.25">
      <c r="B30" s="14"/>
    </row>
    <row r="31" spans="2:2" x14ac:dyDescent="0.25">
      <c r="B31" s="14"/>
    </row>
    <row r="32" spans="2:2" x14ac:dyDescent="0.25">
      <c r="B32" s="14"/>
    </row>
    <row r="33" spans="2:2" x14ac:dyDescent="0.25">
      <c r="B33" s="14"/>
    </row>
    <row r="34" spans="2:2" x14ac:dyDescent="0.25">
      <c r="B34" s="14"/>
    </row>
    <row r="35" spans="2:2" x14ac:dyDescent="0.25">
      <c r="B35" s="14"/>
    </row>
    <row r="36" spans="2:2" x14ac:dyDescent="0.25">
      <c r="B36" s="14"/>
    </row>
    <row r="37" spans="2:2" x14ac:dyDescent="0.25">
      <c r="B37" s="14"/>
    </row>
    <row r="38" spans="2:2" x14ac:dyDescent="0.25">
      <c r="B38" s="14"/>
    </row>
    <row r="39" spans="2:2" x14ac:dyDescent="0.25">
      <c r="B39" s="14"/>
    </row>
    <row r="40" spans="2:2" x14ac:dyDescent="0.25">
      <c r="B40" s="14"/>
    </row>
    <row r="41" spans="2:2" x14ac:dyDescent="0.25">
      <c r="B41" s="14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6"/>
  <sheetViews>
    <sheetView workbookViewId="0">
      <selection activeCell="C8" sqref="C8"/>
    </sheetView>
  </sheetViews>
  <sheetFormatPr defaultRowHeight="15" x14ac:dyDescent="0.25"/>
  <cols>
    <col min="2" max="2" width="15" style="18" customWidth="1"/>
    <col min="3" max="3" width="21.7109375" style="18" customWidth="1"/>
    <col min="16" max="16" width="15.5703125" bestFit="1" customWidth="1"/>
  </cols>
  <sheetData>
    <row r="1" spans="1:20" ht="15.75" thickBot="1" x14ac:dyDescent="0.3">
      <c r="A1" t="s">
        <v>6</v>
      </c>
      <c r="B1" s="18" t="s">
        <v>7</v>
      </c>
      <c r="G1" t="s">
        <v>98</v>
      </c>
      <c r="J1" t="s">
        <v>97</v>
      </c>
      <c r="M1" t="s">
        <v>111</v>
      </c>
      <c r="P1" t="s">
        <v>112</v>
      </c>
      <c r="S1" t="s">
        <v>121</v>
      </c>
    </row>
    <row r="2" spans="1:20" ht="15.75" thickBot="1" x14ac:dyDescent="0.3">
      <c r="A2">
        <v>1640</v>
      </c>
      <c r="B2" s="19">
        <v>42646</v>
      </c>
      <c r="C2" s="18" t="s">
        <v>126</v>
      </c>
      <c r="D2" s="8" t="s">
        <v>19</v>
      </c>
      <c r="E2">
        <v>1</v>
      </c>
      <c r="G2" t="s">
        <v>33</v>
      </c>
      <c r="H2" t="s">
        <v>32</v>
      </c>
      <c r="J2" t="s">
        <v>33</v>
      </c>
      <c r="K2" t="s">
        <v>32</v>
      </c>
      <c r="M2" t="s">
        <v>33</v>
      </c>
      <c r="N2" t="s">
        <v>32</v>
      </c>
      <c r="P2" t="s">
        <v>33</v>
      </c>
      <c r="Q2" t="s">
        <v>120</v>
      </c>
      <c r="S2" t="s">
        <v>33</v>
      </c>
      <c r="T2" t="s">
        <v>120</v>
      </c>
    </row>
    <row r="3" spans="1:20" ht="15.75" thickBot="1" x14ac:dyDescent="0.3">
      <c r="A3">
        <v>1641</v>
      </c>
      <c r="B3" s="19">
        <f>B2+7</f>
        <v>42653</v>
      </c>
      <c r="C3" s="18" t="s">
        <v>127</v>
      </c>
      <c r="D3" s="8" t="s">
        <v>20</v>
      </c>
      <c r="E3">
        <v>2</v>
      </c>
      <c r="G3" t="s">
        <v>34</v>
      </c>
      <c r="H3">
        <v>66</v>
      </c>
      <c r="J3" t="s">
        <v>66</v>
      </c>
      <c r="K3">
        <v>1</v>
      </c>
      <c r="M3" t="s">
        <v>99</v>
      </c>
      <c r="N3">
        <v>1</v>
      </c>
      <c r="P3" t="s">
        <v>113</v>
      </c>
      <c r="Q3">
        <v>1</v>
      </c>
      <c r="S3" t="s">
        <v>122</v>
      </c>
      <c r="T3">
        <v>1</v>
      </c>
    </row>
    <row r="4" spans="1:20" ht="15.75" thickBot="1" x14ac:dyDescent="0.3">
      <c r="A4">
        <v>1642</v>
      </c>
      <c r="B4" s="19">
        <f t="shared" ref="B4:B66" si="0">B3+7</f>
        <v>42660</v>
      </c>
      <c r="C4" s="18" t="s">
        <v>128</v>
      </c>
      <c r="D4" s="8" t="s">
        <v>21</v>
      </c>
      <c r="E4">
        <v>3</v>
      </c>
      <c r="G4" t="s">
        <v>35</v>
      </c>
      <c r="H4">
        <v>67</v>
      </c>
      <c r="J4" t="s">
        <v>67</v>
      </c>
      <c r="K4">
        <v>2</v>
      </c>
      <c r="M4" t="s">
        <v>100</v>
      </c>
      <c r="N4">
        <v>2</v>
      </c>
      <c r="P4" t="s">
        <v>114</v>
      </c>
      <c r="Q4">
        <v>2</v>
      </c>
      <c r="S4" t="s">
        <v>123</v>
      </c>
      <c r="T4">
        <v>2</v>
      </c>
    </row>
    <row r="5" spans="1:20" ht="15.75" thickBot="1" x14ac:dyDescent="0.3">
      <c r="A5">
        <v>1643</v>
      </c>
      <c r="B5" s="19">
        <f t="shared" si="0"/>
        <v>42667</v>
      </c>
      <c r="C5" s="18" t="s">
        <v>129</v>
      </c>
      <c r="D5" s="8" t="s">
        <v>22</v>
      </c>
      <c r="E5">
        <v>4</v>
      </c>
      <c r="G5" t="s">
        <v>36</v>
      </c>
      <c r="H5">
        <v>68</v>
      </c>
      <c r="J5" t="s">
        <v>68</v>
      </c>
      <c r="K5">
        <v>3</v>
      </c>
      <c r="M5" t="s">
        <v>101</v>
      </c>
      <c r="N5">
        <v>3</v>
      </c>
      <c r="P5" t="s">
        <v>115</v>
      </c>
      <c r="Q5">
        <v>3</v>
      </c>
      <c r="S5" t="s">
        <v>124</v>
      </c>
      <c r="T5">
        <v>4</v>
      </c>
    </row>
    <row r="6" spans="1:20" ht="15.75" thickBot="1" x14ac:dyDescent="0.3">
      <c r="A6">
        <v>1644</v>
      </c>
      <c r="B6" s="19">
        <f t="shared" si="0"/>
        <v>42674</v>
      </c>
      <c r="C6" s="18" t="s">
        <v>130</v>
      </c>
      <c r="D6" s="8" t="s">
        <v>23</v>
      </c>
      <c r="E6">
        <v>5</v>
      </c>
      <c r="G6" t="s">
        <v>37</v>
      </c>
      <c r="H6">
        <v>69</v>
      </c>
      <c r="J6" t="s">
        <v>69</v>
      </c>
      <c r="K6">
        <v>4</v>
      </c>
      <c r="M6" t="s">
        <v>102</v>
      </c>
      <c r="N6">
        <v>4</v>
      </c>
      <c r="P6" t="s">
        <v>116</v>
      </c>
      <c r="Q6">
        <v>4</v>
      </c>
      <c r="S6" t="s">
        <v>93</v>
      </c>
      <c r="T6">
        <v>5</v>
      </c>
    </row>
    <row r="7" spans="1:20" ht="15.75" thickBot="1" x14ac:dyDescent="0.3">
      <c r="A7">
        <v>1645</v>
      </c>
      <c r="B7" s="19">
        <f t="shared" si="0"/>
        <v>42681</v>
      </c>
      <c r="C7" s="18" t="s">
        <v>131</v>
      </c>
      <c r="D7" s="8" t="s">
        <v>24</v>
      </c>
      <c r="E7">
        <v>6</v>
      </c>
      <c r="G7" t="s">
        <v>38</v>
      </c>
      <c r="H7">
        <v>70</v>
      </c>
      <c r="J7" t="s">
        <v>70</v>
      </c>
      <c r="K7">
        <v>5</v>
      </c>
      <c r="M7" t="s">
        <v>103</v>
      </c>
      <c r="N7">
        <v>5</v>
      </c>
      <c r="P7" t="s">
        <v>117</v>
      </c>
      <c r="Q7">
        <v>5</v>
      </c>
      <c r="S7" t="s">
        <v>125</v>
      </c>
      <c r="T7">
        <v>6</v>
      </c>
    </row>
    <row r="8" spans="1:20" ht="15.75" thickBot="1" x14ac:dyDescent="0.3">
      <c r="A8">
        <v>1646</v>
      </c>
      <c r="B8" s="19">
        <f t="shared" si="0"/>
        <v>42688</v>
      </c>
      <c r="C8" s="18" t="s">
        <v>132</v>
      </c>
      <c r="D8" s="8" t="s">
        <v>25</v>
      </c>
      <c r="E8">
        <v>7</v>
      </c>
      <c r="G8" t="s">
        <v>39</v>
      </c>
      <c r="H8">
        <v>71</v>
      </c>
      <c r="J8" t="s">
        <v>71</v>
      </c>
      <c r="K8">
        <v>6</v>
      </c>
      <c r="M8" t="s">
        <v>104</v>
      </c>
      <c r="N8">
        <v>6</v>
      </c>
      <c r="P8" t="s">
        <v>118</v>
      </c>
      <c r="Q8">
        <v>6</v>
      </c>
    </row>
    <row r="9" spans="1:20" ht="15.75" thickBot="1" x14ac:dyDescent="0.3">
      <c r="A9">
        <v>1647</v>
      </c>
      <c r="B9" s="19">
        <f t="shared" si="0"/>
        <v>42695</v>
      </c>
      <c r="C9" s="18" t="s">
        <v>133</v>
      </c>
      <c r="D9" s="8" t="s">
        <v>26</v>
      </c>
      <c r="E9">
        <v>8</v>
      </c>
      <c r="G9" t="s">
        <v>40</v>
      </c>
      <c r="H9">
        <v>72</v>
      </c>
      <c r="J9" t="s">
        <v>72</v>
      </c>
      <c r="K9">
        <v>7</v>
      </c>
      <c r="M9" t="s">
        <v>105</v>
      </c>
      <c r="N9">
        <v>7</v>
      </c>
      <c r="P9" t="s">
        <v>119</v>
      </c>
      <c r="Q9">
        <v>7</v>
      </c>
    </row>
    <row r="10" spans="1:20" ht="15.75" thickBot="1" x14ac:dyDescent="0.3">
      <c r="A10">
        <v>1648</v>
      </c>
      <c r="B10" s="19">
        <f t="shared" si="0"/>
        <v>42702</v>
      </c>
      <c r="C10" s="18" t="s">
        <v>134</v>
      </c>
      <c r="D10" s="8" t="s">
        <v>27</v>
      </c>
      <c r="E10">
        <v>9</v>
      </c>
      <c r="G10" t="s">
        <v>41</v>
      </c>
      <c r="H10">
        <v>73</v>
      </c>
      <c r="J10" t="s">
        <v>73</v>
      </c>
      <c r="K10">
        <v>8</v>
      </c>
      <c r="M10" t="s">
        <v>106</v>
      </c>
      <c r="N10">
        <v>8</v>
      </c>
    </row>
    <row r="11" spans="1:20" ht="15.75" thickBot="1" x14ac:dyDescent="0.3">
      <c r="A11">
        <v>1649</v>
      </c>
      <c r="B11" s="19">
        <f t="shared" si="0"/>
        <v>42709</v>
      </c>
      <c r="C11" s="18" t="s">
        <v>135</v>
      </c>
      <c r="D11" s="8" t="s">
        <v>28</v>
      </c>
      <c r="E11">
        <v>10</v>
      </c>
      <c r="G11" t="s">
        <v>42</v>
      </c>
      <c r="H11">
        <v>74</v>
      </c>
      <c r="J11" t="s">
        <v>74</v>
      </c>
      <c r="K11">
        <v>9</v>
      </c>
      <c r="M11" t="s">
        <v>107</v>
      </c>
      <c r="N11">
        <v>9</v>
      </c>
    </row>
    <row r="12" spans="1:20" x14ac:dyDescent="0.25">
      <c r="A12">
        <v>1650</v>
      </c>
      <c r="B12" s="19">
        <f t="shared" si="0"/>
        <v>42716</v>
      </c>
      <c r="G12" t="s">
        <v>43</v>
      </c>
      <c r="H12">
        <v>75</v>
      </c>
      <c r="J12" t="s">
        <v>75</v>
      </c>
      <c r="K12">
        <v>10</v>
      </c>
      <c r="M12" t="s">
        <v>108</v>
      </c>
      <c r="N12">
        <v>10</v>
      </c>
    </row>
    <row r="13" spans="1:20" x14ac:dyDescent="0.25">
      <c r="A13">
        <v>1651</v>
      </c>
      <c r="B13" s="19">
        <f t="shared" si="0"/>
        <v>42723</v>
      </c>
      <c r="G13" t="s">
        <v>44</v>
      </c>
      <c r="H13">
        <v>76</v>
      </c>
      <c r="J13" t="s">
        <v>76</v>
      </c>
      <c r="K13">
        <v>11</v>
      </c>
      <c r="M13" t="s">
        <v>93</v>
      </c>
      <c r="N13">
        <v>11</v>
      </c>
    </row>
    <row r="14" spans="1:20" x14ac:dyDescent="0.25">
      <c r="A14">
        <v>1652</v>
      </c>
      <c r="B14" s="19">
        <f t="shared" si="0"/>
        <v>42730</v>
      </c>
      <c r="G14" t="s">
        <v>45</v>
      </c>
      <c r="H14">
        <v>77</v>
      </c>
      <c r="J14" t="s">
        <v>77</v>
      </c>
      <c r="K14">
        <v>12</v>
      </c>
      <c r="M14" t="s">
        <v>109</v>
      </c>
      <c r="N14">
        <v>12</v>
      </c>
    </row>
    <row r="15" spans="1:20" x14ac:dyDescent="0.25">
      <c r="A15">
        <v>1701</v>
      </c>
      <c r="B15" s="19">
        <f t="shared" si="0"/>
        <v>42737</v>
      </c>
      <c r="G15" t="s">
        <v>46</v>
      </c>
      <c r="H15">
        <v>78</v>
      </c>
      <c r="J15" t="s">
        <v>78</v>
      </c>
      <c r="K15">
        <v>13</v>
      </c>
      <c r="M15" t="s">
        <v>110</v>
      </c>
      <c r="N15">
        <v>14</v>
      </c>
    </row>
    <row r="16" spans="1:20" x14ac:dyDescent="0.25">
      <c r="A16">
        <v>1702</v>
      </c>
      <c r="B16" s="19">
        <f t="shared" si="0"/>
        <v>42744</v>
      </c>
      <c r="G16" t="s">
        <v>47</v>
      </c>
      <c r="H16">
        <v>79</v>
      </c>
      <c r="J16" t="s">
        <v>79</v>
      </c>
      <c r="K16">
        <v>14</v>
      </c>
    </row>
    <row r="17" spans="1:11" x14ac:dyDescent="0.25">
      <c r="A17">
        <v>1703</v>
      </c>
      <c r="B17" s="19">
        <f t="shared" si="0"/>
        <v>42751</v>
      </c>
      <c r="G17" t="s">
        <v>48</v>
      </c>
      <c r="H17">
        <v>80</v>
      </c>
      <c r="J17" t="s">
        <v>80</v>
      </c>
      <c r="K17">
        <v>15</v>
      </c>
    </row>
    <row r="18" spans="1:11" x14ac:dyDescent="0.25">
      <c r="A18">
        <v>1704</v>
      </c>
      <c r="B18" s="19">
        <f t="shared" si="0"/>
        <v>42758</v>
      </c>
      <c r="G18" t="s">
        <v>49</v>
      </c>
      <c r="H18">
        <v>81</v>
      </c>
      <c r="J18" t="s">
        <v>81</v>
      </c>
      <c r="K18">
        <v>16</v>
      </c>
    </row>
    <row r="19" spans="1:11" x14ac:dyDescent="0.25">
      <c r="A19">
        <v>1705</v>
      </c>
      <c r="B19" s="19">
        <f t="shared" si="0"/>
        <v>42765</v>
      </c>
      <c r="G19" t="s">
        <v>50</v>
      </c>
      <c r="H19">
        <v>82</v>
      </c>
      <c r="J19" t="s">
        <v>82</v>
      </c>
      <c r="K19">
        <v>17</v>
      </c>
    </row>
    <row r="20" spans="1:11" x14ac:dyDescent="0.25">
      <c r="A20">
        <v>1706</v>
      </c>
      <c r="B20" s="19">
        <f t="shared" si="0"/>
        <v>42772</v>
      </c>
      <c r="G20" t="s">
        <v>51</v>
      </c>
      <c r="H20">
        <v>83</v>
      </c>
      <c r="J20" t="s">
        <v>83</v>
      </c>
      <c r="K20">
        <v>18</v>
      </c>
    </row>
    <row r="21" spans="1:11" x14ac:dyDescent="0.25">
      <c r="A21">
        <v>1707</v>
      </c>
      <c r="B21" s="19">
        <f t="shared" si="0"/>
        <v>42779</v>
      </c>
      <c r="G21" t="s">
        <v>52</v>
      </c>
      <c r="H21">
        <v>84</v>
      </c>
      <c r="J21" t="s">
        <v>84</v>
      </c>
      <c r="K21">
        <v>19</v>
      </c>
    </row>
    <row r="22" spans="1:11" x14ac:dyDescent="0.25">
      <c r="A22">
        <v>1708</v>
      </c>
      <c r="B22" s="19">
        <f t="shared" si="0"/>
        <v>42786</v>
      </c>
      <c r="G22" t="s">
        <v>53</v>
      </c>
      <c r="H22">
        <v>85</v>
      </c>
      <c r="J22" t="s">
        <v>85</v>
      </c>
      <c r="K22">
        <v>20</v>
      </c>
    </row>
    <row r="23" spans="1:11" x14ac:dyDescent="0.25">
      <c r="A23">
        <v>1709</v>
      </c>
      <c r="B23" s="19">
        <f t="shared" si="0"/>
        <v>42793</v>
      </c>
      <c r="G23" t="s">
        <v>54</v>
      </c>
      <c r="H23">
        <v>86</v>
      </c>
      <c r="J23" t="s">
        <v>86</v>
      </c>
      <c r="K23">
        <v>21</v>
      </c>
    </row>
    <row r="24" spans="1:11" x14ac:dyDescent="0.25">
      <c r="A24">
        <v>1710</v>
      </c>
      <c r="B24" s="19">
        <f t="shared" si="0"/>
        <v>42800</v>
      </c>
      <c r="G24" t="s">
        <v>55</v>
      </c>
      <c r="H24">
        <v>87</v>
      </c>
      <c r="J24" t="s">
        <v>87</v>
      </c>
      <c r="K24">
        <v>22</v>
      </c>
    </row>
    <row r="25" spans="1:11" x14ac:dyDescent="0.25">
      <c r="A25">
        <v>1711</v>
      </c>
      <c r="B25" s="19">
        <f t="shared" si="0"/>
        <v>42807</v>
      </c>
      <c r="G25" t="s">
        <v>56</v>
      </c>
      <c r="H25">
        <v>88</v>
      </c>
      <c r="J25" t="s">
        <v>88</v>
      </c>
      <c r="K25">
        <v>23</v>
      </c>
    </row>
    <row r="26" spans="1:11" x14ac:dyDescent="0.25">
      <c r="A26">
        <v>1712</v>
      </c>
      <c r="B26" s="19">
        <f t="shared" si="0"/>
        <v>42814</v>
      </c>
      <c r="G26" t="s">
        <v>57</v>
      </c>
      <c r="H26">
        <v>89</v>
      </c>
      <c r="J26" t="s">
        <v>89</v>
      </c>
      <c r="K26">
        <v>24</v>
      </c>
    </row>
    <row r="27" spans="1:11" x14ac:dyDescent="0.25">
      <c r="A27">
        <v>1713</v>
      </c>
      <c r="B27" s="19">
        <f t="shared" si="0"/>
        <v>42821</v>
      </c>
      <c r="G27" t="s">
        <v>58</v>
      </c>
      <c r="H27">
        <v>90</v>
      </c>
      <c r="J27" t="s">
        <v>90</v>
      </c>
      <c r="K27">
        <v>25</v>
      </c>
    </row>
    <row r="28" spans="1:11" x14ac:dyDescent="0.25">
      <c r="A28">
        <v>1714</v>
      </c>
      <c r="B28" s="19">
        <f t="shared" si="0"/>
        <v>42828</v>
      </c>
      <c r="G28" t="s">
        <v>59</v>
      </c>
      <c r="H28">
        <v>91</v>
      </c>
      <c r="J28" t="s">
        <v>91</v>
      </c>
      <c r="K28">
        <v>26</v>
      </c>
    </row>
    <row r="29" spans="1:11" x14ac:dyDescent="0.25">
      <c r="A29">
        <v>1715</v>
      </c>
      <c r="B29" s="19">
        <f t="shared" si="0"/>
        <v>42835</v>
      </c>
      <c r="G29" t="s">
        <v>60</v>
      </c>
      <c r="H29">
        <v>92</v>
      </c>
      <c r="J29" t="s">
        <v>92</v>
      </c>
      <c r="K29">
        <v>27</v>
      </c>
    </row>
    <row r="30" spans="1:11" x14ac:dyDescent="0.25">
      <c r="A30">
        <v>1716</v>
      </c>
      <c r="B30" s="19">
        <f t="shared" si="0"/>
        <v>42842</v>
      </c>
      <c r="G30" t="s">
        <v>61</v>
      </c>
      <c r="H30">
        <v>93</v>
      </c>
      <c r="J30" t="s">
        <v>93</v>
      </c>
      <c r="K30">
        <v>28</v>
      </c>
    </row>
    <row r="31" spans="1:11" x14ac:dyDescent="0.25">
      <c r="A31">
        <v>1717</v>
      </c>
      <c r="B31" s="19">
        <f t="shared" si="0"/>
        <v>42849</v>
      </c>
      <c r="G31" t="s">
        <v>62</v>
      </c>
      <c r="H31">
        <v>94</v>
      </c>
      <c r="J31" t="s">
        <v>94</v>
      </c>
      <c r="K31">
        <v>29</v>
      </c>
    </row>
    <row r="32" spans="1:11" x14ac:dyDescent="0.25">
      <c r="A32">
        <v>1718</v>
      </c>
      <c r="B32" s="19">
        <f t="shared" si="0"/>
        <v>42856</v>
      </c>
      <c r="G32" t="s">
        <v>63</v>
      </c>
      <c r="H32">
        <v>95</v>
      </c>
      <c r="J32" t="s">
        <v>95</v>
      </c>
      <c r="K32">
        <v>30</v>
      </c>
    </row>
    <row r="33" spans="1:11" x14ac:dyDescent="0.25">
      <c r="A33">
        <v>1719</v>
      </c>
      <c r="B33" s="19">
        <f t="shared" si="0"/>
        <v>42863</v>
      </c>
      <c r="G33" t="s">
        <v>64</v>
      </c>
      <c r="H33">
        <v>96</v>
      </c>
      <c r="J33" t="s">
        <v>96</v>
      </c>
      <c r="K33">
        <v>31</v>
      </c>
    </row>
    <row r="34" spans="1:11" x14ac:dyDescent="0.25">
      <c r="A34">
        <v>1720</v>
      </c>
      <c r="B34" s="19">
        <f t="shared" si="0"/>
        <v>42870</v>
      </c>
    </row>
    <row r="35" spans="1:11" x14ac:dyDescent="0.25">
      <c r="A35">
        <v>1721</v>
      </c>
      <c r="B35" s="19">
        <f t="shared" si="0"/>
        <v>42877</v>
      </c>
    </row>
    <row r="36" spans="1:11" x14ac:dyDescent="0.25">
      <c r="A36">
        <v>1722</v>
      </c>
      <c r="B36" s="19">
        <f t="shared" si="0"/>
        <v>42884</v>
      </c>
    </row>
    <row r="37" spans="1:11" x14ac:dyDescent="0.25">
      <c r="A37">
        <v>1723</v>
      </c>
      <c r="B37" s="19">
        <f t="shared" si="0"/>
        <v>42891</v>
      </c>
    </row>
    <row r="38" spans="1:11" x14ac:dyDescent="0.25">
      <c r="A38">
        <v>1724</v>
      </c>
      <c r="B38" s="19">
        <f t="shared" si="0"/>
        <v>42898</v>
      </c>
    </row>
    <row r="39" spans="1:11" x14ac:dyDescent="0.25">
      <c r="A39">
        <v>1725</v>
      </c>
      <c r="B39" s="19">
        <f t="shared" si="0"/>
        <v>42905</v>
      </c>
    </row>
    <row r="40" spans="1:11" x14ac:dyDescent="0.25">
      <c r="A40">
        <v>1726</v>
      </c>
      <c r="B40" s="19">
        <f t="shared" si="0"/>
        <v>42912</v>
      </c>
    </row>
    <row r="41" spans="1:11" x14ac:dyDescent="0.25">
      <c r="A41">
        <v>1727</v>
      </c>
      <c r="B41" s="19">
        <f t="shared" si="0"/>
        <v>42919</v>
      </c>
    </row>
    <row r="42" spans="1:11" x14ac:dyDescent="0.25">
      <c r="A42">
        <v>1728</v>
      </c>
      <c r="B42" s="19">
        <f t="shared" si="0"/>
        <v>42926</v>
      </c>
    </row>
    <row r="43" spans="1:11" x14ac:dyDescent="0.25">
      <c r="A43">
        <v>1729</v>
      </c>
      <c r="B43" s="19">
        <f t="shared" si="0"/>
        <v>42933</v>
      </c>
    </row>
    <row r="44" spans="1:11" x14ac:dyDescent="0.25">
      <c r="A44">
        <v>1730</v>
      </c>
      <c r="B44" s="19">
        <f t="shared" si="0"/>
        <v>42940</v>
      </c>
    </row>
    <row r="45" spans="1:11" x14ac:dyDescent="0.25">
      <c r="A45">
        <v>1731</v>
      </c>
      <c r="B45" s="19">
        <f t="shared" si="0"/>
        <v>42947</v>
      </c>
    </row>
    <row r="46" spans="1:11" x14ac:dyDescent="0.25">
      <c r="A46">
        <v>1732</v>
      </c>
      <c r="B46" s="19">
        <f t="shared" si="0"/>
        <v>42954</v>
      </c>
    </row>
    <row r="47" spans="1:11" x14ac:dyDescent="0.25">
      <c r="A47">
        <v>1733</v>
      </c>
      <c r="B47" s="19">
        <f t="shared" si="0"/>
        <v>42961</v>
      </c>
    </row>
    <row r="48" spans="1:11" x14ac:dyDescent="0.25">
      <c r="A48">
        <v>1734</v>
      </c>
      <c r="B48" s="19">
        <f t="shared" si="0"/>
        <v>42968</v>
      </c>
    </row>
    <row r="49" spans="1:2" x14ac:dyDescent="0.25">
      <c r="A49">
        <v>1735</v>
      </c>
      <c r="B49" s="19">
        <f t="shared" si="0"/>
        <v>42975</v>
      </c>
    </row>
    <row r="50" spans="1:2" x14ac:dyDescent="0.25">
      <c r="A50">
        <v>1736</v>
      </c>
      <c r="B50" s="19">
        <f t="shared" si="0"/>
        <v>42982</v>
      </c>
    </row>
    <row r="51" spans="1:2" x14ac:dyDescent="0.25">
      <c r="A51">
        <v>1737</v>
      </c>
      <c r="B51" s="19">
        <f t="shared" si="0"/>
        <v>42989</v>
      </c>
    </row>
    <row r="52" spans="1:2" x14ac:dyDescent="0.25">
      <c r="A52">
        <v>1738</v>
      </c>
      <c r="B52" s="19">
        <f t="shared" si="0"/>
        <v>42996</v>
      </c>
    </row>
    <row r="53" spans="1:2" x14ac:dyDescent="0.25">
      <c r="A53">
        <v>1739</v>
      </c>
      <c r="B53" s="19">
        <f t="shared" si="0"/>
        <v>43003</v>
      </c>
    </row>
    <row r="54" spans="1:2" x14ac:dyDescent="0.25">
      <c r="A54">
        <v>1740</v>
      </c>
      <c r="B54" s="19">
        <f t="shared" si="0"/>
        <v>43010</v>
      </c>
    </row>
    <row r="55" spans="1:2" x14ac:dyDescent="0.25">
      <c r="A55">
        <v>1741</v>
      </c>
      <c r="B55" s="19">
        <f t="shared" si="0"/>
        <v>43017</v>
      </c>
    </row>
    <row r="56" spans="1:2" x14ac:dyDescent="0.25">
      <c r="A56">
        <v>1742</v>
      </c>
      <c r="B56" s="19">
        <f t="shared" si="0"/>
        <v>43024</v>
      </c>
    </row>
    <row r="57" spans="1:2" x14ac:dyDescent="0.25">
      <c r="A57">
        <v>1743</v>
      </c>
      <c r="B57" s="19">
        <f t="shared" si="0"/>
        <v>43031</v>
      </c>
    </row>
    <row r="58" spans="1:2" x14ac:dyDescent="0.25">
      <c r="A58">
        <v>1744</v>
      </c>
      <c r="B58" s="19">
        <f t="shared" si="0"/>
        <v>43038</v>
      </c>
    </row>
    <row r="59" spans="1:2" x14ac:dyDescent="0.25">
      <c r="A59">
        <v>1745</v>
      </c>
      <c r="B59" s="19">
        <f t="shared" si="0"/>
        <v>43045</v>
      </c>
    </row>
    <row r="60" spans="1:2" x14ac:dyDescent="0.25">
      <c r="A60">
        <v>1746</v>
      </c>
      <c r="B60" s="19">
        <f t="shared" si="0"/>
        <v>43052</v>
      </c>
    </row>
    <row r="61" spans="1:2" x14ac:dyDescent="0.25">
      <c r="A61">
        <v>1747</v>
      </c>
      <c r="B61" s="19">
        <f t="shared" si="0"/>
        <v>43059</v>
      </c>
    </row>
    <row r="62" spans="1:2" x14ac:dyDescent="0.25">
      <c r="A62">
        <v>1748</v>
      </c>
      <c r="B62" s="19">
        <f t="shared" si="0"/>
        <v>43066</v>
      </c>
    </row>
    <row r="63" spans="1:2" x14ac:dyDescent="0.25">
      <c r="A63">
        <v>1749</v>
      </c>
      <c r="B63" s="19">
        <f t="shared" si="0"/>
        <v>43073</v>
      </c>
    </row>
    <row r="64" spans="1:2" x14ac:dyDescent="0.25">
      <c r="A64">
        <v>1750</v>
      </c>
      <c r="B64" s="19">
        <f t="shared" si="0"/>
        <v>43080</v>
      </c>
    </row>
    <row r="65" spans="1:2" x14ac:dyDescent="0.25">
      <c r="A65">
        <v>1751</v>
      </c>
      <c r="B65" s="19">
        <f t="shared" si="0"/>
        <v>43087</v>
      </c>
    </row>
    <row r="66" spans="1:2" x14ac:dyDescent="0.25">
      <c r="A66">
        <v>1752</v>
      </c>
      <c r="B66" s="19">
        <f t="shared" si="0"/>
        <v>43094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&amp;C&amp;F&amp;R&amp;D</oddHeader>
    <oddFooter>&amp;LPage &amp;P&amp;R&amp;Z&amp;F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Access</vt:lpstr>
      <vt:lpstr>SCM</vt:lpstr>
      <vt:lpstr>SCM Product</vt:lpstr>
      <vt:lpstr>Data</vt:lpstr>
      <vt:lpstr>PIType</vt:lpstr>
      <vt:lpstr>PPS</vt:lpstr>
      <vt:lpstr>Season</vt:lpstr>
      <vt:lpstr>SPlace</vt:lpstr>
      <vt:lpstr>Status</vt:lpstr>
      <vt:lpstr>Theme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Wang</dc:creator>
  <cp:lastModifiedBy>Stephen Wang</cp:lastModifiedBy>
  <dcterms:created xsi:type="dcterms:W3CDTF">2016-09-30T06:48:30Z</dcterms:created>
  <dcterms:modified xsi:type="dcterms:W3CDTF">2017-07-10T01:49:18Z</dcterms:modified>
</cp:coreProperties>
</file>